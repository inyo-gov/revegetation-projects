
<file path=[Content_Types].xml><?xml version="1.0" encoding="utf-8"?>
<Types xmlns="http://schemas.openxmlformats.org/package/2006/content-types">
  <Default Extension="bin" ContentType="application/vnd.openxmlformats-officedocument.spreadsheetml.printerSettings"/>
  <Default Extension="emf" ContentType="image/x-emf"/>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pivotCache/pivotCacheDefinition2.xml" ContentType="application/vnd.openxmlformats-officedocument.spreadsheetml.pivotCacheDefinition+xml"/>
  <Override PartName="/xl/pivotCache/pivotCacheRecords2.xml" ContentType="application/vnd.openxmlformats-officedocument.spreadsheetml.pivotCacheRecords+xml"/>
  <Override PartName="/xl/slicerCaches/slicerCache1.xml" ContentType="application/vnd.ms-excel.slicerCache+xml"/>
  <Override PartName="/xl/slicerCaches/slicerCache2.xml" ContentType="application/vnd.ms-excel.slicerCache+xml"/>
  <Override PartName="/xl/slicerCaches/slicerCache3.xml" ContentType="application/vnd.ms-excel.slicerCache+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pivotTables/pivotTable1.xml" ContentType="application/vnd.openxmlformats-officedocument.spreadsheetml.pivotTable+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charts/chart1.xml" ContentType="application/vnd.openxmlformats-officedocument.drawingml.chart+xml"/>
  <Override PartName="/xl/drawings/drawing2.xml" ContentType="application/vnd.openxmlformats-officedocument.drawing+xml"/>
  <Override PartName="/xl/slicers/slicer1.xml" ContentType="application/vnd.ms-excel.slicer+xml"/>
  <Override PartName="/xl/comments1.xml" ContentType="application/vnd.openxmlformats-officedocument.spreadsheetml.comments+xml"/>
  <Override PartName="/xl/threadedComments/threadedComment1.xml" ContentType="application/vnd.ms-excel.threadedcomments+xml"/>
  <Override PartName="/xl/pivotTables/pivotTable2.xml" ContentType="application/vnd.openxmlformats-officedocument.spreadsheetml.pivotTable+xml"/>
  <Override PartName="/xl/pivotTables/pivotTable3.xml" ContentType="application/vnd.openxmlformats-officedocument.spreadsheetml.pivotTable+xml"/>
  <Override PartName="/xl/drawings/drawing3.xml" ContentType="application/vnd.openxmlformats-officedocument.drawing+xml"/>
  <Override PartName="/xl/tables/table1.xml" ContentType="application/vnd.openxmlformats-officedocument.spreadsheetml.table+xml"/>
  <Override PartName="/xl/slicers/slicer2.xml" ContentType="application/vnd.ms-excel.slicer+xml"/>
  <Override PartName="/xl/persons/person.xml" ContentType="application/vnd.ms-excel.person+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029" codeName="{DD97A8EA-9A9A-E61F-A557-7D5A7D7259CE}"/>
  <workbookPr codeName="ThisWorkbook" defaultThemeVersion="124226"/>
  <mc:AlternateContent xmlns:mc="http://schemas.openxmlformats.org/markup-compatibility/2006">
    <mc:Choice Requires="x15">
      <x15ac:absPath xmlns:x15ac="http://schemas.microsoft.com/office/spreadsheetml/2010/11/ac" url="C:\Users\znelson\OneDrive - County of Inyo\Documents\"/>
    </mc:Choice>
  </mc:AlternateContent>
  <xr:revisionPtr revIDLastSave="0" documentId="13_ncr:1_{BDDD0411-CEE9-4E1A-8BA9-461CE1CCD954}" xr6:coauthVersionLast="47" xr6:coauthVersionMax="47" xr10:uidLastSave="{00000000-0000-0000-0000-000000000000}"/>
  <bookViews>
    <workbookView xWindow="16354" yWindow="-12377" windowWidth="18720" windowHeight="32674" tabRatio="952" activeTab="3" xr2:uid="{00000000-000D-0000-FFFF-FFFF00000000}"/>
  </bookViews>
  <sheets>
    <sheet name="Sheet2" sheetId="33" r:id="rId1"/>
    <sheet name="Summary Figure" sheetId="31" r:id="rId2"/>
    <sheet name="Summary Table" sheetId="30" r:id="rId3"/>
    <sheet name="BGP160" sheetId="13" r:id="rId4"/>
    <sheet name="BGP160W" sheetId="19" r:id="rId5"/>
    <sheet name="BIS097" sheetId="20" r:id="rId6"/>
    <sheet name="BLK016E" sheetId="21" r:id="rId7"/>
    <sheet name="IND105" sheetId="22" r:id="rId8"/>
    <sheet name="IND123" sheetId="23" r:id="rId9"/>
    <sheet name="IND131N" sheetId="24" r:id="rId10"/>
    <sheet name="IND131S" sheetId="25" r:id="rId11"/>
    <sheet name="LAW118" sheetId="27" r:id="rId12"/>
    <sheet name="TIN054" sheetId="28" r:id="rId13"/>
    <sheet name="Cover PivotTable" sheetId="12" r:id="rId14"/>
    <sheet name="Species Richness PivotTable" sheetId="5" r:id="rId15"/>
    <sheet name="Reveg Table" sheetId="1" r:id="rId16"/>
    <sheet name="Sheet1" sheetId="32" r:id="rId17"/>
    <sheet name="Site Info" sheetId="6" r:id="rId18"/>
    <sheet name="Species Table" sheetId="4" r:id="rId19"/>
    <sheet name="Site Specific Species List" sheetId="7" r:id="rId20"/>
  </sheets>
  <functionGroups builtInGroupCount="19"/>
  <definedNames>
    <definedName name="_xlnm._FilterDatabase" localSheetId="15" hidden="1">'Reveg Table'!$A$1:$N$1421</definedName>
    <definedName name="BGP160W">#REF!</definedName>
    <definedName name="Slicer_Comment">#N/A</definedName>
    <definedName name="Slicer_Logevity">#N/A</definedName>
    <definedName name="Slicer_Site">#N/A</definedName>
    <definedName name="TargetCover">'Site Info'!$A$1:$C$11</definedName>
  </definedNames>
  <calcPr calcId="191029"/>
  <pivotCaches>
    <pivotCache cacheId="0" r:id="rId21"/>
    <pivotCache cacheId="1" r:id="rId22"/>
  </pivotCaches>
  <extLst>
    <ext xmlns:x14="http://schemas.microsoft.com/office/spreadsheetml/2009/9/main" uri="{BBE1A952-AA13-448e-AADC-164F8A28A991}">
      <x14:slicerCaches>
        <x14:slicerCache r:id="rId23"/>
        <x14:slicerCache r:id="rId24"/>
      </x14:slicerCaches>
    </ext>
    <ext xmlns:x14="http://schemas.microsoft.com/office/spreadsheetml/2009/9/main" uri="{79F54976-1DA5-4618-B147-4CDE4B953A38}">
      <x14:workbookPr/>
    </ext>
    <ext xmlns:x15="http://schemas.microsoft.com/office/spreadsheetml/2010/11/main" uri="{46BE6895-7355-4a93-B00E-2C351335B9C9}">
      <x15:slicerCaches xmlns:x14="http://schemas.microsoft.com/office/spreadsheetml/2009/9/main">
        <x14:slicerCache r:id="rId25"/>
      </x15:slicerCaches>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J539" i="1" l="1"/>
  <c r="P62" i="13"/>
  <c r="P68" i="13"/>
  <c r="P1884" i="1"/>
  <c r="O1884" i="1"/>
  <c r="J1885" i="1"/>
  <c r="J1886" i="1"/>
  <c r="J1887" i="1"/>
  <c r="J1888" i="1"/>
  <c r="J1889" i="1"/>
  <c r="J1890" i="1"/>
  <c r="J1891" i="1"/>
  <c r="J1892" i="1"/>
  <c r="J1893" i="1"/>
  <c r="J1894" i="1"/>
  <c r="J1895" i="1"/>
  <c r="J1896" i="1"/>
  <c r="J1897" i="1"/>
  <c r="J1898" i="1"/>
  <c r="J1899" i="1"/>
  <c r="J1900" i="1"/>
  <c r="J1901" i="1"/>
  <c r="J1902" i="1"/>
  <c r="J1903" i="1"/>
  <c r="J1904" i="1"/>
  <c r="J1905" i="1"/>
  <c r="J1906" i="1"/>
  <c r="J1907" i="1"/>
  <c r="J1908" i="1"/>
  <c r="J1909" i="1"/>
  <c r="J1910" i="1"/>
  <c r="J1911" i="1"/>
  <c r="J1912" i="1"/>
  <c r="J1913" i="1"/>
  <c r="J1914" i="1"/>
  <c r="J1915" i="1"/>
  <c r="J1916" i="1"/>
  <c r="J1917" i="1"/>
  <c r="J1918" i="1"/>
  <c r="J1919" i="1"/>
  <c r="J1920" i="1"/>
  <c r="J1921" i="1"/>
  <c r="J1922" i="1"/>
  <c r="J1923" i="1"/>
  <c r="J1924" i="1"/>
  <c r="J1925" i="1"/>
  <c r="J1926" i="1"/>
  <c r="J1927" i="1"/>
  <c r="J1928" i="1"/>
  <c r="J1929" i="1"/>
  <c r="J1930" i="1"/>
  <c r="J1931" i="1"/>
  <c r="J1932" i="1"/>
  <c r="J1933" i="1"/>
  <c r="J1934" i="1"/>
  <c r="J1935" i="1"/>
  <c r="J1936" i="1"/>
  <c r="J1937" i="1"/>
  <c r="J1938" i="1"/>
  <c r="J1939" i="1"/>
  <c r="J1940" i="1"/>
  <c r="J1941" i="1"/>
  <c r="J1942" i="1"/>
  <c r="J1943" i="1"/>
  <c r="J1944" i="1"/>
  <c r="J1945" i="1"/>
  <c r="J1946" i="1"/>
  <c r="J1947" i="1"/>
  <c r="J1948" i="1"/>
  <c r="J1949" i="1"/>
  <c r="J1950" i="1"/>
  <c r="J1951" i="1"/>
  <c r="J1952" i="1"/>
  <c r="J1953" i="1"/>
  <c r="J1954" i="1"/>
  <c r="J1955" i="1"/>
  <c r="J1956" i="1"/>
  <c r="J1957" i="1"/>
  <c r="J1958" i="1"/>
  <c r="J1959" i="1"/>
  <c r="J1960" i="1"/>
  <c r="J1961" i="1"/>
  <c r="J1962" i="1"/>
  <c r="J1963" i="1"/>
  <c r="J1964" i="1"/>
  <c r="J1965" i="1"/>
  <c r="J1966" i="1"/>
  <c r="J1967" i="1"/>
  <c r="J1968" i="1"/>
  <c r="J1969" i="1"/>
  <c r="J1970" i="1"/>
  <c r="J1971" i="1"/>
  <c r="J1972" i="1"/>
  <c r="J1973" i="1"/>
  <c r="J1974" i="1"/>
  <c r="J1975" i="1"/>
  <c r="J1976" i="1"/>
  <c r="J1977" i="1"/>
  <c r="J1978" i="1"/>
  <c r="J1979" i="1"/>
  <c r="J1980" i="1"/>
  <c r="J1981" i="1"/>
  <c r="J1982" i="1"/>
  <c r="J1983" i="1"/>
  <c r="J1984" i="1"/>
  <c r="J1985" i="1"/>
  <c r="J1986" i="1"/>
  <c r="J1987" i="1"/>
  <c r="J1988" i="1"/>
  <c r="J1989" i="1"/>
  <c r="J1990" i="1"/>
  <c r="J1991" i="1"/>
  <c r="J1992" i="1"/>
  <c r="J1993" i="1"/>
  <c r="J1994" i="1"/>
  <c r="J1995" i="1"/>
  <c r="J1996" i="1"/>
  <c r="J1997" i="1"/>
  <c r="J1998" i="1"/>
  <c r="J1999" i="1"/>
  <c r="J2000" i="1"/>
  <c r="J2001" i="1"/>
  <c r="J2002" i="1"/>
  <c r="J2003" i="1"/>
  <c r="J2004" i="1"/>
  <c r="J2005" i="1"/>
  <c r="J2006" i="1"/>
  <c r="J2007" i="1"/>
  <c r="J2008" i="1"/>
  <c r="J2009" i="1"/>
  <c r="J2010" i="1"/>
  <c r="J2011" i="1"/>
  <c r="J2012" i="1"/>
  <c r="J2013" i="1"/>
  <c r="J2014" i="1"/>
  <c r="J2015" i="1"/>
  <c r="J2016" i="1"/>
  <c r="J2017" i="1"/>
  <c r="J2018" i="1"/>
  <c r="J2019" i="1"/>
  <c r="J2020" i="1"/>
  <c r="J2021" i="1"/>
  <c r="J2022" i="1"/>
  <c r="J2023" i="1"/>
  <c r="J2024" i="1"/>
  <c r="J2025" i="1"/>
  <c r="J2026" i="1"/>
  <c r="J2027" i="1"/>
  <c r="J2028" i="1"/>
  <c r="J2029" i="1"/>
  <c r="J2030" i="1"/>
  <c r="J2031" i="1"/>
  <c r="J2032" i="1"/>
  <c r="J2033" i="1"/>
  <c r="J2034" i="1"/>
  <c r="J2035" i="1"/>
  <c r="J2036" i="1"/>
  <c r="J2037" i="1"/>
  <c r="J2038" i="1"/>
  <c r="J2039" i="1"/>
  <c r="J2040" i="1"/>
  <c r="J2041" i="1"/>
  <c r="J2042" i="1"/>
  <c r="J2043" i="1"/>
  <c r="J2044" i="1"/>
  <c r="J2045" i="1"/>
  <c r="J2046" i="1"/>
  <c r="J2047" i="1"/>
  <c r="J2048" i="1"/>
  <c r="J2049" i="1"/>
  <c r="J2050" i="1"/>
  <c r="J2051" i="1"/>
  <c r="J2052" i="1"/>
  <c r="J2053" i="1"/>
  <c r="J2054" i="1"/>
  <c r="J2055" i="1"/>
  <c r="J2056" i="1"/>
  <c r="J2057" i="1"/>
  <c r="J2058" i="1"/>
  <c r="J2059" i="1"/>
  <c r="J2060" i="1"/>
  <c r="J2061" i="1"/>
  <c r="J2062" i="1"/>
  <c r="J2063" i="1"/>
  <c r="J2064" i="1"/>
  <c r="J2065" i="1"/>
  <c r="J2066" i="1"/>
  <c r="J2067" i="1"/>
  <c r="J2068" i="1"/>
  <c r="J2069" i="1"/>
  <c r="J2070" i="1"/>
  <c r="J2071" i="1"/>
  <c r="J2072" i="1"/>
  <c r="J2073" i="1"/>
  <c r="J2074" i="1"/>
  <c r="J2075" i="1"/>
  <c r="J2076" i="1"/>
  <c r="J2077" i="1"/>
  <c r="J2078" i="1"/>
  <c r="J2079" i="1"/>
  <c r="J2080" i="1"/>
  <c r="J2081" i="1"/>
  <c r="J2082" i="1"/>
  <c r="J2083" i="1"/>
  <c r="J2084" i="1"/>
  <c r="J2085" i="1"/>
  <c r="J2086" i="1"/>
  <c r="J2087" i="1"/>
  <c r="J2088" i="1"/>
  <c r="J2089" i="1"/>
  <c r="J2090" i="1"/>
  <c r="J2091" i="1"/>
  <c r="J2092" i="1"/>
  <c r="J2093" i="1"/>
  <c r="J2094" i="1"/>
  <c r="J2095" i="1"/>
  <c r="J2096" i="1"/>
  <c r="J2097" i="1"/>
  <c r="J2098" i="1"/>
  <c r="J2099" i="1"/>
  <c r="J2100" i="1"/>
  <c r="J2101" i="1"/>
  <c r="J2102" i="1"/>
  <c r="J2103" i="1"/>
  <c r="J2104" i="1"/>
  <c r="J2105" i="1"/>
  <c r="J2106" i="1"/>
  <c r="J2107" i="1"/>
  <c r="J2108" i="1"/>
  <c r="J2109" i="1"/>
  <c r="J2110" i="1"/>
  <c r="J2111" i="1"/>
  <c r="J2112" i="1"/>
  <c r="J2113" i="1"/>
  <c r="J2114" i="1"/>
  <c r="J2115" i="1"/>
  <c r="J2116" i="1"/>
  <c r="J2117" i="1"/>
  <c r="J2118" i="1"/>
  <c r="J2119" i="1"/>
  <c r="J2120" i="1"/>
  <c r="J2121" i="1"/>
  <c r="J2122" i="1"/>
  <c r="J2123" i="1"/>
  <c r="J2124" i="1"/>
  <c r="J2125" i="1"/>
  <c r="J2126" i="1"/>
  <c r="J2127" i="1"/>
  <c r="J2128" i="1"/>
  <c r="J2129" i="1"/>
  <c r="J2130" i="1"/>
  <c r="J2131" i="1"/>
  <c r="J2132" i="1"/>
  <c r="J2133" i="1"/>
  <c r="J2134" i="1"/>
  <c r="J2135" i="1"/>
  <c r="J2136" i="1"/>
  <c r="J2137" i="1"/>
  <c r="J2138" i="1"/>
  <c r="J2139" i="1"/>
  <c r="J2140" i="1"/>
  <c r="J2141" i="1"/>
  <c r="J2142" i="1"/>
  <c r="J2143" i="1"/>
  <c r="J2144" i="1"/>
  <c r="J2145" i="1"/>
  <c r="J2146" i="1"/>
  <c r="J2147" i="1"/>
  <c r="J2148" i="1"/>
  <c r="J2149" i="1"/>
  <c r="J2150" i="1"/>
  <c r="J2151" i="1"/>
  <c r="J2152" i="1"/>
  <c r="J2153" i="1"/>
  <c r="J2154" i="1"/>
  <c r="J2155" i="1"/>
  <c r="J2156" i="1"/>
  <c r="J2157" i="1"/>
  <c r="J2158" i="1"/>
  <c r="J2159" i="1"/>
  <c r="J2160" i="1"/>
  <c r="J2161" i="1"/>
  <c r="J2162" i="1"/>
  <c r="J2163" i="1"/>
  <c r="J2164" i="1"/>
  <c r="J2165" i="1"/>
  <c r="J2166" i="1"/>
  <c r="J2167" i="1"/>
  <c r="J2168" i="1"/>
  <c r="J2169" i="1"/>
  <c r="J2170" i="1"/>
  <c r="J2171" i="1"/>
  <c r="J2172" i="1"/>
  <c r="J2173" i="1"/>
  <c r="J2174" i="1"/>
  <c r="J2175" i="1"/>
  <c r="J2176" i="1"/>
  <c r="J2177" i="1"/>
  <c r="J2178" i="1"/>
  <c r="J2179" i="1"/>
  <c r="J2180" i="1"/>
  <c r="J2181" i="1"/>
  <c r="J2182" i="1"/>
  <c r="J2183" i="1"/>
  <c r="J2184" i="1"/>
  <c r="J2185" i="1"/>
  <c r="J2186" i="1"/>
  <c r="J2187" i="1"/>
  <c r="J2188" i="1"/>
  <c r="J2189" i="1"/>
  <c r="J2190" i="1"/>
  <c r="J2191" i="1"/>
  <c r="J2192" i="1"/>
  <c r="J2193" i="1"/>
  <c r="J2194" i="1"/>
  <c r="J2195" i="1"/>
  <c r="J2196" i="1"/>
  <c r="J2197" i="1"/>
  <c r="J2198" i="1"/>
  <c r="J2199" i="1"/>
  <c r="J2200" i="1"/>
  <c r="J2201" i="1"/>
  <c r="J2202" i="1"/>
  <c r="J2203" i="1"/>
  <c r="J2204" i="1"/>
  <c r="J2205" i="1"/>
  <c r="J2206" i="1"/>
  <c r="J2207" i="1"/>
  <c r="J2208" i="1"/>
  <c r="J2209" i="1"/>
  <c r="J2210" i="1"/>
  <c r="J2211" i="1"/>
  <c r="J2212" i="1"/>
  <c r="J2213" i="1"/>
  <c r="J2214" i="1"/>
  <c r="J2215" i="1"/>
  <c r="J2216" i="1"/>
  <c r="J2217" i="1"/>
  <c r="J2218" i="1"/>
  <c r="J2219" i="1"/>
  <c r="J2220" i="1"/>
  <c r="J2221" i="1"/>
  <c r="J2222" i="1"/>
  <c r="J2223" i="1"/>
  <c r="J2224" i="1"/>
  <c r="J2225" i="1"/>
  <c r="J2226" i="1"/>
  <c r="J2227" i="1"/>
  <c r="J2228" i="1"/>
  <c r="J2229" i="1"/>
  <c r="J2230" i="1"/>
  <c r="J2231" i="1"/>
  <c r="J2232" i="1"/>
  <c r="J2233" i="1"/>
  <c r="J2234" i="1"/>
  <c r="J2235" i="1"/>
  <c r="J2236" i="1"/>
  <c r="J2237" i="1"/>
  <c r="J2238" i="1"/>
  <c r="J2239" i="1"/>
  <c r="J2240" i="1"/>
  <c r="J2241" i="1"/>
  <c r="J2242" i="1"/>
  <c r="J2243" i="1"/>
  <c r="J2244" i="1"/>
  <c r="J2245" i="1"/>
  <c r="J2246" i="1"/>
  <c r="J2247" i="1"/>
  <c r="J2248" i="1"/>
  <c r="J2249" i="1"/>
  <c r="J2250" i="1"/>
  <c r="J2251" i="1"/>
  <c r="J2252" i="1"/>
  <c r="J2253" i="1"/>
  <c r="J2254" i="1"/>
  <c r="J2255" i="1"/>
  <c r="J2256" i="1"/>
  <c r="J2257" i="1"/>
  <c r="J2258" i="1"/>
  <c r="J2259" i="1"/>
  <c r="J2260" i="1"/>
  <c r="J2261" i="1"/>
  <c r="J2262" i="1"/>
  <c r="J2263" i="1"/>
  <c r="J2264" i="1"/>
  <c r="J2265" i="1"/>
  <c r="J2266" i="1"/>
  <c r="J2267" i="1"/>
  <c r="J2268" i="1"/>
  <c r="J2269" i="1"/>
  <c r="J2270" i="1"/>
  <c r="J2271" i="1"/>
  <c r="J2272" i="1"/>
  <c r="J2273" i="1"/>
  <c r="J2274" i="1"/>
  <c r="J2275" i="1"/>
  <c r="J2276" i="1"/>
  <c r="J2277" i="1"/>
  <c r="J2278" i="1"/>
  <c r="J2279" i="1"/>
  <c r="J2280" i="1"/>
  <c r="J2281" i="1"/>
  <c r="J2282" i="1"/>
  <c r="J2283" i="1"/>
  <c r="J2284" i="1"/>
  <c r="J2285" i="1"/>
  <c r="J2286" i="1"/>
  <c r="J2287" i="1"/>
  <c r="J2288" i="1"/>
  <c r="J2289" i="1"/>
  <c r="J2290" i="1"/>
  <c r="J2291" i="1"/>
  <c r="J2292" i="1"/>
  <c r="J2293" i="1"/>
  <c r="J2294" i="1"/>
  <c r="J2295" i="1"/>
  <c r="J2296" i="1"/>
  <c r="J2297" i="1"/>
  <c r="J2298" i="1"/>
  <c r="J2299" i="1"/>
  <c r="J2300" i="1"/>
  <c r="J2301" i="1"/>
  <c r="J2302" i="1"/>
  <c r="J2303" i="1"/>
  <c r="J2304" i="1"/>
  <c r="J2305" i="1"/>
  <c r="J2306" i="1"/>
  <c r="J2307" i="1"/>
  <c r="J2308" i="1"/>
  <c r="J2309" i="1"/>
  <c r="J2310" i="1"/>
  <c r="J2311" i="1"/>
  <c r="J2312" i="1"/>
  <c r="J2313" i="1"/>
  <c r="J2314" i="1"/>
  <c r="J2315" i="1"/>
  <c r="J2316" i="1"/>
  <c r="J2317" i="1"/>
  <c r="J2318" i="1"/>
  <c r="J2319" i="1"/>
  <c r="J2320" i="1"/>
  <c r="J2321" i="1"/>
  <c r="K1885" i="1"/>
  <c r="K1886" i="1"/>
  <c r="K1887" i="1"/>
  <c r="K1888" i="1"/>
  <c r="K1889" i="1"/>
  <c r="K1890" i="1"/>
  <c r="K1891" i="1"/>
  <c r="K1892" i="1"/>
  <c r="K1893" i="1"/>
  <c r="K1894" i="1"/>
  <c r="K1895" i="1"/>
  <c r="K1896" i="1"/>
  <c r="K1897" i="1"/>
  <c r="K1898" i="1"/>
  <c r="K1899" i="1"/>
  <c r="K1900" i="1"/>
  <c r="K1901" i="1"/>
  <c r="K1902" i="1"/>
  <c r="K1903" i="1"/>
  <c r="K1904" i="1"/>
  <c r="K1905" i="1"/>
  <c r="K1906" i="1"/>
  <c r="K1907" i="1"/>
  <c r="K1908" i="1"/>
  <c r="K1909" i="1"/>
  <c r="K1910" i="1"/>
  <c r="K1911" i="1"/>
  <c r="K1912" i="1"/>
  <c r="K1913" i="1"/>
  <c r="K1914" i="1"/>
  <c r="K1915" i="1"/>
  <c r="K1916" i="1"/>
  <c r="K1917" i="1"/>
  <c r="K1918" i="1"/>
  <c r="K1919" i="1"/>
  <c r="K1920" i="1"/>
  <c r="K1921" i="1"/>
  <c r="K1922" i="1"/>
  <c r="K1923" i="1"/>
  <c r="K1924" i="1"/>
  <c r="K1925" i="1"/>
  <c r="K1926" i="1"/>
  <c r="K1927" i="1"/>
  <c r="K1928" i="1"/>
  <c r="K1929" i="1"/>
  <c r="K1930" i="1"/>
  <c r="K1931" i="1"/>
  <c r="K1932" i="1"/>
  <c r="K1933" i="1"/>
  <c r="K1934" i="1"/>
  <c r="K1935" i="1"/>
  <c r="K1936" i="1"/>
  <c r="K1937" i="1"/>
  <c r="K1938" i="1"/>
  <c r="K1939" i="1"/>
  <c r="K1940" i="1"/>
  <c r="K1941" i="1"/>
  <c r="K1942" i="1"/>
  <c r="K1943" i="1"/>
  <c r="K1944" i="1"/>
  <c r="K1945" i="1"/>
  <c r="K1946" i="1"/>
  <c r="K1947" i="1"/>
  <c r="K1948" i="1"/>
  <c r="K1949" i="1"/>
  <c r="K1950" i="1"/>
  <c r="K1951" i="1"/>
  <c r="K1952" i="1"/>
  <c r="K1953" i="1"/>
  <c r="K1954" i="1"/>
  <c r="K1955" i="1"/>
  <c r="K1956" i="1"/>
  <c r="K1957" i="1"/>
  <c r="K1958" i="1"/>
  <c r="K1959" i="1"/>
  <c r="K1960" i="1"/>
  <c r="K1961" i="1"/>
  <c r="K1962" i="1"/>
  <c r="K1963" i="1"/>
  <c r="K1964" i="1"/>
  <c r="K1965" i="1"/>
  <c r="K1966" i="1"/>
  <c r="K1967" i="1"/>
  <c r="K1968" i="1"/>
  <c r="K1969" i="1"/>
  <c r="K1970" i="1"/>
  <c r="K1971" i="1"/>
  <c r="K1972" i="1"/>
  <c r="K1973" i="1"/>
  <c r="K1974" i="1"/>
  <c r="K1975" i="1"/>
  <c r="K1976" i="1"/>
  <c r="K1977" i="1"/>
  <c r="K1978" i="1"/>
  <c r="K1979" i="1"/>
  <c r="K1980" i="1"/>
  <c r="K1981" i="1"/>
  <c r="K1982" i="1"/>
  <c r="K1983" i="1"/>
  <c r="K1984" i="1"/>
  <c r="K1985" i="1"/>
  <c r="K1986" i="1"/>
  <c r="K1987" i="1"/>
  <c r="K1988" i="1"/>
  <c r="K1989" i="1"/>
  <c r="K1990" i="1"/>
  <c r="K1991" i="1"/>
  <c r="K1992" i="1"/>
  <c r="K1993" i="1"/>
  <c r="K1994" i="1"/>
  <c r="K1995" i="1"/>
  <c r="K1996" i="1"/>
  <c r="K1997" i="1"/>
  <c r="K1998" i="1"/>
  <c r="K1999" i="1"/>
  <c r="K2000" i="1"/>
  <c r="K2001" i="1"/>
  <c r="K2002" i="1"/>
  <c r="K2003" i="1"/>
  <c r="K2004" i="1"/>
  <c r="K2005" i="1"/>
  <c r="K2006" i="1"/>
  <c r="K2007" i="1"/>
  <c r="K2008" i="1"/>
  <c r="K2009" i="1"/>
  <c r="K2010" i="1"/>
  <c r="K2011" i="1"/>
  <c r="K2012" i="1"/>
  <c r="K2013" i="1"/>
  <c r="K2014" i="1"/>
  <c r="K2015" i="1"/>
  <c r="K2016" i="1"/>
  <c r="K2017" i="1"/>
  <c r="K2018" i="1"/>
  <c r="K2019" i="1"/>
  <c r="K2020" i="1"/>
  <c r="K2021" i="1"/>
  <c r="K2022" i="1"/>
  <c r="K2023" i="1"/>
  <c r="K2024" i="1"/>
  <c r="K2025" i="1"/>
  <c r="K2026" i="1"/>
  <c r="K2027" i="1"/>
  <c r="K2028" i="1"/>
  <c r="K2029" i="1"/>
  <c r="K2030" i="1"/>
  <c r="K2031" i="1"/>
  <c r="K2032" i="1"/>
  <c r="K2033" i="1"/>
  <c r="K2034" i="1"/>
  <c r="K2035" i="1"/>
  <c r="K2036" i="1"/>
  <c r="K2037" i="1"/>
  <c r="K2038" i="1"/>
  <c r="K2039" i="1"/>
  <c r="K2040" i="1"/>
  <c r="K2041" i="1"/>
  <c r="K2042" i="1"/>
  <c r="K2043" i="1"/>
  <c r="K2044" i="1"/>
  <c r="K2045" i="1"/>
  <c r="K2046" i="1"/>
  <c r="K2047" i="1"/>
  <c r="K2048" i="1"/>
  <c r="K2049" i="1"/>
  <c r="K2050" i="1"/>
  <c r="K2051" i="1"/>
  <c r="K2052" i="1"/>
  <c r="K2053" i="1"/>
  <c r="K2054" i="1"/>
  <c r="K2055" i="1"/>
  <c r="K2056" i="1"/>
  <c r="K2057" i="1"/>
  <c r="K2058" i="1"/>
  <c r="K2059" i="1"/>
  <c r="K2060" i="1"/>
  <c r="K2061" i="1"/>
  <c r="K2062" i="1"/>
  <c r="K2063" i="1"/>
  <c r="K2064" i="1"/>
  <c r="K2065" i="1"/>
  <c r="K2066" i="1"/>
  <c r="K2067" i="1"/>
  <c r="K2068" i="1"/>
  <c r="K2069" i="1"/>
  <c r="K2070" i="1"/>
  <c r="K2071" i="1"/>
  <c r="K2072" i="1"/>
  <c r="K2073" i="1"/>
  <c r="K2074" i="1"/>
  <c r="K2075" i="1"/>
  <c r="K2076" i="1"/>
  <c r="K2077" i="1"/>
  <c r="K2078" i="1"/>
  <c r="K2079" i="1"/>
  <c r="K2080" i="1"/>
  <c r="K2081" i="1"/>
  <c r="K2082" i="1"/>
  <c r="K2083" i="1"/>
  <c r="K2084" i="1"/>
  <c r="K2085" i="1"/>
  <c r="K2086" i="1"/>
  <c r="K2087" i="1"/>
  <c r="K2088" i="1"/>
  <c r="K2089" i="1"/>
  <c r="K2090" i="1"/>
  <c r="K2091" i="1"/>
  <c r="K2092" i="1"/>
  <c r="K2093" i="1"/>
  <c r="K2094" i="1"/>
  <c r="K2095" i="1"/>
  <c r="K2096" i="1"/>
  <c r="K2097" i="1"/>
  <c r="K2098" i="1"/>
  <c r="K2099" i="1"/>
  <c r="K2100" i="1"/>
  <c r="K2101" i="1"/>
  <c r="K2102" i="1"/>
  <c r="K2103" i="1"/>
  <c r="K2104" i="1"/>
  <c r="K2105" i="1"/>
  <c r="K2106" i="1"/>
  <c r="K2107" i="1"/>
  <c r="K2108" i="1"/>
  <c r="K2109" i="1"/>
  <c r="K2110" i="1"/>
  <c r="K2111" i="1"/>
  <c r="K2112" i="1"/>
  <c r="K2113" i="1"/>
  <c r="K2114" i="1"/>
  <c r="K2115" i="1"/>
  <c r="K2116" i="1"/>
  <c r="K2117" i="1"/>
  <c r="K2118" i="1"/>
  <c r="K2119" i="1"/>
  <c r="K2120" i="1"/>
  <c r="K2121" i="1"/>
  <c r="K2122" i="1"/>
  <c r="K2123" i="1"/>
  <c r="K2124" i="1"/>
  <c r="K2125" i="1"/>
  <c r="K2126" i="1"/>
  <c r="K2127" i="1"/>
  <c r="K2128" i="1"/>
  <c r="K2129" i="1"/>
  <c r="K2130" i="1"/>
  <c r="K2131" i="1"/>
  <c r="K2132" i="1"/>
  <c r="K2133" i="1"/>
  <c r="K2134" i="1"/>
  <c r="K2135" i="1"/>
  <c r="K2136" i="1"/>
  <c r="K2137" i="1"/>
  <c r="K2138" i="1"/>
  <c r="K2139" i="1"/>
  <c r="K2140" i="1"/>
  <c r="K2141" i="1"/>
  <c r="K2142" i="1"/>
  <c r="K2143" i="1"/>
  <c r="K2144" i="1"/>
  <c r="K2145" i="1"/>
  <c r="K2146" i="1"/>
  <c r="K2147" i="1"/>
  <c r="K2148" i="1"/>
  <c r="K2149" i="1"/>
  <c r="K2150" i="1"/>
  <c r="K2151" i="1"/>
  <c r="K2152" i="1"/>
  <c r="K2153" i="1"/>
  <c r="K2154" i="1"/>
  <c r="K2155" i="1"/>
  <c r="K2156" i="1"/>
  <c r="K2157" i="1"/>
  <c r="K2158" i="1"/>
  <c r="K2159" i="1"/>
  <c r="K2160" i="1"/>
  <c r="K2161" i="1"/>
  <c r="K2162" i="1"/>
  <c r="K2163" i="1"/>
  <c r="K2164" i="1"/>
  <c r="K2165" i="1"/>
  <c r="K2166" i="1"/>
  <c r="K2167" i="1"/>
  <c r="K2168" i="1"/>
  <c r="K2169" i="1"/>
  <c r="K2170" i="1"/>
  <c r="K2171" i="1"/>
  <c r="K2172" i="1"/>
  <c r="K2173" i="1"/>
  <c r="K2174" i="1"/>
  <c r="K2175" i="1"/>
  <c r="K2176" i="1"/>
  <c r="K2177" i="1"/>
  <c r="K2178" i="1"/>
  <c r="K2179" i="1"/>
  <c r="K2180" i="1"/>
  <c r="K2181" i="1"/>
  <c r="K2182" i="1"/>
  <c r="K2183" i="1"/>
  <c r="K2184" i="1"/>
  <c r="K2185" i="1"/>
  <c r="K2186" i="1"/>
  <c r="K2187" i="1"/>
  <c r="K2188" i="1"/>
  <c r="K2189" i="1"/>
  <c r="K2190" i="1"/>
  <c r="K2191" i="1"/>
  <c r="K2192" i="1"/>
  <c r="K2193" i="1"/>
  <c r="K2194" i="1"/>
  <c r="K2195" i="1"/>
  <c r="K2196" i="1"/>
  <c r="K2197" i="1"/>
  <c r="K2198" i="1"/>
  <c r="K2199" i="1"/>
  <c r="K2200" i="1"/>
  <c r="K2201" i="1"/>
  <c r="K2202" i="1"/>
  <c r="K2203" i="1"/>
  <c r="K2204" i="1"/>
  <c r="K2205" i="1"/>
  <c r="K2206" i="1"/>
  <c r="K2207" i="1"/>
  <c r="K2208" i="1"/>
  <c r="K2209" i="1"/>
  <c r="K2210" i="1"/>
  <c r="K2211" i="1"/>
  <c r="K2212" i="1"/>
  <c r="K2213" i="1"/>
  <c r="K2214" i="1"/>
  <c r="K2215" i="1"/>
  <c r="K2216" i="1"/>
  <c r="K2217" i="1"/>
  <c r="K2218" i="1"/>
  <c r="K2219" i="1"/>
  <c r="K2220" i="1"/>
  <c r="K2221" i="1"/>
  <c r="K2222" i="1"/>
  <c r="K2223" i="1"/>
  <c r="K2224" i="1"/>
  <c r="K2225" i="1"/>
  <c r="K2226" i="1"/>
  <c r="K2227" i="1"/>
  <c r="K2228" i="1"/>
  <c r="K2229" i="1"/>
  <c r="K2230" i="1"/>
  <c r="K2231" i="1"/>
  <c r="K2232" i="1"/>
  <c r="K2233" i="1"/>
  <c r="K2234" i="1"/>
  <c r="K2235" i="1"/>
  <c r="K2236" i="1"/>
  <c r="K2237" i="1"/>
  <c r="K2238" i="1"/>
  <c r="K2239" i="1"/>
  <c r="K2240" i="1"/>
  <c r="K2241" i="1"/>
  <c r="K2242" i="1"/>
  <c r="K2243" i="1"/>
  <c r="K2244" i="1"/>
  <c r="K2245" i="1"/>
  <c r="K2246" i="1"/>
  <c r="K2247" i="1"/>
  <c r="K2248" i="1"/>
  <c r="K2249" i="1"/>
  <c r="K2250" i="1"/>
  <c r="K2251" i="1"/>
  <c r="K2252" i="1"/>
  <c r="K2253" i="1"/>
  <c r="K2254" i="1"/>
  <c r="K2255" i="1"/>
  <c r="K2256" i="1"/>
  <c r="K2257" i="1"/>
  <c r="K2258" i="1"/>
  <c r="K2259" i="1"/>
  <c r="K2260" i="1"/>
  <c r="K2261" i="1"/>
  <c r="K2262" i="1"/>
  <c r="K2263" i="1"/>
  <c r="K2264" i="1"/>
  <c r="K2265" i="1"/>
  <c r="K2266" i="1"/>
  <c r="K2267" i="1"/>
  <c r="K2268" i="1"/>
  <c r="K2269" i="1"/>
  <c r="K2270" i="1"/>
  <c r="K2271" i="1"/>
  <c r="K2272" i="1"/>
  <c r="K2273" i="1"/>
  <c r="K2274" i="1"/>
  <c r="K2275" i="1"/>
  <c r="K2276" i="1"/>
  <c r="K2277" i="1"/>
  <c r="K2278" i="1"/>
  <c r="K2279" i="1"/>
  <c r="K2280" i="1"/>
  <c r="K2281" i="1"/>
  <c r="K2282" i="1"/>
  <c r="K2283" i="1"/>
  <c r="K2284" i="1"/>
  <c r="K2285" i="1"/>
  <c r="K2286" i="1"/>
  <c r="K2287" i="1"/>
  <c r="K2288" i="1"/>
  <c r="K2289" i="1"/>
  <c r="K2290" i="1"/>
  <c r="K2291" i="1"/>
  <c r="K2292" i="1"/>
  <c r="K2293" i="1"/>
  <c r="K2294" i="1"/>
  <c r="K2295" i="1"/>
  <c r="K2296" i="1"/>
  <c r="K2297" i="1"/>
  <c r="K2298" i="1"/>
  <c r="K2299" i="1"/>
  <c r="K2300" i="1"/>
  <c r="K2301" i="1"/>
  <c r="K2302" i="1"/>
  <c r="K2303" i="1"/>
  <c r="K2304" i="1"/>
  <c r="K2305" i="1"/>
  <c r="K2306" i="1"/>
  <c r="K2307" i="1"/>
  <c r="K2308" i="1"/>
  <c r="K2309" i="1"/>
  <c r="K2310" i="1"/>
  <c r="K2311" i="1"/>
  <c r="K2312" i="1"/>
  <c r="K2313" i="1"/>
  <c r="K2314" i="1"/>
  <c r="K2315" i="1"/>
  <c r="K2316" i="1"/>
  <c r="K2317" i="1"/>
  <c r="K2318" i="1"/>
  <c r="K2319" i="1"/>
  <c r="K2320" i="1"/>
  <c r="K2321" i="1"/>
  <c r="L1885" i="1"/>
  <c r="L1886" i="1"/>
  <c r="L1887" i="1"/>
  <c r="L1888" i="1"/>
  <c r="L1889" i="1"/>
  <c r="L1890" i="1"/>
  <c r="L1891" i="1"/>
  <c r="L1892" i="1"/>
  <c r="L1893" i="1"/>
  <c r="L1894" i="1"/>
  <c r="L1895" i="1"/>
  <c r="L1896" i="1"/>
  <c r="L1897" i="1"/>
  <c r="L1898" i="1"/>
  <c r="L1899" i="1"/>
  <c r="L1900" i="1"/>
  <c r="L1901" i="1"/>
  <c r="L1902" i="1"/>
  <c r="L1903" i="1"/>
  <c r="L1904" i="1"/>
  <c r="L1905" i="1"/>
  <c r="L1906" i="1"/>
  <c r="L1907" i="1"/>
  <c r="L1908" i="1"/>
  <c r="L1909" i="1"/>
  <c r="L1910" i="1"/>
  <c r="L1911" i="1"/>
  <c r="L1912" i="1"/>
  <c r="L1913" i="1"/>
  <c r="L1914" i="1"/>
  <c r="L1915" i="1"/>
  <c r="L1916" i="1"/>
  <c r="L1917" i="1"/>
  <c r="L1918" i="1"/>
  <c r="L1919" i="1"/>
  <c r="L1920" i="1"/>
  <c r="L1921" i="1"/>
  <c r="L1922" i="1"/>
  <c r="L1923" i="1"/>
  <c r="L1924" i="1"/>
  <c r="L1925" i="1"/>
  <c r="L1926" i="1"/>
  <c r="L1927" i="1"/>
  <c r="L1928" i="1"/>
  <c r="L1929" i="1"/>
  <c r="L1930" i="1"/>
  <c r="L1931" i="1"/>
  <c r="L1932" i="1"/>
  <c r="L1933" i="1"/>
  <c r="L1934" i="1"/>
  <c r="L1935" i="1"/>
  <c r="L1936" i="1"/>
  <c r="L1937" i="1"/>
  <c r="L1938" i="1"/>
  <c r="L1939" i="1"/>
  <c r="L1940" i="1"/>
  <c r="L1941" i="1"/>
  <c r="L1942" i="1"/>
  <c r="L1943" i="1"/>
  <c r="L1944" i="1"/>
  <c r="L1945" i="1"/>
  <c r="L1946" i="1"/>
  <c r="L1947" i="1"/>
  <c r="L1948" i="1"/>
  <c r="L1949" i="1"/>
  <c r="L1950" i="1"/>
  <c r="L1951" i="1"/>
  <c r="L1952" i="1"/>
  <c r="L1953" i="1"/>
  <c r="L1954" i="1"/>
  <c r="L1955" i="1"/>
  <c r="L1956" i="1"/>
  <c r="L1957" i="1"/>
  <c r="L1958" i="1"/>
  <c r="L1959" i="1"/>
  <c r="L1960" i="1"/>
  <c r="L1961" i="1"/>
  <c r="L1962" i="1"/>
  <c r="L1963" i="1"/>
  <c r="L1964" i="1"/>
  <c r="L1965" i="1"/>
  <c r="L1966" i="1"/>
  <c r="L1967" i="1"/>
  <c r="L1968" i="1"/>
  <c r="L1969" i="1"/>
  <c r="L1970" i="1"/>
  <c r="L1971" i="1"/>
  <c r="L1972" i="1"/>
  <c r="L1973" i="1"/>
  <c r="L1974" i="1"/>
  <c r="L1975" i="1"/>
  <c r="L1976" i="1"/>
  <c r="L1977" i="1"/>
  <c r="L1978" i="1"/>
  <c r="L1979" i="1"/>
  <c r="L1980" i="1"/>
  <c r="L1981" i="1"/>
  <c r="L1982" i="1"/>
  <c r="L1983" i="1"/>
  <c r="L1984" i="1"/>
  <c r="L1985" i="1"/>
  <c r="L1986" i="1"/>
  <c r="L1987" i="1"/>
  <c r="L1988" i="1"/>
  <c r="L1989" i="1"/>
  <c r="L1990" i="1"/>
  <c r="L1991" i="1"/>
  <c r="L1992" i="1"/>
  <c r="L1993" i="1"/>
  <c r="L1994" i="1"/>
  <c r="L1995" i="1"/>
  <c r="L1996" i="1"/>
  <c r="L1997" i="1"/>
  <c r="L1998" i="1"/>
  <c r="L1999" i="1"/>
  <c r="L2000" i="1"/>
  <c r="L2001" i="1"/>
  <c r="L2002" i="1"/>
  <c r="L2003" i="1"/>
  <c r="L2004" i="1"/>
  <c r="L2005" i="1"/>
  <c r="L2006" i="1"/>
  <c r="L2007" i="1"/>
  <c r="L2008" i="1"/>
  <c r="L2009" i="1"/>
  <c r="L2010" i="1"/>
  <c r="L2011" i="1"/>
  <c r="L2012" i="1"/>
  <c r="L2013" i="1"/>
  <c r="L2014" i="1"/>
  <c r="L2015" i="1"/>
  <c r="L2016" i="1"/>
  <c r="L2017" i="1"/>
  <c r="L2018" i="1"/>
  <c r="L2019" i="1"/>
  <c r="L2020" i="1"/>
  <c r="L2021" i="1"/>
  <c r="L2022" i="1"/>
  <c r="L2023" i="1"/>
  <c r="L2024" i="1"/>
  <c r="L2025" i="1"/>
  <c r="L2026" i="1"/>
  <c r="L2027" i="1"/>
  <c r="L2028" i="1"/>
  <c r="L2029" i="1"/>
  <c r="L2030" i="1"/>
  <c r="L2031" i="1"/>
  <c r="L2032" i="1"/>
  <c r="L2033" i="1"/>
  <c r="L2034" i="1"/>
  <c r="L2035" i="1"/>
  <c r="L2036" i="1"/>
  <c r="L2037" i="1"/>
  <c r="L2038" i="1"/>
  <c r="L2039" i="1"/>
  <c r="L2040" i="1"/>
  <c r="L2041" i="1"/>
  <c r="L2042" i="1"/>
  <c r="L2043" i="1"/>
  <c r="L2044" i="1"/>
  <c r="L2045" i="1"/>
  <c r="L2046" i="1"/>
  <c r="L2047" i="1"/>
  <c r="L2048" i="1"/>
  <c r="L2049" i="1"/>
  <c r="L2050" i="1"/>
  <c r="L2051" i="1"/>
  <c r="L2052" i="1"/>
  <c r="L2053" i="1"/>
  <c r="L2054" i="1"/>
  <c r="L2055" i="1"/>
  <c r="L2056" i="1"/>
  <c r="L2057" i="1"/>
  <c r="L2058" i="1"/>
  <c r="L2059" i="1"/>
  <c r="L2060" i="1"/>
  <c r="L2061" i="1"/>
  <c r="L2062" i="1"/>
  <c r="L2063" i="1"/>
  <c r="L2064" i="1"/>
  <c r="L2065" i="1"/>
  <c r="L2066" i="1"/>
  <c r="L2067" i="1"/>
  <c r="L2068" i="1"/>
  <c r="L2069" i="1"/>
  <c r="L2070" i="1"/>
  <c r="L2071" i="1"/>
  <c r="L2072" i="1"/>
  <c r="L2073" i="1"/>
  <c r="L2074" i="1"/>
  <c r="L2075" i="1"/>
  <c r="L2076" i="1"/>
  <c r="L2077" i="1"/>
  <c r="L2078" i="1"/>
  <c r="L2079" i="1"/>
  <c r="L2080" i="1"/>
  <c r="L2081" i="1"/>
  <c r="L2082" i="1"/>
  <c r="L2083" i="1"/>
  <c r="L2084" i="1"/>
  <c r="L2085" i="1"/>
  <c r="L2086" i="1"/>
  <c r="L2087" i="1"/>
  <c r="L2088" i="1"/>
  <c r="L2089" i="1"/>
  <c r="L2090" i="1"/>
  <c r="L2091" i="1"/>
  <c r="L2092" i="1"/>
  <c r="L2093" i="1"/>
  <c r="L2094" i="1"/>
  <c r="L2095" i="1"/>
  <c r="L2096" i="1"/>
  <c r="L2097" i="1"/>
  <c r="L2098" i="1"/>
  <c r="L2099" i="1"/>
  <c r="L2100" i="1"/>
  <c r="L2101" i="1"/>
  <c r="L2102" i="1"/>
  <c r="L2103" i="1"/>
  <c r="L2104" i="1"/>
  <c r="L2105" i="1"/>
  <c r="L2106" i="1"/>
  <c r="L2107" i="1"/>
  <c r="L2108" i="1"/>
  <c r="L2109" i="1"/>
  <c r="L2110" i="1"/>
  <c r="L2111" i="1"/>
  <c r="L2112" i="1"/>
  <c r="L2113" i="1"/>
  <c r="L2114" i="1"/>
  <c r="L2115" i="1"/>
  <c r="L2116" i="1"/>
  <c r="L2117" i="1"/>
  <c r="L2118" i="1"/>
  <c r="L2119" i="1"/>
  <c r="L2120" i="1"/>
  <c r="L2121" i="1"/>
  <c r="L2122" i="1"/>
  <c r="L2123" i="1"/>
  <c r="L2124" i="1"/>
  <c r="L2125" i="1"/>
  <c r="L2126" i="1"/>
  <c r="L2127" i="1"/>
  <c r="L2128" i="1"/>
  <c r="L2129" i="1"/>
  <c r="L2130" i="1"/>
  <c r="L2131" i="1"/>
  <c r="L2132" i="1"/>
  <c r="L2133" i="1"/>
  <c r="L2134" i="1"/>
  <c r="L2135" i="1"/>
  <c r="L2136" i="1"/>
  <c r="L2137" i="1"/>
  <c r="L2138" i="1"/>
  <c r="L2139" i="1"/>
  <c r="L2140" i="1"/>
  <c r="L2141" i="1"/>
  <c r="L2142" i="1"/>
  <c r="L2143" i="1"/>
  <c r="L2144" i="1"/>
  <c r="L2145" i="1"/>
  <c r="L2146" i="1"/>
  <c r="L2147" i="1"/>
  <c r="L2148" i="1"/>
  <c r="L2149" i="1"/>
  <c r="L2150" i="1"/>
  <c r="L2151" i="1"/>
  <c r="L2152" i="1"/>
  <c r="L2153" i="1"/>
  <c r="L2154" i="1"/>
  <c r="L2155" i="1"/>
  <c r="L2156" i="1"/>
  <c r="L2157" i="1"/>
  <c r="L2158" i="1"/>
  <c r="L2159" i="1"/>
  <c r="L2160" i="1"/>
  <c r="L2161" i="1"/>
  <c r="L2162" i="1"/>
  <c r="L2163" i="1"/>
  <c r="L2164" i="1"/>
  <c r="L2165" i="1"/>
  <c r="L2166" i="1"/>
  <c r="L2167" i="1"/>
  <c r="L2168" i="1"/>
  <c r="L2169" i="1"/>
  <c r="L2170" i="1"/>
  <c r="L2171" i="1"/>
  <c r="L2172" i="1"/>
  <c r="L2173" i="1"/>
  <c r="L2174" i="1"/>
  <c r="L2175" i="1"/>
  <c r="L2176" i="1"/>
  <c r="L2177" i="1"/>
  <c r="L2178" i="1"/>
  <c r="L2179" i="1"/>
  <c r="L2180" i="1"/>
  <c r="L2181" i="1"/>
  <c r="L2182" i="1"/>
  <c r="L2183" i="1"/>
  <c r="L2184" i="1"/>
  <c r="L2185" i="1"/>
  <c r="L2186" i="1"/>
  <c r="L2187" i="1"/>
  <c r="L2188" i="1"/>
  <c r="L2189" i="1"/>
  <c r="L2190" i="1"/>
  <c r="L2191" i="1"/>
  <c r="L2192" i="1"/>
  <c r="L2193" i="1"/>
  <c r="L2194" i="1"/>
  <c r="L2195" i="1"/>
  <c r="L2196" i="1"/>
  <c r="L2197" i="1"/>
  <c r="L2198" i="1"/>
  <c r="L2199" i="1"/>
  <c r="L2200" i="1"/>
  <c r="L2201" i="1"/>
  <c r="L2202" i="1"/>
  <c r="L2203" i="1"/>
  <c r="L2204" i="1"/>
  <c r="L2205" i="1"/>
  <c r="L2206" i="1"/>
  <c r="L2207" i="1"/>
  <c r="L2208" i="1"/>
  <c r="L2209" i="1"/>
  <c r="L2210" i="1"/>
  <c r="L2211" i="1"/>
  <c r="L2212" i="1"/>
  <c r="L2213" i="1"/>
  <c r="L2214" i="1"/>
  <c r="L2215" i="1"/>
  <c r="L2216" i="1"/>
  <c r="L2217" i="1"/>
  <c r="L2218" i="1"/>
  <c r="L2219" i="1"/>
  <c r="L2220" i="1"/>
  <c r="L2221" i="1"/>
  <c r="L2222" i="1"/>
  <c r="L2223" i="1"/>
  <c r="L2224" i="1"/>
  <c r="L2225" i="1"/>
  <c r="L2226" i="1"/>
  <c r="L2227" i="1"/>
  <c r="L2228" i="1"/>
  <c r="L2229" i="1"/>
  <c r="L2230" i="1"/>
  <c r="L2231" i="1"/>
  <c r="L2232" i="1"/>
  <c r="L2233" i="1"/>
  <c r="L2234" i="1"/>
  <c r="L2235" i="1"/>
  <c r="L2236" i="1"/>
  <c r="L2237" i="1"/>
  <c r="L2238" i="1"/>
  <c r="L2239" i="1"/>
  <c r="L2240" i="1"/>
  <c r="L2241" i="1"/>
  <c r="L2242" i="1"/>
  <c r="L2243" i="1"/>
  <c r="L2244" i="1"/>
  <c r="L2245" i="1"/>
  <c r="L2246" i="1"/>
  <c r="L2247" i="1"/>
  <c r="L2248" i="1"/>
  <c r="L2249" i="1"/>
  <c r="L2250" i="1"/>
  <c r="L2251" i="1"/>
  <c r="L2252" i="1"/>
  <c r="L2253" i="1"/>
  <c r="L2254" i="1"/>
  <c r="L2255" i="1"/>
  <c r="L2256" i="1"/>
  <c r="L2257" i="1"/>
  <c r="L2258" i="1"/>
  <c r="L2259" i="1"/>
  <c r="L2260" i="1"/>
  <c r="L2261" i="1"/>
  <c r="L2262" i="1"/>
  <c r="L2263" i="1"/>
  <c r="L2264" i="1"/>
  <c r="L2265" i="1"/>
  <c r="L2266" i="1"/>
  <c r="L2267" i="1"/>
  <c r="L2268" i="1"/>
  <c r="L2269" i="1"/>
  <c r="L2270" i="1"/>
  <c r="L2271" i="1"/>
  <c r="L2272" i="1"/>
  <c r="L2273" i="1"/>
  <c r="L2274" i="1"/>
  <c r="L2275" i="1"/>
  <c r="L2276" i="1"/>
  <c r="L2277" i="1"/>
  <c r="L2278" i="1"/>
  <c r="L2279" i="1"/>
  <c r="L2280" i="1"/>
  <c r="L2281" i="1"/>
  <c r="L2282" i="1"/>
  <c r="L2283" i="1"/>
  <c r="L2284" i="1"/>
  <c r="L2285" i="1"/>
  <c r="L2286" i="1"/>
  <c r="L2287" i="1"/>
  <c r="L2288" i="1"/>
  <c r="L2289" i="1"/>
  <c r="L2290" i="1"/>
  <c r="L2291" i="1"/>
  <c r="L2292" i="1"/>
  <c r="L2293" i="1"/>
  <c r="L2294" i="1"/>
  <c r="L2295" i="1"/>
  <c r="L2296" i="1"/>
  <c r="L2297" i="1"/>
  <c r="L2298" i="1"/>
  <c r="L2299" i="1"/>
  <c r="L2300" i="1"/>
  <c r="L2301" i="1"/>
  <c r="L2302" i="1"/>
  <c r="L2303" i="1"/>
  <c r="L2304" i="1"/>
  <c r="L2305" i="1"/>
  <c r="L2306" i="1"/>
  <c r="L2307" i="1"/>
  <c r="L2308" i="1"/>
  <c r="L2309" i="1"/>
  <c r="L2310" i="1"/>
  <c r="L2311" i="1"/>
  <c r="L2312" i="1"/>
  <c r="L2313" i="1"/>
  <c r="L2314" i="1"/>
  <c r="L2315" i="1"/>
  <c r="L2316" i="1"/>
  <c r="L2317" i="1"/>
  <c r="L2318" i="1"/>
  <c r="L2319" i="1"/>
  <c r="L2320" i="1"/>
  <c r="L2321" i="1"/>
  <c r="M1885" i="1"/>
  <c r="M1886" i="1"/>
  <c r="M1887" i="1"/>
  <c r="M1888" i="1"/>
  <c r="M1889" i="1"/>
  <c r="M1890" i="1"/>
  <c r="M1891" i="1"/>
  <c r="M1892" i="1"/>
  <c r="M1893" i="1"/>
  <c r="M1894" i="1"/>
  <c r="M1895" i="1"/>
  <c r="M1896" i="1"/>
  <c r="M1897" i="1"/>
  <c r="M1898" i="1"/>
  <c r="M1899" i="1"/>
  <c r="M1900" i="1"/>
  <c r="M1901" i="1"/>
  <c r="M1902" i="1"/>
  <c r="M1903" i="1"/>
  <c r="M1904" i="1"/>
  <c r="M1905" i="1"/>
  <c r="M1906" i="1"/>
  <c r="M1907" i="1"/>
  <c r="M1908" i="1"/>
  <c r="M1909" i="1"/>
  <c r="M1910" i="1"/>
  <c r="M1911" i="1"/>
  <c r="M1912" i="1"/>
  <c r="M1913" i="1"/>
  <c r="M1914" i="1"/>
  <c r="M1915" i="1"/>
  <c r="M1916" i="1"/>
  <c r="M1917" i="1"/>
  <c r="M1918" i="1"/>
  <c r="M1919" i="1"/>
  <c r="M1920" i="1"/>
  <c r="M1921" i="1"/>
  <c r="M1922" i="1"/>
  <c r="M1923" i="1"/>
  <c r="M1924" i="1"/>
  <c r="M1925" i="1"/>
  <c r="M1926" i="1"/>
  <c r="M1927" i="1"/>
  <c r="M1928" i="1"/>
  <c r="M1929" i="1"/>
  <c r="M1930" i="1"/>
  <c r="M1931" i="1"/>
  <c r="M1932" i="1"/>
  <c r="M1933" i="1"/>
  <c r="M1934" i="1"/>
  <c r="M1935" i="1"/>
  <c r="M1936" i="1"/>
  <c r="M1937" i="1"/>
  <c r="M1938" i="1"/>
  <c r="M1939" i="1"/>
  <c r="M1940" i="1"/>
  <c r="M1941" i="1"/>
  <c r="M1942" i="1"/>
  <c r="M1943" i="1"/>
  <c r="M1944" i="1"/>
  <c r="M1945" i="1"/>
  <c r="M1946" i="1"/>
  <c r="M1947" i="1"/>
  <c r="M1948" i="1"/>
  <c r="M1949" i="1"/>
  <c r="M1950" i="1"/>
  <c r="M1951" i="1"/>
  <c r="M1952" i="1"/>
  <c r="M1953" i="1"/>
  <c r="M1954" i="1"/>
  <c r="M1955" i="1"/>
  <c r="M1956" i="1"/>
  <c r="M1957" i="1"/>
  <c r="M1958" i="1"/>
  <c r="M1959" i="1"/>
  <c r="M1960" i="1"/>
  <c r="M1961" i="1"/>
  <c r="M1962" i="1"/>
  <c r="M1963" i="1"/>
  <c r="M1964" i="1"/>
  <c r="M1965" i="1"/>
  <c r="M1966" i="1"/>
  <c r="M1967" i="1"/>
  <c r="M1968" i="1"/>
  <c r="M1969" i="1"/>
  <c r="M1970" i="1"/>
  <c r="M1971" i="1"/>
  <c r="M1972" i="1"/>
  <c r="M1973" i="1"/>
  <c r="M1974" i="1"/>
  <c r="M1975" i="1"/>
  <c r="M1976" i="1"/>
  <c r="M1977" i="1"/>
  <c r="M1978" i="1"/>
  <c r="M1979" i="1"/>
  <c r="M1980" i="1"/>
  <c r="M1981" i="1"/>
  <c r="M1982" i="1"/>
  <c r="M1983" i="1"/>
  <c r="M1984" i="1"/>
  <c r="M1985" i="1"/>
  <c r="M1986" i="1"/>
  <c r="M1987" i="1"/>
  <c r="M1988" i="1"/>
  <c r="M1989" i="1"/>
  <c r="M1990" i="1"/>
  <c r="M1991" i="1"/>
  <c r="M1992" i="1"/>
  <c r="M1993" i="1"/>
  <c r="M1994" i="1"/>
  <c r="M1995" i="1"/>
  <c r="M1996" i="1"/>
  <c r="M1997" i="1"/>
  <c r="M1998" i="1"/>
  <c r="M1999" i="1"/>
  <c r="M2000" i="1"/>
  <c r="M2001" i="1"/>
  <c r="M2002" i="1"/>
  <c r="M2003" i="1"/>
  <c r="M2004" i="1"/>
  <c r="M2005" i="1"/>
  <c r="M2006" i="1"/>
  <c r="M2007" i="1"/>
  <c r="M2008" i="1"/>
  <c r="M2009" i="1"/>
  <c r="M2010" i="1"/>
  <c r="M2011" i="1"/>
  <c r="M2012" i="1"/>
  <c r="M2013" i="1"/>
  <c r="M2014" i="1"/>
  <c r="M2015" i="1"/>
  <c r="M2016" i="1"/>
  <c r="M2017" i="1"/>
  <c r="M2018" i="1"/>
  <c r="M2019" i="1"/>
  <c r="M2020" i="1"/>
  <c r="M2021" i="1"/>
  <c r="M2022" i="1"/>
  <c r="M2023" i="1"/>
  <c r="M2024" i="1"/>
  <c r="M2025" i="1"/>
  <c r="M2026" i="1"/>
  <c r="M2027" i="1"/>
  <c r="M2028" i="1"/>
  <c r="M2029" i="1"/>
  <c r="M2030" i="1"/>
  <c r="M2031" i="1"/>
  <c r="M2032" i="1"/>
  <c r="M2033" i="1"/>
  <c r="M2034" i="1"/>
  <c r="M2035" i="1"/>
  <c r="M2036" i="1"/>
  <c r="M2037" i="1"/>
  <c r="M2038" i="1"/>
  <c r="M2039" i="1"/>
  <c r="M2040" i="1"/>
  <c r="M2041" i="1"/>
  <c r="M2042" i="1"/>
  <c r="M2043" i="1"/>
  <c r="M2044" i="1"/>
  <c r="M2045" i="1"/>
  <c r="M2046" i="1"/>
  <c r="M2047" i="1"/>
  <c r="M2048" i="1"/>
  <c r="M2049" i="1"/>
  <c r="M2050" i="1"/>
  <c r="M2051" i="1"/>
  <c r="M2052" i="1"/>
  <c r="M2053" i="1"/>
  <c r="M2054" i="1"/>
  <c r="M2055" i="1"/>
  <c r="M2056" i="1"/>
  <c r="M2057" i="1"/>
  <c r="M2058" i="1"/>
  <c r="M2059" i="1"/>
  <c r="M2060" i="1"/>
  <c r="M2061" i="1"/>
  <c r="M2062" i="1"/>
  <c r="M2063" i="1"/>
  <c r="M2064" i="1"/>
  <c r="M2065" i="1"/>
  <c r="M2066" i="1"/>
  <c r="M2067" i="1"/>
  <c r="M2068" i="1"/>
  <c r="M2069" i="1"/>
  <c r="M2070" i="1"/>
  <c r="M2071" i="1"/>
  <c r="M2072" i="1"/>
  <c r="M2073" i="1"/>
  <c r="M2074" i="1"/>
  <c r="M2075" i="1"/>
  <c r="M2076" i="1"/>
  <c r="M2077" i="1"/>
  <c r="M2078" i="1"/>
  <c r="M2079" i="1"/>
  <c r="M2080" i="1"/>
  <c r="M2081" i="1"/>
  <c r="M2082" i="1"/>
  <c r="M2083" i="1"/>
  <c r="M2084" i="1"/>
  <c r="M2085" i="1"/>
  <c r="M2086" i="1"/>
  <c r="M2087" i="1"/>
  <c r="M2088" i="1"/>
  <c r="M2089" i="1"/>
  <c r="M2090" i="1"/>
  <c r="M2091" i="1"/>
  <c r="M2092" i="1"/>
  <c r="M2093" i="1"/>
  <c r="M2094" i="1"/>
  <c r="M2095" i="1"/>
  <c r="M2096" i="1"/>
  <c r="M2097" i="1"/>
  <c r="M2098" i="1"/>
  <c r="M2099" i="1"/>
  <c r="M2100" i="1"/>
  <c r="M2101" i="1"/>
  <c r="M2102" i="1"/>
  <c r="M2103" i="1"/>
  <c r="M2104" i="1"/>
  <c r="M2105" i="1"/>
  <c r="M2106" i="1"/>
  <c r="M2107" i="1"/>
  <c r="M2108" i="1"/>
  <c r="M2109" i="1"/>
  <c r="M2110" i="1"/>
  <c r="M2111" i="1"/>
  <c r="M2112" i="1"/>
  <c r="M2113" i="1"/>
  <c r="M2114" i="1"/>
  <c r="M2115" i="1"/>
  <c r="M2116" i="1"/>
  <c r="M2117" i="1"/>
  <c r="M2118" i="1"/>
  <c r="M2119" i="1"/>
  <c r="M2120" i="1"/>
  <c r="M2121" i="1"/>
  <c r="M2122" i="1"/>
  <c r="M2123" i="1"/>
  <c r="M2124" i="1"/>
  <c r="M2125" i="1"/>
  <c r="M2126" i="1"/>
  <c r="M2127" i="1"/>
  <c r="M2128" i="1"/>
  <c r="M2129" i="1"/>
  <c r="M2130" i="1"/>
  <c r="M2131" i="1"/>
  <c r="M2132" i="1"/>
  <c r="M2133" i="1"/>
  <c r="M2134" i="1"/>
  <c r="M2135" i="1"/>
  <c r="M2136" i="1"/>
  <c r="M2137" i="1"/>
  <c r="M2138" i="1"/>
  <c r="M2139" i="1"/>
  <c r="M2140" i="1"/>
  <c r="M2141" i="1"/>
  <c r="M2142" i="1"/>
  <c r="M2143" i="1"/>
  <c r="M2144" i="1"/>
  <c r="M2145" i="1"/>
  <c r="M2146" i="1"/>
  <c r="M2147" i="1"/>
  <c r="M2148" i="1"/>
  <c r="M2149" i="1"/>
  <c r="M2150" i="1"/>
  <c r="M2151" i="1"/>
  <c r="M2152" i="1"/>
  <c r="M2153" i="1"/>
  <c r="M2154" i="1"/>
  <c r="M2155" i="1"/>
  <c r="M2156" i="1"/>
  <c r="M2157" i="1"/>
  <c r="M2158" i="1"/>
  <c r="M2159" i="1"/>
  <c r="M2160" i="1"/>
  <c r="M2161" i="1"/>
  <c r="M2162" i="1"/>
  <c r="M2163" i="1"/>
  <c r="M2164" i="1"/>
  <c r="M2165" i="1"/>
  <c r="M2166" i="1"/>
  <c r="M2167" i="1"/>
  <c r="M2168" i="1"/>
  <c r="M2169" i="1"/>
  <c r="M2170" i="1"/>
  <c r="M2171" i="1"/>
  <c r="M2172" i="1"/>
  <c r="M2173" i="1"/>
  <c r="M2174" i="1"/>
  <c r="M2175" i="1"/>
  <c r="M2176" i="1"/>
  <c r="M2177" i="1"/>
  <c r="M2178" i="1"/>
  <c r="M2179" i="1"/>
  <c r="M2180" i="1"/>
  <c r="M2181" i="1"/>
  <c r="M2182" i="1"/>
  <c r="M2183" i="1"/>
  <c r="M2184" i="1"/>
  <c r="M2185" i="1"/>
  <c r="M2186" i="1"/>
  <c r="M2187" i="1"/>
  <c r="M2188" i="1"/>
  <c r="M2189" i="1"/>
  <c r="M2190" i="1"/>
  <c r="M2191" i="1"/>
  <c r="M2192" i="1"/>
  <c r="M2193" i="1"/>
  <c r="M2194" i="1"/>
  <c r="M2195" i="1"/>
  <c r="M2196" i="1"/>
  <c r="M2197" i="1"/>
  <c r="M2198" i="1"/>
  <c r="M2199" i="1"/>
  <c r="M2200" i="1"/>
  <c r="M2201" i="1"/>
  <c r="M2202" i="1"/>
  <c r="M2203" i="1"/>
  <c r="M2204" i="1"/>
  <c r="M2205" i="1"/>
  <c r="M2206" i="1"/>
  <c r="M2207" i="1"/>
  <c r="M2208" i="1"/>
  <c r="M2209" i="1"/>
  <c r="M2210" i="1"/>
  <c r="M2211" i="1"/>
  <c r="M2212" i="1"/>
  <c r="M2213" i="1"/>
  <c r="M2214" i="1"/>
  <c r="M2215" i="1"/>
  <c r="M2216" i="1"/>
  <c r="M2217" i="1"/>
  <c r="M2218" i="1"/>
  <c r="M2219" i="1"/>
  <c r="M2220" i="1"/>
  <c r="M2221" i="1"/>
  <c r="M2222" i="1"/>
  <c r="M2223" i="1"/>
  <c r="M2224" i="1"/>
  <c r="M2225" i="1"/>
  <c r="M2226" i="1"/>
  <c r="M2227" i="1"/>
  <c r="M2228" i="1"/>
  <c r="M2229" i="1"/>
  <c r="M2230" i="1"/>
  <c r="M2231" i="1"/>
  <c r="M2232" i="1"/>
  <c r="M2233" i="1"/>
  <c r="M2234" i="1"/>
  <c r="M2235" i="1"/>
  <c r="M2236" i="1"/>
  <c r="M2237" i="1"/>
  <c r="M2238" i="1"/>
  <c r="M2239" i="1"/>
  <c r="M2240" i="1"/>
  <c r="M2241" i="1"/>
  <c r="M2242" i="1"/>
  <c r="M2243" i="1"/>
  <c r="M2244" i="1"/>
  <c r="M2245" i="1"/>
  <c r="M2246" i="1"/>
  <c r="M2247" i="1"/>
  <c r="M2248" i="1"/>
  <c r="M2249" i="1"/>
  <c r="M2250" i="1"/>
  <c r="M2251" i="1"/>
  <c r="M2252" i="1"/>
  <c r="M2253" i="1"/>
  <c r="M2254" i="1"/>
  <c r="M2255" i="1"/>
  <c r="M2256" i="1"/>
  <c r="M2257" i="1"/>
  <c r="M2258" i="1"/>
  <c r="M2259" i="1"/>
  <c r="M2260" i="1"/>
  <c r="M2261" i="1"/>
  <c r="M2262" i="1"/>
  <c r="M2263" i="1"/>
  <c r="M2264" i="1"/>
  <c r="M2265" i="1"/>
  <c r="M2266" i="1"/>
  <c r="M2267" i="1"/>
  <c r="M2268" i="1"/>
  <c r="M2269" i="1"/>
  <c r="M2270" i="1"/>
  <c r="M2271" i="1"/>
  <c r="M2272" i="1"/>
  <c r="M2273" i="1"/>
  <c r="M2274" i="1"/>
  <c r="M2275" i="1"/>
  <c r="M2276" i="1"/>
  <c r="M2277" i="1"/>
  <c r="M2278" i="1"/>
  <c r="M2279" i="1"/>
  <c r="M2280" i="1"/>
  <c r="M2281" i="1"/>
  <c r="M2282" i="1"/>
  <c r="M2283" i="1"/>
  <c r="M2284" i="1"/>
  <c r="M2285" i="1"/>
  <c r="M2286" i="1"/>
  <c r="M2287" i="1"/>
  <c r="M2288" i="1"/>
  <c r="M2289" i="1"/>
  <c r="M2290" i="1"/>
  <c r="M2291" i="1"/>
  <c r="M2292" i="1"/>
  <c r="M2293" i="1"/>
  <c r="M2294" i="1"/>
  <c r="M2295" i="1"/>
  <c r="M2296" i="1"/>
  <c r="M2297" i="1"/>
  <c r="M2298" i="1"/>
  <c r="M2299" i="1"/>
  <c r="M2300" i="1"/>
  <c r="M2301" i="1"/>
  <c r="M2302" i="1"/>
  <c r="M2303" i="1"/>
  <c r="M2304" i="1"/>
  <c r="M2305" i="1"/>
  <c r="M2306" i="1"/>
  <c r="M2307" i="1"/>
  <c r="M2308" i="1"/>
  <c r="M2309" i="1"/>
  <c r="M2310" i="1"/>
  <c r="M2311" i="1"/>
  <c r="M2312" i="1"/>
  <c r="M2313" i="1"/>
  <c r="M2314" i="1"/>
  <c r="M2315" i="1"/>
  <c r="M2316" i="1"/>
  <c r="M2317" i="1"/>
  <c r="M2318" i="1"/>
  <c r="M2319" i="1"/>
  <c r="M2320" i="1"/>
  <c r="M2321" i="1"/>
  <c r="O1885" i="1"/>
  <c r="O1886" i="1"/>
  <c r="O1887" i="1"/>
  <c r="O1888" i="1"/>
  <c r="O1889" i="1"/>
  <c r="O1890" i="1"/>
  <c r="O1891" i="1"/>
  <c r="O1892" i="1"/>
  <c r="O1893" i="1"/>
  <c r="O1894" i="1"/>
  <c r="O1895" i="1"/>
  <c r="O1896" i="1"/>
  <c r="O1897" i="1"/>
  <c r="O1898" i="1"/>
  <c r="O1899" i="1"/>
  <c r="O1900" i="1"/>
  <c r="O1901" i="1"/>
  <c r="O1902" i="1"/>
  <c r="O1903" i="1"/>
  <c r="O1904" i="1"/>
  <c r="O1905" i="1"/>
  <c r="O1906" i="1"/>
  <c r="O1907" i="1"/>
  <c r="O1908" i="1"/>
  <c r="O1909" i="1"/>
  <c r="O1910" i="1"/>
  <c r="O1911" i="1"/>
  <c r="O1912" i="1"/>
  <c r="O1913" i="1"/>
  <c r="O1914" i="1"/>
  <c r="O1915" i="1"/>
  <c r="O1916" i="1"/>
  <c r="O1917" i="1"/>
  <c r="O1918" i="1"/>
  <c r="O1919" i="1"/>
  <c r="O1920" i="1"/>
  <c r="O1921" i="1"/>
  <c r="O1922" i="1"/>
  <c r="O1923" i="1"/>
  <c r="O1924" i="1"/>
  <c r="O1925" i="1"/>
  <c r="O1926" i="1"/>
  <c r="O1927" i="1"/>
  <c r="O1928" i="1"/>
  <c r="O1929" i="1"/>
  <c r="O1930" i="1"/>
  <c r="O1931" i="1"/>
  <c r="O1932" i="1"/>
  <c r="O1933" i="1"/>
  <c r="O1934" i="1"/>
  <c r="O1935" i="1"/>
  <c r="O1936" i="1"/>
  <c r="O1937" i="1"/>
  <c r="O1938" i="1"/>
  <c r="O1939" i="1"/>
  <c r="O1940" i="1"/>
  <c r="O1941" i="1"/>
  <c r="O1942" i="1"/>
  <c r="O1943" i="1"/>
  <c r="O1944" i="1"/>
  <c r="O1945" i="1"/>
  <c r="O1946" i="1"/>
  <c r="O1947" i="1"/>
  <c r="O1948" i="1"/>
  <c r="O1949" i="1"/>
  <c r="O1950" i="1"/>
  <c r="O1951" i="1"/>
  <c r="O1952" i="1"/>
  <c r="O1953" i="1"/>
  <c r="O1954" i="1"/>
  <c r="O1955" i="1"/>
  <c r="O1956" i="1"/>
  <c r="O1957" i="1"/>
  <c r="O1958" i="1"/>
  <c r="O1959" i="1"/>
  <c r="O1960" i="1"/>
  <c r="O1961" i="1"/>
  <c r="O1962" i="1"/>
  <c r="O1963" i="1"/>
  <c r="O1964" i="1"/>
  <c r="O1965" i="1"/>
  <c r="O1966" i="1"/>
  <c r="O1967" i="1"/>
  <c r="O1968" i="1"/>
  <c r="O1969" i="1"/>
  <c r="O1970" i="1"/>
  <c r="O1971" i="1"/>
  <c r="O1972" i="1"/>
  <c r="O1973" i="1"/>
  <c r="O1974" i="1"/>
  <c r="O1975" i="1"/>
  <c r="O1976" i="1"/>
  <c r="O1977" i="1"/>
  <c r="O1978" i="1"/>
  <c r="O1979" i="1"/>
  <c r="O1980" i="1"/>
  <c r="O1981" i="1"/>
  <c r="O1982" i="1"/>
  <c r="O1983" i="1"/>
  <c r="O1984" i="1"/>
  <c r="O1985" i="1"/>
  <c r="O1986" i="1"/>
  <c r="O1987" i="1"/>
  <c r="O1988" i="1"/>
  <c r="O1989" i="1"/>
  <c r="O1990" i="1"/>
  <c r="O1991" i="1"/>
  <c r="O1992" i="1"/>
  <c r="O1993" i="1"/>
  <c r="O1994" i="1"/>
  <c r="O1995" i="1"/>
  <c r="O1996" i="1"/>
  <c r="O1997" i="1"/>
  <c r="O1998" i="1"/>
  <c r="O1999" i="1"/>
  <c r="O2000" i="1"/>
  <c r="O2001" i="1"/>
  <c r="O2002" i="1"/>
  <c r="O2003" i="1"/>
  <c r="O2004" i="1"/>
  <c r="O2005" i="1"/>
  <c r="O2006" i="1"/>
  <c r="O2007" i="1"/>
  <c r="O2008" i="1"/>
  <c r="O2009" i="1"/>
  <c r="O2010" i="1"/>
  <c r="O2011" i="1"/>
  <c r="O2012" i="1"/>
  <c r="O2013" i="1"/>
  <c r="O2014" i="1"/>
  <c r="O2015" i="1"/>
  <c r="O2016" i="1"/>
  <c r="O2017" i="1"/>
  <c r="O2018" i="1"/>
  <c r="O2019" i="1"/>
  <c r="O2020" i="1"/>
  <c r="O2021" i="1"/>
  <c r="O2022" i="1"/>
  <c r="O2023" i="1"/>
  <c r="O2024" i="1"/>
  <c r="O2025" i="1"/>
  <c r="O2026" i="1"/>
  <c r="O2027" i="1"/>
  <c r="O2028" i="1"/>
  <c r="O2029" i="1"/>
  <c r="O2030" i="1"/>
  <c r="O2031" i="1"/>
  <c r="O2032" i="1"/>
  <c r="O2033" i="1"/>
  <c r="O2034" i="1"/>
  <c r="O2035" i="1"/>
  <c r="O2036" i="1"/>
  <c r="O2037" i="1"/>
  <c r="O2038" i="1"/>
  <c r="O2039" i="1"/>
  <c r="O2040" i="1"/>
  <c r="O2041" i="1"/>
  <c r="O2042" i="1"/>
  <c r="O2043" i="1"/>
  <c r="O2044" i="1"/>
  <c r="O2045" i="1"/>
  <c r="O2046" i="1"/>
  <c r="O2047" i="1"/>
  <c r="O2048" i="1"/>
  <c r="O2049" i="1"/>
  <c r="O2050" i="1"/>
  <c r="O2051" i="1"/>
  <c r="O2052" i="1"/>
  <c r="O2053" i="1"/>
  <c r="O2054" i="1"/>
  <c r="O2055" i="1"/>
  <c r="O2056" i="1"/>
  <c r="O2057" i="1"/>
  <c r="O2058" i="1"/>
  <c r="O2059" i="1"/>
  <c r="O2060" i="1"/>
  <c r="O2061" i="1"/>
  <c r="O2062" i="1"/>
  <c r="O2063" i="1"/>
  <c r="O2064" i="1"/>
  <c r="O2065" i="1"/>
  <c r="O2066" i="1"/>
  <c r="O2067" i="1"/>
  <c r="O2068" i="1"/>
  <c r="O2069" i="1"/>
  <c r="O2070" i="1"/>
  <c r="O2071" i="1"/>
  <c r="O2072" i="1"/>
  <c r="O2073" i="1"/>
  <c r="O2074" i="1"/>
  <c r="O2075" i="1"/>
  <c r="O2076" i="1"/>
  <c r="O2077" i="1"/>
  <c r="O2078" i="1"/>
  <c r="O2079" i="1"/>
  <c r="O2080" i="1"/>
  <c r="O2081" i="1"/>
  <c r="O2082" i="1"/>
  <c r="O2083" i="1"/>
  <c r="O2084" i="1"/>
  <c r="O2085" i="1"/>
  <c r="O2086" i="1"/>
  <c r="O2087" i="1"/>
  <c r="O2088" i="1"/>
  <c r="O2089" i="1"/>
  <c r="O2090" i="1"/>
  <c r="O2091" i="1"/>
  <c r="O2092" i="1"/>
  <c r="O2093" i="1"/>
  <c r="O2094" i="1"/>
  <c r="O2095" i="1"/>
  <c r="O2096" i="1"/>
  <c r="O2097" i="1"/>
  <c r="O2098" i="1"/>
  <c r="O2099" i="1"/>
  <c r="O2100" i="1"/>
  <c r="O2101" i="1"/>
  <c r="O2102" i="1"/>
  <c r="O2103" i="1"/>
  <c r="O2104" i="1"/>
  <c r="O2105" i="1"/>
  <c r="O2106" i="1"/>
  <c r="O2107" i="1"/>
  <c r="O2108" i="1"/>
  <c r="O2109" i="1"/>
  <c r="O2110" i="1"/>
  <c r="O2111" i="1"/>
  <c r="O2112" i="1"/>
  <c r="O2113" i="1"/>
  <c r="O2114" i="1"/>
  <c r="O2115" i="1"/>
  <c r="O2116" i="1"/>
  <c r="O2117" i="1"/>
  <c r="O2118" i="1"/>
  <c r="O2119" i="1"/>
  <c r="O2120" i="1"/>
  <c r="O2121" i="1"/>
  <c r="O2122" i="1"/>
  <c r="O2123" i="1"/>
  <c r="O2124" i="1"/>
  <c r="O2125" i="1"/>
  <c r="O2126" i="1"/>
  <c r="O2127" i="1"/>
  <c r="O2128" i="1"/>
  <c r="O2129" i="1"/>
  <c r="O2130" i="1"/>
  <c r="O2131" i="1"/>
  <c r="O2132" i="1"/>
  <c r="O2133" i="1"/>
  <c r="O2134" i="1"/>
  <c r="O2135" i="1"/>
  <c r="O2136" i="1"/>
  <c r="O2137" i="1"/>
  <c r="O2138" i="1"/>
  <c r="O2139" i="1"/>
  <c r="O2140" i="1"/>
  <c r="O2141" i="1"/>
  <c r="O2142" i="1"/>
  <c r="O2143" i="1"/>
  <c r="O2144" i="1"/>
  <c r="O2145" i="1"/>
  <c r="O2146" i="1"/>
  <c r="O2147" i="1"/>
  <c r="O2148" i="1"/>
  <c r="O2149" i="1"/>
  <c r="O2150" i="1"/>
  <c r="O2151" i="1"/>
  <c r="O2152" i="1"/>
  <c r="O2153" i="1"/>
  <c r="O2154" i="1"/>
  <c r="O2155" i="1"/>
  <c r="O2156" i="1"/>
  <c r="O2157" i="1"/>
  <c r="O2158" i="1"/>
  <c r="O2159" i="1"/>
  <c r="O2160" i="1"/>
  <c r="O2161" i="1"/>
  <c r="O2162" i="1"/>
  <c r="O2163" i="1"/>
  <c r="O2164" i="1"/>
  <c r="O2165" i="1"/>
  <c r="O2166" i="1"/>
  <c r="O2167" i="1"/>
  <c r="O2168" i="1"/>
  <c r="O2169" i="1"/>
  <c r="O2170" i="1"/>
  <c r="O2171" i="1"/>
  <c r="O2172" i="1"/>
  <c r="O2173" i="1"/>
  <c r="O2174" i="1"/>
  <c r="O2175" i="1"/>
  <c r="O2176" i="1"/>
  <c r="O2177" i="1"/>
  <c r="O2178" i="1"/>
  <c r="O2179" i="1"/>
  <c r="O2180" i="1"/>
  <c r="O2181" i="1"/>
  <c r="O2182" i="1"/>
  <c r="O2183" i="1"/>
  <c r="O2184" i="1"/>
  <c r="O2185" i="1"/>
  <c r="O2186" i="1"/>
  <c r="O2187" i="1"/>
  <c r="O2188" i="1"/>
  <c r="O2189" i="1"/>
  <c r="O2190" i="1"/>
  <c r="O2191" i="1"/>
  <c r="O2192" i="1"/>
  <c r="O2193" i="1"/>
  <c r="O2194" i="1"/>
  <c r="O2195" i="1"/>
  <c r="O2196" i="1"/>
  <c r="O2197" i="1"/>
  <c r="O2198" i="1"/>
  <c r="O2199" i="1"/>
  <c r="O2200" i="1"/>
  <c r="O2201" i="1"/>
  <c r="O2202" i="1"/>
  <c r="O2203" i="1"/>
  <c r="O2204" i="1"/>
  <c r="O2205" i="1"/>
  <c r="O2206" i="1"/>
  <c r="O2207" i="1"/>
  <c r="O2208" i="1"/>
  <c r="O2209" i="1"/>
  <c r="O2210" i="1"/>
  <c r="O2211" i="1"/>
  <c r="O2212" i="1"/>
  <c r="O2213" i="1"/>
  <c r="O2214" i="1"/>
  <c r="O2215" i="1"/>
  <c r="O2216" i="1"/>
  <c r="O2217" i="1"/>
  <c r="O2218" i="1"/>
  <c r="O2219" i="1"/>
  <c r="O2220" i="1"/>
  <c r="O2221" i="1"/>
  <c r="O2222" i="1"/>
  <c r="O2223" i="1"/>
  <c r="O2224" i="1"/>
  <c r="O2225" i="1"/>
  <c r="O2226" i="1"/>
  <c r="O2227" i="1"/>
  <c r="O2228" i="1"/>
  <c r="O2229" i="1"/>
  <c r="O2230" i="1"/>
  <c r="O2231" i="1"/>
  <c r="O2232" i="1"/>
  <c r="O2233" i="1"/>
  <c r="O2234" i="1"/>
  <c r="O2235" i="1"/>
  <c r="O2236" i="1"/>
  <c r="O2237" i="1"/>
  <c r="O2238" i="1"/>
  <c r="O2239" i="1"/>
  <c r="O2240" i="1"/>
  <c r="O2241" i="1"/>
  <c r="O2242" i="1"/>
  <c r="O2243" i="1"/>
  <c r="O2244" i="1"/>
  <c r="O2245" i="1"/>
  <c r="O2246" i="1"/>
  <c r="O2247" i="1"/>
  <c r="O2248" i="1"/>
  <c r="O2249" i="1"/>
  <c r="O2250" i="1"/>
  <c r="O2251" i="1"/>
  <c r="O2252" i="1"/>
  <c r="O2253" i="1"/>
  <c r="O2254" i="1"/>
  <c r="O2255" i="1"/>
  <c r="O2256" i="1"/>
  <c r="O2257" i="1"/>
  <c r="O2258" i="1"/>
  <c r="O2259" i="1"/>
  <c r="O2260" i="1"/>
  <c r="O2261" i="1"/>
  <c r="O2262" i="1"/>
  <c r="O2263" i="1"/>
  <c r="O2264" i="1"/>
  <c r="O2265" i="1"/>
  <c r="O2266" i="1"/>
  <c r="O2267" i="1"/>
  <c r="O2268" i="1"/>
  <c r="O2269" i="1"/>
  <c r="O2270" i="1"/>
  <c r="O2271" i="1"/>
  <c r="O2272" i="1"/>
  <c r="O2273" i="1"/>
  <c r="O2274" i="1"/>
  <c r="O2275" i="1"/>
  <c r="O2276" i="1"/>
  <c r="O2277" i="1"/>
  <c r="O2278" i="1"/>
  <c r="O2279" i="1"/>
  <c r="O2280" i="1"/>
  <c r="O2281" i="1"/>
  <c r="O2282" i="1"/>
  <c r="O2283" i="1"/>
  <c r="O2284" i="1"/>
  <c r="O2285" i="1"/>
  <c r="O2286" i="1"/>
  <c r="O2287" i="1"/>
  <c r="O2288" i="1"/>
  <c r="O2289" i="1"/>
  <c r="O2290" i="1"/>
  <c r="O2291" i="1"/>
  <c r="O2292" i="1"/>
  <c r="O2293" i="1"/>
  <c r="O2294" i="1"/>
  <c r="O2295" i="1"/>
  <c r="O2296" i="1"/>
  <c r="O2297" i="1"/>
  <c r="O2298" i="1"/>
  <c r="O2299" i="1"/>
  <c r="O2300" i="1"/>
  <c r="O2301" i="1"/>
  <c r="O2302" i="1"/>
  <c r="O2303" i="1"/>
  <c r="O2304" i="1"/>
  <c r="O2305" i="1"/>
  <c r="O2306" i="1"/>
  <c r="O2307" i="1"/>
  <c r="O2308" i="1"/>
  <c r="O2309" i="1"/>
  <c r="O2310" i="1"/>
  <c r="O2311" i="1"/>
  <c r="O2312" i="1"/>
  <c r="O2313" i="1"/>
  <c r="O2314" i="1"/>
  <c r="O2315" i="1"/>
  <c r="O2316" i="1"/>
  <c r="O2317" i="1"/>
  <c r="O2318" i="1"/>
  <c r="O2319" i="1"/>
  <c r="O2320" i="1"/>
  <c r="O2321" i="1"/>
  <c r="P1885" i="1"/>
  <c r="P1886" i="1"/>
  <c r="P1887" i="1"/>
  <c r="P1888" i="1"/>
  <c r="P1889" i="1"/>
  <c r="P1890" i="1"/>
  <c r="P1891" i="1"/>
  <c r="P1892" i="1"/>
  <c r="P1893" i="1"/>
  <c r="P1894" i="1"/>
  <c r="P1895" i="1"/>
  <c r="P1896" i="1"/>
  <c r="P1897" i="1"/>
  <c r="P1898" i="1"/>
  <c r="P1899" i="1"/>
  <c r="P1900" i="1"/>
  <c r="P1901" i="1"/>
  <c r="P1902" i="1"/>
  <c r="P1903" i="1"/>
  <c r="P1904" i="1"/>
  <c r="P1905" i="1"/>
  <c r="P1906" i="1"/>
  <c r="P1907" i="1"/>
  <c r="P1908" i="1"/>
  <c r="P1909" i="1"/>
  <c r="P1910" i="1"/>
  <c r="P1911" i="1"/>
  <c r="P1912" i="1"/>
  <c r="P1913" i="1"/>
  <c r="P1914" i="1"/>
  <c r="P1915" i="1"/>
  <c r="P1916" i="1"/>
  <c r="P1917" i="1"/>
  <c r="P1918" i="1"/>
  <c r="P1919" i="1"/>
  <c r="P1920" i="1"/>
  <c r="P1921" i="1"/>
  <c r="P1922" i="1"/>
  <c r="P1923" i="1"/>
  <c r="P1924" i="1"/>
  <c r="P1925" i="1"/>
  <c r="P1926" i="1"/>
  <c r="P1927" i="1"/>
  <c r="P1928" i="1"/>
  <c r="P1929" i="1"/>
  <c r="P1930" i="1"/>
  <c r="P1931" i="1"/>
  <c r="P1932" i="1"/>
  <c r="P1933" i="1"/>
  <c r="P1934" i="1"/>
  <c r="P1935" i="1"/>
  <c r="P1936" i="1"/>
  <c r="P1937" i="1"/>
  <c r="P1938" i="1"/>
  <c r="P1939" i="1"/>
  <c r="P1940" i="1"/>
  <c r="P1941" i="1"/>
  <c r="P1942" i="1"/>
  <c r="P1943" i="1"/>
  <c r="P1944" i="1"/>
  <c r="P1945" i="1"/>
  <c r="P1946" i="1"/>
  <c r="P1947" i="1"/>
  <c r="P1948" i="1"/>
  <c r="P1949" i="1"/>
  <c r="P1950" i="1"/>
  <c r="P1951" i="1"/>
  <c r="P1952" i="1"/>
  <c r="P1953" i="1"/>
  <c r="P1954" i="1"/>
  <c r="P1955" i="1"/>
  <c r="P1956" i="1"/>
  <c r="P1957" i="1"/>
  <c r="P1958" i="1"/>
  <c r="P1959" i="1"/>
  <c r="P1960" i="1"/>
  <c r="P1961" i="1"/>
  <c r="P1962" i="1"/>
  <c r="P1963" i="1"/>
  <c r="P1964" i="1"/>
  <c r="P1965" i="1"/>
  <c r="P1966" i="1"/>
  <c r="P1967" i="1"/>
  <c r="P1968" i="1"/>
  <c r="P1969" i="1"/>
  <c r="P1970" i="1"/>
  <c r="P1971" i="1"/>
  <c r="P1972" i="1"/>
  <c r="P1973" i="1"/>
  <c r="P1974" i="1"/>
  <c r="P1975" i="1"/>
  <c r="P1976" i="1"/>
  <c r="P1977" i="1"/>
  <c r="P1978" i="1"/>
  <c r="P1979" i="1"/>
  <c r="P1980" i="1"/>
  <c r="P1981" i="1"/>
  <c r="P1982" i="1"/>
  <c r="P1983" i="1"/>
  <c r="P1984" i="1"/>
  <c r="P1985" i="1"/>
  <c r="P1986" i="1"/>
  <c r="P1987" i="1"/>
  <c r="P1988" i="1"/>
  <c r="P1989" i="1"/>
  <c r="P1990" i="1"/>
  <c r="P1991" i="1"/>
  <c r="P1992" i="1"/>
  <c r="P1993" i="1"/>
  <c r="P1994" i="1"/>
  <c r="P1995" i="1"/>
  <c r="P1996" i="1"/>
  <c r="P1997" i="1"/>
  <c r="P1998" i="1"/>
  <c r="P1999" i="1"/>
  <c r="P2000" i="1"/>
  <c r="P2001" i="1"/>
  <c r="P2002" i="1"/>
  <c r="P2003" i="1"/>
  <c r="P2004" i="1"/>
  <c r="P2005" i="1"/>
  <c r="P2006" i="1"/>
  <c r="P2007" i="1"/>
  <c r="P2008" i="1"/>
  <c r="P2009" i="1"/>
  <c r="P2010" i="1"/>
  <c r="P2011" i="1"/>
  <c r="P2012" i="1"/>
  <c r="P2013" i="1"/>
  <c r="P2014" i="1"/>
  <c r="P2015" i="1"/>
  <c r="P2016" i="1"/>
  <c r="P2017" i="1"/>
  <c r="P2018" i="1"/>
  <c r="P2019" i="1"/>
  <c r="P2020" i="1"/>
  <c r="P2021" i="1"/>
  <c r="P2022" i="1"/>
  <c r="P2023" i="1"/>
  <c r="P2024" i="1"/>
  <c r="P2025" i="1"/>
  <c r="P2026" i="1"/>
  <c r="P2027" i="1"/>
  <c r="P2028" i="1"/>
  <c r="P2029" i="1"/>
  <c r="P2030" i="1"/>
  <c r="P2031" i="1"/>
  <c r="P2032" i="1"/>
  <c r="P2033" i="1"/>
  <c r="P2034" i="1"/>
  <c r="P2035" i="1"/>
  <c r="P2036" i="1"/>
  <c r="P2037" i="1"/>
  <c r="P2038" i="1"/>
  <c r="P2039" i="1"/>
  <c r="P2040" i="1"/>
  <c r="P2041" i="1"/>
  <c r="P2042" i="1"/>
  <c r="P2043" i="1"/>
  <c r="P2044" i="1"/>
  <c r="P2045" i="1"/>
  <c r="P2046" i="1"/>
  <c r="P2047" i="1"/>
  <c r="P2048" i="1"/>
  <c r="P2049" i="1"/>
  <c r="P2050" i="1"/>
  <c r="P2051" i="1"/>
  <c r="P2052" i="1"/>
  <c r="P2053" i="1"/>
  <c r="P2054" i="1"/>
  <c r="P2055" i="1"/>
  <c r="P2056" i="1"/>
  <c r="P2057" i="1"/>
  <c r="P2058" i="1"/>
  <c r="P2059" i="1"/>
  <c r="P2060" i="1"/>
  <c r="P2061" i="1"/>
  <c r="P2062" i="1"/>
  <c r="P2063" i="1"/>
  <c r="P2064" i="1"/>
  <c r="P2065" i="1"/>
  <c r="P2066" i="1"/>
  <c r="P2067" i="1"/>
  <c r="P2068" i="1"/>
  <c r="P2069" i="1"/>
  <c r="P2070" i="1"/>
  <c r="P2071" i="1"/>
  <c r="P2072" i="1"/>
  <c r="P2073" i="1"/>
  <c r="P2074" i="1"/>
  <c r="P2075" i="1"/>
  <c r="P2076" i="1"/>
  <c r="P2077" i="1"/>
  <c r="P2078" i="1"/>
  <c r="P2079" i="1"/>
  <c r="P2080" i="1"/>
  <c r="P2081" i="1"/>
  <c r="P2082" i="1"/>
  <c r="P2083" i="1"/>
  <c r="P2084" i="1"/>
  <c r="P2085" i="1"/>
  <c r="P2086" i="1"/>
  <c r="P2087" i="1"/>
  <c r="P2088" i="1"/>
  <c r="P2089" i="1"/>
  <c r="P2090" i="1"/>
  <c r="P2091" i="1"/>
  <c r="P2092" i="1"/>
  <c r="P2093" i="1"/>
  <c r="P2094" i="1"/>
  <c r="P2095" i="1"/>
  <c r="P2096" i="1"/>
  <c r="P2097" i="1"/>
  <c r="P2098" i="1"/>
  <c r="P2099" i="1"/>
  <c r="P2100" i="1"/>
  <c r="P2101" i="1"/>
  <c r="P2102" i="1"/>
  <c r="P2103" i="1"/>
  <c r="P2104" i="1"/>
  <c r="P2105" i="1"/>
  <c r="P2106" i="1"/>
  <c r="P2107" i="1"/>
  <c r="P2108" i="1"/>
  <c r="P2109" i="1"/>
  <c r="P2110" i="1"/>
  <c r="P2111" i="1"/>
  <c r="P2112" i="1"/>
  <c r="P2113" i="1"/>
  <c r="P2114" i="1"/>
  <c r="P2115" i="1"/>
  <c r="P2116" i="1"/>
  <c r="P2117" i="1"/>
  <c r="P2118" i="1"/>
  <c r="P2119" i="1"/>
  <c r="P2120" i="1"/>
  <c r="P2121" i="1"/>
  <c r="P2122" i="1"/>
  <c r="P2123" i="1"/>
  <c r="P2124" i="1"/>
  <c r="P2125" i="1"/>
  <c r="P2126" i="1"/>
  <c r="P2127" i="1"/>
  <c r="P2128" i="1"/>
  <c r="P2129" i="1"/>
  <c r="P2130" i="1"/>
  <c r="P2131" i="1"/>
  <c r="P2132" i="1"/>
  <c r="P2133" i="1"/>
  <c r="P2134" i="1"/>
  <c r="P2135" i="1"/>
  <c r="P2136" i="1"/>
  <c r="P2137" i="1"/>
  <c r="P2138" i="1"/>
  <c r="P2139" i="1"/>
  <c r="P2140" i="1"/>
  <c r="P2141" i="1"/>
  <c r="P2142" i="1"/>
  <c r="P2143" i="1"/>
  <c r="P2144" i="1"/>
  <c r="P2145" i="1"/>
  <c r="P2146" i="1"/>
  <c r="P2147" i="1"/>
  <c r="P2148" i="1"/>
  <c r="P2149" i="1"/>
  <c r="P2150" i="1"/>
  <c r="P2151" i="1"/>
  <c r="P2152" i="1"/>
  <c r="P2153" i="1"/>
  <c r="P2154" i="1"/>
  <c r="P2155" i="1"/>
  <c r="P2156" i="1"/>
  <c r="P2157" i="1"/>
  <c r="P2158" i="1"/>
  <c r="P2159" i="1"/>
  <c r="P2160" i="1"/>
  <c r="P2161" i="1"/>
  <c r="P2162" i="1"/>
  <c r="P2163" i="1"/>
  <c r="P2164" i="1"/>
  <c r="P2165" i="1"/>
  <c r="P2166" i="1"/>
  <c r="P2167" i="1"/>
  <c r="P2168" i="1"/>
  <c r="P2169" i="1"/>
  <c r="P2170" i="1"/>
  <c r="P2171" i="1"/>
  <c r="P2172" i="1"/>
  <c r="P2173" i="1"/>
  <c r="P2174" i="1"/>
  <c r="P2175" i="1"/>
  <c r="P2176" i="1"/>
  <c r="P2177" i="1"/>
  <c r="P2178" i="1"/>
  <c r="P2179" i="1"/>
  <c r="P2180" i="1"/>
  <c r="P2181" i="1"/>
  <c r="P2182" i="1"/>
  <c r="P2183" i="1"/>
  <c r="P2184" i="1"/>
  <c r="P2185" i="1"/>
  <c r="P2186" i="1"/>
  <c r="P2187" i="1"/>
  <c r="P2188" i="1"/>
  <c r="P2189" i="1"/>
  <c r="P2190" i="1"/>
  <c r="P2191" i="1"/>
  <c r="P2192" i="1"/>
  <c r="P2193" i="1"/>
  <c r="P2194" i="1"/>
  <c r="P2195" i="1"/>
  <c r="P2196" i="1"/>
  <c r="P2197" i="1"/>
  <c r="P2198" i="1"/>
  <c r="P2199" i="1"/>
  <c r="P2200" i="1"/>
  <c r="P2201" i="1"/>
  <c r="P2202" i="1"/>
  <c r="P2203" i="1"/>
  <c r="P2204" i="1"/>
  <c r="P2205" i="1"/>
  <c r="P2206" i="1"/>
  <c r="P2207" i="1"/>
  <c r="P2208" i="1"/>
  <c r="P2209" i="1"/>
  <c r="P2210" i="1"/>
  <c r="P2211" i="1"/>
  <c r="P2212" i="1"/>
  <c r="P2213" i="1"/>
  <c r="P2214" i="1"/>
  <c r="P2215" i="1"/>
  <c r="P2216" i="1"/>
  <c r="P2217" i="1"/>
  <c r="P2218" i="1"/>
  <c r="P2219" i="1"/>
  <c r="P2220" i="1"/>
  <c r="P2221" i="1"/>
  <c r="P2222" i="1"/>
  <c r="P2223" i="1"/>
  <c r="P2224" i="1"/>
  <c r="P2225" i="1"/>
  <c r="P2226" i="1"/>
  <c r="P2227" i="1"/>
  <c r="P2228" i="1"/>
  <c r="P2229" i="1"/>
  <c r="P2230" i="1"/>
  <c r="P2231" i="1"/>
  <c r="P2232" i="1"/>
  <c r="P2233" i="1"/>
  <c r="P2234" i="1"/>
  <c r="P2235" i="1"/>
  <c r="P2236" i="1"/>
  <c r="P2237" i="1"/>
  <c r="P2238" i="1"/>
  <c r="P2239" i="1"/>
  <c r="P2240" i="1"/>
  <c r="P2241" i="1"/>
  <c r="P2242" i="1"/>
  <c r="P2243" i="1"/>
  <c r="P2244" i="1"/>
  <c r="P2245" i="1"/>
  <c r="P2246" i="1"/>
  <c r="P2247" i="1"/>
  <c r="P2248" i="1"/>
  <c r="P2249" i="1"/>
  <c r="P2250" i="1"/>
  <c r="P2251" i="1"/>
  <c r="P2252" i="1"/>
  <c r="P2253" i="1"/>
  <c r="P2254" i="1"/>
  <c r="P2255" i="1"/>
  <c r="P2256" i="1"/>
  <c r="P2257" i="1"/>
  <c r="P2258" i="1"/>
  <c r="P2259" i="1"/>
  <c r="P2260" i="1"/>
  <c r="P2261" i="1"/>
  <c r="P2262" i="1"/>
  <c r="P2263" i="1"/>
  <c r="P2264" i="1"/>
  <c r="P2265" i="1"/>
  <c r="P2266" i="1"/>
  <c r="P2267" i="1"/>
  <c r="P2268" i="1"/>
  <c r="P2269" i="1"/>
  <c r="P2270" i="1"/>
  <c r="P2271" i="1"/>
  <c r="P2272" i="1"/>
  <c r="P2273" i="1"/>
  <c r="P2274" i="1"/>
  <c r="P2275" i="1"/>
  <c r="P2276" i="1"/>
  <c r="P2277" i="1"/>
  <c r="P2278" i="1"/>
  <c r="P2279" i="1"/>
  <c r="P2280" i="1"/>
  <c r="P2281" i="1"/>
  <c r="P2282" i="1"/>
  <c r="P2283" i="1"/>
  <c r="P2284" i="1"/>
  <c r="P2285" i="1"/>
  <c r="P2286" i="1"/>
  <c r="P2287" i="1"/>
  <c r="P2288" i="1"/>
  <c r="P2289" i="1"/>
  <c r="P2290" i="1"/>
  <c r="P2291" i="1"/>
  <c r="P2292" i="1"/>
  <c r="P2293" i="1"/>
  <c r="P2294" i="1"/>
  <c r="P2295" i="1"/>
  <c r="P2296" i="1"/>
  <c r="P2297" i="1"/>
  <c r="P2298" i="1"/>
  <c r="P2299" i="1"/>
  <c r="P2300" i="1"/>
  <c r="P2301" i="1"/>
  <c r="P2302" i="1"/>
  <c r="P2303" i="1"/>
  <c r="P2304" i="1"/>
  <c r="P2305" i="1"/>
  <c r="P2306" i="1"/>
  <c r="P2307" i="1"/>
  <c r="P2308" i="1"/>
  <c r="P2309" i="1"/>
  <c r="P2310" i="1"/>
  <c r="P2311" i="1"/>
  <c r="P2312" i="1"/>
  <c r="P2313" i="1"/>
  <c r="P2314" i="1"/>
  <c r="P2315" i="1"/>
  <c r="P2316" i="1"/>
  <c r="P2317" i="1"/>
  <c r="P2318" i="1"/>
  <c r="P2319" i="1"/>
  <c r="P2320" i="1"/>
  <c r="P2321" i="1"/>
  <c r="P16" i="13"/>
  <c r="P54" i="13"/>
  <c r="P23" i="13"/>
  <c r="P47" i="13"/>
  <c r="P67" i="13"/>
  <c r="P12" i="13"/>
  <c r="P46" i="13"/>
  <c r="P19" i="13"/>
  <c r="P43" i="13"/>
  <c r="P48" i="13"/>
  <c r="P14" i="13"/>
  <c r="P50" i="13"/>
  <c r="P21" i="13"/>
  <c r="P45" i="13"/>
  <c r="P52" i="13"/>
  <c r="P22" i="13"/>
  <c r="P5" i="13"/>
  <c r="P29" i="13"/>
  <c r="P53" i="13"/>
  <c r="P18" i="13"/>
  <c r="P2" i="13"/>
  <c r="P25" i="13"/>
  <c r="P49" i="13"/>
  <c r="P20" i="13"/>
  <c r="P3" i="13"/>
  <c r="P27" i="13"/>
  <c r="P51" i="13"/>
  <c r="P26" i="13"/>
  <c r="P9" i="13"/>
  <c r="P33" i="13"/>
  <c r="P28" i="13"/>
  <c r="P35" i="13"/>
  <c r="P24" i="13"/>
  <c r="P7" i="13"/>
  <c r="P31" i="13"/>
  <c r="P6" i="13"/>
  <c r="P30" i="13"/>
  <c r="P11" i="13"/>
  <c r="P32" i="13"/>
  <c r="P4" i="13"/>
  <c r="P34" i="13"/>
  <c r="P13" i="13"/>
  <c r="P37" i="13"/>
  <c r="P36" i="13"/>
  <c r="P8" i="13"/>
  <c r="P38" i="13"/>
  <c r="P15" i="13"/>
  <c r="P39" i="13"/>
  <c r="P40" i="13"/>
  <c r="P10" i="13"/>
  <c r="P42" i="13"/>
  <c r="P17" i="13"/>
  <c r="P41" i="13"/>
  <c r="P44" i="13"/>
  <c r="P69" i="13" l="1"/>
  <c r="P57" i="13"/>
  <c r="P58" i="13"/>
  <c r="P59" i="13" s="1"/>
  <c r="P60" i="13" s="1"/>
  <c r="P63" i="13" s="1"/>
  <c r="P64" i="13" s="1"/>
  <c r="P27" i="23"/>
  <c r="P23" i="23"/>
  <c r="P24" i="23" s="1"/>
  <c r="P25" i="23" s="1"/>
  <c r="P28" i="23" s="1"/>
  <c r="P29" i="23" s="1"/>
  <c r="P22" i="23"/>
  <c r="P28" i="22"/>
  <c r="P24" i="24"/>
  <c r="P18" i="24"/>
  <c r="P14" i="24"/>
  <c r="P15" i="24" s="1"/>
  <c r="P16" i="24" s="1"/>
  <c r="P19" i="24" s="1"/>
  <c r="P20" i="24" s="1"/>
  <c r="P13" i="24"/>
  <c r="P21" i="22"/>
  <c r="P16" i="22"/>
  <c r="P17" i="22"/>
  <c r="P18" i="22" s="1"/>
  <c r="P19" i="22" s="1"/>
  <c r="P22" i="22" s="1"/>
  <c r="P23" i="22" s="1"/>
  <c r="P25" i="24" l="1"/>
  <c r="P1883" i="1" l="1"/>
  <c r="O1883" i="1"/>
  <c r="P1882" i="1"/>
  <c r="O1882" i="1"/>
  <c r="P1881" i="1"/>
  <c r="O1881" i="1"/>
  <c r="P1880" i="1"/>
  <c r="O1880" i="1"/>
  <c r="P1879" i="1"/>
  <c r="O1879" i="1"/>
  <c r="P1878" i="1"/>
  <c r="O1878" i="1"/>
  <c r="P1877" i="1"/>
  <c r="O1877" i="1"/>
  <c r="P1876" i="1"/>
  <c r="O1876" i="1"/>
  <c r="P1875" i="1"/>
  <c r="O1875" i="1"/>
  <c r="P1874" i="1"/>
  <c r="O1874" i="1"/>
  <c r="P1873" i="1"/>
  <c r="O1873" i="1"/>
  <c r="P1872" i="1"/>
  <c r="O1872" i="1"/>
  <c r="P1871" i="1"/>
  <c r="O1871" i="1"/>
  <c r="P1870" i="1"/>
  <c r="O1870" i="1"/>
  <c r="P1869" i="1"/>
  <c r="O1869" i="1"/>
  <c r="P1868" i="1"/>
  <c r="O1868" i="1"/>
  <c r="P1867" i="1"/>
  <c r="O1867" i="1"/>
  <c r="P1866" i="1"/>
  <c r="O1866" i="1"/>
  <c r="P1865" i="1"/>
  <c r="O1865" i="1"/>
  <c r="P1864" i="1"/>
  <c r="O1864" i="1"/>
  <c r="P1863" i="1"/>
  <c r="O1863" i="1"/>
  <c r="P1862" i="1"/>
  <c r="O1862" i="1"/>
  <c r="P1861" i="1"/>
  <c r="O1861" i="1"/>
  <c r="P1860" i="1"/>
  <c r="O1860" i="1"/>
  <c r="P1859" i="1"/>
  <c r="O1859" i="1"/>
  <c r="P1858" i="1"/>
  <c r="O1858" i="1"/>
  <c r="P1857" i="1"/>
  <c r="O1857" i="1"/>
  <c r="P1856" i="1"/>
  <c r="O1856" i="1"/>
  <c r="P1855" i="1"/>
  <c r="O1855" i="1"/>
  <c r="P1854" i="1"/>
  <c r="O1854" i="1"/>
  <c r="P1853" i="1"/>
  <c r="O1853" i="1"/>
  <c r="P1852" i="1"/>
  <c r="O1852" i="1"/>
  <c r="P1851" i="1"/>
  <c r="O1851" i="1"/>
  <c r="P1850" i="1"/>
  <c r="O1850" i="1"/>
  <c r="P1849" i="1"/>
  <c r="O1849" i="1"/>
  <c r="P1848" i="1"/>
  <c r="O1848" i="1"/>
  <c r="P1847" i="1"/>
  <c r="O1847" i="1"/>
  <c r="P1846" i="1"/>
  <c r="O1846" i="1"/>
  <c r="P1845" i="1"/>
  <c r="O1845" i="1"/>
  <c r="P1844" i="1"/>
  <c r="O1844" i="1"/>
  <c r="P1843" i="1"/>
  <c r="O1843" i="1"/>
  <c r="P1842" i="1"/>
  <c r="O1842" i="1"/>
  <c r="P1841" i="1"/>
  <c r="O1841" i="1"/>
  <c r="P1840" i="1"/>
  <c r="O1840" i="1"/>
  <c r="P1839" i="1"/>
  <c r="O1839" i="1"/>
  <c r="P1838" i="1"/>
  <c r="O1838" i="1"/>
  <c r="P1837" i="1"/>
  <c r="O1837" i="1"/>
  <c r="P1836" i="1"/>
  <c r="O1836" i="1"/>
  <c r="P1835" i="1"/>
  <c r="O1835" i="1"/>
  <c r="P1834" i="1"/>
  <c r="O1834" i="1"/>
  <c r="P1833" i="1"/>
  <c r="O1833" i="1"/>
  <c r="P1832" i="1"/>
  <c r="O1832" i="1"/>
  <c r="P1831" i="1"/>
  <c r="O1831" i="1"/>
  <c r="P1830" i="1"/>
  <c r="O1830" i="1"/>
  <c r="P1829" i="1"/>
  <c r="O1829" i="1"/>
  <c r="P1828" i="1"/>
  <c r="O1828" i="1"/>
  <c r="P1827" i="1"/>
  <c r="O1827" i="1"/>
  <c r="P1826" i="1"/>
  <c r="O1826" i="1"/>
  <c r="P1825" i="1"/>
  <c r="O1825" i="1"/>
  <c r="P1824" i="1"/>
  <c r="O1824" i="1"/>
  <c r="P1823" i="1"/>
  <c r="O1823" i="1"/>
  <c r="P1822" i="1"/>
  <c r="O1822" i="1"/>
  <c r="P1821" i="1"/>
  <c r="O1821" i="1"/>
  <c r="P1820" i="1"/>
  <c r="O1820" i="1"/>
  <c r="P1819" i="1"/>
  <c r="O1819" i="1"/>
  <c r="P1818" i="1"/>
  <c r="O1818" i="1"/>
  <c r="P1817" i="1"/>
  <c r="O1817" i="1"/>
  <c r="P1816" i="1"/>
  <c r="O1816" i="1"/>
  <c r="P1815" i="1"/>
  <c r="O1815" i="1"/>
  <c r="P1814" i="1"/>
  <c r="O1814" i="1"/>
  <c r="P1813" i="1"/>
  <c r="O1813" i="1"/>
  <c r="P1812" i="1"/>
  <c r="O1812" i="1"/>
  <c r="P1811" i="1"/>
  <c r="O1811" i="1"/>
  <c r="P1810" i="1"/>
  <c r="O1810" i="1"/>
  <c r="P1809" i="1"/>
  <c r="O1809" i="1"/>
  <c r="P1808" i="1"/>
  <c r="O1808" i="1"/>
  <c r="P1807" i="1"/>
  <c r="O1807" i="1"/>
  <c r="P1806" i="1"/>
  <c r="O1806" i="1"/>
  <c r="P1805" i="1"/>
  <c r="O1805" i="1"/>
  <c r="P1804" i="1"/>
  <c r="O1804" i="1"/>
  <c r="P1803" i="1"/>
  <c r="O1803" i="1"/>
  <c r="P1802" i="1"/>
  <c r="O1802" i="1"/>
  <c r="P1801" i="1"/>
  <c r="O1801" i="1"/>
  <c r="P1800" i="1"/>
  <c r="O1800" i="1"/>
  <c r="P1799" i="1"/>
  <c r="O1799" i="1"/>
  <c r="P1798" i="1"/>
  <c r="O1798" i="1"/>
  <c r="P1797" i="1"/>
  <c r="O1797" i="1"/>
  <c r="P1796" i="1"/>
  <c r="O1796" i="1"/>
  <c r="P1795" i="1"/>
  <c r="O1795" i="1"/>
  <c r="P1794" i="1"/>
  <c r="O1794" i="1"/>
  <c r="P1793" i="1"/>
  <c r="O1793" i="1"/>
  <c r="P1792" i="1"/>
  <c r="O1792" i="1"/>
  <c r="P1791" i="1"/>
  <c r="O1791" i="1"/>
  <c r="P1790" i="1"/>
  <c r="O1790" i="1"/>
  <c r="P1789" i="1"/>
  <c r="O1789" i="1"/>
  <c r="P1788" i="1"/>
  <c r="O1788" i="1"/>
  <c r="P1787" i="1"/>
  <c r="O1787" i="1"/>
  <c r="P1786" i="1"/>
  <c r="O1786" i="1"/>
  <c r="P1785" i="1"/>
  <c r="O1785" i="1"/>
  <c r="P1784" i="1"/>
  <c r="O1784" i="1"/>
  <c r="P1783" i="1"/>
  <c r="O1783" i="1"/>
  <c r="P1782" i="1"/>
  <c r="O1782" i="1"/>
  <c r="P1781" i="1"/>
  <c r="O1781" i="1"/>
  <c r="P1780" i="1"/>
  <c r="O1780" i="1"/>
  <c r="P1779" i="1"/>
  <c r="O1779" i="1"/>
  <c r="P1778" i="1"/>
  <c r="O1778" i="1"/>
  <c r="P1777" i="1"/>
  <c r="O1777" i="1"/>
  <c r="P1776" i="1"/>
  <c r="O1776" i="1"/>
  <c r="P1775" i="1"/>
  <c r="O1775" i="1"/>
  <c r="P1774" i="1"/>
  <c r="O1774" i="1"/>
  <c r="P1773" i="1"/>
  <c r="O1773" i="1"/>
  <c r="P1772" i="1"/>
  <c r="O1772" i="1"/>
  <c r="P1771" i="1"/>
  <c r="O1771" i="1"/>
  <c r="P1770" i="1"/>
  <c r="O1770" i="1"/>
  <c r="P1769" i="1"/>
  <c r="O1769" i="1"/>
  <c r="P1768" i="1"/>
  <c r="O1768" i="1"/>
  <c r="P1767" i="1"/>
  <c r="O1767" i="1"/>
  <c r="P1766" i="1"/>
  <c r="O1766" i="1"/>
  <c r="P1765" i="1"/>
  <c r="O1765" i="1"/>
  <c r="P1764" i="1"/>
  <c r="O1764" i="1"/>
  <c r="P1763" i="1"/>
  <c r="O1763" i="1"/>
  <c r="P1762" i="1"/>
  <c r="O1762" i="1"/>
  <c r="P1761" i="1"/>
  <c r="O1761" i="1"/>
  <c r="P1760" i="1"/>
  <c r="O1760" i="1"/>
  <c r="P1759" i="1"/>
  <c r="O1759" i="1"/>
  <c r="P1758" i="1"/>
  <c r="O1758" i="1"/>
  <c r="P1757" i="1"/>
  <c r="O1757" i="1"/>
  <c r="P1756" i="1"/>
  <c r="O1756" i="1"/>
  <c r="P1755" i="1"/>
  <c r="O1755" i="1"/>
  <c r="P1754" i="1"/>
  <c r="O1754" i="1"/>
  <c r="P1753" i="1"/>
  <c r="O1753" i="1"/>
  <c r="P1752" i="1"/>
  <c r="O1752" i="1"/>
  <c r="P1751" i="1"/>
  <c r="O1751" i="1"/>
  <c r="P1750" i="1"/>
  <c r="O1750" i="1"/>
  <c r="P1749" i="1"/>
  <c r="O1749" i="1"/>
  <c r="P1748" i="1"/>
  <c r="O1748" i="1"/>
  <c r="P1747" i="1"/>
  <c r="O1747" i="1"/>
  <c r="P1746" i="1"/>
  <c r="O1746" i="1"/>
  <c r="P1745" i="1"/>
  <c r="O1745" i="1"/>
  <c r="P1744" i="1"/>
  <c r="O1744" i="1"/>
  <c r="P1743" i="1"/>
  <c r="O1743" i="1"/>
  <c r="P1742" i="1"/>
  <c r="O1742" i="1"/>
  <c r="P1741" i="1"/>
  <c r="O1741" i="1"/>
  <c r="P1740" i="1"/>
  <c r="O1740" i="1"/>
  <c r="P1739" i="1"/>
  <c r="O1739" i="1"/>
  <c r="P1738" i="1"/>
  <c r="O1738" i="1"/>
  <c r="P1737" i="1"/>
  <c r="O1737" i="1"/>
  <c r="P1736" i="1"/>
  <c r="O1736" i="1"/>
  <c r="P1735" i="1"/>
  <c r="O1735" i="1"/>
  <c r="P1734" i="1"/>
  <c r="O1734" i="1"/>
  <c r="P1733" i="1"/>
  <c r="O1733" i="1"/>
  <c r="P1732" i="1"/>
  <c r="O1732" i="1"/>
  <c r="P1731" i="1"/>
  <c r="O1731" i="1"/>
  <c r="P1730" i="1"/>
  <c r="O1730" i="1"/>
  <c r="P1729" i="1"/>
  <c r="O1729" i="1"/>
  <c r="P1728" i="1"/>
  <c r="O1728" i="1"/>
  <c r="P1727" i="1"/>
  <c r="O1727" i="1"/>
  <c r="P1726" i="1"/>
  <c r="O1726" i="1"/>
  <c r="P1725" i="1"/>
  <c r="O1725" i="1"/>
  <c r="P1724" i="1"/>
  <c r="O1724" i="1"/>
  <c r="P1723" i="1"/>
  <c r="O1723" i="1"/>
  <c r="P1722" i="1"/>
  <c r="O1722" i="1"/>
  <c r="P1721" i="1"/>
  <c r="O1721" i="1"/>
  <c r="P1720" i="1"/>
  <c r="O1720" i="1"/>
  <c r="P1719" i="1"/>
  <c r="O1719" i="1"/>
  <c r="P1718" i="1"/>
  <c r="O1718" i="1"/>
  <c r="P1717" i="1"/>
  <c r="O1717" i="1"/>
  <c r="P1716" i="1"/>
  <c r="O1716" i="1"/>
  <c r="P1715" i="1"/>
  <c r="O1715" i="1"/>
  <c r="P1714" i="1"/>
  <c r="O1714" i="1"/>
  <c r="P1713" i="1"/>
  <c r="O1713" i="1"/>
  <c r="P1712" i="1"/>
  <c r="O1712" i="1"/>
  <c r="P1711" i="1"/>
  <c r="O1711" i="1"/>
  <c r="P1710" i="1"/>
  <c r="O1710" i="1"/>
  <c r="P1709" i="1"/>
  <c r="O1709" i="1"/>
  <c r="P1708" i="1"/>
  <c r="O1708" i="1"/>
  <c r="P1707" i="1"/>
  <c r="O1707" i="1"/>
  <c r="P1706" i="1"/>
  <c r="O1706" i="1"/>
  <c r="P1705" i="1"/>
  <c r="O1705" i="1"/>
  <c r="P1704" i="1"/>
  <c r="O1704" i="1"/>
  <c r="P1703" i="1"/>
  <c r="O1703" i="1"/>
  <c r="P1702" i="1"/>
  <c r="O1702" i="1"/>
  <c r="P1701" i="1"/>
  <c r="O1701" i="1"/>
  <c r="P1700" i="1"/>
  <c r="O1700" i="1"/>
  <c r="P1699" i="1"/>
  <c r="O1699" i="1"/>
  <c r="P1698" i="1"/>
  <c r="O1698" i="1"/>
  <c r="P1697" i="1"/>
  <c r="O1697" i="1"/>
  <c r="P1696" i="1"/>
  <c r="O1696" i="1"/>
  <c r="P1695" i="1"/>
  <c r="O1695" i="1"/>
  <c r="P1694" i="1"/>
  <c r="O1694" i="1"/>
  <c r="P1693" i="1"/>
  <c r="O1693" i="1"/>
  <c r="P1692" i="1"/>
  <c r="O1692" i="1"/>
  <c r="P1691" i="1"/>
  <c r="O1691" i="1"/>
  <c r="P1690" i="1"/>
  <c r="O1690" i="1"/>
  <c r="P1689" i="1"/>
  <c r="O1689" i="1"/>
  <c r="P1688" i="1"/>
  <c r="O1688" i="1"/>
  <c r="P1687" i="1"/>
  <c r="O1687" i="1"/>
  <c r="P1686" i="1"/>
  <c r="O1686" i="1"/>
  <c r="P1685" i="1"/>
  <c r="O1685" i="1"/>
  <c r="P1684" i="1"/>
  <c r="O1684" i="1"/>
  <c r="P1683" i="1"/>
  <c r="O1683" i="1"/>
  <c r="P1682" i="1"/>
  <c r="O1682" i="1"/>
  <c r="P1681" i="1"/>
  <c r="O1681" i="1"/>
  <c r="P1680" i="1"/>
  <c r="O1680" i="1"/>
  <c r="P1679" i="1"/>
  <c r="O1679" i="1"/>
  <c r="P1678" i="1"/>
  <c r="O1678" i="1"/>
  <c r="P1677" i="1"/>
  <c r="O1677" i="1"/>
  <c r="P1676" i="1"/>
  <c r="O1676" i="1"/>
  <c r="P1675" i="1"/>
  <c r="O1675" i="1"/>
  <c r="P1674" i="1"/>
  <c r="O1674" i="1"/>
  <c r="P1673" i="1"/>
  <c r="O1673" i="1"/>
  <c r="P1672" i="1"/>
  <c r="O1672" i="1"/>
  <c r="P1671" i="1"/>
  <c r="O1671" i="1"/>
  <c r="P1670" i="1"/>
  <c r="O1670" i="1"/>
  <c r="P1669" i="1"/>
  <c r="O1669" i="1"/>
  <c r="P1668" i="1"/>
  <c r="O1668" i="1"/>
  <c r="P1667" i="1"/>
  <c r="O1667" i="1"/>
  <c r="P1666" i="1"/>
  <c r="O1666" i="1"/>
  <c r="P1665" i="1"/>
  <c r="O1665" i="1"/>
  <c r="P1664" i="1"/>
  <c r="O1664" i="1"/>
  <c r="P1663" i="1"/>
  <c r="O1663" i="1"/>
  <c r="P1662" i="1"/>
  <c r="O1662" i="1"/>
  <c r="P1661" i="1"/>
  <c r="O1661" i="1"/>
  <c r="P1660" i="1"/>
  <c r="O1660" i="1"/>
  <c r="P1659" i="1"/>
  <c r="O1659" i="1"/>
  <c r="P1658" i="1"/>
  <c r="O1658" i="1"/>
  <c r="P1657" i="1"/>
  <c r="O1657" i="1"/>
  <c r="P1656" i="1"/>
  <c r="O1656" i="1"/>
  <c r="P1655" i="1"/>
  <c r="O1655" i="1"/>
  <c r="P1654" i="1"/>
  <c r="O1654" i="1"/>
  <c r="P1653" i="1"/>
  <c r="O1653" i="1"/>
  <c r="P1652" i="1"/>
  <c r="O1652" i="1"/>
  <c r="P1651" i="1"/>
  <c r="O1651" i="1"/>
  <c r="P1650" i="1"/>
  <c r="O1650" i="1"/>
  <c r="P1649" i="1"/>
  <c r="O1649" i="1"/>
  <c r="P1648" i="1"/>
  <c r="O1648" i="1"/>
  <c r="P1647" i="1"/>
  <c r="O1647" i="1"/>
  <c r="P1646" i="1"/>
  <c r="O1646" i="1"/>
  <c r="P1645" i="1"/>
  <c r="O1645" i="1"/>
  <c r="P1644" i="1"/>
  <c r="O1644" i="1"/>
  <c r="P1643" i="1"/>
  <c r="O1643" i="1"/>
  <c r="P1642" i="1"/>
  <c r="O1642" i="1"/>
  <c r="P1641" i="1"/>
  <c r="O1641" i="1"/>
  <c r="P1640" i="1"/>
  <c r="O1640" i="1"/>
  <c r="P1639" i="1"/>
  <c r="O1639" i="1"/>
  <c r="P1638" i="1"/>
  <c r="O1638" i="1"/>
  <c r="P1637" i="1"/>
  <c r="O1637" i="1"/>
  <c r="P1636" i="1"/>
  <c r="O1636" i="1"/>
  <c r="P1635" i="1"/>
  <c r="O1635" i="1"/>
  <c r="P1634" i="1"/>
  <c r="O1634" i="1"/>
  <c r="P1633" i="1"/>
  <c r="O1633" i="1"/>
  <c r="P1632" i="1"/>
  <c r="O1632" i="1"/>
  <c r="P1631" i="1"/>
  <c r="O1631" i="1"/>
  <c r="P1630" i="1"/>
  <c r="O1630" i="1"/>
  <c r="P1629" i="1"/>
  <c r="O1629" i="1"/>
  <c r="P1628" i="1"/>
  <c r="O1628" i="1"/>
  <c r="P1627" i="1"/>
  <c r="O1627" i="1"/>
  <c r="P1626" i="1"/>
  <c r="O1626" i="1"/>
  <c r="P1625" i="1"/>
  <c r="O1625" i="1"/>
  <c r="P1624" i="1"/>
  <c r="O1624" i="1"/>
  <c r="P1623" i="1"/>
  <c r="O1623" i="1"/>
  <c r="P1622" i="1"/>
  <c r="O1622" i="1"/>
  <c r="P1621" i="1"/>
  <c r="O1621" i="1"/>
  <c r="P1620" i="1"/>
  <c r="O1620" i="1"/>
  <c r="P1619" i="1"/>
  <c r="O1619" i="1"/>
  <c r="P1618" i="1"/>
  <c r="O1618" i="1"/>
  <c r="P1617" i="1"/>
  <c r="O1617" i="1"/>
  <c r="P1616" i="1"/>
  <c r="O1616" i="1"/>
  <c r="P1615" i="1"/>
  <c r="O1615" i="1"/>
  <c r="P1614" i="1"/>
  <c r="O1614" i="1"/>
  <c r="P1613" i="1"/>
  <c r="O1613" i="1"/>
  <c r="P1612" i="1"/>
  <c r="O1612" i="1"/>
  <c r="P1611" i="1"/>
  <c r="O1611" i="1"/>
  <c r="P1610" i="1"/>
  <c r="O1610" i="1"/>
  <c r="P1609" i="1"/>
  <c r="O1609" i="1"/>
  <c r="P1608" i="1"/>
  <c r="O1608" i="1"/>
  <c r="P1607" i="1"/>
  <c r="O1607" i="1"/>
  <c r="P1606" i="1"/>
  <c r="O1606" i="1"/>
  <c r="P1605" i="1"/>
  <c r="O1605" i="1"/>
  <c r="P1604" i="1"/>
  <c r="O1604" i="1"/>
  <c r="P1603" i="1"/>
  <c r="O1603" i="1"/>
  <c r="P1602" i="1"/>
  <c r="O1602" i="1"/>
  <c r="P1601" i="1"/>
  <c r="O1601" i="1"/>
  <c r="P1600" i="1"/>
  <c r="O1600" i="1"/>
  <c r="P1599" i="1"/>
  <c r="O1599" i="1"/>
  <c r="P1598" i="1"/>
  <c r="O1598" i="1"/>
  <c r="P1597" i="1"/>
  <c r="O1597" i="1"/>
  <c r="P1596" i="1"/>
  <c r="O1596" i="1"/>
  <c r="P1595" i="1"/>
  <c r="O1595" i="1"/>
  <c r="P1594" i="1"/>
  <c r="O1594" i="1"/>
  <c r="P1593" i="1"/>
  <c r="O1593" i="1"/>
  <c r="P1592" i="1"/>
  <c r="O1592" i="1"/>
  <c r="P1591" i="1"/>
  <c r="O1591" i="1"/>
  <c r="P1590" i="1"/>
  <c r="O1590" i="1"/>
  <c r="P1589" i="1"/>
  <c r="O1589" i="1"/>
  <c r="P1588" i="1"/>
  <c r="O1588" i="1"/>
  <c r="P1587" i="1"/>
  <c r="O1587" i="1"/>
  <c r="P1586" i="1"/>
  <c r="O1586" i="1"/>
  <c r="P1585" i="1"/>
  <c r="O1585" i="1"/>
  <c r="P1584" i="1"/>
  <c r="O1584" i="1"/>
  <c r="P1583" i="1"/>
  <c r="O1583" i="1"/>
  <c r="P1582" i="1"/>
  <c r="O1582" i="1"/>
  <c r="P1581" i="1"/>
  <c r="O1581" i="1"/>
  <c r="P1580" i="1"/>
  <c r="O1580" i="1"/>
  <c r="P1579" i="1"/>
  <c r="O1579" i="1"/>
  <c r="P1578" i="1"/>
  <c r="O1578" i="1"/>
  <c r="P1577" i="1"/>
  <c r="O1577" i="1"/>
  <c r="P1576" i="1"/>
  <c r="O1576" i="1"/>
  <c r="P1575" i="1"/>
  <c r="O1575" i="1"/>
  <c r="P1574" i="1"/>
  <c r="O1574" i="1"/>
  <c r="P1573" i="1"/>
  <c r="O1573" i="1"/>
  <c r="P1572" i="1"/>
  <c r="O1572" i="1"/>
  <c r="P1571" i="1"/>
  <c r="O1571" i="1"/>
  <c r="P1570" i="1"/>
  <c r="O1570" i="1"/>
  <c r="P1569" i="1"/>
  <c r="O1569" i="1"/>
  <c r="P1568" i="1"/>
  <c r="O1568" i="1"/>
  <c r="P1567" i="1"/>
  <c r="O1567" i="1"/>
  <c r="P1566" i="1"/>
  <c r="O1566" i="1"/>
  <c r="P1565" i="1"/>
  <c r="O1565" i="1"/>
  <c r="P1564" i="1"/>
  <c r="O1564" i="1"/>
  <c r="P1563" i="1"/>
  <c r="O1563" i="1"/>
  <c r="P1562" i="1"/>
  <c r="O1562" i="1"/>
  <c r="P1561" i="1"/>
  <c r="O1561" i="1"/>
  <c r="P1560" i="1"/>
  <c r="O1560" i="1"/>
  <c r="P1559" i="1"/>
  <c r="O1559" i="1"/>
  <c r="P1558" i="1"/>
  <c r="O1558" i="1"/>
  <c r="P1557" i="1"/>
  <c r="O1557" i="1"/>
  <c r="P1556" i="1"/>
  <c r="O1556" i="1"/>
  <c r="P1555" i="1"/>
  <c r="O1555" i="1"/>
  <c r="P1554" i="1"/>
  <c r="O1554" i="1"/>
  <c r="P1553" i="1"/>
  <c r="O1553" i="1"/>
  <c r="P1552" i="1"/>
  <c r="O1552" i="1"/>
  <c r="P1551" i="1"/>
  <c r="O1551" i="1"/>
  <c r="P1550" i="1"/>
  <c r="O1550" i="1"/>
  <c r="P1549" i="1"/>
  <c r="O1549" i="1"/>
  <c r="P1548" i="1"/>
  <c r="O1548" i="1"/>
  <c r="P1547" i="1"/>
  <c r="O1547" i="1"/>
  <c r="P1546" i="1"/>
  <c r="O1546" i="1"/>
  <c r="P1545" i="1"/>
  <c r="O1545" i="1"/>
  <c r="P1544" i="1"/>
  <c r="O1544" i="1"/>
  <c r="P1543" i="1"/>
  <c r="O1543" i="1"/>
  <c r="P1542" i="1"/>
  <c r="O1542" i="1"/>
  <c r="P1541" i="1"/>
  <c r="O1541" i="1"/>
  <c r="P1540" i="1"/>
  <c r="O1540" i="1"/>
  <c r="P1539" i="1"/>
  <c r="O1539" i="1"/>
  <c r="P1538" i="1"/>
  <c r="O1538" i="1"/>
  <c r="P1537" i="1"/>
  <c r="O1537" i="1"/>
  <c r="P1536" i="1"/>
  <c r="O1536" i="1"/>
  <c r="P1535" i="1"/>
  <c r="O1535" i="1"/>
  <c r="P1534" i="1"/>
  <c r="O1534" i="1"/>
  <c r="P1533" i="1"/>
  <c r="O1533" i="1"/>
  <c r="P1532" i="1"/>
  <c r="O1532" i="1"/>
  <c r="P1531" i="1"/>
  <c r="O1531" i="1"/>
  <c r="P1530" i="1"/>
  <c r="O1530" i="1"/>
  <c r="P1529" i="1"/>
  <c r="O1529" i="1"/>
  <c r="P1528" i="1"/>
  <c r="O1528" i="1"/>
  <c r="P1527" i="1"/>
  <c r="O1527" i="1"/>
  <c r="P1526" i="1"/>
  <c r="O1526" i="1"/>
  <c r="P1525" i="1"/>
  <c r="O1525" i="1"/>
  <c r="P1524" i="1"/>
  <c r="O1524" i="1"/>
  <c r="P1523" i="1"/>
  <c r="O1523" i="1"/>
  <c r="P1522" i="1"/>
  <c r="O1522" i="1"/>
  <c r="P1521" i="1"/>
  <c r="O1521" i="1"/>
  <c r="P1520" i="1"/>
  <c r="O1520" i="1"/>
  <c r="P1519" i="1"/>
  <c r="O1519" i="1"/>
  <c r="P1518" i="1"/>
  <c r="O1518" i="1"/>
  <c r="P1517" i="1"/>
  <c r="O1517" i="1"/>
  <c r="P1516" i="1"/>
  <c r="O1516" i="1"/>
  <c r="P1515" i="1"/>
  <c r="O1515" i="1"/>
  <c r="P1514" i="1"/>
  <c r="O1514" i="1"/>
  <c r="P1513" i="1"/>
  <c r="O1513" i="1"/>
  <c r="P1512" i="1"/>
  <c r="O1512" i="1"/>
  <c r="P1511" i="1"/>
  <c r="O1511" i="1"/>
  <c r="P1510" i="1"/>
  <c r="O1510" i="1"/>
  <c r="P1509" i="1"/>
  <c r="O1509" i="1"/>
  <c r="P1508" i="1"/>
  <c r="O1508" i="1"/>
  <c r="P1507" i="1"/>
  <c r="O1507" i="1"/>
  <c r="P1506" i="1"/>
  <c r="O1506" i="1"/>
  <c r="P1505" i="1"/>
  <c r="O1505" i="1"/>
  <c r="P1504" i="1"/>
  <c r="O1504" i="1"/>
  <c r="P1503" i="1"/>
  <c r="O1503" i="1"/>
  <c r="P1502" i="1"/>
  <c r="O1502" i="1"/>
  <c r="P1501" i="1"/>
  <c r="O1501" i="1"/>
  <c r="P1500" i="1"/>
  <c r="O1500" i="1"/>
  <c r="P1499" i="1"/>
  <c r="O1499" i="1"/>
  <c r="P1498" i="1"/>
  <c r="O1498" i="1"/>
  <c r="P1497" i="1"/>
  <c r="O1497" i="1"/>
  <c r="P1496" i="1"/>
  <c r="O1496" i="1"/>
  <c r="P1495" i="1"/>
  <c r="O1495" i="1"/>
  <c r="P1494" i="1"/>
  <c r="O1494" i="1"/>
  <c r="P1493" i="1"/>
  <c r="O1493" i="1"/>
  <c r="P1492" i="1"/>
  <c r="O1492" i="1"/>
  <c r="P1491" i="1"/>
  <c r="O1491" i="1"/>
  <c r="P1490" i="1"/>
  <c r="O1490" i="1"/>
  <c r="P1489" i="1"/>
  <c r="O1489" i="1"/>
  <c r="P1488" i="1"/>
  <c r="O1488" i="1"/>
  <c r="P1487" i="1"/>
  <c r="O1487" i="1"/>
  <c r="P1486" i="1"/>
  <c r="O1486" i="1"/>
  <c r="P1485" i="1"/>
  <c r="O1485" i="1"/>
  <c r="P1484" i="1"/>
  <c r="O1484" i="1"/>
  <c r="P1483" i="1"/>
  <c r="O1483" i="1"/>
  <c r="P1482" i="1"/>
  <c r="O1482" i="1"/>
  <c r="P1481" i="1"/>
  <c r="O1481" i="1"/>
  <c r="P1480" i="1"/>
  <c r="O1480" i="1"/>
  <c r="P1479" i="1"/>
  <c r="O1479" i="1"/>
  <c r="P1478" i="1"/>
  <c r="O1478" i="1"/>
  <c r="P1477" i="1"/>
  <c r="O1477" i="1"/>
  <c r="P1476" i="1"/>
  <c r="O1476" i="1"/>
  <c r="P1475" i="1"/>
  <c r="O1475" i="1"/>
  <c r="P1474" i="1"/>
  <c r="O1474" i="1"/>
  <c r="P1473" i="1"/>
  <c r="O1473" i="1"/>
  <c r="P1472" i="1"/>
  <c r="O1472" i="1"/>
  <c r="P1471" i="1"/>
  <c r="O1471" i="1"/>
  <c r="P1470" i="1"/>
  <c r="O1470" i="1"/>
  <c r="P1469" i="1"/>
  <c r="O1469" i="1"/>
  <c r="P1468" i="1"/>
  <c r="O1468" i="1"/>
  <c r="P1467" i="1"/>
  <c r="O1467" i="1"/>
  <c r="P1466" i="1"/>
  <c r="O1466" i="1"/>
  <c r="P1465" i="1"/>
  <c r="O1465" i="1"/>
  <c r="P1464" i="1"/>
  <c r="O1464" i="1"/>
  <c r="P1463" i="1"/>
  <c r="O1463" i="1"/>
  <c r="P1462" i="1"/>
  <c r="O1462" i="1"/>
  <c r="P1461" i="1"/>
  <c r="O1461" i="1"/>
  <c r="P1460" i="1"/>
  <c r="O1460" i="1"/>
  <c r="P1459" i="1"/>
  <c r="O1459" i="1"/>
  <c r="P1458" i="1"/>
  <c r="O1458" i="1"/>
  <c r="P1457" i="1"/>
  <c r="O1457" i="1"/>
  <c r="P1456" i="1"/>
  <c r="O1456" i="1"/>
  <c r="P1455" i="1"/>
  <c r="O1455" i="1"/>
  <c r="P1454" i="1"/>
  <c r="O1454" i="1"/>
  <c r="P1453" i="1"/>
  <c r="O1453" i="1"/>
  <c r="P1452" i="1"/>
  <c r="O1452" i="1"/>
  <c r="P1451" i="1"/>
  <c r="O1451" i="1"/>
  <c r="P1450" i="1"/>
  <c r="O1450" i="1"/>
  <c r="P1449" i="1"/>
  <c r="O1449" i="1"/>
  <c r="P1448" i="1"/>
  <c r="O1448" i="1"/>
  <c r="P1447" i="1"/>
  <c r="O1447" i="1"/>
  <c r="P1446" i="1"/>
  <c r="O1446" i="1"/>
  <c r="P1445" i="1"/>
  <c r="O1445" i="1"/>
  <c r="P1444" i="1"/>
  <c r="O1444" i="1"/>
  <c r="P1443" i="1"/>
  <c r="O1443" i="1"/>
  <c r="P1442" i="1"/>
  <c r="O1442" i="1"/>
  <c r="P1441" i="1"/>
  <c r="O1441" i="1"/>
  <c r="P1440" i="1"/>
  <c r="O1440" i="1"/>
  <c r="P1439" i="1"/>
  <c r="O1439" i="1"/>
  <c r="P1438" i="1"/>
  <c r="O1438" i="1"/>
  <c r="P1437" i="1"/>
  <c r="O1437" i="1"/>
  <c r="P1436" i="1"/>
  <c r="O1436" i="1"/>
  <c r="P1435" i="1"/>
  <c r="O1435" i="1"/>
  <c r="P1434" i="1"/>
  <c r="O1434" i="1"/>
  <c r="P1433" i="1"/>
  <c r="O1433" i="1"/>
  <c r="P1432" i="1"/>
  <c r="O1432" i="1"/>
  <c r="P1431" i="1"/>
  <c r="O1431" i="1"/>
  <c r="P1430" i="1"/>
  <c r="O1430" i="1"/>
  <c r="P1429" i="1"/>
  <c r="O1429" i="1"/>
  <c r="P1428" i="1"/>
  <c r="O1428" i="1"/>
  <c r="P1427" i="1"/>
  <c r="O1427" i="1"/>
  <c r="P1426" i="1"/>
  <c r="O1426" i="1"/>
  <c r="P1425" i="1"/>
  <c r="O1425" i="1"/>
  <c r="P1424" i="1"/>
  <c r="O1424" i="1"/>
  <c r="P1423" i="1"/>
  <c r="O1423" i="1"/>
  <c r="P1422" i="1"/>
  <c r="O1422" i="1"/>
  <c r="P1421" i="1"/>
  <c r="O1421" i="1"/>
  <c r="P1420" i="1"/>
  <c r="O1420" i="1"/>
  <c r="P1419" i="1"/>
  <c r="O1419" i="1"/>
  <c r="P1418" i="1"/>
  <c r="O1418" i="1"/>
  <c r="P1417" i="1"/>
  <c r="O1417" i="1"/>
  <c r="P1416" i="1"/>
  <c r="O1416" i="1"/>
  <c r="P1415" i="1"/>
  <c r="O1415" i="1"/>
  <c r="P1414" i="1"/>
  <c r="O1414" i="1"/>
  <c r="P1413" i="1"/>
  <c r="O1413" i="1"/>
  <c r="P1412" i="1"/>
  <c r="O1412" i="1"/>
  <c r="P1411" i="1"/>
  <c r="O1411" i="1"/>
  <c r="P1410" i="1"/>
  <c r="O1410" i="1"/>
  <c r="P1409" i="1"/>
  <c r="O1409" i="1"/>
  <c r="P1408" i="1"/>
  <c r="O1408" i="1"/>
  <c r="P1407" i="1"/>
  <c r="O1407" i="1"/>
  <c r="P1406" i="1"/>
  <c r="O1406" i="1"/>
  <c r="P1405" i="1"/>
  <c r="O1405" i="1"/>
  <c r="P1404" i="1"/>
  <c r="O1404" i="1"/>
  <c r="P1403" i="1"/>
  <c r="O1403" i="1"/>
  <c r="P1402" i="1"/>
  <c r="O1402" i="1"/>
  <c r="P1401" i="1"/>
  <c r="O1401" i="1"/>
  <c r="P1400" i="1"/>
  <c r="O1400" i="1"/>
  <c r="P1399" i="1"/>
  <c r="O1399" i="1"/>
  <c r="P1398" i="1"/>
  <c r="O1398" i="1"/>
  <c r="P1397" i="1"/>
  <c r="O1397" i="1"/>
  <c r="P1396" i="1"/>
  <c r="O1396" i="1"/>
  <c r="P1395" i="1"/>
  <c r="O1395" i="1"/>
  <c r="P1394" i="1"/>
  <c r="O1394" i="1"/>
  <c r="P1393" i="1"/>
  <c r="O1393" i="1"/>
  <c r="P1392" i="1"/>
  <c r="O1392" i="1"/>
  <c r="P1391" i="1"/>
  <c r="O1391" i="1"/>
  <c r="P1390" i="1"/>
  <c r="O1390" i="1"/>
  <c r="P1389" i="1"/>
  <c r="O1389" i="1"/>
  <c r="P1388" i="1"/>
  <c r="O1388" i="1"/>
  <c r="P1387" i="1"/>
  <c r="O1387" i="1"/>
  <c r="P1386" i="1"/>
  <c r="O1386" i="1"/>
  <c r="P1385" i="1"/>
  <c r="O1385" i="1"/>
  <c r="P1384" i="1"/>
  <c r="O1384" i="1"/>
  <c r="P1383" i="1"/>
  <c r="O1383" i="1"/>
  <c r="P1382" i="1"/>
  <c r="O1382" i="1"/>
  <c r="P1381" i="1"/>
  <c r="O1381" i="1"/>
  <c r="P1380" i="1"/>
  <c r="O1380" i="1"/>
  <c r="P1379" i="1"/>
  <c r="O1379" i="1"/>
  <c r="P1378" i="1"/>
  <c r="O1378" i="1"/>
  <c r="P1377" i="1"/>
  <c r="O1377" i="1"/>
  <c r="P1376" i="1"/>
  <c r="O1376" i="1"/>
  <c r="P1375" i="1"/>
  <c r="O1375" i="1"/>
  <c r="P1374" i="1"/>
  <c r="O1374" i="1"/>
  <c r="P1373" i="1"/>
  <c r="O1373" i="1"/>
  <c r="P1372" i="1"/>
  <c r="O1372" i="1"/>
  <c r="P1371" i="1"/>
  <c r="O1371" i="1"/>
  <c r="P1370" i="1"/>
  <c r="O1370" i="1"/>
  <c r="P1369" i="1"/>
  <c r="O1369" i="1"/>
  <c r="P1368" i="1"/>
  <c r="O1368" i="1"/>
  <c r="P1367" i="1"/>
  <c r="O1367" i="1"/>
  <c r="P1366" i="1"/>
  <c r="O1366" i="1"/>
  <c r="P1365" i="1"/>
  <c r="O1365" i="1"/>
  <c r="P1364" i="1"/>
  <c r="O1364" i="1"/>
  <c r="P1363" i="1"/>
  <c r="O1363" i="1"/>
  <c r="P1362" i="1"/>
  <c r="O1362" i="1"/>
  <c r="P1361" i="1"/>
  <c r="O1361" i="1"/>
  <c r="P1360" i="1"/>
  <c r="O1360" i="1"/>
  <c r="P1359" i="1"/>
  <c r="O1359" i="1"/>
  <c r="P1358" i="1"/>
  <c r="O1358" i="1"/>
  <c r="P1357" i="1"/>
  <c r="O1357" i="1"/>
  <c r="P1356" i="1"/>
  <c r="O1356" i="1"/>
  <c r="P1355" i="1"/>
  <c r="O1355" i="1"/>
  <c r="P1354" i="1"/>
  <c r="O1354" i="1"/>
  <c r="P1353" i="1"/>
  <c r="O1353" i="1"/>
  <c r="P1352" i="1"/>
  <c r="O1352" i="1"/>
  <c r="P1351" i="1"/>
  <c r="O1351" i="1"/>
  <c r="P1350" i="1"/>
  <c r="O1350" i="1"/>
  <c r="P1349" i="1"/>
  <c r="O1349" i="1"/>
  <c r="P1348" i="1"/>
  <c r="O1348" i="1"/>
  <c r="P1347" i="1"/>
  <c r="O1347" i="1"/>
  <c r="P1346" i="1"/>
  <c r="O1346" i="1"/>
  <c r="P1345" i="1"/>
  <c r="O1345" i="1"/>
  <c r="P1344" i="1"/>
  <c r="O1344" i="1"/>
  <c r="P1343" i="1"/>
  <c r="O1343" i="1"/>
  <c r="P1342" i="1"/>
  <c r="O1342" i="1"/>
  <c r="P1341" i="1"/>
  <c r="O1341" i="1"/>
  <c r="P1340" i="1"/>
  <c r="O1340" i="1"/>
  <c r="P1339" i="1"/>
  <c r="O1339" i="1"/>
  <c r="P1338" i="1"/>
  <c r="O1338" i="1"/>
  <c r="P1337" i="1"/>
  <c r="O1337" i="1"/>
  <c r="P1336" i="1"/>
  <c r="O1336" i="1"/>
  <c r="P1335" i="1"/>
  <c r="O1335" i="1"/>
  <c r="P1334" i="1"/>
  <c r="O1334" i="1"/>
  <c r="P1333" i="1"/>
  <c r="O1333" i="1"/>
  <c r="P1332" i="1"/>
  <c r="O1332" i="1"/>
  <c r="P1331" i="1"/>
  <c r="O1331" i="1"/>
  <c r="P1330" i="1"/>
  <c r="O1330" i="1"/>
  <c r="P1329" i="1"/>
  <c r="O1329" i="1"/>
  <c r="P1328" i="1"/>
  <c r="O1328" i="1"/>
  <c r="P1327" i="1"/>
  <c r="O1327" i="1"/>
  <c r="P1326" i="1"/>
  <c r="O1326" i="1"/>
  <c r="P1325" i="1"/>
  <c r="O1325" i="1"/>
  <c r="P1324" i="1"/>
  <c r="O1324" i="1"/>
  <c r="P1323" i="1"/>
  <c r="O1323" i="1"/>
  <c r="P1322" i="1"/>
  <c r="O1322" i="1"/>
  <c r="P1321" i="1"/>
  <c r="O1321" i="1"/>
  <c r="P1320" i="1"/>
  <c r="O1320" i="1"/>
  <c r="P1319" i="1"/>
  <c r="O1319" i="1"/>
  <c r="P1318" i="1"/>
  <c r="O1318" i="1"/>
  <c r="P1317" i="1"/>
  <c r="O1317" i="1"/>
  <c r="P1316" i="1"/>
  <c r="O1316" i="1"/>
  <c r="P1315" i="1"/>
  <c r="O1315" i="1"/>
  <c r="P1314" i="1"/>
  <c r="O1314" i="1"/>
  <c r="P1313" i="1"/>
  <c r="O1313" i="1"/>
  <c r="P1312" i="1"/>
  <c r="O1312" i="1"/>
  <c r="P1311" i="1"/>
  <c r="O1311" i="1"/>
  <c r="P1310" i="1"/>
  <c r="O1310" i="1"/>
  <c r="P1309" i="1"/>
  <c r="O1309" i="1"/>
  <c r="P1308" i="1"/>
  <c r="O1308" i="1"/>
  <c r="P1307" i="1"/>
  <c r="O1307" i="1"/>
  <c r="P1306" i="1"/>
  <c r="O1306" i="1"/>
  <c r="P1305" i="1"/>
  <c r="O1305" i="1"/>
  <c r="P1304" i="1"/>
  <c r="O1304" i="1"/>
  <c r="P1303" i="1"/>
  <c r="O1303" i="1"/>
  <c r="P1302" i="1"/>
  <c r="O1302" i="1"/>
  <c r="P1301" i="1"/>
  <c r="O1301" i="1"/>
  <c r="P1300" i="1"/>
  <c r="O1300" i="1"/>
  <c r="P1299" i="1"/>
  <c r="O1299" i="1"/>
  <c r="P1298" i="1"/>
  <c r="O1298" i="1"/>
  <c r="P1297" i="1"/>
  <c r="O1297" i="1"/>
  <c r="P1296" i="1"/>
  <c r="O1296" i="1"/>
  <c r="P1295" i="1"/>
  <c r="O1295" i="1"/>
  <c r="P1294" i="1"/>
  <c r="O1294" i="1"/>
  <c r="P1293" i="1"/>
  <c r="O1293" i="1"/>
  <c r="P1292" i="1"/>
  <c r="O1292" i="1"/>
  <c r="P1291" i="1"/>
  <c r="O1291" i="1"/>
  <c r="P1290" i="1"/>
  <c r="O1290" i="1"/>
  <c r="P1289" i="1"/>
  <c r="O1289" i="1"/>
  <c r="P1288" i="1"/>
  <c r="O1288" i="1"/>
  <c r="P1287" i="1"/>
  <c r="O1287" i="1"/>
  <c r="P1286" i="1"/>
  <c r="O1286" i="1"/>
  <c r="P1285" i="1"/>
  <c r="O1285" i="1"/>
  <c r="P1284" i="1"/>
  <c r="O1284" i="1"/>
  <c r="P1283" i="1"/>
  <c r="O1283" i="1"/>
  <c r="P1282" i="1"/>
  <c r="O1282" i="1"/>
  <c r="P1281" i="1"/>
  <c r="O1281" i="1"/>
  <c r="P1280" i="1"/>
  <c r="O1280" i="1"/>
  <c r="P1279" i="1"/>
  <c r="O1279" i="1"/>
  <c r="P1278" i="1"/>
  <c r="O1278" i="1"/>
  <c r="P1277" i="1"/>
  <c r="O1277" i="1"/>
  <c r="P1276" i="1"/>
  <c r="O1276" i="1"/>
  <c r="P1275" i="1"/>
  <c r="O1275" i="1"/>
  <c r="P1274" i="1"/>
  <c r="O1274" i="1"/>
  <c r="P1273" i="1"/>
  <c r="O1273" i="1"/>
  <c r="P1272" i="1"/>
  <c r="O1272" i="1"/>
  <c r="P1271" i="1"/>
  <c r="O1271" i="1"/>
  <c r="P1270" i="1"/>
  <c r="O1270" i="1"/>
  <c r="P1269" i="1"/>
  <c r="O1269" i="1"/>
  <c r="P1268" i="1"/>
  <c r="O1268" i="1"/>
  <c r="P1267" i="1"/>
  <c r="O1267" i="1"/>
  <c r="P1266" i="1"/>
  <c r="O1266" i="1"/>
  <c r="P1265" i="1"/>
  <c r="O1265" i="1"/>
  <c r="P1264" i="1"/>
  <c r="O1264" i="1"/>
  <c r="P1263" i="1"/>
  <c r="O1263" i="1"/>
  <c r="P1262" i="1"/>
  <c r="O1262" i="1"/>
  <c r="P1261" i="1"/>
  <c r="O1261" i="1"/>
  <c r="P1260" i="1"/>
  <c r="O1260" i="1"/>
  <c r="P1259" i="1"/>
  <c r="O1259" i="1"/>
  <c r="P1258" i="1"/>
  <c r="O1258" i="1"/>
  <c r="P1257" i="1"/>
  <c r="O1257" i="1"/>
  <c r="P1256" i="1"/>
  <c r="O1256" i="1"/>
  <c r="P1255" i="1"/>
  <c r="O1255" i="1"/>
  <c r="P1254" i="1"/>
  <c r="O1254" i="1"/>
  <c r="P1253" i="1"/>
  <c r="O1253" i="1"/>
  <c r="P1252" i="1"/>
  <c r="O1252" i="1"/>
  <c r="P1251" i="1"/>
  <c r="O1251" i="1"/>
  <c r="P1250" i="1"/>
  <c r="O1250" i="1"/>
  <c r="P1249" i="1"/>
  <c r="O1249" i="1"/>
  <c r="P1248" i="1"/>
  <c r="O1248" i="1"/>
  <c r="P1247" i="1"/>
  <c r="O1247" i="1"/>
  <c r="P1246" i="1"/>
  <c r="O1246" i="1"/>
  <c r="P1245" i="1"/>
  <c r="O1245" i="1"/>
  <c r="P1244" i="1"/>
  <c r="O1244" i="1"/>
  <c r="P1243" i="1"/>
  <c r="O1243" i="1"/>
  <c r="P1242" i="1"/>
  <c r="O1242" i="1"/>
  <c r="P1241" i="1"/>
  <c r="O1241" i="1"/>
  <c r="P1240" i="1"/>
  <c r="O1240" i="1"/>
  <c r="P1239" i="1"/>
  <c r="O1239" i="1"/>
  <c r="P1238" i="1"/>
  <c r="O1238" i="1"/>
  <c r="P1237" i="1"/>
  <c r="O1237" i="1"/>
  <c r="P1236" i="1"/>
  <c r="O1236" i="1"/>
  <c r="P1235" i="1"/>
  <c r="O1235" i="1"/>
  <c r="P1234" i="1"/>
  <c r="O1234" i="1"/>
  <c r="P1233" i="1"/>
  <c r="O1233" i="1"/>
  <c r="P1232" i="1"/>
  <c r="O1232" i="1"/>
  <c r="P1231" i="1"/>
  <c r="O1231" i="1"/>
  <c r="P1230" i="1"/>
  <c r="O1230" i="1"/>
  <c r="P1229" i="1"/>
  <c r="O1229" i="1"/>
  <c r="P1228" i="1"/>
  <c r="O1228" i="1"/>
  <c r="P1227" i="1"/>
  <c r="O1227" i="1"/>
  <c r="P1226" i="1"/>
  <c r="O1226" i="1"/>
  <c r="P1225" i="1"/>
  <c r="O1225" i="1"/>
  <c r="P1224" i="1"/>
  <c r="O1224" i="1"/>
  <c r="P1223" i="1"/>
  <c r="O1223" i="1"/>
  <c r="P1222" i="1"/>
  <c r="O1222" i="1"/>
  <c r="P1221" i="1"/>
  <c r="O1221" i="1"/>
  <c r="P1220" i="1"/>
  <c r="O1220" i="1"/>
  <c r="P1219" i="1"/>
  <c r="O1219" i="1"/>
  <c r="P1218" i="1"/>
  <c r="O1218" i="1"/>
  <c r="P1217" i="1"/>
  <c r="O1217" i="1"/>
  <c r="P1216" i="1"/>
  <c r="O1216" i="1"/>
  <c r="P1215" i="1"/>
  <c r="O1215" i="1"/>
  <c r="P1214" i="1"/>
  <c r="O1214" i="1"/>
  <c r="P1213" i="1"/>
  <c r="O1213" i="1"/>
  <c r="P1212" i="1"/>
  <c r="O1212" i="1"/>
  <c r="P1211" i="1"/>
  <c r="O1211" i="1"/>
  <c r="P1210" i="1"/>
  <c r="O1210" i="1"/>
  <c r="P1209" i="1"/>
  <c r="O1209" i="1"/>
  <c r="P1208" i="1"/>
  <c r="O1208" i="1"/>
  <c r="P1207" i="1"/>
  <c r="O1207" i="1"/>
  <c r="P1206" i="1"/>
  <c r="O1206" i="1"/>
  <c r="P1205" i="1"/>
  <c r="O1205" i="1"/>
  <c r="P1204" i="1"/>
  <c r="O1204" i="1"/>
  <c r="P1203" i="1"/>
  <c r="O1203" i="1"/>
  <c r="P1202" i="1"/>
  <c r="O1202" i="1"/>
  <c r="P1201" i="1"/>
  <c r="O1201" i="1"/>
  <c r="P1200" i="1"/>
  <c r="O1200" i="1"/>
  <c r="P1199" i="1"/>
  <c r="O1199" i="1"/>
  <c r="P1198" i="1"/>
  <c r="O1198" i="1"/>
  <c r="P1197" i="1"/>
  <c r="O1197" i="1"/>
  <c r="P1196" i="1"/>
  <c r="O1196" i="1"/>
  <c r="P1195" i="1"/>
  <c r="O1195" i="1"/>
  <c r="P1194" i="1"/>
  <c r="O1194" i="1"/>
  <c r="P1193" i="1"/>
  <c r="O1193" i="1"/>
  <c r="P1192" i="1"/>
  <c r="O1192" i="1"/>
  <c r="P1191" i="1"/>
  <c r="O1191" i="1"/>
  <c r="P1190" i="1"/>
  <c r="O1190" i="1"/>
  <c r="P1189" i="1"/>
  <c r="O1189" i="1"/>
  <c r="P1188" i="1"/>
  <c r="O1188" i="1"/>
  <c r="P1187" i="1"/>
  <c r="O1187" i="1"/>
  <c r="P1186" i="1"/>
  <c r="O1186" i="1"/>
  <c r="P1185" i="1"/>
  <c r="O1185" i="1"/>
  <c r="P1184" i="1"/>
  <c r="O1184" i="1"/>
  <c r="P1183" i="1"/>
  <c r="O1183" i="1"/>
  <c r="P1182" i="1"/>
  <c r="O1182" i="1"/>
  <c r="P1181" i="1"/>
  <c r="O1181" i="1"/>
  <c r="P1180" i="1"/>
  <c r="O1180" i="1"/>
  <c r="P1179" i="1"/>
  <c r="O1179" i="1"/>
  <c r="P1178" i="1"/>
  <c r="O1178" i="1"/>
  <c r="P1177" i="1"/>
  <c r="O1177" i="1"/>
  <c r="P1176" i="1"/>
  <c r="O1176" i="1"/>
  <c r="P1175" i="1"/>
  <c r="O1175" i="1"/>
  <c r="P1174" i="1"/>
  <c r="O1174" i="1"/>
  <c r="P1173" i="1"/>
  <c r="O1173" i="1"/>
  <c r="P1172" i="1"/>
  <c r="O1172" i="1"/>
  <c r="P1171" i="1"/>
  <c r="O1171" i="1"/>
  <c r="P1170" i="1"/>
  <c r="O1170" i="1"/>
  <c r="P1169" i="1"/>
  <c r="O1169" i="1"/>
  <c r="P1168" i="1"/>
  <c r="O1168" i="1"/>
  <c r="P1167" i="1"/>
  <c r="O1167" i="1"/>
  <c r="P1166" i="1"/>
  <c r="O1166" i="1"/>
  <c r="P1165" i="1"/>
  <c r="O1165" i="1"/>
  <c r="P1164" i="1"/>
  <c r="O1164" i="1"/>
  <c r="P1163" i="1"/>
  <c r="O1163" i="1"/>
  <c r="P1162" i="1"/>
  <c r="O1162" i="1"/>
  <c r="P1161" i="1"/>
  <c r="O1161" i="1"/>
  <c r="P1160" i="1"/>
  <c r="O1160" i="1"/>
  <c r="P1159" i="1"/>
  <c r="O1159" i="1"/>
  <c r="P1158" i="1"/>
  <c r="O1158" i="1"/>
  <c r="P1157" i="1"/>
  <c r="O1157" i="1"/>
  <c r="P1156" i="1"/>
  <c r="O1156" i="1"/>
  <c r="P1155" i="1"/>
  <c r="O1155" i="1"/>
  <c r="P1154" i="1"/>
  <c r="O1154" i="1"/>
  <c r="P1153" i="1"/>
  <c r="O1153" i="1"/>
  <c r="P1152" i="1"/>
  <c r="O1152" i="1"/>
  <c r="P1151" i="1"/>
  <c r="O1151" i="1"/>
  <c r="P1150" i="1"/>
  <c r="O1150" i="1"/>
  <c r="P1149" i="1"/>
  <c r="O1149" i="1"/>
  <c r="P1148" i="1"/>
  <c r="O1148" i="1"/>
  <c r="P1147" i="1"/>
  <c r="O1147" i="1"/>
  <c r="P1146" i="1"/>
  <c r="O1146" i="1"/>
  <c r="P1145" i="1"/>
  <c r="O1145" i="1"/>
  <c r="P1144" i="1"/>
  <c r="O1144" i="1"/>
  <c r="P1143" i="1"/>
  <c r="O1143" i="1"/>
  <c r="P1142" i="1"/>
  <c r="O1142" i="1"/>
  <c r="P1141" i="1"/>
  <c r="O1141" i="1"/>
  <c r="P1140" i="1"/>
  <c r="O1140" i="1"/>
  <c r="P1139" i="1"/>
  <c r="O1139" i="1"/>
  <c r="P1138" i="1"/>
  <c r="O1138" i="1"/>
  <c r="P1137" i="1"/>
  <c r="O1137" i="1"/>
  <c r="P1136" i="1"/>
  <c r="O1136" i="1"/>
  <c r="P1135" i="1"/>
  <c r="O1135" i="1"/>
  <c r="P1134" i="1"/>
  <c r="O1134" i="1"/>
  <c r="P1133" i="1"/>
  <c r="O1133" i="1"/>
  <c r="P1132" i="1"/>
  <c r="O1132" i="1"/>
  <c r="P1131" i="1"/>
  <c r="O1131" i="1"/>
  <c r="P1130" i="1"/>
  <c r="O1130" i="1"/>
  <c r="P1129" i="1"/>
  <c r="O1129" i="1"/>
  <c r="P1128" i="1"/>
  <c r="O1128" i="1"/>
  <c r="P1127" i="1"/>
  <c r="O1127" i="1"/>
  <c r="P1126" i="1"/>
  <c r="O1126" i="1"/>
  <c r="P1125" i="1"/>
  <c r="O1125" i="1"/>
  <c r="P1124" i="1"/>
  <c r="O1124" i="1"/>
  <c r="P1123" i="1"/>
  <c r="O1123" i="1"/>
  <c r="P1122" i="1"/>
  <c r="O1122" i="1"/>
  <c r="P1121" i="1"/>
  <c r="O1121" i="1"/>
  <c r="P1120" i="1"/>
  <c r="O1120" i="1"/>
  <c r="P1119" i="1"/>
  <c r="O1119" i="1"/>
  <c r="P1118" i="1"/>
  <c r="O1118" i="1"/>
  <c r="P1117" i="1"/>
  <c r="O1117" i="1"/>
  <c r="P1116" i="1"/>
  <c r="O1116" i="1"/>
  <c r="P1115" i="1"/>
  <c r="O1115" i="1"/>
  <c r="P1114" i="1"/>
  <c r="O1114" i="1"/>
  <c r="P1113" i="1"/>
  <c r="O1113" i="1"/>
  <c r="P1112" i="1"/>
  <c r="O1112" i="1"/>
  <c r="P1111" i="1"/>
  <c r="O1111" i="1"/>
  <c r="P1110" i="1"/>
  <c r="O1110" i="1"/>
  <c r="P1109" i="1"/>
  <c r="O1109" i="1"/>
  <c r="P1108" i="1"/>
  <c r="O1108" i="1"/>
  <c r="P1107" i="1"/>
  <c r="O1107" i="1"/>
  <c r="P1106" i="1"/>
  <c r="O1106" i="1"/>
  <c r="P1105" i="1"/>
  <c r="O1105" i="1"/>
  <c r="P1104" i="1"/>
  <c r="O1104" i="1"/>
  <c r="P1103" i="1"/>
  <c r="O1103" i="1"/>
  <c r="P1102" i="1"/>
  <c r="O1102" i="1"/>
  <c r="P1101" i="1"/>
  <c r="O1101" i="1"/>
  <c r="P1100" i="1"/>
  <c r="O1100" i="1"/>
  <c r="P1099" i="1"/>
  <c r="O1099" i="1"/>
  <c r="P1098" i="1"/>
  <c r="O1098" i="1"/>
  <c r="P1097" i="1"/>
  <c r="O1097" i="1"/>
  <c r="P1096" i="1"/>
  <c r="O1096" i="1"/>
  <c r="P1095" i="1"/>
  <c r="O1095" i="1"/>
  <c r="P1094" i="1"/>
  <c r="O1094" i="1"/>
  <c r="P1093" i="1"/>
  <c r="O1093" i="1"/>
  <c r="P1092" i="1"/>
  <c r="O1092" i="1"/>
  <c r="P1091" i="1"/>
  <c r="O1091" i="1"/>
  <c r="P1090" i="1"/>
  <c r="O1090" i="1"/>
  <c r="P1089" i="1"/>
  <c r="O1089" i="1"/>
  <c r="P1088" i="1"/>
  <c r="O1088" i="1"/>
  <c r="P1087" i="1"/>
  <c r="O1087" i="1"/>
  <c r="P1086" i="1"/>
  <c r="O1086" i="1"/>
  <c r="P1085" i="1"/>
  <c r="O1085" i="1"/>
  <c r="P1084" i="1"/>
  <c r="O1084" i="1"/>
  <c r="P1083" i="1"/>
  <c r="O1083" i="1"/>
  <c r="P1082" i="1"/>
  <c r="O1082" i="1"/>
  <c r="P1081" i="1"/>
  <c r="O1081" i="1"/>
  <c r="P1080" i="1"/>
  <c r="O1080" i="1"/>
  <c r="P1079" i="1"/>
  <c r="O1079" i="1"/>
  <c r="P1078" i="1"/>
  <c r="O1078" i="1"/>
  <c r="P1077" i="1"/>
  <c r="O1077" i="1"/>
  <c r="P1076" i="1"/>
  <c r="O1076" i="1"/>
  <c r="P1075" i="1"/>
  <c r="O1075" i="1"/>
  <c r="P1074" i="1"/>
  <c r="O1074" i="1"/>
  <c r="P1073" i="1"/>
  <c r="O1073" i="1"/>
  <c r="P1072" i="1"/>
  <c r="O1072" i="1"/>
  <c r="P1071" i="1"/>
  <c r="O1071" i="1"/>
  <c r="P1070" i="1"/>
  <c r="O1070" i="1"/>
  <c r="P1069" i="1"/>
  <c r="O1069" i="1"/>
  <c r="P1068" i="1"/>
  <c r="O1068" i="1"/>
  <c r="P1067" i="1"/>
  <c r="O1067" i="1"/>
  <c r="P1066" i="1"/>
  <c r="O1066" i="1"/>
  <c r="P1065" i="1"/>
  <c r="O1065" i="1"/>
  <c r="P1064" i="1"/>
  <c r="O1064" i="1"/>
  <c r="P1063" i="1"/>
  <c r="O1063" i="1"/>
  <c r="P1062" i="1"/>
  <c r="O1062" i="1"/>
  <c r="P1061" i="1"/>
  <c r="O1061" i="1"/>
  <c r="P1060" i="1"/>
  <c r="O1060" i="1"/>
  <c r="P1059" i="1"/>
  <c r="O1059" i="1"/>
  <c r="P1058" i="1"/>
  <c r="O1058" i="1"/>
  <c r="P1057" i="1"/>
  <c r="O1057" i="1"/>
  <c r="P1056" i="1"/>
  <c r="O1056" i="1"/>
  <c r="P1055" i="1"/>
  <c r="O1055" i="1"/>
  <c r="P1054" i="1"/>
  <c r="O1054" i="1"/>
  <c r="P1053" i="1"/>
  <c r="O1053" i="1"/>
  <c r="P1052" i="1"/>
  <c r="O1052" i="1"/>
  <c r="P1051" i="1"/>
  <c r="O1051" i="1"/>
  <c r="P1050" i="1"/>
  <c r="O1050" i="1"/>
  <c r="P1049" i="1"/>
  <c r="O1049" i="1"/>
  <c r="P1048" i="1"/>
  <c r="O1048" i="1"/>
  <c r="P1047" i="1"/>
  <c r="O1047" i="1"/>
  <c r="P1046" i="1"/>
  <c r="O1046" i="1"/>
  <c r="P1045" i="1"/>
  <c r="O1045" i="1"/>
  <c r="P1044" i="1"/>
  <c r="O1044" i="1"/>
  <c r="P1043" i="1"/>
  <c r="O1043" i="1"/>
  <c r="P1042" i="1"/>
  <c r="O1042" i="1"/>
  <c r="P1041" i="1"/>
  <c r="O1041" i="1"/>
  <c r="P1040" i="1"/>
  <c r="O1040" i="1"/>
  <c r="P1039" i="1"/>
  <c r="O1039" i="1"/>
  <c r="P1038" i="1"/>
  <c r="O1038" i="1"/>
  <c r="P1037" i="1"/>
  <c r="O1037" i="1"/>
  <c r="P1036" i="1"/>
  <c r="O1036" i="1"/>
  <c r="P1035" i="1"/>
  <c r="O1035" i="1"/>
  <c r="P1034" i="1"/>
  <c r="O1034" i="1"/>
  <c r="P1033" i="1"/>
  <c r="O1033" i="1"/>
  <c r="P1032" i="1"/>
  <c r="O1032" i="1"/>
  <c r="P1031" i="1"/>
  <c r="O1031" i="1"/>
  <c r="P1030" i="1"/>
  <c r="O1030" i="1"/>
  <c r="P1029" i="1"/>
  <c r="O1029" i="1"/>
  <c r="P1028" i="1"/>
  <c r="O1028" i="1"/>
  <c r="P1027" i="1"/>
  <c r="O1027" i="1"/>
  <c r="P1026" i="1"/>
  <c r="O1026" i="1"/>
  <c r="P1025" i="1"/>
  <c r="O1025" i="1"/>
  <c r="P1024" i="1"/>
  <c r="O1024" i="1"/>
  <c r="P1023" i="1"/>
  <c r="O1023" i="1"/>
  <c r="P1022" i="1"/>
  <c r="O1022" i="1"/>
  <c r="P1021" i="1"/>
  <c r="O1021" i="1"/>
  <c r="P1020" i="1"/>
  <c r="O1020" i="1"/>
  <c r="P1019" i="1"/>
  <c r="O1019" i="1"/>
  <c r="P1018" i="1"/>
  <c r="O1018" i="1"/>
  <c r="P1017" i="1"/>
  <c r="O1017" i="1"/>
  <c r="P1016" i="1"/>
  <c r="O1016" i="1"/>
  <c r="P1015" i="1"/>
  <c r="O1015" i="1"/>
  <c r="P1014" i="1"/>
  <c r="O1014" i="1"/>
  <c r="P1013" i="1"/>
  <c r="O1013" i="1"/>
  <c r="P1012" i="1"/>
  <c r="O1012" i="1"/>
  <c r="P1011" i="1"/>
  <c r="O1011" i="1"/>
  <c r="P1010" i="1"/>
  <c r="O1010" i="1"/>
  <c r="P1009" i="1"/>
  <c r="O1009" i="1"/>
  <c r="P1008" i="1"/>
  <c r="O1008" i="1"/>
  <c r="P1007" i="1"/>
  <c r="O1007" i="1"/>
  <c r="P1006" i="1"/>
  <c r="O1006" i="1"/>
  <c r="P1005" i="1"/>
  <c r="O1005" i="1"/>
  <c r="P1004" i="1"/>
  <c r="O1004" i="1"/>
  <c r="P1003" i="1"/>
  <c r="O1003" i="1"/>
  <c r="P1002" i="1"/>
  <c r="O1002" i="1"/>
  <c r="P1001" i="1"/>
  <c r="O1001" i="1"/>
  <c r="P1000" i="1"/>
  <c r="O1000" i="1"/>
  <c r="P999" i="1"/>
  <c r="O999" i="1"/>
  <c r="P998" i="1"/>
  <c r="O998" i="1"/>
  <c r="P997" i="1"/>
  <c r="O997" i="1"/>
  <c r="P996" i="1"/>
  <c r="O996" i="1"/>
  <c r="P995" i="1"/>
  <c r="O995" i="1"/>
  <c r="P994" i="1"/>
  <c r="O994" i="1"/>
  <c r="P993" i="1"/>
  <c r="O993" i="1"/>
  <c r="P992" i="1"/>
  <c r="O992" i="1"/>
  <c r="P991" i="1"/>
  <c r="O991" i="1"/>
  <c r="P990" i="1"/>
  <c r="O990" i="1"/>
  <c r="P989" i="1"/>
  <c r="O989" i="1"/>
  <c r="P988" i="1"/>
  <c r="O988" i="1"/>
  <c r="P987" i="1"/>
  <c r="O987" i="1"/>
  <c r="P986" i="1"/>
  <c r="O986" i="1"/>
  <c r="P985" i="1"/>
  <c r="O985" i="1"/>
  <c r="P984" i="1"/>
  <c r="O984" i="1"/>
  <c r="P983" i="1"/>
  <c r="O983" i="1"/>
  <c r="P982" i="1"/>
  <c r="O982" i="1"/>
  <c r="P981" i="1"/>
  <c r="O981" i="1"/>
  <c r="P980" i="1"/>
  <c r="O980" i="1"/>
  <c r="P979" i="1"/>
  <c r="O979" i="1"/>
  <c r="P978" i="1"/>
  <c r="O978" i="1"/>
  <c r="P977" i="1"/>
  <c r="O977" i="1"/>
  <c r="P976" i="1"/>
  <c r="O976" i="1"/>
  <c r="P975" i="1"/>
  <c r="O975" i="1"/>
  <c r="P974" i="1"/>
  <c r="O974" i="1"/>
  <c r="P973" i="1"/>
  <c r="O973" i="1"/>
  <c r="P972" i="1"/>
  <c r="O972" i="1"/>
  <c r="P971" i="1"/>
  <c r="O971" i="1"/>
  <c r="P970" i="1"/>
  <c r="O970" i="1"/>
  <c r="P969" i="1"/>
  <c r="O969" i="1"/>
  <c r="P968" i="1"/>
  <c r="O968" i="1"/>
  <c r="P967" i="1"/>
  <c r="O967" i="1"/>
  <c r="P966" i="1"/>
  <c r="O966" i="1"/>
  <c r="P965" i="1"/>
  <c r="O965" i="1"/>
  <c r="P964" i="1"/>
  <c r="O964" i="1"/>
  <c r="P963" i="1"/>
  <c r="O963" i="1"/>
  <c r="P962" i="1"/>
  <c r="O962" i="1"/>
  <c r="P961" i="1"/>
  <c r="O961" i="1"/>
  <c r="P960" i="1"/>
  <c r="O960" i="1"/>
  <c r="P959" i="1"/>
  <c r="O959" i="1"/>
  <c r="P958" i="1"/>
  <c r="O958" i="1"/>
  <c r="P957" i="1"/>
  <c r="O957" i="1"/>
  <c r="P956" i="1"/>
  <c r="O956" i="1"/>
  <c r="P955" i="1"/>
  <c r="O955" i="1"/>
  <c r="P954" i="1"/>
  <c r="O954" i="1"/>
  <c r="P953" i="1"/>
  <c r="O953" i="1"/>
  <c r="P952" i="1"/>
  <c r="O952" i="1"/>
  <c r="P951" i="1"/>
  <c r="O951" i="1"/>
  <c r="P950" i="1"/>
  <c r="O950" i="1"/>
  <c r="P949" i="1"/>
  <c r="O949" i="1"/>
  <c r="P948" i="1"/>
  <c r="O948" i="1"/>
  <c r="P947" i="1"/>
  <c r="O947" i="1"/>
  <c r="P946" i="1"/>
  <c r="O946" i="1"/>
  <c r="P945" i="1"/>
  <c r="O945" i="1"/>
  <c r="P944" i="1"/>
  <c r="O944" i="1"/>
  <c r="P943" i="1"/>
  <c r="O943" i="1"/>
  <c r="P942" i="1"/>
  <c r="O942" i="1"/>
  <c r="P941" i="1"/>
  <c r="O941" i="1"/>
  <c r="P940" i="1"/>
  <c r="O940" i="1"/>
  <c r="P939" i="1"/>
  <c r="O939" i="1"/>
  <c r="P938" i="1"/>
  <c r="O938" i="1"/>
  <c r="P937" i="1"/>
  <c r="O937" i="1"/>
  <c r="P936" i="1"/>
  <c r="O936" i="1"/>
  <c r="P935" i="1"/>
  <c r="O935" i="1"/>
  <c r="P934" i="1"/>
  <c r="O934" i="1"/>
  <c r="P933" i="1"/>
  <c r="O933" i="1"/>
  <c r="P932" i="1"/>
  <c r="O932" i="1"/>
  <c r="P931" i="1"/>
  <c r="O931" i="1"/>
  <c r="P930" i="1"/>
  <c r="O930" i="1"/>
  <c r="P929" i="1"/>
  <c r="O929" i="1"/>
  <c r="P928" i="1"/>
  <c r="O928" i="1"/>
  <c r="P927" i="1"/>
  <c r="O927" i="1"/>
  <c r="P926" i="1"/>
  <c r="O926" i="1"/>
  <c r="P925" i="1"/>
  <c r="O925" i="1"/>
  <c r="P924" i="1"/>
  <c r="O924" i="1"/>
  <c r="P923" i="1"/>
  <c r="O923" i="1"/>
  <c r="P922" i="1"/>
  <c r="O922" i="1"/>
  <c r="P921" i="1"/>
  <c r="O921" i="1"/>
  <c r="P920" i="1"/>
  <c r="O920" i="1"/>
  <c r="P919" i="1"/>
  <c r="O919" i="1"/>
  <c r="P918" i="1"/>
  <c r="O918" i="1"/>
  <c r="P917" i="1"/>
  <c r="O917" i="1"/>
  <c r="P916" i="1"/>
  <c r="O916" i="1"/>
  <c r="P915" i="1"/>
  <c r="O915" i="1"/>
  <c r="P914" i="1"/>
  <c r="O914" i="1"/>
  <c r="P913" i="1"/>
  <c r="O913" i="1"/>
  <c r="P912" i="1"/>
  <c r="O912" i="1"/>
  <c r="P911" i="1"/>
  <c r="O911" i="1"/>
  <c r="P910" i="1"/>
  <c r="O910" i="1"/>
  <c r="P909" i="1"/>
  <c r="O909" i="1"/>
  <c r="P908" i="1"/>
  <c r="O908" i="1"/>
  <c r="P907" i="1"/>
  <c r="O907" i="1"/>
  <c r="P906" i="1"/>
  <c r="O906" i="1"/>
  <c r="P905" i="1"/>
  <c r="O905" i="1"/>
  <c r="P904" i="1"/>
  <c r="O904" i="1"/>
  <c r="P903" i="1"/>
  <c r="O903" i="1"/>
  <c r="P902" i="1"/>
  <c r="O902" i="1"/>
  <c r="P901" i="1"/>
  <c r="O901" i="1"/>
  <c r="P900" i="1"/>
  <c r="O900" i="1"/>
  <c r="P899" i="1"/>
  <c r="O899" i="1"/>
  <c r="P898" i="1"/>
  <c r="O898" i="1"/>
  <c r="P897" i="1"/>
  <c r="O897" i="1"/>
  <c r="P896" i="1"/>
  <c r="O896" i="1"/>
  <c r="P895" i="1"/>
  <c r="O895" i="1"/>
  <c r="P894" i="1"/>
  <c r="O894" i="1"/>
  <c r="P893" i="1"/>
  <c r="O893" i="1"/>
  <c r="P892" i="1"/>
  <c r="O892" i="1"/>
  <c r="P891" i="1"/>
  <c r="O891" i="1"/>
  <c r="P890" i="1"/>
  <c r="O890" i="1"/>
  <c r="P889" i="1"/>
  <c r="O889" i="1"/>
  <c r="P888" i="1"/>
  <c r="O888" i="1"/>
  <c r="P887" i="1"/>
  <c r="O887" i="1"/>
  <c r="P886" i="1"/>
  <c r="O886" i="1"/>
  <c r="P885" i="1"/>
  <c r="O885" i="1"/>
  <c r="P884" i="1"/>
  <c r="O884" i="1"/>
  <c r="P883" i="1"/>
  <c r="O883" i="1"/>
  <c r="P882" i="1"/>
  <c r="O882" i="1"/>
  <c r="P881" i="1"/>
  <c r="O881" i="1"/>
  <c r="P880" i="1"/>
  <c r="O880" i="1"/>
  <c r="P879" i="1"/>
  <c r="O879" i="1"/>
  <c r="P878" i="1"/>
  <c r="O878" i="1"/>
  <c r="P877" i="1"/>
  <c r="O877" i="1"/>
  <c r="P876" i="1"/>
  <c r="O876" i="1"/>
  <c r="P875" i="1"/>
  <c r="O875" i="1"/>
  <c r="P874" i="1"/>
  <c r="O874" i="1"/>
  <c r="P873" i="1"/>
  <c r="O873" i="1"/>
  <c r="P872" i="1"/>
  <c r="O872" i="1"/>
  <c r="P871" i="1"/>
  <c r="O871" i="1"/>
  <c r="P870" i="1"/>
  <c r="O870" i="1"/>
  <c r="P869" i="1"/>
  <c r="O869" i="1"/>
  <c r="P868" i="1"/>
  <c r="O868" i="1"/>
  <c r="P867" i="1"/>
  <c r="O867" i="1"/>
  <c r="P866" i="1"/>
  <c r="O866" i="1"/>
  <c r="P865" i="1"/>
  <c r="O865" i="1"/>
  <c r="P864" i="1"/>
  <c r="O864" i="1"/>
  <c r="P863" i="1"/>
  <c r="O863" i="1"/>
  <c r="P862" i="1"/>
  <c r="O862" i="1"/>
  <c r="P861" i="1"/>
  <c r="O861" i="1"/>
  <c r="P860" i="1"/>
  <c r="O860" i="1"/>
  <c r="P859" i="1"/>
  <c r="O859" i="1"/>
  <c r="P858" i="1"/>
  <c r="O858" i="1"/>
  <c r="P857" i="1"/>
  <c r="O857" i="1"/>
  <c r="P856" i="1"/>
  <c r="O856" i="1"/>
  <c r="P855" i="1"/>
  <c r="O855" i="1"/>
  <c r="P854" i="1"/>
  <c r="O854" i="1"/>
  <c r="P853" i="1"/>
  <c r="O853" i="1"/>
  <c r="P852" i="1"/>
  <c r="O852" i="1"/>
  <c r="P851" i="1"/>
  <c r="O851" i="1"/>
  <c r="P850" i="1"/>
  <c r="O850" i="1"/>
  <c r="P849" i="1"/>
  <c r="O849" i="1"/>
  <c r="P848" i="1"/>
  <c r="O848" i="1"/>
  <c r="P847" i="1"/>
  <c r="O847" i="1"/>
  <c r="P846" i="1"/>
  <c r="O846" i="1"/>
  <c r="P845" i="1"/>
  <c r="O845" i="1"/>
  <c r="P844" i="1"/>
  <c r="O844" i="1"/>
  <c r="P843" i="1"/>
  <c r="O843" i="1"/>
  <c r="P842" i="1"/>
  <c r="O842" i="1"/>
  <c r="P841" i="1"/>
  <c r="O841" i="1"/>
  <c r="P840" i="1"/>
  <c r="O840" i="1"/>
  <c r="P839" i="1"/>
  <c r="O839" i="1"/>
  <c r="P838" i="1"/>
  <c r="O838" i="1"/>
  <c r="P837" i="1"/>
  <c r="O837" i="1"/>
  <c r="P836" i="1"/>
  <c r="O836" i="1"/>
  <c r="P835" i="1"/>
  <c r="O835" i="1"/>
  <c r="P834" i="1"/>
  <c r="O834" i="1"/>
  <c r="P833" i="1"/>
  <c r="O833" i="1"/>
  <c r="P832" i="1"/>
  <c r="O832" i="1"/>
  <c r="P831" i="1"/>
  <c r="O831" i="1"/>
  <c r="P830" i="1"/>
  <c r="O830" i="1"/>
  <c r="P829" i="1"/>
  <c r="O829" i="1"/>
  <c r="P828" i="1"/>
  <c r="O828" i="1"/>
  <c r="P827" i="1"/>
  <c r="O827" i="1"/>
  <c r="P826" i="1"/>
  <c r="O826" i="1"/>
  <c r="P825" i="1"/>
  <c r="O825" i="1"/>
  <c r="P824" i="1"/>
  <c r="O824" i="1"/>
  <c r="P823" i="1"/>
  <c r="O823" i="1"/>
  <c r="P822" i="1"/>
  <c r="O822" i="1"/>
  <c r="P821" i="1"/>
  <c r="O821" i="1"/>
  <c r="P820" i="1"/>
  <c r="O820" i="1"/>
  <c r="P819" i="1"/>
  <c r="O819" i="1"/>
  <c r="P818" i="1"/>
  <c r="O818" i="1"/>
  <c r="P817" i="1"/>
  <c r="O817" i="1"/>
  <c r="P816" i="1"/>
  <c r="O816" i="1"/>
  <c r="P815" i="1"/>
  <c r="O815" i="1"/>
  <c r="P814" i="1"/>
  <c r="O814" i="1"/>
  <c r="P813" i="1"/>
  <c r="O813" i="1"/>
  <c r="P812" i="1"/>
  <c r="O812" i="1"/>
  <c r="P811" i="1"/>
  <c r="O811" i="1"/>
  <c r="P810" i="1"/>
  <c r="O810" i="1"/>
  <c r="P809" i="1"/>
  <c r="O809" i="1"/>
  <c r="P808" i="1"/>
  <c r="O808" i="1"/>
  <c r="P807" i="1"/>
  <c r="O807" i="1"/>
  <c r="P806" i="1"/>
  <c r="O806" i="1"/>
  <c r="P805" i="1"/>
  <c r="O805" i="1"/>
  <c r="P804" i="1"/>
  <c r="O804" i="1"/>
  <c r="P803" i="1"/>
  <c r="O803" i="1"/>
  <c r="P802" i="1"/>
  <c r="O802" i="1"/>
  <c r="P801" i="1"/>
  <c r="O801" i="1"/>
  <c r="P800" i="1"/>
  <c r="O800" i="1"/>
  <c r="P799" i="1"/>
  <c r="O799" i="1"/>
  <c r="P798" i="1"/>
  <c r="O798" i="1"/>
  <c r="P797" i="1"/>
  <c r="O797" i="1"/>
  <c r="P796" i="1"/>
  <c r="O796" i="1"/>
  <c r="P795" i="1"/>
  <c r="O795" i="1"/>
  <c r="P794" i="1"/>
  <c r="O794" i="1"/>
  <c r="P793" i="1"/>
  <c r="O793" i="1"/>
  <c r="P792" i="1"/>
  <c r="O792" i="1"/>
  <c r="P791" i="1"/>
  <c r="O791" i="1"/>
  <c r="P790" i="1"/>
  <c r="O790" i="1"/>
  <c r="P789" i="1"/>
  <c r="O789" i="1"/>
  <c r="P788" i="1"/>
  <c r="O788" i="1"/>
  <c r="P787" i="1"/>
  <c r="O787" i="1"/>
  <c r="P786" i="1"/>
  <c r="O786" i="1"/>
  <c r="P785" i="1"/>
  <c r="O785" i="1"/>
  <c r="P784" i="1"/>
  <c r="O784" i="1"/>
  <c r="P783" i="1"/>
  <c r="O783" i="1"/>
  <c r="P782" i="1"/>
  <c r="O782" i="1"/>
  <c r="P781" i="1"/>
  <c r="O781" i="1"/>
  <c r="P780" i="1"/>
  <c r="O780" i="1"/>
  <c r="P779" i="1"/>
  <c r="O779" i="1"/>
  <c r="P778" i="1"/>
  <c r="O778" i="1"/>
  <c r="P777" i="1"/>
  <c r="O777" i="1"/>
  <c r="P776" i="1"/>
  <c r="O776" i="1"/>
  <c r="P775" i="1"/>
  <c r="O775" i="1"/>
  <c r="P774" i="1"/>
  <c r="O774" i="1"/>
  <c r="P773" i="1"/>
  <c r="O773" i="1"/>
  <c r="P772" i="1"/>
  <c r="O772" i="1"/>
  <c r="P771" i="1"/>
  <c r="O771" i="1"/>
  <c r="P770" i="1"/>
  <c r="O770" i="1"/>
  <c r="P769" i="1"/>
  <c r="O769" i="1"/>
  <c r="P768" i="1"/>
  <c r="O768" i="1"/>
  <c r="P767" i="1"/>
  <c r="O767" i="1"/>
  <c r="P766" i="1"/>
  <c r="O766" i="1"/>
  <c r="P765" i="1"/>
  <c r="O765" i="1"/>
  <c r="P764" i="1"/>
  <c r="O764" i="1"/>
  <c r="P763" i="1"/>
  <c r="O763" i="1"/>
  <c r="P762" i="1"/>
  <c r="O762" i="1"/>
  <c r="P761" i="1"/>
  <c r="O761" i="1"/>
  <c r="P760" i="1"/>
  <c r="O760" i="1"/>
  <c r="P759" i="1"/>
  <c r="O759" i="1"/>
  <c r="P758" i="1"/>
  <c r="O758" i="1"/>
  <c r="P757" i="1"/>
  <c r="O757" i="1"/>
  <c r="P756" i="1"/>
  <c r="O756" i="1"/>
  <c r="P755" i="1"/>
  <c r="O755" i="1"/>
  <c r="P754" i="1"/>
  <c r="O754" i="1"/>
  <c r="P753" i="1"/>
  <c r="O753" i="1"/>
  <c r="P752" i="1"/>
  <c r="O752" i="1"/>
  <c r="P751" i="1"/>
  <c r="O751" i="1"/>
  <c r="P750" i="1"/>
  <c r="O750" i="1"/>
  <c r="P749" i="1"/>
  <c r="O749" i="1"/>
  <c r="P748" i="1"/>
  <c r="O748" i="1"/>
  <c r="P747" i="1"/>
  <c r="O747" i="1"/>
  <c r="P746" i="1"/>
  <c r="O746" i="1"/>
  <c r="P745" i="1"/>
  <c r="O745" i="1"/>
  <c r="P744" i="1"/>
  <c r="O744" i="1"/>
  <c r="P743" i="1"/>
  <c r="O743" i="1"/>
  <c r="P742" i="1"/>
  <c r="O742" i="1"/>
  <c r="P741" i="1"/>
  <c r="O741" i="1"/>
  <c r="P740" i="1"/>
  <c r="O740" i="1"/>
  <c r="P739" i="1"/>
  <c r="O739" i="1"/>
  <c r="P738" i="1"/>
  <c r="O738" i="1"/>
  <c r="P737" i="1"/>
  <c r="O737" i="1"/>
  <c r="P736" i="1"/>
  <c r="O736" i="1"/>
  <c r="P735" i="1"/>
  <c r="O735" i="1"/>
  <c r="P734" i="1"/>
  <c r="O734" i="1"/>
  <c r="P733" i="1"/>
  <c r="O733" i="1"/>
  <c r="P732" i="1"/>
  <c r="O732" i="1"/>
  <c r="P731" i="1"/>
  <c r="O731" i="1"/>
  <c r="P730" i="1"/>
  <c r="O730" i="1"/>
  <c r="P729" i="1"/>
  <c r="O729" i="1"/>
  <c r="P728" i="1"/>
  <c r="O728" i="1"/>
  <c r="P727" i="1"/>
  <c r="O727" i="1"/>
  <c r="P726" i="1"/>
  <c r="O726" i="1"/>
  <c r="P725" i="1"/>
  <c r="O725" i="1"/>
  <c r="P724" i="1"/>
  <c r="O724" i="1"/>
  <c r="P723" i="1"/>
  <c r="O723" i="1"/>
  <c r="P722" i="1"/>
  <c r="O722" i="1"/>
  <c r="P721" i="1"/>
  <c r="O721" i="1"/>
  <c r="P720" i="1"/>
  <c r="O720" i="1"/>
  <c r="P719" i="1"/>
  <c r="O719" i="1"/>
  <c r="P718" i="1"/>
  <c r="O718" i="1"/>
  <c r="P717" i="1"/>
  <c r="O717" i="1"/>
  <c r="P716" i="1"/>
  <c r="O716" i="1"/>
  <c r="P715" i="1"/>
  <c r="O715" i="1"/>
  <c r="P714" i="1"/>
  <c r="O714" i="1"/>
  <c r="P713" i="1"/>
  <c r="O713" i="1"/>
  <c r="P712" i="1"/>
  <c r="O712" i="1"/>
  <c r="P711" i="1"/>
  <c r="O711" i="1"/>
  <c r="P710" i="1"/>
  <c r="O710" i="1"/>
  <c r="P709" i="1"/>
  <c r="O709" i="1"/>
  <c r="P708" i="1"/>
  <c r="O708" i="1"/>
  <c r="P707" i="1"/>
  <c r="O707" i="1"/>
  <c r="P706" i="1"/>
  <c r="O706" i="1"/>
  <c r="P705" i="1"/>
  <c r="O705" i="1"/>
  <c r="P704" i="1"/>
  <c r="O704" i="1"/>
  <c r="P703" i="1"/>
  <c r="O703" i="1"/>
  <c r="P702" i="1"/>
  <c r="O702" i="1"/>
  <c r="P701" i="1"/>
  <c r="O701" i="1"/>
  <c r="P700" i="1"/>
  <c r="O700" i="1"/>
  <c r="P699" i="1"/>
  <c r="O699" i="1"/>
  <c r="P698" i="1"/>
  <c r="O698" i="1"/>
  <c r="P697" i="1"/>
  <c r="O697" i="1"/>
  <c r="P696" i="1"/>
  <c r="O696" i="1"/>
  <c r="P695" i="1"/>
  <c r="O695" i="1"/>
  <c r="P694" i="1"/>
  <c r="O694" i="1"/>
  <c r="P693" i="1"/>
  <c r="O693" i="1"/>
  <c r="P692" i="1"/>
  <c r="O692" i="1"/>
  <c r="P691" i="1"/>
  <c r="O691" i="1"/>
  <c r="P690" i="1"/>
  <c r="O690" i="1"/>
  <c r="P689" i="1"/>
  <c r="O689" i="1"/>
  <c r="P688" i="1"/>
  <c r="O688" i="1"/>
  <c r="P687" i="1"/>
  <c r="O687" i="1"/>
  <c r="P686" i="1"/>
  <c r="O686" i="1"/>
  <c r="P685" i="1"/>
  <c r="O685" i="1"/>
  <c r="P684" i="1"/>
  <c r="O684" i="1"/>
  <c r="P683" i="1"/>
  <c r="O683" i="1"/>
  <c r="P682" i="1"/>
  <c r="O682" i="1"/>
  <c r="P681" i="1"/>
  <c r="O681" i="1"/>
  <c r="P680" i="1"/>
  <c r="O680" i="1"/>
  <c r="P679" i="1"/>
  <c r="O679" i="1"/>
  <c r="P678" i="1"/>
  <c r="O678" i="1"/>
  <c r="P677" i="1"/>
  <c r="O677" i="1"/>
  <c r="P676" i="1"/>
  <c r="O676" i="1"/>
  <c r="P675" i="1"/>
  <c r="O675" i="1"/>
  <c r="P674" i="1"/>
  <c r="O674" i="1"/>
  <c r="P673" i="1"/>
  <c r="O673" i="1"/>
  <c r="P672" i="1"/>
  <c r="O672" i="1"/>
  <c r="P671" i="1"/>
  <c r="O671" i="1"/>
  <c r="P670" i="1"/>
  <c r="O670" i="1"/>
  <c r="P669" i="1"/>
  <c r="O669" i="1"/>
  <c r="P668" i="1"/>
  <c r="O668" i="1"/>
  <c r="P667" i="1"/>
  <c r="O667" i="1"/>
  <c r="P666" i="1"/>
  <c r="O666" i="1"/>
  <c r="P665" i="1"/>
  <c r="O665" i="1"/>
  <c r="P664" i="1"/>
  <c r="O664" i="1"/>
  <c r="P663" i="1"/>
  <c r="O663" i="1"/>
  <c r="P661" i="1"/>
  <c r="O661" i="1"/>
  <c r="P659" i="1"/>
  <c r="O659" i="1"/>
  <c r="P662" i="1"/>
  <c r="O662" i="1"/>
  <c r="P660" i="1"/>
  <c r="O660" i="1"/>
  <c r="P658" i="1"/>
  <c r="O658" i="1"/>
  <c r="P655" i="1"/>
  <c r="O655" i="1"/>
  <c r="P657" i="1"/>
  <c r="O657" i="1"/>
  <c r="P656" i="1"/>
  <c r="O656" i="1"/>
  <c r="P653" i="1"/>
  <c r="O653" i="1"/>
  <c r="P654" i="1"/>
  <c r="O654" i="1"/>
  <c r="P652" i="1"/>
  <c r="O652" i="1"/>
  <c r="P651" i="1"/>
  <c r="O651" i="1"/>
  <c r="P650" i="1"/>
  <c r="O650" i="1"/>
  <c r="P647" i="1"/>
  <c r="O647" i="1"/>
  <c r="P648" i="1"/>
  <c r="O648" i="1"/>
  <c r="P649" i="1"/>
  <c r="O649" i="1"/>
  <c r="P646" i="1"/>
  <c r="O646" i="1"/>
  <c r="P640" i="1"/>
  <c r="O640" i="1"/>
  <c r="P643" i="1"/>
  <c r="O643" i="1"/>
  <c r="P645" i="1"/>
  <c r="O645" i="1"/>
  <c r="P642" i="1"/>
  <c r="O642" i="1"/>
  <c r="P644" i="1"/>
  <c r="O644" i="1"/>
  <c r="P641" i="1"/>
  <c r="O641" i="1"/>
  <c r="P639" i="1"/>
  <c r="O639" i="1"/>
  <c r="P638" i="1"/>
  <c r="O638" i="1"/>
  <c r="P637" i="1"/>
  <c r="O637" i="1"/>
  <c r="P635" i="1"/>
  <c r="O635" i="1"/>
  <c r="P634" i="1"/>
  <c r="O634" i="1"/>
  <c r="P633" i="1"/>
  <c r="O633" i="1"/>
  <c r="P636" i="1"/>
  <c r="O636" i="1"/>
  <c r="P632" i="1"/>
  <c r="O632" i="1"/>
  <c r="P629" i="1"/>
  <c r="O629" i="1"/>
  <c r="P631" i="1"/>
  <c r="O631" i="1"/>
  <c r="P630" i="1"/>
  <c r="O630" i="1"/>
  <c r="P628" i="1"/>
  <c r="O628" i="1"/>
  <c r="P626" i="1"/>
  <c r="O626" i="1"/>
  <c r="P625" i="1"/>
  <c r="O625" i="1"/>
  <c r="P624" i="1"/>
  <c r="O624" i="1"/>
  <c r="P627" i="1"/>
  <c r="O627" i="1"/>
  <c r="P623" i="1"/>
  <c r="O623" i="1"/>
  <c r="P618" i="1"/>
  <c r="O618" i="1"/>
  <c r="P619" i="1"/>
  <c r="O619" i="1"/>
  <c r="P617" i="1"/>
  <c r="O617" i="1"/>
  <c r="P621" i="1"/>
  <c r="O621" i="1"/>
  <c r="P620" i="1"/>
  <c r="O620" i="1"/>
  <c r="P622" i="1"/>
  <c r="O622" i="1"/>
  <c r="P616" i="1"/>
  <c r="O616" i="1"/>
  <c r="P612" i="1"/>
  <c r="O612" i="1"/>
  <c r="P615" i="1"/>
  <c r="O615" i="1"/>
  <c r="P613" i="1"/>
  <c r="O613" i="1"/>
  <c r="P614" i="1"/>
  <c r="O614" i="1"/>
  <c r="P610" i="1"/>
  <c r="O610" i="1"/>
  <c r="P609" i="1"/>
  <c r="O609" i="1"/>
  <c r="P607" i="1"/>
  <c r="O607" i="1"/>
  <c r="P608" i="1"/>
  <c r="O608" i="1"/>
  <c r="P611" i="1"/>
  <c r="O611" i="1"/>
  <c r="P600" i="1"/>
  <c r="O600" i="1"/>
  <c r="P601" i="1"/>
  <c r="O601" i="1"/>
  <c r="P604" i="1"/>
  <c r="O604" i="1"/>
  <c r="P606" i="1"/>
  <c r="O606" i="1"/>
  <c r="P602" i="1"/>
  <c r="O602" i="1"/>
  <c r="P599" i="1"/>
  <c r="O599" i="1"/>
  <c r="P603" i="1"/>
  <c r="O603" i="1"/>
  <c r="P605" i="1"/>
  <c r="O605" i="1"/>
  <c r="P598" i="1"/>
  <c r="O598" i="1"/>
  <c r="P595" i="1"/>
  <c r="O595" i="1"/>
  <c r="P594" i="1"/>
  <c r="O594" i="1"/>
  <c r="P596" i="1"/>
  <c r="O596" i="1"/>
  <c r="P597" i="1"/>
  <c r="O597" i="1"/>
  <c r="P593" i="1"/>
  <c r="O593" i="1"/>
  <c r="P591" i="1"/>
  <c r="O591" i="1"/>
  <c r="P592" i="1"/>
  <c r="O592" i="1"/>
  <c r="P587" i="1"/>
  <c r="O587" i="1"/>
  <c r="P589" i="1"/>
  <c r="O589" i="1"/>
  <c r="P588" i="1"/>
  <c r="O588" i="1"/>
  <c r="P590" i="1"/>
  <c r="O590" i="1"/>
  <c r="P584" i="1"/>
  <c r="O584" i="1"/>
  <c r="P585" i="1"/>
  <c r="O585" i="1"/>
  <c r="P586" i="1"/>
  <c r="O586" i="1"/>
  <c r="P583" i="1"/>
  <c r="O583" i="1"/>
  <c r="P582" i="1"/>
  <c r="O582" i="1"/>
  <c r="P580" i="1"/>
  <c r="O580" i="1"/>
  <c r="P578" i="1"/>
  <c r="O578" i="1"/>
  <c r="P581" i="1"/>
  <c r="O581" i="1"/>
  <c r="P577" i="1"/>
  <c r="O577" i="1"/>
  <c r="P579" i="1"/>
  <c r="O579" i="1"/>
  <c r="P576" i="1"/>
  <c r="O576" i="1"/>
  <c r="P575" i="1"/>
  <c r="O575" i="1"/>
  <c r="P573" i="1"/>
  <c r="O573" i="1"/>
  <c r="P572" i="1"/>
  <c r="O572" i="1"/>
  <c r="P574" i="1"/>
  <c r="O574" i="1"/>
  <c r="P570" i="1"/>
  <c r="O570" i="1"/>
  <c r="P571" i="1"/>
  <c r="O571" i="1"/>
  <c r="P568" i="1"/>
  <c r="O568" i="1"/>
  <c r="P569" i="1"/>
  <c r="O569" i="1"/>
  <c r="P566" i="1"/>
  <c r="O566" i="1"/>
  <c r="P567" i="1"/>
  <c r="O567" i="1"/>
  <c r="P565" i="1"/>
  <c r="O565" i="1"/>
  <c r="P564" i="1"/>
  <c r="O564" i="1"/>
  <c r="P562" i="1"/>
  <c r="O562" i="1"/>
  <c r="P563" i="1"/>
  <c r="O563" i="1"/>
  <c r="P561" i="1"/>
  <c r="O561" i="1"/>
  <c r="P560" i="1"/>
  <c r="O560" i="1"/>
  <c r="P559" i="1"/>
  <c r="O559" i="1"/>
  <c r="P558" i="1"/>
  <c r="O558" i="1"/>
  <c r="P557" i="1"/>
  <c r="O557" i="1"/>
  <c r="P556" i="1"/>
  <c r="O556" i="1"/>
  <c r="P554" i="1"/>
  <c r="O554" i="1"/>
  <c r="P555" i="1"/>
  <c r="O555" i="1"/>
  <c r="P553" i="1"/>
  <c r="O553" i="1"/>
  <c r="P551" i="1"/>
  <c r="O551" i="1"/>
  <c r="P552" i="1"/>
  <c r="O552" i="1"/>
  <c r="P549" i="1"/>
  <c r="O549" i="1"/>
  <c r="P548" i="1"/>
  <c r="O548" i="1"/>
  <c r="P550" i="1"/>
  <c r="O550" i="1"/>
  <c r="P546" i="1"/>
  <c r="O546" i="1"/>
  <c r="P547" i="1"/>
  <c r="O547" i="1"/>
  <c r="P545" i="1"/>
  <c r="O545" i="1"/>
  <c r="P543" i="1"/>
  <c r="O543" i="1"/>
  <c r="P544" i="1"/>
  <c r="O544" i="1"/>
  <c r="P540" i="1"/>
  <c r="O540" i="1"/>
  <c r="P539" i="1"/>
  <c r="O539" i="1"/>
  <c r="P541" i="1"/>
  <c r="O541" i="1"/>
  <c r="P542" i="1"/>
  <c r="O542" i="1"/>
  <c r="P536" i="1"/>
  <c r="O536" i="1"/>
  <c r="P535" i="1"/>
  <c r="O535" i="1"/>
  <c r="P534" i="1"/>
  <c r="O534" i="1"/>
  <c r="P538" i="1"/>
  <c r="O538" i="1"/>
  <c r="P537" i="1"/>
  <c r="O537" i="1"/>
  <c r="P532" i="1"/>
  <c r="O532" i="1"/>
  <c r="P533" i="1"/>
  <c r="O533" i="1"/>
  <c r="P531" i="1"/>
  <c r="O531" i="1"/>
  <c r="P529" i="1"/>
  <c r="O529" i="1"/>
  <c r="P530" i="1"/>
  <c r="O530" i="1"/>
  <c r="P528" i="1"/>
  <c r="O528" i="1"/>
  <c r="P526" i="1"/>
  <c r="O526" i="1"/>
  <c r="P527" i="1"/>
  <c r="O527" i="1"/>
  <c r="P524" i="1"/>
  <c r="O524" i="1"/>
  <c r="P523" i="1"/>
  <c r="O523" i="1"/>
  <c r="P525" i="1"/>
  <c r="O525" i="1"/>
  <c r="P519" i="1"/>
  <c r="O519" i="1"/>
  <c r="P522" i="1"/>
  <c r="O522" i="1"/>
  <c r="P521" i="1"/>
  <c r="O521" i="1"/>
  <c r="P520" i="1"/>
  <c r="O520" i="1"/>
  <c r="P518" i="1"/>
  <c r="O518" i="1"/>
  <c r="P516" i="1"/>
  <c r="O516" i="1"/>
  <c r="P517" i="1"/>
  <c r="O517" i="1"/>
  <c r="P512" i="1"/>
  <c r="O512" i="1"/>
  <c r="P513" i="1"/>
  <c r="O513" i="1"/>
  <c r="P515" i="1"/>
  <c r="O515" i="1"/>
  <c r="P514" i="1"/>
  <c r="O514" i="1"/>
  <c r="P511" i="1"/>
  <c r="O511" i="1"/>
  <c r="P510" i="1"/>
  <c r="O510" i="1"/>
  <c r="P509" i="1"/>
  <c r="O509" i="1"/>
  <c r="P508" i="1"/>
  <c r="O508" i="1"/>
  <c r="P507" i="1"/>
  <c r="O507" i="1"/>
  <c r="P506" i="1"/>
  <c r="O506" i="1"/>
  <c r="P505" i="1"/>
  <c r="O505" i="1"/>
  <c r="P504" i="1"/>
  <c r="O504" i="1"/>
  <c r="P503" i="1"/>
  <c r="O503" i="1"/>
  <c r="P502" i="1"/>
  <c r="O502" i="1"/>
  <c r="P501" i="1"/>
  <c r="O501" i="1"/>
  <c r="P500" i="1"/>
  <c r="O500" i="1"/>
  <c r="P499" i="1"/>
  <c r="O499" i="1"/>
  <c r="P498" i="1"/>
  <c r="O498" i="1"/>
  <c r="P497" i="1"/>
  <c r="O497" i="1"/>
  <c r="P496" i="1"/>
  <c r="O496" i="1"/>
  <c r="P495" i="1"/>
  <c r="O495" i="1"/>
  <c r="P494" i="1"/>
  <c r="O494" i="1"/>
  <c r="P493" i="1"/>
  <c r="O493" i="1"/>
  <c r="P492" i="1"/>
  <c r="O492" i="1"/>
  <c r="P491" i="1"/>
  <c r="O491" i="1"/>
  <c r="P490" i="1"/>
  <c r="O490" i="1"/>
  <c r="P489" i="1"/>
  <c r="O489" i="1"/>
  <c r="P488" i="1"/>
  <c r="O488" i="1"/>
  <c r="P487" i="1"/>
  <c r="O487" i="1"/>
  <c r="P486" i="1"/>
  <c r="O486" i="1"/>
  <c r="P485" i="1"/>
  <c r="O485" i="1"/>
  <c r="P484" i="1"/>
  <c r="O484" i="1"/>
  <c r="P483" i="1"/>
  <c r="O483" i="1"/>
  <c r="P482" i="1"/>
  <c r="O482" i="1"/>
  <c r="P481" i="1"/>
  <c r="O481" i="1"/>
  <c r="P480" i="1"/>
  <c r="O480" i="1"/>
  <c r="P479" i="1"/>
  <c r="O479" i="1"/>
  <c r="P478" i="1"/>
  <c r="O478" i="1"/>
  <c r="P477" i="1"/>
  <c r="O477" i="1"/>
  <c r="P476" i="1"/>
  <c r="O476" i="1"/>
  <c r="P475" i="1"/>
  <c r="O475" i="1"/>
  <c r="P474" i="1"/>
  <c r="O474" i="1"/>
  <c r="P473" i="1"/>
  <c r="O473" i="1"/>
  <c r="P472" i="1"/>
  <c r="O472" i="1"/>
  <c r="P471" i="1"/>
  <c r="O471" i="1"/>
  <c r="P470" i="1"/>
  <c r="O470" i="1"/>
  <c r="P469" i="1"/>
  <c r="O469" i="1"/>
  <c r="P468" i="1"/>
  <c r="O468" i="1"/>
  <c r="P467" i="1"/>
  <c r="O467" i="1"/>
  <c r="P466" i="1"/>
  <c r="O466" i="1"/>
  <c r="P465" i="1"/>
  <c r="O465" i="1"/>
  <c r="P464" i="1"/>
  <c r="O464" i="1"/>
  <c r="P463" i="1"/>
  <c r="O463" i="1"/>
  <c r="P462" i="1"/>
  <c r="O462" i="1"/>
  <c r="P461" i="1"/>
  <c r="O461" i="1"/>
  <c r="P460" i="1"/>
  <c r="O460" i="1"/>
  <c r="P459" i="1"/>
  <c r="O459" i="1"/>
  <c r="P458" i="1"/>
  <c r="O458" i="1"/>
  <c r="P457" i="1"/>
  <c r="O457" i="1"/>
  <c r="P456" i="1"/>
  <c r="O456" i="1"/>
  <c r="P455" i="1"/>
  <c r="O455" i="1"/>
  <c r="P454" i="1"/>
  <c r="O454" i="1"/>
  <c r="P453" i="1"/>
  <c r="O453" i="1"/>
  <c r="P452" i="1"/>
  <c r="O452" i="1"/>
  <c r="P451" i="1"/>
  <c r="O451" i="1"/>
  <c r="P450" i="1"/>
  <c r="O450" i="1"/>
  <c r="P449" i="1"/>
  <c r="O449" i="1"/>
  <c r="P448" i="1"/>
  <c r="O448" i="1"/>
  <c r="P447" i="1"/>
  <c r="O447" i="1"/>
  <c r="P446" i="1"/>
  <c r="O446" i="1"/>
  <c r="P445" i="1"/>
  <c r="O445" i="1"/>
  <c r="P444" i="1"/>
  <c r="O444" i="1"/>
  <c r="P443" i="1"/>
  <c r="O443" i="1"/>
  <c r="P442" i="1"/>
  <c r="O442" i="1"/>
  <c r="P441" i="1"/>
  <c r="O441" i="1"/>
  <c r="P440" i="1"/>
  <c r="O440" i="1"/>
  <c r="P439" i="1"/>
  <c r="O439" i="1"/>
  <c r="P438" i="1"/>
  <c r="O438" i="1"/>
  <c r="P437" i="1"/>
  <c r="O437" i="1"/>
  <c r="P436" i="1"/>
  <c r="O436" i="1"/>
  <c r="P435" i="1"/>
  <c r="O435" i="1"/>
  <c r="P434" i="1"/>
  <c r="O434" i="1"/>
  <c r="P433" i="1"/>
  <c r="O433" i="1"/>
  <c r="P432" i="1"/>
  <c r="O432" i="1"/>
  <c r="P431" i="1"/>
  <c r="O431" i="1"/>
  <c r="P430" i="1"/>
  <c r="O430" i="1"/>
  <c r="P429" i="1"/>
  <c r="O429" i="1"/>
  <c r="P428" i="1"/>
  <c r="O428" i="1"/>
  <c r="P427" i="1"/>
  <c r="O427" i="1"/>
  <c r="P426" i="1"/>
  <c r="O426" i="1"/>
  <c r="P425" i="1"/>
  <c r="O425" i="1"/>
  <c r="P424" i="1"/>
  <c r="O424" i="1"/>
  <c r="P423" i="1"/>
  <c r="O423" i="1"/>
  <c r="P422" i="1"/>
  <c r="O422" i="1"/>
  <c r="P421" i="1"/>
  <c r="O421" i="1"/>
  <c r="P420" i="1"/>
  <c r="O420" i="1"/>
  <c r="P419" i="1"/>
  <c r="O419" i="1"/>
  <c r="P418" i="1"/>
  <c r="O418" i="1"/>
  <c r="P417" i="1"/>
  <c r="O417" i="1"/>
  <c r="P416" i="1"/>
  <c r="O416" i="1"/>
  <c r="P415" i="1"/>
  <c r="O415" i="1"/>
  <c r="P414" i="1"/>
  <c r="O414" i="1"/>
  <c r="P413" i="1"/>
  <c r="O413" i="1"/>
  <c r="P412" i="1"/>
  <c r="O412" i="1"/>
  <c r="P411" i="1"/>
  <c r="O411" i="1"/>
  <c r="P410" i="1"/>
  <c r="O410" i="1"/>
  <c r="P409" i="1"/>
  <c r="O409" i="1"/>
  <c r="P408" i="1"/>
  <c r="O408" i="1"/>
  <c r="P407" i="1"/>
  <c r="O407" i="1"/>
  <c r="P406" i="1"/>
  <c r="O406" i="1"/>
  <c r="P405" i="1"/>
  <c r="O405" i="1"/>
  <c r="P404" i="1"/>
  <c r="O404" i="1"/>
  <c r="P403" i="1"/>
  <c r="O403" i="1"/>
  <c r="P402" i="1"/>
  <c r="O402" i="1"/>
  <c r="P401" i="1"/>
  <c r="O401" i="1"/>
  <c r="P400" i="1"/>
  <c r="O400" i="1"/>
  <c r="P399" i="1"/>
  <c r="O399" i="1"/>
  <c r="P398" i="1"/>
  <c r="O398" i="1"/>
  <c r="P397" i="1"/>
  <c r="O397" i="1"/>
  <c r="P396" i="1"/>
  <c r="O396" i="1"/>
  <c r="P395" i="1"/>
  <c r="O395" i="1"/>
  <c r="P394" i="1"/>
  <c r="O394" i="1"/>
  <c r="P393" i="1"/>
  <c r="O393" i="1"/>
  <c r="P392" i="1"/>
  <c r="O392" i="1"/>
  <c r="P391" i="1"/>
  <c r="O391" i="1"/>
  <c r="P390" i="1"/>
  <c r="O390" i="1"/>
  <c r="P389" i="1"/>
  <c r="O389" i="1"/>
  <c r="P388" i="1"/>
  <c r="O388" i="1"/>
  <c r="P387" i="1"/>
  <c r="O387" i="1"/>
  <c r="P386" i="1"/>
  <c r="O386" i="1"/>
  <c r="P385" i="1"/>
  <c r="O385" i="1"/>
  <c r="P384" i="1"/>
  <c r="O384" i="1"/>
  <c r="P383" i="1"/>
  <c r="O383" i="1"/>
  <c r="P382" i="1"/>
  <c r="O382" i="1"/>
  <c r="P381" i="1"/>
  <c r="O381" i="1"/>
  <c r="P380" i="1"/>
  <c r="O380" i="1"/>
  <c r="P379" i="1"/>
  <c r="O379" i="1"/>
  <c r="P378" i="1"/>
  <c r="O378" i="1"/>
  <c r="P377" i="1"/>
  <c r="O377" i="1"/>
  <c r="P376" i="1"/>
  <c r="O376" i="1"/>
  <c r="P375" i="1"/>
  <c r="O375" i="1"/>
  <c r="P374" i="1"/>
  <c r="O374" i="1"/>
  <c r="P373" i="1"/>
  <c r="O373" i="1"/>
  <c r="P372" i="1"/>
  <c r="O372" i="1"/>
  <c r="P371" i="1"/>
  <c r="O371" i="1"/>
  <c r="P370" i="1"/>
  <c r="O370" i="1"/>
  <c r="P369" i="1"/>
  <c r="O369" i="1"/>
  <c r="P368" i="1"/>
  <c r="O368" i="1"/>
  <c r="P367" i="1"/>
  <c r="O367" i="1"/>
  <c r="P366" i="1"/>
  <c r="O366" i="1"/>
  <c r="P365" i="1"/>
  <c r="O365" i="1"/>
  <c r="P364" i="1"/>
  <c r="O364" i="1"/>
  <c r="P363" i="1"/>
  <c r="O363" i="1"/>
  <c r="P362" i="1"/>
  <c r="O362" i="1"/>
  <c r="P361" i="1"/>
  <c r="O361" i="1"/>
  <c r="P360" i="1"/>
  <c r="O360" i="1"/>
  <c r="P359" i="1"/>
  <c r="O359" i="1"/>
  <c r="P358" i="1"/>
  <c r="O358" i="1"/>
  <c r="P357" i="1"/>
  <c r="O357" i="1"/>
  <c r="P356" i="1"/>
  <c r="O356" i="1"/>
  <c r="P355" i="1"/>
  <c r="O355" i="1"/>
  <c r="P354" i="1"/>
  <c r="O354" i="1"/>
  <c r="P353" i="1"/>
  <c r="O353" i="1"/>
  <c r="P352" i="1"/>
  <c r="O352" i="1"/>
  <c r="P351" i="1"/>
  <c r="O351" i="1"/>
  <c r="P350" i="1"/>
  <c r="O350" i="1"/>
  <c r="P349" i="1"/>
  <c r="O349" i="1"/>
  <c r="P348" i="1"/>
  <c r="O348" i="1"/>
  <c r="P347" i="1"/>
  <c r="O347" i="1"/>
  <c r="P346" i="1"/>
  <c r="O346" i="1"/>
  <c r="P345" i="1"/>
  <c r="O345" i="1"/>
  <c r="P344" i="1"/>
  <c r="O344" i="1"/>
  <c r="P343" i="1"/>
  <c r="O343" i="1"/>
  <c r="P342" i="1"/>
  <c r="O342" i="1"/>
  <c r="P341" i="1"/>
  <c r="O341" i="1"/>
  <c r="P340" i="1"/>
  <c r="O340" i="1"/>
  <c r="P339" i="1"/>
  <c r="O339" i="1"/>
  <c r="P338" i="1"/>
  <c r="O338" i="1"/>
  <c r="P337" i="1"/>
  <c r="O337" i="1"/>
  <c r="P336" i="1"/>
  <c r="O336" i="1"/>
  <c r="P335" i="1"/>
  <c r="O335" i="1"/>
  <c r="P334" i="1"/>
  <c r="O334" i="1"/>
  <c r="P333" i="1"/>
  <c r="O333" i="1"/>
  <c r="P332" i="1"/>
  <c r="O332" i="1"/>
  <c r="P331" i="1"/>
  <c r="O331" i="1"/>
  <c r="P330" i="1"/>
  <c r="O330" i="1"/>
  <c r="P329" i="1"/>
  <c r="O329" i="1"/>
  <c r="P328" i="1"/>
  <c r="O328" i="1"/>
  <c r="P327" i="1"/>
  <c r="O327" i="1"/>
  <c r="P326" i="1"/>
  <c r="O326" i="1"/>
  <c r="P325" i="1"/>
  <c r="O325" i="1"/>
  <c r="P324" i="1"/>
  <c r="O324" i="1"/>
  <c r="P323" i="1"/>
  <c r="O323" i="1"/>
  <c r="P322" i="1"/>
  <c r="O322" i="1"/>
  <c r="P321" i="1"/>
  <c r="O321" i="1"/>
  <c r="P320" i="1"/>
  <c r="O320" i="1"/>
  <c r="P319" i="1"/>
  <c r="O319" i="1"/>
  <c r="P318" i="1"/>
  <c r="O318" i="1"/>
  <c r="P317" i="1"/>
  <c r="O317" i="1"/>
  <c r="P316" i="1"/>
  <c r="O316" i="1"/>
  <c r="P315" i="1"/>
  <c r="O315" i="1"/>
  <c r="P314" i="1"/>
  <c r="O314" i="1"/>
  <c r="P313" i="1"/>
  <c r="O313" i="1"/>
  <c r="P312" i="1"/>
  <c r="O312" i="1"/>
  <c r="P311" i="1"/>
  <c r="O311" i="1"/>
  <c r="P310" i="1"/>
  <c r="O310" i="1"/>
  <c r="P309" i="1"/>
  <c r="O309" i="1"/>
  <c r="P308" i="1"/>
  <c r="O308" i="1"/>
  <c r="P307" i="1"/>
  <c r="O307" i="1"/>
  <c r="P306" i="1"/>
  <c r="O306" i="1"/>
  <c r="P305" i="1"/>
  <c r="O305" i="1"/>
  <c r="P304" i="1"/>
  <c r="O304" i="1"/>
  <c r="P303" i="1"/>
  <c r="O303" i="1"/>
  <c r="P302" i="1"/>
  <c r="O302" i="1"/>
  <c r="P301" i="1"/>
  <c r="O301" i="1"/>
  <c r="P300" i="1"/>
  <c r="O300" i="1"/>
  <c r="P299" i="1"/>
  <c r="O299" i="1"/>
  <c r="P298" i="1"/>
  <c r="O298" i="1"/>
  <c r="P297" i="1"/>
  <c r="O297" i="1"/>
  <c r="P296" i="1"/>
  <c r="O296" i="1"/>
  <c r="P295" i="1"/>
  <c r="O295" i="1"/>
  <c r="P294" i="1"/>
  <c r="O294" i="1"/>
  <c r="P293" i="1"/>
  <c r="O293" i="1"/>
  <c r="P292" i="1"/>
  <c r="O292" i="1"/>
  <c r="P291" i="1"/>
  <c r="O291" i="1"/>
  <c r="P290" i="1"/>
  <c r="O290" i="1"/>
  <c r="P289" i="1"/>
  <c r="O289" i="1"/>
  <c r="P288" i="1"/>
  <c r="O288" i="1"/>
  <c r="P287" i="1"/>
  <c r="O287" i="1"/>
  <c r="P286" i="1"/>
  <c r="O286" i="1"/>
  <c r="P285" i="1"/>
  <c r="O285" i="1"/>
  <c r="P284" i="1"/>
  <c r="O284" i="1"/>
  <c r="P283" i="1"/>
  <c r="O283" i="1"/>
  <c r="P282" i="1"/>
  <c r="O282" i="1"/>
  <c r="P281" i="1"/>
  <c r="O281" i="1"/>
  <c r="P280" i="1"/>
  <c r="O280" i="1"/>
  <c r="P279" i="1"/>
  <c r="O279" i="1"/>
  <c r="P278" i="1"/>
  <c r="O278" i="1"/>
  <c r="P277" i="1"/>
  <c r="O277" i="1"/>
  <c r="P276" i="1"/>
  <c r="O276" i="1"/>
  <c r="P275" i="1"/>
  <c r="O275" i="1"/>
  <c r="P274" i="1"/>
  <c r="O274" i="1"/>
  <c r="P273" i="1"/>
  <c r="O273" i="1"/>
  <c r="P272" i="1"/>
  <c r="O272" i="1"/>
  <c r="P271" i="1"/>
  <c r="O271" i="1"/>
  <c r="P270" i="1"/>
  <c r="O270" i="1"/>
  <c r="P269" i="1"/>
  <c r="O269" i="1"/>
  <c r="P268" i="1"/>
  <c r="O268" i="1"/>
  <c r="P267" i="1"/>
  <c r="O267" i="1"/>
  <c r="P266" i="1"/>
  <c r="O266" i="1"/>
  <c r="P265" i="1"/>
  <c r="O265" i="1"/>
  <c r="P264" i="1"/>
  <c r="O264" i="1"/>
  <c r="P263" i="1"/>
  <c r="O263" i="1"/>
  <c r="P262" i="1"/>
  <c r="O262" i="1"/>
  <c r="P261" i="1"/>
  <c r="O261" i="1"/>
  <c r="P260" i="1"/>
  <c r="O260" i="1"/>
  <c r="P259" i="1"/>
  <c r="O259" i="1"/>
  <c r="P258" i="1"/>
  <c r="O258" i="1"/>
  <c r="P257" i="1"/>
  <c r="O257" i="1"/>
  <c r="P256" i="1"/>
  <c r="O256" i="1"/>
  <c r="P255" i="1"/>
  <c r="O255" i="1"/>
  <c r="P254" i="1"/>
  <c r="O254" i="1"/>
  <c r="P253" i="1"/>
  <c r="O253" i="1"/>
  <c r="P252" i="1"/>
  <c r="O252" i="1"/>
  <c r="P251" i="1"/>
  <c r="O251" i="1"/>
  <c r="P250" i="1"/>
  <c r="O250" i="1"/>
  <c r="P249" i="1"/>
  <c r="O249" i="1"/>
  <c r="P248" i="1"/>
  <c r="O248" i="1"/>
  <c r="P247" i="1"/>
  <c r="O247" i="1"/>
  <c r="P246" i="1"/>
  <c r="O246" i="1"/>
  <c r="P245" i="1"/>
  <c r="O245" i="1"/>
  <c r="P244" i="1"/>
  <c r="O244" i="1"/>
  <c r="P243" i="1"/>
  <c r="O243" i="1"/>
  <c r="P242" i="1"/>
  <c r="O242" i="1"/>
  <c r="P241" i="1"/>
  <c r="O241" i="1"/>
  <c r="P240" i="1"/>
  <c r="O240" i="1"/>
  <c r="P239" i="1"/>
  <c r="O239" i="1"/>
  <c r="P238" i="1"/>
  <c r="O238" i="1"/>
  <c r="P237" i="1"/>
  <c r="O237" i="1"/>
  <c r="P236" i="1"/>
  <c r="O236" i="1"/>
  <c r="P235" i="1"/>
  <c r="O235" i="1"/>
  <c r="P234" i="1"/>
  <c r="O234" i="1"/>
  <c r="P233" i="1"/>
  <c r="O233" i="1"/>
  <c r="P232" i="1"/>
  <c r="O232" i="1"/>
  <c r="P231" i="1"/>
  <c r="O231" i="1"/>
  <c r="P230" i="1"/>
  <c r="O230" i="1"/>
  <c r="P229" i="1"/>
  <c r="O229" i="1"/>
  <c r="P228" i="1"/>
  <c r="O228" i="1"/>
  <c r="P227" i="1"/>
  <c r="O227" i="1"/>
  <c r="P226" i="1"/>
  <c r="O226" i="1"/>
  <c r="P225" i="1"/>
  <c r="O225" i="1"/>
  <c r="P224" i="1"/>
  <c r="O224" i="1"/>
  <c r="P223" i="1"/>
  <c r="O223" i="1"/>
  <c r="P222" i="1"/>
  <c r="O222" i="1"/>
  <c r="P221" i="1"/>
  <c r="O221" i="1"/>
  <c r="P220" i="1"/>
  <c r="O220" i="1"/>
  <c r="P219" i="1"/>
  <c r="O219" i="1"/>
  <c r="P218" i="1"/>
  <c r="O218" i="1"/>
  <c r="P217" i="1"/>
  <c r="O217" i="1"/>
  <c r="P216" i="1"/>
  <c r="O216" i="1"/>
  <c r="P215" i="1"/>
  <c r="O215" i="1"/>
  <c r="P214" i="1"/>
  <c r="O214" i="1"/>
  <c r="P213" i="1"/>
  <c r="O213" i="1"/>
  <c r="P212" i="1"/>
  <c r="O212" i="1"/>
  <c r="P211" i="1"/>
  <c r="O211" i="1"/>
  <c r="P210" i="1"/>
  <c r="O210" i="1"/>
  <c r="P209" i="1"/>
  <c r="O209" i="1"/>
  <c r="P208" i="1"/>
  <c r="O208" i="1"/>
  <c r="P207" i="1"/>
  <c r="O207" i="1"/>
  <c r="P206" i="1"/>
  <c r="O206" i="1"/>
  <c r="P205" i="1"/>
  <c r="O205" i="1"/>
  <c r="P204" i="1"/>
  <c r="O204" i="1"/>
  <c r="P203" i="1"/>
  <c r="O203" i="1"/>
  <c r="P202" i="1"/>
  <c r="O202" i="1"/>
  <c r="P201" i="1"/>
  <c r="O201" i="1"/>
  <c r="P200" i="1"/>
  <c r="O200" i="1"/>
  <c r="P199" i="1"/>
  <c r="O199" i="1"/>
  <c r="P198" i="1"/>
  <c r="O198" i="1"/>
  <c r="P197" i="1"/>
  <c r="O197" i="1"/>
  <c r="P196" i="1"/>
  <c r="O196" i="1"/>
  <c r="P195" i="1"/>
  <c r="O195" i="1"/>
  <c r="P194" i="1"/>
  <c r="O194" i="1"/>
  <c r="P193" i="1"/>
  <c r="O193" i="1"/>
  <c r="P192" i="1"/>
  <c r="O192" i="1"/>
  <c r="P191" i="1"/>
  <c r="O191" i="1"/>
  <c r="P190" i="1"/>
  <c r="O190" i="1"/>
  <c r="P189" i="1"/>
  <c r="O189" i="1"/>
  <c r="P188" i="1"/>
  <c r="O188" i="1"/>
  <c r="P187" i="1"/>
  <c r="O187" i="1"/>
  <c r="P186" i="1"/>
  <c r="O186" i="1"/>
  <c r="P185" i="1"/>
  <c r="O185" i="1"/>
  <c r="P184" i="1"/>
  <c r="O184" i="1"/>
  <c r="P183" i="1"/>
  <c r="O183" i="1"/>
  <c r="P182" i="1"/>
  <c r="O182" i="1"/>
  <c r="P181" i="1"/>
  <c r="O181" i="1"/>
  <c r="P180" i="1"/>
  <c r="O180" i="1"/>
  <c r="P179" i="1"/>
  <c r="O179" i="1"/>
  <c r="P178" i="1"/>
  <c r="O178" i="1"/>
  <c r="P177" i="1"/>
  <c r="O177" i="1"/>
  <c r="P176" i="1"/>
  <c r="O176" i="1"/>
  <c r="P175" i="1"/>
  <c r="O175" i="1"/>
  <c r="P174" i="1"/>
  <c r="O174" i="1"/>
  <c r="P173" i="1"/>
  <c r="O173" i="1"/>
  <c r="P172" i="1"/>
  <c r="O172" i="1"/>
  <c r="P171" i="1"/>
  <c r="O171" i="1"/>
  <c r="P170" i="1"/>
  <c r="O170" i="1"/>
  <c r="P169" i="1"/>
  <c r="O169" i="1"/>
  <c r="P168" i="1"/>
  <c r="O168" i="1"/>
  <c r="P167" i="1"/>
  <c r="O167" i="1"/>
  <c r="P166" i="1"/>
  <c r="O166" i="1"/>
  <c r="P165" i="1"/>
  <c r="O165" i="1"/>
  <c r="P164" i="1"/>
  <c r="O164" i="1"/>
  <c r="P163" i="1"/>
  <c r="O163" i="1"/>
  <c r="P162" i="1"/>
  <c r="O162" i="1"/>
  <c r="P161" i="1"/>
  <c r="O161" i="1"/>
  <c r="P160" i="1"/>
  <c r="O160" i="1"/>
  <c r="P159" i="1"/>
  <c r="O159" i="1"/>
  <c r="P158" i="1"/>
  <c r="O158" i="1"/>
  <c r="P157" i="1"/>
  <c r="O157" i="1"/>
  <c r="P156" i="1"/>
  <c r="O156" i="1"/>
  <c r="P155" i="1"/>
  <c r="O155" i="1"/>
  <c r="P154" i="1"/>
  <c r="O154" i="1"/>
  <c r="P153" i="1"/>
  <c r="O153" i="1"/>
  <c r="P152" i="1"/>
  <c r="O152" i="1"/>
  <c r="P151" i="1"/>
  <c r="O151" i="1"/>
  <c r="P150" i="1"/>
  <c r="O150" i="1"/>
  <c r="P149" i="1"/>
  <c r="O149" i="1"/>
  <c r="P148" i="1"/>
  <c r="O148" i="1"/>
  <c r="P147" i="1"/>
  <c r="O147" i="1"/>
  <c r="P146" i="1"/>
  <c r="O146" i="1"/>
  <c r="P145" i="1"/>
  <c r="O145" i="1"/>
  <c r="P144" i="1"/>
  <c r="O144" i="1"/>
  <c r="P143" i="1"/>
  <c r="O143" i="1"/>
  <c r="P142" i="1"/>
  <c r="O142" i="1"/>
  <c r="P141" i="1"/>
  <c r="O141" i="1"/>
  <c r="P140" i="1"/>
  <c r="O140" i="1"/>
  <c r="P139" i="1"/>
  <c r="O139" i="1"/>
  <c r="P138" i="1"/>
  <c r="O138" i="1"/>
  <c r="P137" i="1"/>
  <c r="O137" i="1"/>
  <c r="P136" i="1"/>
  <c r="O136" i="1"/>
  <c r="P135" i="1"/>
  <c r="O135" i="1"/>
  <c r="P134" i="1"/>
  <c r="O134" i="1"/>
  <c r="P133" i="1"/>
  <c r="O133" i="1"/>
  <c r="P132" i="1"/>
  <c r="O132" i="1"/>
  <c r="P131" i="1"/>
  <c r="O131" i="1"/>
  <c r="P130" i="1"/>
  <c r="O130" i="1"/>
  <c r="P129" i="1"/>
  <c r="O129" i="1"/>
  <c r="P128" i="1"/>
  <c r="O128" i="1"/>
  <c r="P127" i="1"/>
  <c r="O127" i="1"/>
  <c r="P126" i="1"/>
  <c r="O126" i="1"/>
  <c r="P125" i="1"/>
  <c r="O125" i="1"/>
  <c r="P124" i="1"/>
  <c r="O124" i="1"/>
  <c r="P123" i="1"/>
  <c r="O123" i="1"/>
  <c r="P122" i="1"/>
  <c r="O122" i="1"/>
  <c r="P121" i="1"/>
  <c r="O121" i="1"/>
  <c r="P120" i="1"/>
  <c r="O120" i="1"/>
  <c r="P119" i="1"/>
  <c r="O119" i="1"/>
  <c r="P118" i="1"/>
  <c r="O118" i="1"/>
  <c r="P117" i="1"/>
  <c r="O117" i="1"/>
  <c r="P116" i="1"/>
  <c r="O116" i="1"/>
  <c r="P115" i="1"/>
  <c r="O115" i="1"/>
  <c r="P114" i="1"/>
  <c r="O114" i="1"/>
  <c r="P113" i="1"/>
  <c r="O113" i="1"/>
  <c r="P112" i="1"/>
  <c r="O112" i="1"/>
  <c r="P111" i="1"/>
  <c r="O111" i="1"/>
  <c r="P110" i="1"/>
  <c r="O110" i="1"/>
  <c r="P109" i="1"/>
  <c r="O109" i="1"/>
  <c r="P108" i="1"/>
  <c r="O108" i="1"/>
  <c r="P107" i="1"/>
  <c r="O107" i="1"/>
  <c r="P106" i="1"/>
  <c r="O106" i="1"/>
  <c r="P105" i="1"/>
  <c r="O105" i="1"/>
  <c r="P104" i="1"/>
  <c r="O104" i="1"/>
  <c r="P103" i="1"/>
  <c r="O103" i="1"/>
  <c r="P102" i="1"/>
  <c r="O102" i="1"/>
  <c r="P101" i="1"/>
  <c r="O101" i="1"/>
  <c r="P100" i="1"/>
  <c r="O100" i="1"/>
  <c r="P99" i="1"/>
  <c r="O99" i="1"/>
  <c r="P98" i="1"/>
  <c r="O98" i="1"/>
  <c r="P97" i="1"/>
  <c r="O97" i="1"/>
  <c r="P96" i="1"/>
  <c r="O96" i="1"/>
  <c r="P95" i="1"/>
  <c r="O95" i="1"/>
  <c r="P94" i="1"/>
  <c r="O94" i="1"/>
  <c r="P93" i="1"/>
  <c r="O93" i="1"/>
  <c r="P92" i="1"/>
  <c r="O92" i="1"/>
  <c r="P91" i="1"/>
  <c r="O91" i="1"/>
  <c r="P90" i="1"/>
  <c r="O90" i="1"/>
  <c r="P89" i="1"/>
  <c r="O89" i="1"/>
  <c r="P88" i="1"/>
  <c r="O88" i="1"/>
  <c r="P87" i="1"/>
  <c r="O87" i="1"/>
  <c r="P86" i="1"/>
  <c r="O86" i="1"/>
  <c r="P85" i="1"/>
  <c r="O85" i="1"/>
  <c r="P84" i="1"/>
  <c r="O84" i="1"/>
  <c r="P83" i="1"/>
  <c r="O83" i="1"/>
  <c r="P82" i="1"/>
  <c r="O82" i="1"/>
  <c r="P81" i="1"/>
  <c r="O81" i="1"/>
  <c r="P80" i="1"/>
  <c r="O80" i="1"/>
  <c r="P79" i="1"/>
  <c r="O79" i="1"/>
  <c r="P78" i="1"/>
  <c r="O78" i="1"/>
  <c r="P77" i="1"/>
  <c r="O77" i="1"/>
  <c r="P76" i="1"/>
  <c r="O76" i="1"/>
  <c r="P75" i="1"/>
  <c r="O75" i="1"/>
  <c r="P74" i="1"/>
  <c r="O74" i="1"/>
  <c r="P73" i="1"/>
  <c r="O73" i="1"/>
  <c r="P72" i="1"/>
  <c r="O72" i="1"/>
  <c r="P71" i="1"/>
  <c r="O71" i="1"/>
  <c r="P70" i="1"/>
  <c r="O70" i="1"/>
  <c r="P69" i="1"/>
  <c r="O69" i="1"/>
  <c r="P68" i="1"/>
  <c r="O68" i="1"/>
  <c r="P67" i="1"/>
  <c r="O67" i="1"/>
  <c r="P66" i="1"/>
  <c r="O66" i="1"/>
  <c r="P65" i="1"/>
  <c r="O65" i="1"/>
  <c r="P64" i="1"/>
  <c r="O64" i="1"/>
  <c r="P63" i="1"/>
  <c r="O63" i="1"/>
  <c r="P62" i="1"/>
  <c r="O62" i="1"/>
  <c r="P61" i="1"/>
  <c r="O61" i="1"/>
  <c r="P60" i="1"/>
  <c r="O60" i="1"/>
  <c r="P59" i="1"/>
  <c r="O59" i="1"/>
  <c r="P58" i="1"/>
  <c r="O58" i="1"/>
  <c r="P57" i="1"/>
  <c r="O57" i="1"/>
  <c r="P56" i="1"/>
  <c r="O56" i="1"/>
  <c r="P55" i="1"/>
  <c r="O55" i="1"/>
  <c r="P54" i="1"/>
  <c r="O54" i="1"/>
  <c r="P53" i="1"/>
  <c r="O53" i="1"/>
  <c r="P52" i="1"/>
  <c r="O52" i="1"/>
  <c r="P51" i="1"/>
  <c r="O51" i="1"/>
  <c r="P50" i="1"/>
  <c r="O50" i="1"/>
  <c r="P49" i="1"/>
  <c r="O49" i="1"/>
  <c r="P48" i="1"/>
  <c r="O48" i="1"/>
  <c r="P47" i="1"/>
  <c r="O47" i="1"/>
  <c r="P46" i="1"/>
  <c r="O46" i="1"/>
  <c r="P45" i="1"/>
  <c r="O45" i="1"/>
  <c r="P44" i="1"/>
  <c r="O44" i="1"/>
  <c r="P43" i="1"/>
  <c r="O43" i="1"/>
  <c r="P42" i="1"/>
  <c r="O42" i="1"/>
  <c r="P41" i="1"/>
  <c r="O41" i="1"/>
  <c r="P40" i="1"/>
  <c r="O40" i="1"/>
  <c r="P39" i="1"/>
  <c r="O39" i="1"/>
  <c r="P38" i="1"/>
  <c r="O38" i="1"/>
  <c r="P37" i="1"/>
  <c r="O37" i="1"/>
  <c r="P36" i="1"/>
  <c r="O36" i="1"/>
  <c r="P35" i="1"/>
  <c r="O35" i="1"/>
  <c r="P34" i="1"/>
  <c r="O34" i="1"/>
  <c r="P33" i="1"/>
  <c r="O33" i="1"/>
  <c r="P32" i="1"/>
  <c r="O32" i="1"/>
  <c r="P31" i="1"/>
  <c r="O31" i="1"/>
  <c r="P30" i="1"/>
  <c r="O30" i="1"/>
  <c r="P29" i="1"/>
  <c r="O29" i="1"/>
  <c r="P28" i="1"/>
  <c r="O28" i="1"/>
  <c r="P27" i="1"/>
  <c r="O27" i="1"/>
  <c r="P26" i="1"/>
  <c r="O26" i="1"/>
  <c r="P25" i="1"/>
  <c r="O25" i="1"/>
  <c r="P24" i="1"/>
  <c r="O24" i="1"/>
  <c r="P23" i="1"/>
  <c r="O23" i="1"/>
  <c r="P22" i="1"/>
  <c r="O22" i="1"/>
  <c r="P21" i="1"/>
  <c r="O21" i="1"/>
  <c r="P20" i="1"/>
  <c r="O20" i="1"/>
  <c r="P19" i="1"/>
  <c r="O19" i="1"/>
  <c r="P18" i="1"/>
  <c r="O18" i="1"/>
  <c r="P17" i="1"/>
  <c r="O17" i="1"/>
  <c r="P16" i="1"/>
  <c r="O16" i="1"/>
  <c r="P15" i="1"/>
  <c r="O15" i="1"/>
  <c r="P14" i="1"/>
  <c r="O14" i="1"/>
  <c r="P13" i="1"/>
  <c r="O13" i="1"/>
  <c r="P12" i="1"/>
  <c r="O12" i="1"/>
  <c r="P11" i="1"/>
  <c r="O11" i="1"/>
  <c r="P10" i="1"/>
  <c r="O10" i="1"/>
  <c r="P9" i="1"/>
  <c r="O9" i="1"/>
  <c r="P8" i="1"/>
  <c r="O8" i="1"/>
  <c r="P7" i="1"/>
  <c r="O7" i="1"/>
  <c r="P6" i="1"/>
  <c r="O6" i="1"/>
  <c r="P5" i="1"/>
  <c r="O5" i="1"/>
  <c r="P4" i="1"/>
  <c r="O4" i="1"/>
  <c r="P3" i="1"/>
  <c r="O3" i="1"/>
  <c r="E1884" i="1"/>
  <c r="H1884" i="1"/>
  <c r="J1884" i="1"/>
  <c r="K1884" i="1"/>
  <c r="L1884" i="1"/>
  <c r="M1884" i="1"/>
  <c r="E1883" i="1"/>
  <c r="H1883" i="1"/>
  <c r="J1883" i="1"/>
  <c r="K1883" i="1"/>
  <c r="L1883" i="1"/>
  <c r="M1883" i="1"/>
  <c r="E1872" i="1"/>
  <c r="E1873" i="1"/>
  <c r="E1874" i="1"/>
  <c r="E1875" i="1"/>
  <c r="E1876" i="1"/>
  <c r="E1877" i="1"/>
  <c r="E1878" i="1"/>
  <c r="E1879" i="1"/>
  <c r="E1880" i="1"/>
  <c r="E1881" i="1"/>
  <c r="E1882" i="1"/>
  <c r="H1872" i="1"/>
  <c r="J1872" i="1" s="1"/>
  <c r="H1873" i="1"/>
  <c r="J1873" i="1" s="1"/>
  <c r="H1874" i="1"/>
  <c r="J1874" i="1" s="1"/>
  <c r="H1875" i="1"/>
  <c r="J1875" i="1" s="1"/>
  <c r="H1876" i="1"/>
  <c r="J1876" i="1" s="1"/>
  <c r="H1877" i="1"/>
  <c r="J1877" i="1" s="1"/>
  <c r="H1878" i="1"/>
  <c r="J1878" i="1" s="1"/>
  <c r="H1879" i="1"/>
  <c r="J1879" i="1" s="1"/>
  <c r="H1880" i="1"/>
  <c r="J1880" i="1" s="1"/>
  <c r="H1881" i="1"/>
  <c r="J1881" i="1" s="1"/>
  <c r="H1882" i="1"/>
  <c r="J1882" i="1" s="1"/>
  <c r="K1872" i="1"/>
  <c r="K1873" i="1"/>
  <c r="K1874" i="1"/>
  <c r="K1875" i="1"/>
  <c r="K1876" i="1"/>
  <c r="K1877" i="1"/>
  <c r="K1878" i="1"/>
  <c r="K1879" i="1"/>
  <c r="K1880" i="1"/>
  <c r="K1881" i="1"/>
  <c r="K1882" i="1"/>
  <c r="L1872" i="1"/>
  <c r="L1873" i="1"/>
  <c r="L1874" i="1"/>
  <c r="L1875" i="1"/>
  <c r="L1876" i="1"/>
  <c r="L1877" i="1"/>
  <c r="L1878" i="1"/>
  <c r="L1879" i="1"/>
  <c r="L1880" i="1"/>
  <c r="L1881" i="1"/>
  <c r="L1882" i="1"/>
  <c r="M1872" i="1"/>
  <c r="M1873" i="1"/>
  <c r="M1874" i="1"/>
  <c r="M1875" i="1"/>
  <c r="M1876" i="1"/>
  <c r="M1877" i="1"/>
  <c r="M1878" i="1"/>
  <c r="M1879" i="1"/>
  <c r="M1880" i="1"/>
  <c r="M1881" i="1"/>
  <c r="M1882" i="1"/>
  <c r="E1866" i="1"/>
  <c r="E1867" i="1"/>
  <c r="E1868" i="1"/>
  <c r="E1869" i="1"/>
  <c r="E1870" i="1"/>
  <c r="E1871" i="1"/>
  <c r="H1866" i="1"/>
  <c r="J1866" i="1" s="1"/>
  <c r="H1867" i="1"/>
  <c r="J1867" i="1" s="1"/>
  <c r="H1868" i="1"/>
  <c r="J1868" i="1" s="1"/>
  <c r="H1869" i="1"/>
  <c r="J1869" i="1" s="1"/>
  <c r="H1870" i="1"/>
  <c r="J1870" i="1" s="1"/>
  <c r="H1871" i="1"/>
  <c r="J1871" i="1" s="1"/>
  <c r="K1866" i="1"/>
  <c r="K1867" i="1"/>
  <c r="K1868" i="1"/>
  <c r="K1869" i="1"/>
  <c r="K1870" i="1"/>
  <c r="K1871" i="1"/>
  <c r="L1866" i="1"/>
  <c r="L1867" i="1"/>
  <c r="L1868" i="1"/>
  <c r="L1869" i="1"/>
  <c r="L1870" i="1"/>
  <c r="L1871" i="1"/>
  <c r="M1866" i="1"/>
  <c r="M1867" i="1"/>
  <c r="M1868" i="1"/>
  <c r="M1869" i="1"/>
  <c r="M1870" i="1"/>
  <c r="M1871" i="1"/>
  <c r="E1865" i="1"/>
  <c r="H1865" i="1"/>
  <c r="J1865" i="1" s="1"/>
  <c r="K1865" i="1"/>
  <c r="L1865" i="1"/>
  <c r="M1865" i="1"/>
  <c r="E1864" i="1"/>
  <c r="H1864" i="1"/>
  <c r="J1864" i="1" s="1"/>
  <c r="K1864" i="1"/>
  <c r="L1864" i="1"/>
  <c r="M1864" i="1"/>
  <c r="E1863" i="1"/>
  <c r="H1863" i="1"/>
  <c r="J1863" i="1" s="1"/>
  <c r="K1863" i="1"/>
  <c r="L1863" i="1"/>
  <c r="M1863" i="1"/>
  <c r="E1862" i="1"/>
  <c r="H1862" i="1"/>
  <c r="J1862" i="1" s="1"/>
  <c r="K1862" i="1"/>
  <c r="L1862" i="1"/>
  <c r="M1862" i="1"/>
  <c r="E1861" i="1"/>
  <c r="H1861" i="1"/>
  <c r="J1861" i="1" s="1"/>
  <c r="K1861" i="1"/>
  <c r="L1861" i="1"/>
  <c r="M1861" i="1"/>
  <c r="E1860" i="1"/>
  <c r="H1860" i="1"/>
  <c r="J1860" i="1" s="1"/>
  <c r="K1860" i="1"/>
  <c r="L1860" i="1"/>
  <c r="M1860" i="1"/>
  <c r="J62" i="13" l="1"/>
  <c r="J10" i="30" s="1"/>
  <c r="K62" i="13"/>
  <c r="K10" i="30" s="1"/>
  <c r="L62" i="13"/>
  <c r="L10" i="30" s="1"/>
  <c r="M62" i="13"/>
  <c r="M10" i="30" s="1"/>
  <c r="N62" i="13"/>
  <c r="N10" i="30" s="1"/>
  <c r="O62" i="13"/>
  <c r="O10" i="30" s="1"/>
  <c r="J68" i="13"/>
  <c r="J16" i="30" s="1"/>
  <c r="K68" i="13"/>
  <c r="K16" i="30" s="1"/>
  <c r="L68" i="13"/>
  <c r="L16" i="30" s="1"/>
  <c r="M68" i="13"/>
  <c r="M16" i="30" s="1"/>
  <c r="N68" i="13"/>
  <c r="N16" i="30" s="1"/>
  <c r="O68" i="13"/>
  <c r="O16" i="30" s="1"/>
  <c r="J17" i="19"/>
  <c r="J25" i="30" s="1"/>
  <c r="K17" i="19"/>
  <c r="K25" i="30" s="1"/>
  <c r="L17" i="19"/>
  <c r="L25" i="30" s="1"/>
  <c r="M17" i="19"/>
  <c r="M25" i="30" s="1"/>
  <c r="N17" i="19"/>
  <c r="N25" i="30" s="1"/>
  <c r="O17" i="19"/>
  <c r="O25" i="30" s="1"/>
  <c r="J23" i="19"/>
  <c r="J31" i="30" s="1"/>
  <c r="K23" i="19"/>
  <c r="K31" i="30" s="1"/>
  <c r="L23" i="19"/>
  <c r="L31" i="30" s="1"/>
  <c r="M23" i="19"/>
  <c r="M31" i="30" s="1"/>
  <c r="N23" i="19"/>
  <c r="N31" i="30" s="1"/>
  <c r="O23" i="19"/>
  <c r="O31" i="30" s="1"/>
  <c r="G51" i="20"/>
  <c r="H51" i="20"/>
  <c r="I51" i="20"/>
  <c r="J51" i="20"/>
  <c r="J40" i="30" s="1"/>
  <c r="K51" i="20"/>
  <c r="K40" i="30" s="1"/>
  <c r="L51" i="20"/>
  <c r="L40" i="30" s="1"/>
  <c r="M51" i="20"/>
  <c r="M40" i="30" s="1"/>
  <c r="N51" i="20"/>
  <c r="N40" i="30" s="1"/>
  <c r="O51" i="20"/>
  <c r="O40" i="30" s="1"/>
  <c r="G57" i="20"/>
  <c r="H57" i="20"/>
  <c r="I57" i="20"/>
  <c r="J57" i="20"/>
  <c r="J46" i="30" s="1"/>
  <c r="K57" i="20"/>
  <c r="K46" i="30" s="1"/>
  <c r="L57" i="20"/>
  <c r="L46" i="30" s="1"/>
  <c r="M57" i="20"/>
  <c r="M46" i="30" s="1"/>
  <c r="N57" i="20"/>
  <c r="N46" i="30" s="1"/>
  <c r="O57" i="20"/>
  <c r="O46" i="30" s="1"/>
  <c r="I18" i="21"/>
  <c r="I55" i="30" s="1"/>
  <c r="J18" i="21"/>
  <c r="J55" i="30" s="1"/>
  <c r="K18" i="21"/>
  <c r="K55" i="30" s="1"/>
  <c r="L18" i="21"/>
  <c r="L55" i="30" s="1"/>
  <c r="M18" i="21"/>
  <c r="M55" i="30" s="1"/>
  <c r="N18" i="21"/>
  <c r="N55" i="30" s="1"/>
  <c r="O18" i="21"/>
  <c r="O55" i="30" s="1"/>
  <c r="I24" i="21"/>
  <c r="I61" i="30" s="1"/>
  <c r="J24" i="21"/>
  <c r="J61" i="30" s="1"/>
  <c r="K24" i="21"/>
  <c r="K61" i="30" s="1"/>
  <c r="L24" i="21"/>
  <c r="L61" i="30" s="1"/>
  <c r="M24" i="21"/>
  <c r="M61" i="30" s="1"/>
  <c r="N24" i="21"/>
  <c r="N61" i="30" s="1"/>
  <c r="O24" i="21"/>
  <c r="O61" i="30" s="1"/>
  <c r="E21" i="22"/>
  <c r="F21" i="22"/>
  <c r="G21" i="22"/>
  <c r="H21" i="22"/>
  <c r="I21" i="22"/>
  <c r="J21" i="22"/>
  <c r="J70" i="30" s="1"/>
  <c r="K21" i="22"/>
  <c r="K70" i="30" s="1"/>
  <c r="L21" i="22"/>
  <c r="L70" i="30" s="1"/>
  <c r="M21" i="22"/>
  <c r="M70" i="30" s="1"/>
  <c r="N21" i="22"/>
  <c r="N70" i="30" s="1"/>
  <c r="O21" i="22"/>
  <c r="O70" i="30" s="1"/>
  <c r="E27" i="22"/>
  <c r="F27" i="22"/>
  <c r="G27" i="22"/>
  <c r="H27" i="22"/>
  <c r="I27" i="22"/>
  <c r="J27" i="22"/>
  <c r="J76" i="30" s="1"/>
  <c r="K27" i="22"/>
  <c r="K76" i="30" s="1"/>
  <c r="L27" i="22"/>
  <c r="L76" i="30" s="1"/>
  <c r="M27" i="22"/>
  <c r="M76" i="30" s="1"/>
  <c r="N27" i="22"/>
  <c r="N76" i="30" s="1"/>
  <c r="O27" i="22"/>
  <c r="O76" i="30" s="1"/>
  <c r="J27" i="23"/>
  <c r="J85" i="30" s="1"/>
  <c r="K27" i="23"/>
  <c r="K85" i="30" s="1"/>
  <c r="L27" i="23"/>
  <c r="L85" i="30" s="1"/>
  <c r="M27" i="23"/>
  <c r="M85" i="30" s="1"/>
  <c r="N27" i="23"/>
  <c r="N85" i="30" s="1"/>
  <c r="O27" i="23"/>
  <c r="O85" i="30" s="1"/>
  <c r="J33" i="23"/>
  <c r="J91" i="30" s="1"/>
  <c r="K33" i="23"/>
  <c r="K91" i="30" s="1"/>
  <c r="L33" i="23"/>
  <c r="L91" i="30" s="1"/>
  <c r="M33" i="23"/>
  <c r="M91" i="30" s="1"/>
  <c r="N33" i="23"/>
  <c r="N91" i="30" s="1"/>
  <c r="O33" i="23"/>
  <c r="O91" i="30" s="1"/>
  <c r="E18" i="24"/>
  <c r="F18" i="24"/>
  <c r="G18" i="24"/>
  <c r="H18" i="24"/>
  <c r="I18" i="24"/>
  <c r="J18" i="24"/>
  <c r="J100" i="30" s="1"/>
  <c r="K18" i="24"/>
  <c r="K100" i="30" s="1"/>
  <c r="L18" i="24"/>
  <c r="L100" i="30" s="1"/>
  <c r="M18" i="24"/>
  <c r="M100" i="30" s="1"/>
  <c r="N18" i="24"/>
  <c r="N100" i="30" s="1"/>
  <c r="O18" i="24"/>
  <c r="O100" i="30" s="1"/>
  <c r="E24" i="24"/>
  <c r="F24" i="24"/>
  <c r="G24" i="24"/>
  <c r="H24" i="24"/>
  <c r="I24" i="24"/>
  <c r="J24" i="24"/>
  <c r="J106" i="30" s="1"/>
  <c r="K24" i="24"/>
  <c r="K106" i="30" s="1"/>
  <c r="L24" i="24"/>
  <c r="L106" i="30" s="1"/>
  <c r="M24" i="24"/>
  <c r="M106" i="30" s="1"/>
  <c r="N24" i="24"/>
  <c r="N106" i="30" s="1"/>
  <c r="O24" i="24"/>
  <c r="O106" i="30" s="1"/>
  <c r="O37" i="25"/>
  <c r="O121" i="30" s="1"/>
  <c r="N37" i="25"/>
  <c r="N121" i="30" s="1"/>
  <c r="M37" i="25"/>
  <c r="M121" i="30" s="1"/>
  <c r="L37" i="25"/>
  <c r="L121" i="30" s="1"/>
  <c r="K37" i="25"/>
  <c r="K121" i="30" s="1"/>
  <c r="J37" i="25"/>
  <c r="J121" i="30" s="1"/>
  <c r="I37" i="25"/>
  <c r="H37" i="25"/>
  <c r="G37" i="25"/>
  <c r="F37" i="25"/>
  <c r="E37" i="25"/>
  <c r="O31" i="25" l="1"/>
  <c r="O115" i="30" s="1"/>
  <c r="N31" i="25"/>
  <c r="N115" i="30" s="1"/>
  <c r="M31" i="25"/>
  <c r="M115" i="30" s="1"/>
  <c r="L31" i="25"/>
  <c r="L115" i="30" s="1"/>
  <c r="K31" i="25"/>
  <c r="K115" i="30" s="1"/>
  <c r="J31" i="25"/>
  <c r="J115" i="30" s="1"/>
  <c r="I31" i="25"/>
  <c r="H31" i="25"/>
  <c r="G31" i="25"/>
  <c r="F31" i="25"/>
  <c r="E31" i="25"/>
  <c r="O38" i="27" l="1"/>
  <c r="O136" i="30" s="1"/>
  <c r="N38" i="27"/>
  <c r="N136" i="30" s="1"/>
  <c r="M38" i="27"/>
  <c r="M136" i="30" s="1"/>
  <c r="L38" i="27"/>
  <c r="L136" i="30" s="1"/>
  <c r="K38" i="27"/>
  <c r="K136" i="30" s="1"/>
  <c r="J38" i="27"/>
  <c r="J136" i="30" s="1"/>
  <c r="I38" i="27"/>
  <c r="H38" i="27"/>
  <c r="G38" i="27"/>
  <c r="F38" i="27"/>
  <c r="E38" i="27"/>
  <c r="D38" i="27"/>
  <c r="D32" i="27" l="1"/>
  <c r="E32" i="27"/>
  <c r="F32" i="27"/>
  <c r="G32" i="27"/>
  <c r="H32" i="27"/>
  <c r="I32" i="27"/>
  <c r="J32" i="27"/>
  <c r="J130" i="30" s="1"/>
  <c r="K32" i="27"/>
  <c r="K130" i="30" s="1"/>
  <c r="L32" i="27"/>
  <c r="L130" i="30" s="1"/>
  <c r="M32" i="27"/>
  <c r="M130" i="30" s="1"/>
  <c r="N32" i="27"/>
  <c r="N130" i="30" s="1"/>
  <c r="O32" i="27"/>
  <c r="O130" i="30" s="1"/>
  <c r="J25" i="28"/>
  <c r="J145" i="30" s="1"/>
  <c r="J31" i="28"/>
  <c r="J151" i="30" s="1"/>
  <c r="E823" i="1"/>
  <c r="H823" i="1"/>
  <c r="J823" i="1" s="1"/>
  <c r="K823" i="1"/>
  <c r="L823" i="1"/>
  <c r="M823" i="1"/>
  <c r="E820" i="1"/>
  <c r="E821" i="1"/>
  <c r="H820" i="1"/>
  <c r="J820" i="1" s="1"/>
  <c r="H821" i="1"/>
  <c r="J821" i="1" s="1"/>
  <c r="K820" i="1"/>
  <c r="K821" i="1"/>
  <c r="L820" i="1"/>
  <c r="L821" i="1"/>
  <c r="M820" i="1"/>
  <c r="M821" i="1"/>
  <c r="E817" i="1"/>
  <c r="E818" i="1"/>
  <c r="E819" i="1"/>
  <c r="H817" i="1"/>
  <c r="J817" i="1" s="1"/>
  <c r="H818" i="1"/>
  <c r="J818" i="1" s="1"/>
  <c r="H819" i="1"/>
  <c r="J819" i="1" s="1"/>
  <c r="K817" i="1"/>
  <c r="K818" i="1"/>
  <c r="K819" i="1"/>
  <c r="L817" i="1"/>
  <c r="L818" i="1"/>
  <c r="L819" i="1"/>
  <c r="M817" i="1"/>
  <c r="M818" i="1"/>
  <c r="M819" i="1"/>
  <c r="E812" i="1"/>
  <c r="E813" i="1"/>
  <c r="E814" i="1"/>
  <c r="E815" i="1"/>
  <c r="E816" i="1"/>
  <c r="E822" i="1"/>
  <c r="H812" i="1"/>
  <c r="J812" i="1" s="1"/>
  <c r="H813" i="1"/>
  <c r="J813" i="1" s="1"/>
  <c r="H814" i="1"/>
  <c r="J814" i="1" s="1"/>
  <c r="H815" i="1"/>
  <c r="J815" i="1" s="1"/>
  <c r="H816" i="1"/>
  <c r="J816" i="1" s="1"/>
  <c r="H822" i="1"/>
  <c r="J822" i="1" s="1"/>
  <c r="K812" i="1"/>
  <c r="K813" i="1"/>
  <c r="K814" i="1"/>
  <c r="K815" i="1"/>
  <c r="K816" i="1"/>
  <c r="K822" i="1"/>
  <c r="L812" i="1"/>
  <c r="L813" i="1"/>
  <c r="L814" i="1"/>
  <c r="L815" i="1"/>
  <c r="L816" i="1"/>
  <c r="L822" i="1"/>
  <c r="M812" i="1"/>
  <c r="M813" i="1"/>
  <c r="M814" i="1"/>
  <c r="M815" i="1"/>
  <c r="M816" i="1"/>
  <c r="M822" i="1"/>
  <c r="E773" i="1"/>
  <c r="H773" i="1"/>
  <c r="J773" i="1" s="1"/>
  <c r="K773" i="1"/>
  <c r="L773" i="1"/>
  <c r="M773" i="1"/>
  <c r="E763" i="1"/>
  <c r="E764" i="1"/>
  <c r="E765" i="1"/>
  <c r="E766" i="1"/>
  <c r="E767" i="1"/>
  <c r="E768" i="1"/>
  <c r="E769" i="1"/>
  <c r="E770" i="1"/>
  <c r="E771" i="1"/>
  <c r="E772" i="1"/>
  <c r="H763" i="1"/>
  <c r="J763" i="1" s="1"/>
  <c r="H764" i="1"/>
  <c r="J764" i="1" s="1"/>
  <c r="H765" i="1"/>
  <c r="J765" i="1" s="1"/>
  <c r="H766" i="1"/>
  <c r="J766" i="1" s="1"/>
  <c r="H767" i="1"/>
  <c r="J767" i="1" s="1"/>
  <c r="H768" i="1"/>
  <c r="J768" i="1" s="1"/>
  <c r="H769" i="1"/>
  <c r="J769" i="1" s="1"/>
  <c r="H770" i="1"/>
  <c r="J770" i="1" s="1"/>
  <c r="H771" i="1"/>
  <c r="J771" i="1" s="1"/>
  <c r="H772" i="1"/>
  <c r="J772" i="1" s="1"/>
  <c r="K763" i="1"/>
  <c r="K764" i="1"/>
  <c r="K765" i="1"/>
  <c r="K766" i="1"/>
  <c r="K767" i="1"/>
  <c r="K768" i="1"/>
  <c r="K769" i="1"/>
  <c r="K770" i="1"/>
  <c r="K771" i="1"/>
  <c r="K772" i="1"/>
  <c r="L763" i="1"/>
  <c r="L764" i="1"/>
  <c r="L765" i="1"/>
  <c r="L766" i="1"/>
  <c r="L767" i="1"/>
  <c r="L768" i="1"/>
  <c r="L769" i="1"/>
  <c r="L770" i="1"/>
  <c r="L771" i="1"/>
  <c r="L772" i="1"/>
  <c r="M763" i="1"/>
  <c r="M764" i="1"/>
  <c r="M765" i="1"/>
  <c r="M766" i="1"/>
  <c r="M767" i="1"/>
  <c r="M768" i="1"/>
  <c r="M769" i="1"/>
  <c r="M770" i="1"/>
  <c r="M771" i="1"/>
  <c r="M772" i="1"/>
  <c r="E726" i="1"/>
  <c r="E727" i="1"/>
  <c r="H726" i="1"/>
  <c r="J726" i="1" s="1"/>
  <c r="H727" i="1"/>
  <c r="J727" i="1" s="1"/>
  <c r="K726" i="1"/>
  <c r="K727" i="1"/>
  <c r="L726" i="1"/>
  <c r="L727" i="1"/>
  <c r="M726" i="1"/>
  <c r="M727" i="1"/>
  <c r="E723" i="1"/>
  <c r="E724" i="1"/>
  <c r="H723" i="1"/>
  <c r="J723" i="1" s="1"/>
  <c r="H724" i="1"/>
  <c r="J724" i="1" s="1"/>
  <c r="K723" i="1"/>
  <c r="K724" i="1"/>
  <c r="L723" i="1"/>
  <c r="L724" i="1"/>
  <c r="M723" i="1"/>
  <c r="M724" i="1"/>
  <c r="E722" i="1"/>
  <c r="E719" i="1"/>
  <c r="E720" i="1"/>
  <c r="E721" i="1"/>
  <c r="H719" i="1"/>
  <c r="J719" i="1" s="1"/>
  <c r="H720" i="1"/>
  <c r="J720" i="1" s="1"/>
  <c r="H721" i="1"/>
  <c r="J721" i="1" s="1"/>
  <c r="H722" i="1"/>
  <c r="J722" i="1" s="1"/>
  <c r="K719" i="1"/>
  <c r="K720" i="1"/>
  <c r="K721" i="1"/>
  <c r="K722" i="1"/>
  <c r="L719" i="1"/>
  <c r="L720" i="1"/>
  <c r="L721" i="1"/>
  <c r="L722" i="1"/>
  <c r="M719" i="1"/>
  <c r="M720" i="1"/>
  <c r="M721" i="1"/>
  <c r="M722" i="1"/>
  <c r="E716" i="1"/>
  <c r="E717" i="1"/>
  <c r="E718" i="1"/>
  <c r="H716" i="1"/>
  <c r="J716" i="1" s="1"/>
  <c r="H717" i="1"/>
  <c r="J717" i="1" s="1"/>
  <c r="H718" i="1"/>
  <c r="J718" i="1" s="1"/>
  <c r="K716" i="1"/>
  <c r="K717" i="1"/>
  <c r="K718" i="1"/>
  <c r="L716" i="1"/>
  <c r="L717" i="1"/>
  <c r="L718" i="1"/>
  <c r="M716" i="1"/>
  <c r="M717" i="1"/>
  <c r="M718" i="1"/>
  <c r="E707" i="1"/>
  <c r="E708" i="1"/>
  <c r="E709" i="1"/>
  <c r="E710" i="1"/>
  <c r="E711" i="1"/>
  <c r="E712" i="1"/>
  <c r="E713" i="1"/>
  <c r="E714" i="1"/>
  <c r="E715" i="1"/>
  <c r="H707" i="1"/>
  <c r="J707" i="1" s="1"/>
  <c r="H708" i="1"/>
  <c r="J708" i="1" s="1"/>
  <c r="H709" i="1"/>
  <c r="J709" i="1" s="1"/>
  <c r="H710" i="1"/>
  <c r="J710" i="1" s="1"/>
  <c r="H711" i="1"/>
  <c r="J711" i="1" s="1"/>
  <c r="H712" i="1"/>
  <c r="J712" i="1" s="1"/>
  <c r="H713" i="1"/>
  <c r="J713" i="1" s="1"/>
  <c r="H714" i="1"/>
  <c r="J714" i="1" s="1"/>
  <c r="H715" i="1"/>
  <c r="J715" i="1" s="1"/>
  <c r="K707" i="1"/>
  <c r="K708" i="1"/>
  <c r="K709" i="1"/>
  <c r="K710" i="1"/>
  <c r="K711" i="1"/>
  <c r="K712" i="1"/>
  <c r="K713" i="1"/>
  <c r="K714" i="1"/>
  <c r="K715" i="1"/>
  <c r="L707" i="1"/>
  <c r="L708" i="1"/>
  <c r="L709" i="1"/>
  <c r="L710" i="1"/>
  <c r="L711" i="1"/>
  <c r="L712" i="1"/>
  <c r="L713" i="1"/>
  <c r="L714" i="1"/>
  <c r="L715" i="1"/>
  <c r="M707" i="1"/>
  <c r="M708" i="1"/>
  <c r="M709" i="1"/>
  <c r="M710" i="1"/>
  <c r="M711" i="1"/>
  <c r="M712" i="1"/>
  <c r="M713" i="1"/>
  <c r="M714" i="1"/>
  <c r="M715" i="1"/>
  <c r="E725" i="1"/>
  <c r="H725" i="1"/>
  <c r="J725" i="1" s="1"/>
  <c r="K725" i="1"/>
  <c r="L725" i="1"/>
  <c r="M725" i="1"/>
  <c r="M31" i="28"/>
  <c r="M151" i="30" s="1"/>
  <c r="M25" i="28"/>
  <c r="M145" i="30" s="1"/>
  <c r="E661" i="1"/>
  <c r="E659" i="1"/>
  <c r="E662" i="1"/>
  <c r="E660" i="1"/>
  <c r="E658" i="1"/>
  <c r="E655" i="1"/>
  <c r="E657" i="1"/>
  <c r="E656" i="1"/>
  <c r="E653" i="1"/>
  <c r="E654" i="1"/>
  <c r="E652" i="1"/>
  <c r="E651" i="1"/>
  <c r="E650" i="1"/>
  <c r="E647" i="1"/>
  <c r="E648" i="1"/>
  <c r="E649" i="1"/>
  <c r="E646" i="1"/>
  <c r="E640" i="1"/>
  <c r="E643" i="1"/>
  <c r="E645" i="1"/>
  <c r="E642" i="1"/>
  <c r="E644" i="1"/>
  <c r="E641" i="1"/>
  <c r="E639" i="1"/>
  <c r="E638" i="1"/>
  <c r="E637" i="1"/>
  <c r="E635" i="1"/>
  <c r="E634" i="1"/>
  <c r="E633" i="1"/>
  <c r="E636" i="1"/>
  <c r="E632" i="1"/>
  <c r="E629" i="1"/>
  <c r="E631" i="1"/>
  <c r="E630" i="1"/>
  <c r="E628" i="1"/>
  <c r="E626" i="1"/>
  <c r="E625" i="1"/>
  <c r="E624" i="1"/>
  <c r="E627" i="1"/>
  <c r="E623" i="1"/>
  <c r="E618" i="1"/>
  <c r="E619" i="1"/>
  <c r="E617" i="1"/>
  <c r="E621" i="1"/>
  <c r="E620" i="1"/>
  <c r="E622" i="1"/>
  <c r="E616" i="1"/>
  <c r="M1095" i="1"/>
  <c r="E1091" i="1"/>
  <c r="E1092" i="1"/>
  <c r="E1093" i="1"/>
  <c r="E1094" i="1"/>
  <c r="E1095" i="1"/>
  <c r="E1096" i="1"/>
  <c r="E1097" i="1"/>
  <c r="E1098" i="1"/>
  <c r="H1091" i="1"/>
  <c r="J1091" i="1" s="1"/>
  <c r="H1092" i="1"/>
  <c r="J1092" i="1" s="1"/>
  <c r="H1093" i="1"/>
  <c r="J1093" i="1" s="1"/>
  <c r="H1094" i="1"/>
  <c r="J1094" i="1" s="1"/>
  <c r="H1095" i="1"/>
  <c r="J1095" i="1" s="1"/>
  <c r="H1096" i="1"/>
  <c r="J1096" i="1" s="1"/>
  <c r="H1097" i="1"/>
  <c r="J1097" i="1" s="1"/>
  <c r="H1098" i="1"/>
  <c r="J1098" i="1" s="1"/>
  <c r="K1091" i="1"/>
  <c r="K1092" i="1"/>
  <c r="K1093" i="1"/>
  <c r="K1094" i="1"/>
  <c r="K1095" i="1"/>
  <c r="K1096" i="1"/>
  <c r="K1097" i="1"/>
  <c r="K1098" i="1"/>
  <c r="L1091" i="1"/>
  <c r="L1092" i="1"/>
  <c r="L1093" i="1"/>
  <c r="L1094" i="1"/>
  <c r="L1095" i="1"/>
  <c r="L1096" i="1"/>
  <c r="L1097" i="1"/>
  <c r="L1098" i="1"/>
  <c r="M1091" i="1"/>
  <c r="M1092" i="1"/>
  <c r="M1093" i="1"/>
  <c r="M1094" i="1"/>
  <c r="M1096" i="1"/>
  <c r="M1097" i="1"/>
  <c r="M1098" i="1"/>
  <c r="H652" i="1" l="1"/>
  <c r="J652" i="1" s="1"/>
  <c r="H654" i="1"/>
  <c r="J654" i="1" s="1"/>
  <c r="H653" i="1"/>
  <c r="J653" i="1" s="1"/>
  <c r="H656" i="1"/>
  <c r="J656" i="1" s="1"/>
  <c r="H657" i="1"/>
  <c r="J657" i="1" s="1"/>
  <c r="H655" i="1"/>
  <c r="J655" i="1" s="1"/>
  <c r="H658" i="1"/>
  <c r="J658" i="1" s="1"/>
  <c r="H660" i="1"/>
  <c r="J660" i="1" s="1"/>
  <c r="H662" i="1"/>
  <c r="J662" i="1" s="1"/>
  <c r="H659" i="1"/>
  <c r="J659" i="1" s="1"/>
  <c r="H661" i="1"/>
  <c r="J661" i="1" s="1"/>
  <c r="K652" i="1"/>
  <c r="K654" i="1"/>
  <c r="K653" i="1"/>
  <c r="K656" i="1"/>
  <c r="K657" i="1"/>
  <c r="K655" i="1"/>
  <c r="K658" i="1"/>
  <c r="K660" i="1"/>
  <c r="K662" i="1"/>
  <c r="K659" i="1"/>
  <c r="K661" i="1"/>
  <c r="L652" i="1"/>
  <c r="L654" i="1"/>
  <c r="L653" i="1"/>
  <c r="L656" i="1"/>
  <c r="L657" i="1"/>
  <c r="L655" i="1"/>
  <c r="L658" i="1"/>
  <c r="L660" i="1"/>
  <c r="L662" i="1"/>
  <c r="L659" i="1"/>
  <c r="L661" i="1"/>
  <c r="M652" i="1"/>
  <c r="M654" i="1"/>
  <c r="M653" i="1"/>
  <c r="M656" i="1"/>
  <c r="M657" i="1"/>
  <c r="M655" i="1"/>
  <c r="M658" i="1"/>
  <c r="M660" i="1"/>
  <c r="M662" i="1"/>
  <c r="M659" i="1"/>
  <c r="M661" i="1"/>
  <c r="H638" i="1"/>
  <c r="J638" i="1" s="1"/>
  <c r="H639" i="1"/>
  <c r="J639" i="1" s="1"/>
  <c r="H641" i="1"/>
  <c r="J641" i="1" s="1"/>
  <c r="H644" i="1"/>
  <c r="J644" i="1" s="1"/>
  <c r="H642" i="1"/>
  <c r="J642" i="1" s="1"/>
  <c r="H645" i="1"/>
  <c r="J645" i="1" s="1"/>
  <c r="H643" i="1"/>
  <c r="J643" i="1" s="1"/>
  <c r="H640" i="1"/>
  <c r="J640" i="1" s="1"/>
  <c r="H646" i="1"/>
  <c r="J646" i="1" s="1"/>
  <c r="H649" i="1"/>
  <c r="J649" i="1" s="1"/>
  <c r="H648" i="1"/>
  <c r="J648" i="1" s="1"/>
  <c r="H647" i="1"/>
  <c r="J647" i="1" s="1"/>
  <c r="H650" i="1"/>
  <c r="J650" i="1" s="1"/>
  <c r="H651" i="1"/>
  <c r="J651" i="1" s="1"/>
  <c r="K638" i="1"/>
  <c r="K639" i="1"/>
  <c r="K641" i="1"/>
  <c r="K644" i="1"/>
  <c r="K642" i="1"/>
  <c r="K645" i="1"/>
  <c r="K643" i="1"/>
  <c r="K640" i="1"/>
  <c r="K646" i="1"/>
  <c r="K649" i="1"/>
  <c r="K648" i="1"/>
  <c r="K647" i="1"/>
  <c r="K650" i="1"/>
  <c r="K651" i="1"/>
  <c r="L638" i="1"/>
  <c r="L639" i="1"/>
  <c r="L641" i="1"/>
  <c r="L644" i="1"/>
  <c r="L642" i="1"/>
  <c r="L645" i="1"/>
  <c r="L643" i="1"/>
  <c r="L640" i="1"/>
  <c r="L646" i="1"/>
  <c r="L649" i="1"/>
  <c r="L648" i="1"/>
  <c r="L647" i="1"/>
  <c r="L650" i="1"/>
  <c r="L651" i="1"/>
  <c r="M638" i="1"/>
  <c r="M639" i="1"/>
  <c r="M641" i="1"/>
  <c r="M644" i="1"/>
  <c r="M642" i="1"/>
  <c r="M645" i="1"/>
  <c r="M643" i="1"/>
  <c r="M640" i="1"/>
  <c r="M646" i="1"/>
  <c r="M649" i="1"/>
  <c r="M648" i="1"/>
  <c r="M647" i="1"/>
  <c r="M650" i="1"/>
  <c r="M651" i="1"/>
  <c r="H632" i="1"/>
  <c r="J632" i="1" s="1"/>
  <c r="H636" i="1"/>
  <c r="J636" i="1" s="1"/>
  <c r="H633" i="1"/>
  <c r="J633" i="1" s="1"/>
  <c r="H634" i="1"/>
  <c r="J634" i="1" s="1"/>
  <c r="H635" i="1"/>
  <c r="J635" i="1" s="1"/>
  <c r="H637" i="1"/>
  <c r="J637" i="1" s="1"/>
  <c r="K632" i="1"/>
  <c r="K636" i="1"/>
  <c r="K633" i="1"/>
  <c r="K634" i="1"/>
  <c r="K635" i="1"/>
  <c r="K637" i="1"/>
  <c r="L632" i="1"/>
  <c r="L636" i="1"/>
  <c r="L633" i="1"/>
  <c r="L634" i="1"/>
  <c r="L635" i="1"/>
  <c r="L637" i="1"/>
  <c r="M632" i="1"/>
  <c r="M636" i="1"/>
  <c r="M633" i="1"/>
  <c r="M634" i="1"/>
  <c r="M635" i="1"/>
  <c r="M637" i="1"/>
  <c r="H627" i="1"/>
  <c r="J627" i="1" s="1"/>
  <c r="H624" i="1"/>
  <c r="J624" i="1" s="1"/>
  <c r="H625" i="1"/>
  <c r="J625" i="1" s="1"/>
  <c r="H626" i="1"/>
  <c r="J626" i="1" s="1"/>
  <c r="H628" i="1"/>
  <c r="J628" i="1" s="1"/>
  <c r="H630" i="1"/>
  <c r="J630" i="1" s="1"/>
  <c r="H631" i="1"/>
  <c r="J631" i="1" s="1"/>
  <c r="H629" i="1"/>
  <c r="J629" i="1" s="1"/>
  <c r="K627" i="1"/>
  <c r="K624" i="1"/>
  <c r="K625" i="1"/>
  <c r="K626" i="1"/>
  <c r="K628" i="1"/>
  <c r="K630" i="1"/>
  <c r="K631" i="1"/>
  <c r="K629" i="1"/>
  <c r="L627" i="1"/>
  <c r="L624" i="1"/>
  <c r="L625" i="1"/>
  <c r="L626" i="1"/>
  <c r="L628" i="1"/>
  <c r="L630" i="1"/>
  <c r="L631" i="1"/>
  <c r="L629" i="1"/>
  <c r="M627" i="1"/>
  <c r="M624" i="1"/>
  <c r="M625" i="1"/>
  <c r="M626" i="1"/>
  <c r="M628" i="1"/>
  <c r="M630" i="1"/>
  <c r="M631" i="1"/>
  <c r="M629" i="1"/>
  <c r="H616" i="1"/>
  <c r="J616" i="1" s="1"/>
  <c r="H622" i="1"/>
  <c r="J622" i="1" s="1"/>
  <c r="H620" i="1"/>
  <c r="J620" i="1" s="1"/>
  <c r="H621" i="1"/>
  <c r="J621" i="1" s="1"/>
  <c r="H617" i="1"/>
  <c r="J617" i="1" s="1"/>
  <c r="H619" i="1"/>
  <c r="J619" i="1" s="1"/>
  <c r="H618" i="1"/>
  <c r="J618" i="1" s="1"/>
  <c r="K616" i="1"/>
  <c r="K622" i="1"/>
  <c r="K620" i="1"/>
  <c r="K621" i="1"/>
  <c r="K617" i="1"/>
  <c r="K619" i="1"/>
  <c r="K618" i="1"/>
  <c r="L616" i="1"/>
  <c r="L622" i="1"/>
  <c r="L620" i="1"/>
  <c r="L621" i="1"/>
  <c r="L617" i="1"/>
  <c r="L619" i="1"/>
  <c r="L618" i="1"/>
  <c r="M616" i="1"/>
  <c r="M622" i="1"/>
  <c r="M620" i="1"/>
  <c r="M621" i="1"/>
  <c r="M617" i="1"/>
  <c r="M619" i="1"/>
  <c r="M618" i="1"/>
  <c r="H623" i="1"/>
  <c r="J623" i="1" s="1"/>
  <c r="K623" i="1"/>
  <c r="L623" i="1"/>
  <c r="M623" i="1"/>
  <c r="O26" i="22"/>
  <c r="K37" i="27"/>
  <c r="K53" i="13"/>
  <c r="J35" i="20"/>
  <c r="I18" i="20"/>
  <c r="K8" i="24"/>
  <c r="N37" i="13"/>
  <c r="N22" i="20"/>
  <c r="O36" i="13"/>
  <c r="O17" i="13"/>
  <c r="E26" i="22"/>
  <c r="G23" i="24"/>
  <c r="L48" i="13"/>
  <c r="O39" i="20"/>
  <c r="O46" i="13"/>
  <c r="N27" i="13"/>
  <c r="K15" i="13"/>
  <c r="O25" i="13"/>
  <c r="O4" i="21"/>
  <c r="L14" i="23"/>
  <c r="J53" i="13"/>
  <c r="I56" i="20"/>
  <c r="L36" i="25"/>
  <c r="M16" i="23"/>
  <c r="N2" i="22"/>
  <c r="H5" i="22"/>
  <c r="J29" i="13"/>
  <c r="J18" i="25"/>
  <c r="O11" i="13"/>
  <c r="K8" i="20"/>
  <c r="K38" i="13"/>
  <c r="M24" i="20"/>
  <c r="L22" i="19"/>
  <c r="M9" i="23"/>
  <c r="O42" i="13"/>
  <c r="K14" i="13"/>
  <c r="I5" i="20"/>
  <c r="I31" i="20"/>
  <c r="M17" i="13"/>
  <c r="K2" i="20"/>
  <c r="O19" i="13"/>
  <c r="K30" i="13"/>
  <c r="I26" i="20"/>
  <c r="M46" i="13"/>
  <c r="L17" i="23"/>
  <c r="N42" i="13"/>
  <c r="L10" i="23"/>
  <c r="O35" i="20"/>
  <c r="M17" i="23"/>
  <c r="O23" i="20"/>
  <c r="L44" i="13"/>
  <c r="K40" i="13"/>
  <c r="J24" i="20"/>
  <c r="M5" i="22"/>
  <c r="F12" i="22"/>
  <c r="L10" i="22"/>
  <c r="O44" i="13"/>
  <c r="K20" i="20"/>
  <c r="K19" i="23"/>
  <c r="N3" i="23"/>
  <c r="M6" i="21"/>
  <c r="J3" i="19"/>
  <c r="K24" i="20"/>
  <c r="J23" i="13"/>
  <c r="G8" i="22"/>
  <c r="M28" i="20"/>
  <c r="J12" i="13"/>
  <c r="O2" i="23"/>
  <c r="L8" i="24"/>
  <c r="M2" i="19"/>
  <c r="J10" i="22"/>
  <c r="K25" i="13"/>
  <c r="K52" i="13"/>
  <c r="L28" i="13"/>
  <c r="O7" i="19"/>
  <c r="N6" i="23"/>
  <c r="H29" i="20"/>
  <c r="O9" i="13"/>
  <c r="L3" i="24"/>
  <c r="L34" i="13"/>
  <c r="G25" i="20"/>
  <c r="L7" i="23"/>
  <c r="K3" i="20"/>
  <c r="O41" i="13"/>
  <c r="N18" i="25"/>
  <c r="F21" i="27"/>
  <c r="H26" i="20"/>
  <c r="I21" i="27"/>
  <c r="O5" i="24"/>
  <c r="E20" i="27"/>
  <c r="N9" i="22"/>
  <c r="M18" i="27"/>
  <c r="K37" i="20"/>
  <c r="J13" i="27"/>
  <c r="E6" i="25"/>
  <c r="G3" i="20"/>
  <c r="N17" i="27"/>
  <c r="O7" i="22"/>
  <c r="K8" i="25"/>
  <c r="G10" i="27"/>
  <c r="L14" i="25"/>
  <c r="F4" i="27"/>
  <c r="N6" i="19"/>
  <c r="O7" i="24"/>
  <c r="M6" i="25"/>
  <c r="L14" i="20"/>
  <c r="G3" i="25"/>
  <c r="L37" i="20"/>
  <c r="M23" i="27"/>
  <c r="K25" i="20"/>
  <c r="I2" i="27"/>
  <c r="K22" i="25"/>
  <c r="J19" i="27"/>
  <c r="J15" i="25"/>
  <c r="M16" i="28"/>
  <c r="O8" i="25"/>
  <c r="F13" i="22"/>
  <c r="I3" i="27"/>
  <c r="I7" i="25"/>
  <c r="G6" i="20"/>
  <c r="I9" i="25"/>
  <c r="I19" i="25"/>
  <c r="L21" i="27"/>
  <c r="N2" i="24"/>
  <c r="M8" i="25"/>
  <c r="J36" i="25"/>
  <c r="I21" i="20"/>
  <c r="M8" i="23"/>
  <c r="M10" i="23"/>
  <c r="O24" i="13"/>
  <c r="K10" i="23"/>
  <c r="N11" i="13"/>
  <c r="G31" i="20"/>
  <c r="M22" i="20"/>
  <c r="L3" i="19"/>
  <c r="I23" i="24"/>
  <c r="F36" i="25"/>
  <c r="N24" i="20"/>
  <c r="O21" i="20"/>
  <c r="G2" i="22"/>
  <c r="M40" i="13"/>
  <c r="I38" i="20"/>
  <c r="J46" i="13"/>
  <c r="F6" i="24"/>
  <c r="O50" i="13"/>
  <c r="K7" i="23"/>
  <c r="K22" i="19"/>
  <c r="I26" i="22"/>
  <c r="H4" i="22"/>
  <c r="N13" i="20"/>
  <c r="N8" i="22"/>
  <c r="G16" i="20"/>
  <c r="G23" i="20"/>
  <c r="O22" i="13"/>
  <c r="J11" i="22"/>
  <c r="J28" i="20"/>
  <c r="O13" i="20"/>
  <c r="I36" i="25"/>
  <c r="I2" i="20"/>
  <c r="K43" i="13"/>
  <c r="G38" i="20"/>
  <c r="L3" i="21"/>
  <c r="G6" i="22"/>
  <c r="K3" i="13"/>
  <c r="N8" i="21"/>
  <c r="N44" i="13"/>
  <c r="K9" i="23"/>
  <c r="K17" i="23"/>
  <c r="M19" i="13"/>
  <c r="N7" i="21"/>
  <c r="M21" i="13"/>
  <c r="E5" i="22"/>
  <c r="N10" i="22"/>
  <c r="M13" i="13"/>
  <c r="K40" i="20"/>
  <c r="O14" i="20"/>
  <c r="I9" i="20"/>
  <c r="O26" i="20"/>
  <c r="L11" i="23"/>
  <c r="I10" i="22"/>
  <c r="H12" i="22"/>
  <c r="J3" i="13"/>
  <c r="J39" i="20"/>
  <c r="M4" i="24"/>
  <c r="J13" i="13"/>
  <c r="E9" i="24"/>
  <c r="N13" i="22"/>
  <c r="L33" i="20"/>
  <c r="H34" i="20"/>
  <c r="K6" i="22"/>
  <c r="K42" i="13"/>
  <c r="L6" i="19"/>
  <c r="I10" i="24"/>
  <c r="O9" i="23"/>
  <c r="O47" i="13"/>
  <c r="J37" i="13"/>
  <c r="M3" i="19"/>
  <c r="K2" i="22"/>
  <c r="I30" i="20"/>
  <c r="O10" i="13"/>
  <c r="J15" i="23"/>
  <c r="M4" i="13"/>
  <c r="N37" i="20"/>
  <c r="H15" i="20"/>
  <c r="L13" i="20"/>
  <c r="K18" i="13"/>
  <c r="O16" i="20"/>
  <c r="M18" i="13"/>
  <c r="K7" i="22"/>
  <c r="N11" i="22"/>
  <c r="M20" i="27"/>
  <c r="K13" i="23"/>
  <c r="O23" i="27"/>
  <c r="J8" i="21"/>
  <c r="K16" i="27"/>
  <c r="O18" i="25"/>
  <c r="J15" i="27"/>
  <c r="H7" i="25"/>
  <c r="O2" i="27"/>
  <c r="O2" i="24"/>
  <c r="G17" i="20"/>
  <c r="J16" i="28"/>
  <c r="M10" i="20"/>
  <c r="K18" i="25"/>
  <c r="E19" i="27"/>
  <c r="N16" i="25"/>
  <c r="M7" i="28"/>
  <c r="J7" i="24"/>
  <c r="I5" i="27"/>
  <c r="N11" i="25"/>
  <c r="G22" i="25"/>
  <c r="F19" i="27"/>
  <c r="M12" i="25"/>
  <c r="H10" i="27"/>
  <c r="G32" i="20"/>
  <c r="D15" i="27"/>
  <c r="J40" i="20"/>
  <c r="J12" i="28"/>
  <c r="H15" i="25"/>
  <c r="J17" i="28"/>
  <c r="G12" i="22"/>
  <c r="L15" i="25"/>
  <c r="I17" i="27"/>
  <c r="G10" i="22"/>
  <c r="E7" i="25"/>
  <c r="F23" i="27"/>
  <c r="K8" i="23"/>
  <c r="M8" i="27"/>
  <c r="J10" i="23"/>
  <c r="N37" i="27"/>
  <c r="I2" i="22"/>
  <c r="H27" i="20"/>
  <c r="J18" i="13"/>
  <c r="K19" i="20"/>
  <c r="K6" i="24"/>
  <c r="G4" i="20"/>
  <c r="J2" i="19"/>
  <c r="J33" i="13"/>
  <c r="L3" i="23"/>
  <c r="J26" i="22"/>
  <c r="O37" i="27"/>
  <c r="M12" i="13"/>
  <c r="F5" i="24"/>
  <c r="J28" i="13"/>
  <c r="I11" i="20"/>
  <c r="G15" i="20"/>
  <c r="J20" i="13"/>
  <c r="O8" i="21"/>
  <c r="H33" i="20"/>
  <c r="K32" i="20"/>
  <c r="M23" i="24"/>
  <c r="M30" i="28"/>
  <c r="L10" i="24"/>
  <c r="H3" i="22"/>
  <c r="O51" i="13"/>
  <c r="I11" i="22"/>
  <c r="J3" i="24"/>
  <c r="O34" i="13"/>
  <c r="H6" i="24"/>
  <c r="N27" i="20"/>
  <c r="M22" i="19"/>
  <c r="K32" i="23"/>
  <c r="J45" i="13"/>
  <c r="O10" i="20"/>
  <c r="K22" i="20"/>
  <c r="L53" i="13"/>
  <c r="J3" i="21"/>
  <c r="L40" i="13"/>
  <c r="J39" i="13"/>
  <c r="N24" i="13"/>
  <c r="G18" i="20"/>
  <c r="J23" i="20"/>
  <c r="O15" i="20"/>
  <c r="I16" i="20"/>
  <c r="J11" i="13"/>
  <c r="O5" i="21"/>
  <c r="F9" i="22"/>
  <c r="I8" i="20"/>
  <c r="L7" i="13"/>
  <c r="O14" i="13"/>
  <c r="O10" i="23"/>
  <c r="I43" i="20"/>
  <c r="N10" i="13"/>
  <c r="O6" i="21"/>
  <c r="J13" i="23"/>
  <c r="M36" i="20"/>
  <c r="K39" i="13"/>
  <c r="M34" i="13"/>
  <c r="M10" i="13"/>
  <c r="O6" i="20"/>
  <c r="J16" i="13"/>
  <c r="L5" i="20"/>
  <c r="N10" i="21"/>
  <c r="L25" i="13"/>
  <c r="N3" i="20"/>
  <c r="H14" i="20"/>
  <c r="K9" i="24"/>
  <c r="M3" i="22"/>
  <c r="K3" i="23"/>
  <c r="E11" i="22"/>
  <c r="K24" i="13"/>
  <c r="O38" i="20"/>
  <c r="M48" i="13"/>
  <c r="K6" i="20"/>
  <c r="J19" i="20"/>
  <c r="J31" i="13"/>
  <c r="M43" i="13"/>
  <c r="L31" i="13"/>
  <c r="O3" i="13"/>
  <c r="K32" i="13"/>
  <c r="K33" i="13"/>
  <c r="M17" i="20"/>
  <c r="M43" i="20"/>
  <c r="L23" i="25"/>
  <c r="H12" i="27"/>
  <c r="K5" i="24"/>
  <c r="N23" i="27"/>
  <c r="N34" i="20"/>
  <c r="J13" i="28"/>
  <c r="H21" i="25"/>
  <c r="E17" i="27"/>
  <c r="J19" i="25"/>
  <c r="I6" i="20"/>
  <c r="O40" i="20"/>
  <c r="L6" i="22"/>
  <c r="H37" i="20"/>
  <c r="H8" i="25"/>
  <c r="J12" i="23"/>
  <c r="G4" i="27"/>
  <c r="F22" i="25"/>
  <c r="M17" i="28"/>
  <c r="O43" i="20"/>
  <c r="D3" i="27"/>
  <c r="J38" i="20"/>
  <c r="M9" i="25"/>
  <c r="F17" i="27"/>
  <c r="E4" i="25"/>
  <c r="H20" i="27"/>
  <c r="O11" i="25"/>
  <c r="G5" i="27"/>
  <c r="N33" i="20"/>
  <c r="L15" i="27"/>
  <c r="M5" i="21"/>
  <c r="H16" i="20"/>
  <c r="K43" i="20"/>
  <c r="N9" i="25"/>
  <c r="E4" i="27"/>
  <c r="L18" i="25"/>
  <c r="L2" i="23"/>
  <c r="J2" i="28"/>
  <c r="J16" i="23"/>
  <c r="M9" i="28"/>
  <c r="E3" i="25"/>
  <c r="O21" i="27"/>
  <c r="O67" i="13"/>
  <c r="M52" i="13"/>
  <c r="I29" i="20"/>
  <c r="M13" i="20"/>
  <c r="J26" i="13"/>
  <c r="I13" i="20"/>
  <c r="O45" i="13"/>
  <c r="J50" i="13"/>
  <c r="J7" i="13"/>
  <c r="L30" i="13"/>
  <c r="E23" i="24"/>
  <c r="E36" i="25"/>
  <c r="J22" i="13"/>
  <c r="K11" i="20"/>
  <c r="K22" i="13"/>
  <c r="G8" i="24"/>
  <c r="J13" i="20"/>
  <c r="O3" i="21"/>
  <c r="L5" i="22"/>
  <c r="J32" i="13"/>
  <c r="O21" i="13"/>
  <c r="H26" i="22"/>
  <c r="L24" i="13"/>
  <c r="M9" i="13"/>
  <c r="N47" i="13"/>
  <c r="N9" i="13"/>
  <c r="M44" i="13"/>
  <c r="N49" i="13"/>
  <c r="L10" i="13"/>
  <c r="L9" i="23"/>
  <c r="L13" i="13"/>
  <c r="N56" i="20"/>
  <c r="L26" i="22"/>
  <c r="I3" i="20"/>
  <c r="M7" i="23"/>
  <c r="N38" i="20"/>
  <c r="O2" i="19"/>
  <c r="J4" i="22"/>
  <c r="N9" i="19"/>
  <c r="H13" i="20"/>
  <c r="N30" i="13"/>
  <c r="J22" i="20"/>
  <c r="K46" i="13"/>
  <c r="O12" i="13"/>
  <c r="N32" i="20"/>
  <c r="G42" i="20"/>
  <c r="N23" i="13"/>
  <c r="J9" i="21"/>
  <c r="M6" i="13"/>
  <c r="G7" i="22"/>
  <c r="O15" i="13"/>
  <c r="L4" i="22"/>
  <c r="M7" i="22"/>
  <c r="J49" i="13"/>
  <c r="K12" i="20"/>
  <c r="J16" i="25"/>
  <c r="K5" i="13"/>
  <c r="N4" i="13"/>
  <c r="J9" i="23"/>
  <c r="O13" i="22"/>
  <c r="I23" i="20"/>
  <c r="O38" i="13"/>
  <c r="J11" i="23"/>
  <c r="M10" i="24"/>
  <c r="N11" i="23"/>
  <c r="O3" i="24"/>
  <c r="N4" i="21"/>
  <c r="I39" i="20"/>
  <c r="N39" i="20"/>
  <c r="O6" i="19"/>
  <c r="H5" i="20"/>
  <c r="L51" i="13"/>
  <c r="F7" i="22"/>
  <c r="N12" i="20"/>
  <c r="N45" i="13"/>
  <c r="O10" i="22"/>
  <c r="N31" i="13"/>
  <c r="N14" i="20"/>
  <c r="G13" i="20"/>
  <c r="H30" i="20"/>
  <c r="G40" i="20"/>
  <c r="K7" i="13"/>
  <c r="M29" i="13"/>
  <c r="F4" i="24"/>
  <c r="O24" i="20"/>
  <c r="G20" i="27"/>
  <c r="M26" i="20"/>
  <c r="M5" i="28"/>
  <c r="L6" i="20"/>
  <c r="M3" i="20"/>
  <c r="J8" i="25"/>
  <c r="J24" i="27"/>
  <c r="F13" i="25"/>
  <c r="N19" i="25"/>
  <c r="L22" i="20"/>
  <c r="O11" i="20"/>
  <c r="G17" i="25"/>
  <c r="H13" i="27"/>
  <c r="I18" i="25"/>
  <c r="O24" i="27"/>
  <c r="L38" i="20"/>
  <c r="K5" i="27"/>
  <c r="O22" i="25"/>
  <c r="J12" i="27"/>
  <c r="L5" i="23"/>
  <c r="H10" i="20"/>
  <c r="D6" i="27"/>
  <c r="L3" i="20"/>
  <c r="G8" i="27"/>
  <c r="F14" i="25"/>
  <c r="K8" i="22"/>
  <c r="M2" i="23"/>
  <c r="F8" i="27"/>
  <c r="O2" i="22"/>
  <c r="F23" i="25"/>
  <c r="G2" i="20"/>
  <c r="N18" i="20"/>
  <c r="M4" i="21"/>
  <c r="G4" i="25"/>
  <c r="O8" i="20"/>
  <c r="J17" i="27"/>
  <c r="O3" i="19"/>
  <c r="K3" i="27"/>
  <c r="K27" i="20"/>
  <c r="O16" i="27"/>
  <c r="K4" i="24"/>
  <c r="J22" i="19"/>
  <c r="G13" i="22"/>
  <c r="O7" i="21"/>
  <c r="J4" i="21"/>
  <c r="M5" i="24"/>
  <c r="O17" i="20"/>
  <c r="H12" i="20"/>
  <c r="O9" i="24"/>
  <c r="N4" i="24"/>
  <c r="K42" i="20"/>
  <c r="G37" i="27"/>
  <c r="J23" i="24"/>
  <c r="K7" i="19"/>
  <c r="K3" i="22"/>
  <c r="L49" i="13"/>
  <c r="I14" i="20"/>
  <c r="N41" i="20"/>
  <c r="N5" i="20"/>
  <c r="I17" i="20"/>
  <c r="O3" i="23"/>
  <c r="K50" i="13"/>
  <c r="L37" i="27"/>
  <c r="M51" i="13"/>
  <c r="I6" i="24"/>
  <c r="H3" i="24"/>
  <c r="N41" i="13"/>
  <c r="E4" i="24"/>
  <c r="N8" i="23"/>
  <c r="M12" i="20"/>
  <c r="J31" i="20"/>
  <c r="O2" i="13"/>
  <c r="M23" i="21"/>
  <c r="G26" i="22"/>
  <c r="K17" i="13"/>
  <c r="J30" i="13"/>
  <c r="K9" i="19"/>
  <c r="I4" i="21"/>
  <c r="N17" i="20"/>
  <c r="K4" i="23"/>
  <c r="N15" i="23"/>
  <c r="J2" i="13"/>
  <c r="J16" i="20"/>
  <c r="K20" i="13"/>
  <c r="L43" i="13"/>
  <c r="M16" i="20"/>
  <c r="N34" i="13"/>
  <c r="E8" i="24"/>
  <c r="I23" i="25"/>
  <c r="G9" i="24"/>
  <c r="L18" i="13"/>
  <c r="N26" i="13"/>
  <c r="O4" i="23"/>
  <c r="M8" i="20"/>
  <c r="O9" i="19"/>
  <c r="N5" i="23"/>
  <c r="L12" i="25"/>
  <c r="N8" i="20"/>
  <c r="I28" i="20"/>
  <c r="O5" i="22"/>
  <c r="N18" i="23"/>
  <c r="J8" i="22"/>
  <c r="K49" i="13"/>
  <c r="H25" i="20"/>
  <c r="K21" i="13"/>
  <c r="J20" i="20"/>
  <c r="L28" i="20"/>
  <c r="M14" i="20"/>
  <c r="J5" i="21"/>
  <c r="N10" i="25"/>
  <c r="N3" i="22"/>
  <c r="K21" i="20"/>
  <c r="N43" i="20"/>
  <c r="M24" i="13"/>
  <c r="O42" i="20"/>
  <c r="M7" i="24"/>
  <c r="O33" i="20"/>
  <c r="K12" i="13"/>
  <c r="M5" i="23"/>
  <c r="N28" i="20"/>
  <c r="L29" i="20"/>
  <c r="L4" i="21"/>
  <c r="E13" i="22"/>
  <c r="O18" i="20"/>
  <c r="L39" i="20"/>
  <c r="K3" i="24"/>
  <c r="K21" i="27"/>
  <c r="J4" i="25"/>
  <c r="H21" i="27"/>
  <c r="H4" i="25"/>
  <c r="I7" i="24"/>
  <c r="L19" i="27"/>
  <c r="D18" i="27"/>
  <c r="F8" i="22"/>
  <c r="H24" i="20"/>
  <c r="H12" i="25"/>
  <c r="N2" i="25"/>
  <c r="N7" i="20"/>
  <c r="J20" i="27"/>
  <c r="N15" i="25"/>
  <c r="F13" i="27"/>
  <c r="H10" i="24"/>
  <c r="I11" i="27"/>
  <c r="O3" i="22"/>
  <c r="D11" i="27"/>
  <c r="K13" i="20"/>
  <c r="G19" i="25"/>
  <c r="J4" i="28"/>
  <c r="M29" i="20"/>
  <c r="E14" i="27"/>
  <c r="M42" i="20"/>
  <c r="I15" i="25"/>
  <c r="N10" i="27"/>
  <c r="E13" i="27"/>
  <c r="M5" i="20"/>
  <c r="H19" i="25"/>
  <c r="J37" i="20"/>
  <c r="O19" i="25"/>
  <c r="O4" i="22"/>
  <c r="L12" i="27"/>
  <c r="M32" i="20"/>
  <c r="M10" i="28"/>
  <c r="M13" i="25"/>
  <c r="F20" i="27"/>
  <c r="O23" i="24"/>
  <c r="O56" i="20"/>
  <c r="J10" i="20"/>
  <c r="K26" i="20"/>
  <c r="I7" i="22"/>
  <c r="M27" i="13"/>
  <c r="I2" i="21"/>
  <c r="K41" i="13"/>
  <c r="I13" i="22"/>
  <c r="J52" i="13"/>
  <c r="N6" i="21"/>
  <c r="K67" i="13"/>
  <c r="N36" i="25"/>
  <c r="L40" i="20"/>
  <c r="J5" i="13"/>
  <c r="K9" i="21"/>
  <c r="J30" i="20"/>
  <c r="L16" i="25"/>
  <c r="K11" i="22"/>
  <c r="L16" i="23"/>
  <c r="M53" i="13"/>
  <c r="M18" i="20"/>
  <c r="M36" i="25"/>
  <c r="I37" i="20"/>
  <c r="K10" i="20"/>
  <c r="H2" i="20"/>
  <c r="O31" i="13"/>
  <c r="L30" i="20"/>
  <c r="N3" i="13"/>
  <c r="N4" i="23"/>
  <c r="K12" i="23"/>
  <c r="M9" i="19"/>
  <c r="O23" i="21"/>
  <c r="I23" i="21"/>
  <c r="G39" i="20"/>
  <c r="J29" i="20"/>
  <c r="K8" i="21"/>
  <c r="H6" i="22"/>
  <c r="N25" i="20"/>
  <c r="G3" i="22"/>
  <c r="J8" i="24"/>
  <c r="K12" i="22"/>
  <c r="G5" i="22"/>
  <c r="G20" i="20"/>
  <c r="H7" i="22"/>
  <c r="J17" i="20"/>
  <c r="J35" i="13"/>
  <c r="N26" i="20"/>
  <c r="L8" i="23"/>
  <c r="O27" i="13"/>
  <c r="H36" i="20"/>
  <c r="I7" i="21"/>
  <c r="G41" i="20"/>
  <c r="O20" i="13"/>
  <c r="K45" i="13"/>
  <c r="N20" i="13"/>
  <c r="I35" i="20"/>
  <c r="M5" i="13"/>
  <c r="L34" i="20"/>
  <c r="J9" i="13"/>
  <c r="L2" i="20"/>
  <c r="J36" i="20"/>
  <c r="K23" i="13"/>
  <c r="K41" i="20"/>
  <c r="O14" i="23"/>
  <c r="M2" i="21"/>
  <c r="H4" i="24"/>
  <c r="H43" i="20"/>
  <c r="G7" i="24"/>
  <c r="N21" i="13"/>
  <c r="J54" i="13"/>
  <c r="H35" i="20"/>
  <c r="N2" i="19"/>
  <c r="J18" i="20"/>
  <c r="K39" i="20"/>
  <c r="M14" i="13"/>
  <c r="O12" i="22"/>
  <c r="N36" i="13"/>
  <c r="O7" i="20"/>
  <c r="J43" i="20"/>
  <c r="M38" i="13"/>
  <c r="G9" i="20"/>
  <c r="N14" i="13"/>
  <c r="J7" i="21"/>
  <c r="M8" i="24"/>
  <c r="K31" i="20"/>
  <c r="G17" i="27"/>
  <c r="J3" i="23"/>
  <c r="N16" i="20"/>
  <c r="L3" i="25"/>
  <c r="L2" i="22"/>
  <c r="G14" i="27"/>
  <c r="F6" i="27"/>
  <c r="N9" i="24"/>
  <c r="N2" i="23"/>
  <c r="J4" i="20"/>
  <c r="O23" i="25"/>
  <c r="H5" i="24"/>
  <c r="I4" i="27"/>
  <c r="L31" i="20"/>
  <c r="O7" i="27"/>
  <c r="I4" i="24"/>
  <c r="G15" i="27"/>
  <c r="O9" i="22"/>
  <c r="J7" i="27"/>
  <c r="M25" i="20"/>
  <c r="I2" i="25"/>
  <c r="J10" i="27"/>
  <c r="F3" i="24"/>
  <c r="N22" i="27"/>
  <c r="I6" i="22"/>
  <c r="F7" i="25"/>
  <c r="M7" i="27"/>
  <c r="H9" i="27"/>
  <c r="E13" i="25"/>
  <c r="M4" i="23"/>
  <c r="L4" i="24"/>
  <c r="G4" i="24"/>
  <c r="F6" i="25"/>
  <c r="K11" i="27"/>
  <c r="O52" i="13"/>
  <c r="J21" i="27"/>
  <c r="E2" i="25"/>
  <c r="O11" i="27"/>
  <c r="F21" i="25"/>
  <c r="L11" i="27"/>
  <c r="O22" i="19"/>
  <c r="G36" i="25"/>
  <c r="N16" i="23"/>
  <c r="G8" i="20"/>
  <c r="O6" i="13"/>
  <c r="G11" i="20"/>
  <c r="M2" i="20"/>
  <c r="K8" i="13"/>
  <c r="K10" i="13"/>
  <c r="J42" i="20"/>
  <c r="O25" i="20"/>
  <c r="F26" i="22"/>
  <c r="L23" i="24"/>
  <c r="O31" i="20"/>
  <c r="J4" i="23"/>
  <c r="J25" i="20"/>
  <c r="N9" i="23"/>
  <c r="M22" i="25"/>
  <c r="N22" i="13"/>
  <c r="J2" i="21"/>
  <c r="O34" i="20"/>
  <c r="K6" i="19"/>
  <c r="J56" i="20"/>
  <c r="N19" i="13"/>
  <c r="G27" i="20"/>
  <c r="L4" i="13"/>
  <c r="L6" i="23"/>
  <c r="J7" i="20"/>
  <c r="N40" i="20"/>
  <c r="N32" i="13"/>
  <c r="J14" i="13"/>
  <c r="N19" i="20"/>
  <c r="N23" i="24"/>
  <c r="M67" i="13"/>
  <c r="J26" i="20"/>
  <c r="J18" i="23"/>
  <c r="O26" i="13"/>
  <c r="L18" i="23"/>
  <c r="N42" i="20"/>
  <c r="J43" i="13"/>
  <c r="N29" i="13"/>
  <c r="F5" i="22"/>
  <c r="K34" i="20"/>
  <c r="J41" i="20"/>
  <c r="K3" i="21"/>
  <c r="K18" i="23"/>
  <c r="N46" i="13"/>
  <c r="M6" i="24"/>
  <c r="L15" i="20"/>
  <c r="M23" i="13"/>
  <c r="O17" i="23"/>
  <c r="K16" i="20"/>
  <c r="M6" i="23"/>
  <c r="L26" i="13"/>
  <c r="N5" i="21"/>
  <c r="K51" i="13"/>
  <c r="J17" i="23"/>
  <c r="O2" i="20"/>
  <c r="N25" i="13"/>
  <c r="N51" i="13"/>
  <c r="K7" i="21"/>
  <c r="M20" i="20"/>
  <c r="J9" i="22"/>
  <c r="J10" i="13"/>
  <c r="M8" i="21"/>
  <c r="K23" i="20"/>
  <c r="J21" i="13"/>
  <c r="O40" i="13"/>
  <c r="I20" i="20"/>
  <c r="O48" i="13"/>
  <c r="K33" i="20"/>
  <c r="G10" i="24"/>
  <c r="O32" i="13"/>
  <c r="K27" i="13"/>
  <c r="N6" i="24"/>
  <c r="L23" i="13"/>
  <c r="I27" i="20"/>
  <c r="N33" i="13"/>
  <c r="N28" i="13"/>
  <c r="G4" i="22"/>
  <c r="O13" i="23"/>
  <c r="N21" i="20"/>
  <c r="O8" i="13"/>
  <c r="M16" i="13"/>
  <c r="H8" i="22"/>
  <c r="L13" i="25"/>
  <c r="F10" i="27"/>
  <c r="N15" i="20"/>
  <c r="I14" i="25"/>
  <c r="K18" i="27"/>
  <c r="I4" i="25"/>
  <c r="F24" i="27"/>
  <c r="L4" i="23"/>
  <c r="L19" i="20"/>
  <c r="I21" i="25"/>
  <c r="O15" i="25"/>
  <c r="L20" i="27"/>
  <c r="L21" i="25"/>
  <c r="M11" i="28"/>
  <c r="O2" i="25"/>
  <c r="L23" i="27"/>
  <c r="O15" i="23"/>
  <c r="H16" i="27"/>
  <c r="K5" i="21"/>
  <c r="O10" i="27"/>
  <c r="N14" i="25"/>
  <c r="M3" i="24"/>
  <c r="J5" i="27"/>
  <c r="L15" i="23"/>
  <c r="I3" i="22"/>
  <c r="G35" i="20"/>
  <c r="G43" i="20"/>
  <c r="M8" i="28"/>
  <c r="H15" i="27"/>
  <c r="L17" i="25"/>
  <c r="N12" i="22"/>
  <c r="L11" i="20"/>
  <c r="N13" i="25"/>
  <c r="I3" i="25"/>
  <c r="I16" i="27"/>
  <c r="N6" i="25"/>
  <c r="I18" i="27"/>
  <c r="E15" i="25"/>
  <c r="O4" i="27"/>
  <c r="G13" i="25"/>
  <c r="G56" i="20"/>
  <c r="E37" i="27"/>
  <c r="L54" i="13"/>
  <c r="L47" i="13"/>
  <c r="L2" i="19"/>
  <c r="O10" i="21"/>
  <c r="E9" i="22"/>
  <c r="L35" i="13"/>
  <c r="G30" i="20"/>
  <c r="G24" i="20"/>
  <c r="N3" i="24"/>
  <c r="J32" i="23"/>
  <c r="F37" i="27"/>
  <c r="F11" i="22"/>
  <c r="M39" i="13"/>
  <c r="E3" i="22"/>
  <c r="J12" i="22"/>
  <c r="K29" i="13"/>
  <c r="J6" i="21"/>
  <c r="M6" i="22"/>
  <c r="M2" i="13"/>
  <c r="J67" i="13"/>
  <c r="M56" i="20"/>
  <c r="L2" i="13"/>
  <c r="H21" i="20"/>
  <c r="J15" i="20"/>
  <c r="L12" i="13"/>
  <c r="L52" i="13"/>
  <c r="M36" i="13"/>
  <c r="K2" i="21"/>
  <c r="L8" i="13"/>
  <c r="J4" i="24"/>
  <c r="M32" i="23"/>
  <c r="N32" i="23"/>
  <c r="L46" i="13"/>
  <c r="F3" i="22"/>
  <c r="H17" i="20"/>
  <c r="M30" i="20"/>
  <c r="K19" i="25"/>
  <c r="L32" i="13"/>
  <c r="E2" i="22"/>
  <c r="L9" i="20"/>
  <c r="O37" i="20"/>
  <c r="H28" i="20"/>
  <c r="E6" i="22"/>
  <c r="O8" i="22"/>
  <c r="K36" i="13"/>
  <c r="N16" i="13"/>
  <c r="O49" i="13"/>
  <c r="J19" i="13"/>
  <c r="N5" i="13"/>
  <c r="E8" i="22"/>
  <c r="M21" i="20"/>
  <c r="M28" i="13"/>
  <c r="K2" i="19"/>
  <c r="O29" i="13"/>
  <c r="J7" i="19"/>
  <c r="M13" i="22"/>
  <c r="F10" i="24"/>
  <c r="N8" i="13"/>
  <c r="N10" i="20"/>
  <c r="G37" i="20"/>
  <c r="L14" i="13"/>
  <c r="N9" i="20"/>
  <c r="J2" i="20"/>
  <c r="O18" i="13"/>
  <c r="H7" i="20"/>
  <c r="L8" i="21"/>
  <c r="O22" i="20"/>
  <c r="N12" i="13"/>
  <c r="L7" i="22"/>
  <c r="L42" i="13"/>
  <c r="M10" i="21"/>
  <c r="G29" i="20"/>
  <c r="J51" i="13"/>
  <c r="K48" i="13"/>
  <c r="M9" i="24"/>
  <c r="M32" i="13"/>
  <c r="M14" i="23"/>
  <c r="L19" i="25"/>
  <c r="L9" i="22"/>
  <c r="M40" i="20"/>
  <c r="J36" i="13"/>
  <c r="L6" i="24"/>
  <c r="I33" i="20"/>
  <c r="M15" i="25"/>
  <c r="J4" i="27"/>
  <c r="N12" i="25"/>
  <c r="M11" i="23"/>
  <c r="H22" i="27"/>
  <c r="J10" i="25"/>
  <c r="G11" i="27"/>
  <c r="E23" i="25"/>
  <c r="E23" i="27"/>
  <c r="G11" i="25"/>
  <c r="F2" i="22"/>
  <c r="G9" i="27"/>
  <c r="L25" i="20"/>
  <c r="M15" i="28"/>
  <c r="M4" i="25"/>
  <c r="F3" i="27"/>
  <c r="L22" i="25"/>
  <c r="L14" i="27"/>
  <c r="O4" i="25"/>
  <c r="F2" i="27"/>
  <c r="F3" i="25"/>
  <c r="H23" i="25"/>
  <c r="L2" i="27"/>
  <c r="F16" i="25"/>
  <c r="E12" i="22"/>
  <c r="D8" i="27"/>
  <c r="N3" i="25"/>
  <c r="I13" i="27"/>
  <c r="G5" i="24"/>
  <c r="K2" i="25"/>
  <c r="L7" i="21"/>
  <c r="I5" i="22"/>
  <c r="K13" i="27"/>
  <c r="H10" i="25"/>
  <c r="K23" i="21"/>
  <c r="M26" i="22"/>
  <c r="L37" i="13"/>
  <c r="L27" i="20"/>
  <c r="M37" i="13"/>
  <c r="J34" i="20"/>
  <c r="M39" i="20"/>
  <c r="G21" i="20"/>
  <c r="H18" i="20"/>
  <c r="H8" i="24"/>
  <c r="N6" i="22"/>
  <c r="K56" i="20"/>
  <c r="N7" i="24"/>
  <c r="L9" i="13"/>
  <c r="J21" i="20"/>
  <c r="J25" i="13"/>
  <c r="N3" i="19"/>
  <c r="N50" i="13"/>
  <c r="O11" i="22"/>
  <c r="L16" i="20"/>
  <c r="G7" i="20"/>
  <c r="O36" i="25"/>
  <c r="O32" i="23"/>
  <c r="L7" i="24"/>
  <c r="L19" i="13"/>
  <c r="L5" i="13"/>
  <c r="K30" i="20"/>
  <c r="H22" i="20"/>
  <c r="M42" i="13"/>
  <c r="O9" i="20"/>
  <c r="M35" i="13"/>
  <c r="J13" i="22"/>
  <c r="F23" i="24"/>
  <c r="L32" i="23"/>
  <c r="O4" i="24"/>
  <c r="L8" i="22"/>
  <c r="N18" i="13"/>
  <c r="M7" i="20"/>
  <c r="N20" i="25"/>
  <c r="L6" i="13"/>
  <c r="J19" i="23"/>
  <c r="L38" i="13"/>
  <c r="H38" i="20"/>
  <c r="M54" i="13"/>
  <c r="G26" i="20"/>
  <c r="M12" i="23"/>
  <c r="M20" i="13"/>
  <c r="E4" i="22"/>
  <c r="M11" i="22"/>
  <c r="H32" i="20"/>
  <c r="E7" i="24"/>
  <c r="K54" i="13"/>
  <c r="J6" i="22"/>
  <c r="J9" i="24"/>
  <c r="L7" i="20"/>
  <c r="K9" i="20"/>
  <c r="K6" i="13"/>
  <c r="L12" i="23"/>
  <c r="J6" i="20"/>
  <c r="J9" i="19"/>
  <c r="J14" i="20"/>
  <c r="L45" i="13"/>
  <c r="M7" i="21"/>
  <c r="N20" i="20"/>
  <c r="O23" i="13"/>
  <c r="N5" i="24"/>
  <c r="M10" i="22"/>
  <c r="K17" i="20"/>
  <c r="N30" i="20"/>
  <c r="J17" i="13"/>
  <c r="O7" i="23"/>
  <c r="M6" i="20"/>
  <c r="M49" i="13"/>
  <c r="K31" i="13"/>
  <c r="K3" i="19"/>
  <c r="F7" i="24"/>
  <c r="G12" i="20"/>
  <c r="I12" i="22"/>
  <c r="L21" i="20"/>
  <c r="F2" i="25"/>
  <c r="I3" i="24"/>
  <c r="I22" i="20"/>
  <c r="I8" i="21"/>
  <c r="O28" i="20"/>
  <c r="O36" i="20"/>
  <c r="I20" i="25"/>
  <c r="J6" i="28"/>
  <c r="K2" i="24"/>
  <c r="J5" i="22"/>
  <c r="G13" i="27"/>
  <c r="M9" i="22"/>
  <c r="K6" i="27"/>
  <c r="L6" i="25"/>
  <c r="N21" i="27"/>
  <c r="H13" i="22"/>
  <c r="L17" i="20"/>
  <c r="E2" i="27"/>
  <c r="M11" i="20"/>
  <c r="O12" i="27"/>
  <c r="N2" i="20"/>
  <c r="K18" i="20"/>
  <c r="E20" i="25"/>
  <c r="M12" i="27"/>
  <c r="I16" i="25"/>
  <c r="O4" i="13"/>
  <c r="I9" i="21"/>
  <c r="J6" i="24"/>
  <c r="G24" i="27"/>
  <c r="G21" i="25"/>
  <c r="J9" i="25"/>
  <c r="L6" i="27"/>
  <c r="E11" i="25"/>
  <c r="O13" i="27"/>
  <c r="N10" i="23"/>
  <c r="K7" i="27"/>
  <c r="H11" i="25"/>
  <c r="M7" i="25"/>
  <c r="J22" i="27"/>
  <c r="O21" i="25"/>
  <c r="M11" i="27"/>
  <c r="N21" i="25"/>
  <c r="D12" i="27"/>
  <c r="K5" i="23"/>
  <c r="I8" i="27"/>
  <c r="I37" i="27"/>
  <c r="N67" i="13"/>
  <c r="L11" i="13"/>
  <c r="M41" i="20"/>
  <c r="M11" i="13"/>
  <c r="G28" i="20"/>
  <c r="G14" i="20"/>
  <c r="O43" i="13"/>
  <c r="H2" i="22"/>
  <c r="I4" i="20"/>
  <c r="N52" i="13"/>
  <c r="M37" i="27"/>
  <c r="N13" i="13"/>
  <c r="N3" i="21"/>
  <c r="N29" i="20"/>
  <c r="N7" i="19"/>
  <c r="K16" i="23"/>
  <c r="H11" i="20"/>
  <c r="J42" i="13"/>
  <c r="N17" i="13"/>
  <c r="N19" i="23"/>
  <c r="N23" i="21"/>
  <c r="D37" i="27"/>
  <c r="O39" i="13"/>
  <c r="L18" i="20"/>
  <c r="J34" i="13"/>
  <c r="O4" i="20"/>
  <c r="I10" i="20"/>
  <c r="M33" i="20"/>
  <c r="L9" i="24"/>
  <c r="L26" i="20"/>
  <c r="F9" i="24"/>
  <c r="J23" i="21"/>
  <c r="H37" i="27"/>
  <c r="K9" i="13"/>
  <c r="L11" i="22"/>
  <c r="L41" i="13"/>
  <c r="M2" i="24"/>
  <c r="H9" i="24"/>
  <c r="K2" i="13"/>
  <c r="L12" i="20"/>
  <c r="L21" i="13"/>
  <c r="M15" i="13"/>
  <c r="J6" i="13"/>
  <c r="K28" i="20"/>
  <c r="F10" i="25"/>
  <c r="J47" i="13"/>
  <c r="J7" i="23"/>
  <c r="L8" i="20"/>
  <c r="J32" i="20"/>
  <c r="N36" i="20"/>
  <c r="K10" i="21"/>
  <c r="I41" i="20"/>
  <c r="O28" i="13"/>
  <c r="N40" i="13"/>
  <c r="M15" i="23"/>
  <c r="L33" i="13"/>
  <c r="O5" i="13"/>
  <c r="L20" i="20"/>
  <c r="M31" i="20"/>
  <c r="M2" i="22"/>
  <c r="I6" i="21"/>
  <c r="G2" i="24"/>
  <c r="K11" i="13"/>
  <c r="K13" i="13"/>
  <c r="K13" i="22"/>
  <c r="F20" i="25"/>
  <c r="L22" i="13"/>
  <c r="N4" i="22"/>
  <c r="K44" i="13"/>
  <c r="G9" i="22"/>
  <c r="H23" i="20"/>
  <c r="O33" i="13"/>
  <c r="L15" i="13"/>
  <c r="M41" i="13"/>
  <c r="I15" i="20"/>
  <c r="N12" i="23"/>
  <c r="N2" i="13"/>
  <c r="K4" i="21"/>
  <c r="O16" i="13"/>
  <c r="N38" i="13"/>
  <c r="J2" i="23"/>
  <c r="K4" i="13"/>
  <c r="N17" i="23"/>
  <c r="M23" i="20"/>
  <c r="M8" i="22"/>
  <c r="H20" i="20"/>
  <c r="L13" i="23"/>
  <c r="K23" i="25"/>
  <c r="I10" i="27"/>
  <c r="G2" i="25"/>
  <c r="D9" i="27"/>
  <c r="O20" i="20"/>
  <c r="E18" i="27"/>
  <c r="H39" i="20"/>
  <c r="O12" i="25"/>
  <c r="L3" i="27"/>
  <c r="M3" i="25"/>
  <c r="D20" i="27"/>
  <c r="M11" i="25"/>
  <c r="L20" i="25"/>
  <c r="L22" i="27"/>
  <c r="F12" i="27"/>
  <c r="I12" i="20"/>
  <c r="E19" i="25"/>
  <c r="O12" i="23"/>
  <c r="O6" i="25"/>
  <c r="M19" i="20"/>
  <c r="M10" i="25"/>
  <c r="N4" i="25"/>
  <c r="O5" i="27"/>
  <c r="O10" i="24"/>
  <c r="N4" i="27"/>
  <c r="E22" i="25"/>
  <c r="L9" i="27"/>
  <c r="J7" i="25"/>
  <c r="O14" i="25"/>
  <c r="D23" i="27"/>
  <c r="K5" i="20"/>
  <c r="F7" i="27"/>
  <c r="N35" i="20"/>
  <c r="M47" i="13"/>
  <c r="L36" i="20"/>
  <c r="J15" i="28"/>
  <c r="N22" i="19"/>
  <c r="N26" i="22"/>
  <c r="G5" i="20"/>
  <c r="K14" i="23"/>
  <c r="L10" i="20"/>
  <c r="M8" i="13"/>
  <c r="H42" i="20"/>
  <c r="N39" i="13"/>
  <c r="M13" i="23"/>
  <c r="M22" i="13"/>
  <c r="I25" i="20"/>
  <c r="L56" i="20"/>
  <c r="K37" i="13"/>
  <c r="K26" i="13"/>
  <c r="L9" i="21"/>
  <c r="K47" i="13"/>
  <c r="I9" i="24"/>
  <c r="I19" i="20"/>
  <c r="J5" i="24"/>
  <c r="I24" i="20"/>
  <c r="K35" i="13"/>
  <c r="H56" i="20"/>
  <c r="L67" i="13"/>
  <c r="N6" i="13"/>
  <c r="I42" i="20"/>
  <c r="K38" i="20"/>
  <c r="H41" i="20"/>
  <c r="H11" i="22"/>
  <c r="J2" i="24"/>
  <c r="F10" i="22"/>
  <c r="K34" i="13"/>
  <c r="L5" i="21"/>
  <c r="K23" i="24"/>
  <c r="J30" i="28"/>
  <c r="N35" i="13"/>
  <c r="O16" i="23"/>
  <c r="L2" i="21"/>
  <c r="N2" i="21"/>
  <c r="J27" i="13"/>
  <c r="M45" i="13"/>
  <c r="J11" i="20"/>
  <c r="M6" i="19"/>
  <c r="H31" i="20"/>
  <c r="N48" i="13"/>
  <c r="G19" i="20"/>
  <c r="N11" i="20"/>
  <c r="J6" i="23"/>
  <c r="M12" i="22"/>
  <c r="J14" i="23"/>
  <c r="M38" i="20"/>
  <c r="N10" i="24"/>
  <c r="J8" i="13"/>
  <c r="F6" i="22"/>
  <c r="J12" i="20"/>
  <c r="L24" i="20"/>
  <c r="H2" i="24"/>
  <c r="K35" i="20"/>
  <c r="N6" i="20"/>
  <c r="J27" i="20"/>
  <c r="N43" i="13"/>
  <c r="K2" i="23"/>
  <c r="E2" i="24"/>
  <c r="O19" i="20"/>
  <c r="N7" i="13"/>
  <c r="O6" i="23"/>
  <c r="H3" i="20"/>
  <c r="M37" i="20"/>
  <c r="K16" i="13"/>
  <c r="I2" i="24"/>
  <c r="G6" i="24"/>
  <c r="O19" i="23"/>
  <c r="N15" i="13"/>
  <c r="O7" i="13"/>
  <c r="N5" i="22"/>
  <c r="M4" i="20"/>
  <c r="E10" i="22"/>
  <c r="K6" i="23"/>
  <c r="M25" i="13"/>
  <c r="O6" i="22"/>
  <c r="J44" i="13"/>
  <c r="O5" i="23"/>
  <c r="I5" i="24"/>
  <c r="J9" i="20"/>
  <c r="H6" i="20"/>
  <c r="G16" i="25"/>
  <c r="L13" i="22"/>
  <c r="F19" i="25"/>
  <c r="M3" i="28"/>
  <c r="J20" i="25"/>
  <c r="J2" i="27"/>
  <c r="E16" i="25"/>
  <c r="E15" i="27"/>
  <c r="E10" i="24"/>
  <c r="J6" i="27"/>
  <c r="O2" i="21"/>
  <c r="H3" i="25"/>
  <c r="L4" i="27"/>
  <c r="J2" i="22"/>
  <c r="G21" i="27"/>
  <c r="I11" i="25"/>
  <c r="E14" i="25"/>
  <c r="N9" i="27"/>
  <c r="O3" i="27"/>
  <c r="L9" i="25"/>
  <c r="F9" i="25"/>
  <c r="O9" i="25"/>
  <c r="J11" i="25"/>
  <c r="L10" i="25"/>
  <c r="H17" i="27"/>
  <c r="N17" i="25"/>
  <c r="L17" i="27"/>
  <c r="J17" i="25"/>
  <c r="M17" i="27"/>
  <c r="M20" i="25"/>
  <c r="F14" i="27"/>
  <c r="F2" i="24"/>
  <c r="H6" i="25"/>
  <c r="D17" i="27"/>
  <c r="L7" i="25"/>
  <c r="E7" i="27"/>
  <c r="K17" i="25"/>
  <c r="G14" i="25"/>
  <c r="K12" i="27"/>
  <c r="E22" i="27"/>
  <c r="M30" i="13"/>
  <c r="O35" i="13"/>
  <c r="L23" i="20"/>
  <c r="M50" i="13"/>
  <c r="O54" i="13"/>
  <c r="L43" i="20"/>
  <c r="N53" i="13"/>
  <c r="L4" i="25"/>
  <c r="L39" i="13"/>
  <c r="K15" i="27"/>
  <c r="O30" i="20"/>
  <c r="H14" i="25"/>
  <c r="J12" i="25"/>
  <c r="E8" i="27"/>
  <c r="K9" i="25"/>
  <c r="I12" i="25"/>
  <c r="H4" i="27"/>
  <c r="M14" i="28"/>
  <c r="D22" i="27"/>
  <c r="J3" i="25"/>
  <c r="F8" i="25"/>
  <c r="N14" i="27"/>
  <c r="I13" i="25"/>
  <c r="O20" i="25"/>
  <c r="L24" i="27"/>
  <c r="N22" i="25"/>
  <c r="J14" i="28"/>
  <c r="O17" i="27"/>
  <c r="H16" i="25"/>
  <c r="O20" i="27"/>
  <c r="N8" i="24"/>
  <c r="O19" i="27"/>
  <c r="D10" i="27"/>
  <c r="E11" i="27"/>
  <c r="G6" i="27"/>
  <c r="E6" i="24"/>
  <c r="H19" i="20"/>
  <c r="H10" i="22"/>
  <c r="M35" i="20"/>
  <c r="M7" i="19"/>
  <c r="O30" i="13"/>
  <c r="I7" i="20"/>
  <c r="M3" i="13"/>
  <c r="M6" i="28"/>
  <c r="G6" i="25"/>
  <c r="J6" i="25"/>
  <c r="M6" i="27"/>
  <c r="K14" i="27"/>
  <c r="G12" i="25"/>
  <c r="F8" i="24"/>
  <c r="E12" i="25"/>
  <c r="H17" i="25"/>
  <c r="I22" i="27"/>
  <c r="M5" i="27"/>
  <c r="G34" i="20"/>
  <c r="K3" i="25"/>
  <c r="I8" i="22"/>
  <c r="I15" i="27"/>
  <c r="I10" i="25"/>
  <c r="K16" i="25"/>
  <c r="H11" i="27"/>
  <c r="E21" i="25"/>
  <c r="E16" i="27"/>
  <c r="H7" i="27"/>
  <c r="O8" i="23"/>
  <c r="F11" i="27"/>
  <c r="H9" i="22"/>
  <c r="E24" i="27"/>
  <c r="M9" i="21"/>
  <c r="K8" i="27"/>
  <c r="D14" i="27"/>
  <c r="M19" i="27"/>
  <c r="K21" i="25"/>
  <c r="L41" i="20"/>
  <c r="N2" i="27"/>
  <c r="L9" i="19"/>
  <c r="M7" i="13"/>
  <c r="K10" i="24"/>
  <c r="H40" i="20"/>
  <c r="M3" i="21"/>
  <c r="K11" i="23"/>
  <c r="L10" i="21"/>
  <c r="G20" i="25"/>
  <c r="K7" i="20"/>
  <c r="E10" i="27"/>
  <c r="O27" i="20"/>
  <c r="D5" i="27"/>
  <c r="I17" i="25"/>
  <c r="M23" i="25"/>
  <c r="L7" i="27"/>
  <c r="K15" i="20"/>
  <c r="N24" i="27"/>
  <c r="J8" i="23"/>
  <c r="H22" i="25"/>
  <c r="H6" i="27"/>
  <c r="K6" i="25"/>
  <c r="N12" i="27"/>
  <c r="K19" i="27"/>
  <c r="G10" i="25"/>
  <c r="G2" i="27"/>
  <c r="N4" i="20"/>
  <c r="N19" i="27"/>
  <c r="K20" i="27"/>
  <c r="L6" i="21"/>
  <c r="K24" i="27"/>
  <c r="E8" i="25"/>
  <c r="D16" i="27"/>
  <c r="H24" i="27"/>
  <c r="N7" i="22"/>
  <c r="J11" i="28"/>
  <c r="G10" i="20"/>
  <c r="F18" i="25"/>
  <c r="K19" i="13"/>
  <c r="O5" i="20"/>
  <c r="J40" i="13"/>
  <c r="G22" i="20"/>
  <c r="G36" i="20"/>
  <c r="O37" i="13"/>
  <c r="O12" i="20"/>
  <c r="J24" i="13"/>
  <c r="J16" i="27"/>
  <c r="G19" i="27"/>
  <c r="M2" i="25"/>
  <c r="M27" i="20"/>
  <c r="D21" i="27"/>
  <c r="M3" i="23"/>
  <c r="I9" i="22"/>
  <c r="M12" i="28"/>
  <c r="O53" i="13"/>
  <c r="J9" i="27"/>
  <c r="G8" i="25"/>
  <c r="J14" i="25"/>
  <c r="I12" i="27"/>
  <c r="H7" i="24"/>
  <c r="J8" i="27"/>
  <c r="N5" i="27"/>
  <c r="I8" i="25"/>
  <c r="F22" i="27"/>
  <c r="F4" i="25"/>
  <c r="G18" i="27"/>
  <c r="M24" i="27"/>
  <c r="F15" i="25"/>
  <c r="N6" i="27"/>
  <c r="N7" i="23"/>
  <c r="J9" i="28"/>
  <c r="M14" i="27"/>
  <c r="N15" i="27"/>
  <c r="N13" i="27"/>
  <c r="O13" i="25"/>
  <c r="E10" i="25"/>
  <c r="M13" i="28"/>
  <c r="J5" i="20"/>
  <c r="L12" i="22"/>
  <c r="I34" i="20"/>
  <c r="M9" i="20"/>
  <c r="K36" i="20"/>
  <c r="K14" i="20"/>
  <c r="O9" i="21"/>
  <c r="I6" i="25"/>
  <c r="F18" i="27"/>
  <c r="K17" i="27"/>
  <c r="J14" i="27"/>
  <c r="D7" i="27"/>
  <c r="D19" i="27"/>
  <c r="O18" i="23"/>
  <c r="H5" i="27"/>
  <c r="K10" i="22"/>
  <c r="I20" i="27"/>
  <c r="M3" i="27"/>
  <c r="M18" i="25"/>
  <c r="M21" i="27"/>
  <c r="L8" i="25"/>
  <c r="J11" i="27"/>
  <c r="O10" i="25"/>
  <c r="O7" i="25"/>
  <c r="K9" i="27"/>
  <c r="L23" i="21"/>
  <c r="O32" i="20"/>
  <c r="E3" i="24"/>
  <c r="I5" i="21"/>
  <c r="H9" i="25"/>
  <c r="M2" i="27"/>
  <c r="J38" i="13"/>
  <c r="L29" i="13"/>
  <c r="L5" i="24"/>
  <c r="O29" i="20"/>
  <c r="M34" i="20"/>
  <c r="L3" i="22"/>
  <c r="L42" i="20"/>
  <c r="H14" i="27"/>
  <c r="E17" i="25"/>
  <c r="J22" i="25"/>
  <c r="D24" i="27"/>
  <c r="J33" i="20"/>
  <c r="E21" i="27"/>
  <c r="N9" i="21"/>
  <c r="F15" i="27"/>
  <c r="H2" i="25"/>
  <c r="I23" i="27"/>
  <c r="L18" i="27"/>
  <c r="M17" i="25"/>
  <c r="M9" i="27"/>
  <c r="O41" i="20"/>
  <c r="J8" i="28"/>
  <c r="K23" i="27"/>
  <c r="E7" i="22"/>
  <c r="G22" i="27"/>
  <c r="K15" i="23"/>
  <c r="N8" i="27"/>
  <c r="O8" i="27"/>
  <c r="O3" i="25"/>
  <c r="K2" i="27"/>
  <c r="N7" i="25"/>
  <c r="L13" i="27"/>
  <c r="H3" i="27"/>
  <c r="G7" i="25"/>
  <c r="G33" i="20"/>
  <c r="M31" i="13"/>
  <c r="O18" i="27"/>
  <c r="N31" i="20"/>
  <c r="K6" i="21"/>
  <c r="K36" i="25"/>
  <c r="L32" i="20"/>
  <c r="N54" i="13"/>
  <c r="I3" i="21"/>
  <c r="K7" i="24"/>
  <c r="M4" i="22"/>
  <c r="L11" i="25"/>
  <c r="G9" i="25"/>
  <c r="H8" i="27"/>
  <c r="M14" i="25"/>
  <c r="F5" i="27"/>
  <c r="H20" i="25"/>
  <c r="I6" i="27"/>
  <c r="J23" i="25"/>
  <c r="G16" i="27"/>
  <c r="D2" i="27"/>
  <c r="K7" i="25"/>
  <c r="J18" i="27"/>
  <c r="G18" i="25"/>
  <c r="G7" i="27"/>
  <c r="H18" i="27"/>
  <c r="K10" i="25"/>
  <c r="G3" i="27"/>
  <c r="K13" i="25"/>
  <c r="N7" i="27"/>
  <c r="M13" i="27"/>
  <c r="E18" i="25"/>
  <c r="K9" i="22"/>
  <c r="J2" i="25"/>
  <c r="G12" i="27"/>
  <c r="I24" i="27"/>
  <c r="J3" i="27"/>
  <c r="K20" i="25"/>
  <c r="F12" i="25"/>
  <c r="J23" i="27"/>
  <c r="M33" i="13"/>
  <c r="J37" i="27"/>
  <c r="J4" i="13"/>
  <c r="I40" i="20"/>
  <c r="O3" i="20"/>
  <c r="M26" i="13"/>
  <c r="J7" i="22"/>
  <c r="E5" i="27"/>
  <c r="O17" i="25"/>
  <c r="H19" i="27"/>
  <c r="J8" i="20"/>
  <c r="K4" i="22"/>
  <c r="E6" i="27"/>
  <c r="K5" i="22"/>
  <c r="K22" i="27"/>
  <c r="H13" i="25"/>
  <c r="M4" i="28"/>
  <c r="D4" i="27"/>
  <c r="F4" i="22"/>
  <c r="E3" i="27"/>
  <c r="I22" i="25"/>
  <c r="O9" i="27"/>
  <c r="O16" i="25"/>
  <c r="J10" i="28"/>
  <c r="M18" i="23"/>
  <c r="M2" i="28"/>
  <c r="L3" i="13"/>
  <c r="H36" i="25"/>
  <c r="O13" i="13"/>
  <c r="K28" i="13"/>
  <c r="J3" i="22"/>
  <c r="K4" i="20"/>
  <c r="L16" i="13"/>
  <c r="I32" i="20"/>
  <c r="E9" i="25"/>
  <c r="K15" i="25"/>
  <c r="F11" i="25"/>
  <c r="L2" i="24"/>
  <c r="O6" i="27"/>
  <c r="O8" i="24"/>
  <c r="F9" i="27"/>
  <c r="G3" i="24"/>
  <c r="I9" i="27"/>
  <c r="G23" i="27"/>
  <c r="J5" i="23"/>
  <c r="M22" i="27"/>
  <c r="J10" i="21"/>
  <c r="E12" i="27"/>
  <c r="H2" i="27"/>
  <c r="O11" i="23"/>
  <c r="H9" i="20"/>
  <c r="K14" i="25"/>
  <c r="M4" i="27"/>
  <c r="M19" i="23"/>
  <c r="K29" i="20"/>
  <c r="G15" i="25"/>
  <c r="N11" i="27"/>
  <c r="J5" i="28"/>
  <c r="L36" i="13"/>
  <c r="H23" i="27"/>
  <c r="O6" i="24"/>
  <c r="H23" i="24"/>
  <c r="J6" i="19"/>
  <c r="J10" i="24"/>
  <c r="J15" i="13"/>
  <c r="L17" i="13"/>
  <c r="M15" i="20"/>
  <c r="L35" i="20"/>
  <c r="M19" i="25"/>
  <c r="M16" i="25"/>
  <c r="L10" i="27"/>
  <c r="J21" i="25"/>
  <c r="L4" i="20"/>
  <c r="L5" i="27"/>
  <c r="N13" i="23"/>
  <c r="O14" i="27"/>
  <c r="I8" i="24"/>
  <c r="M15" i="27"/>
  <c r="M10" i="27"/>
  <c r="N23" i="20"/>
  <c r="O22" i="27"/>
  <c r="I10" i="21"/>
  <c r="N18" i="27"/>
  <c r="M16" i="27"/>
  <c r="F17" i="25"/>
  <c r="K11" i="25"/>
  <c r="O15" i="27"/>
  <c r="N23" i="25"/>
  <c r="L7" i="19"/>
  <c r="K12" i="25"/>
  <c r="N16" i="27"/>
  <c r="K4" i="27"/>
  <c r="K26" i="22"/>
  <c r="J48" i="13"/>
  <c r="H8" i="20"/>
  <c r="L20" i="13"/>
  <c r="J41" i="13"/>
  <c r="L50" i="13"/>
  <c r="L19" i="23"/>
  <c r="J3" i="20"/>
  <c r="K10" i="27"/>
  <c r="L8" i="27"/>
  <c r="J7" i="28"/>
  <c r="M21" i="25"/>
  <c r="I36" i="20"/>
  <c r="I7" i="27"/>
  <c r="L2" i="25"/>
  <c r="N20" i="27"/>
  <c r="I4" i="22"/>
  <c r="E9" i="27"/>
  <c r="I14" i="27"/>
  <c r="N14" i="23"/>
  <c r="H4" i="20"/>
  <c r="G23" i="25"/>
  <c r="L16" i="27"/>
  <c r="J3" i="28"/>
  <c r="E5" i="24"/>
  <c r="G11" i="22"/>
  <c r="I19" i="27"/>
  <c r="K4" i="25"/>
  <c r="H18" i="25"/>
  <c r="F16" i="27"/>
  <c r="N8" i="25"/>
  <c r="N3" i="27"/>
  <c r="L27" i="13"/>
  <c r="D13" i="27"/>
  <c r="J13" i="25"/>
  <c r="J28" i="25" l="1"/>
  <c r="J27" i="25"/>
  <c r="J111" i="30" s="1"/>
  <c r="J26" i="25"/>
  <c r="J110" i="30" s="1"/>
  <c r="K27" i="27"/>
  <c r="K125" i="30" s="1"/>
  <c r="K28" i="27"/>
  <c r="K126" i="30" s="1"/>
  <c r="K29" i="27"/>
  <c r="N27" i="27"/>
  <c r="N125" i="30" s="1"/>
  <c r="N28" i="27"/>
  <c r="N126" i="30" s="1"/>
  <c r="M29" i="27"/>
  <c r="M27" i="27"/>
  <c r="M125" i="30" s="1"/>
  <c r="M28" i="27"/>
  <c r="M126" i="30" s="1"/>
  <c r="G27" i="27"/>
  <c r="G28" i="27"/>
  <c r="G29" i="27"/>
  <c r="G30" i="27" s="1"/>
  <c r="G33" i="27" s="1"/>
  <c r="G34" i="27" s="1"/>
  <c r="M21" i="28"/>
  <c r="M141" i="30" s="1"/>
  <c r="M20" i="28"/>
  <c r="M140" i="30" s="1"/>
  <c r="M22" i="28"/>
  <c r="H27" i="27"/>
  <c r="H28" i="27"/>
  <c r="H29" i="27"/>
  <c r="H30" i="27" s="1"/>
  <c r="H33" i="27" s="1"/>
  <c r="H34" i="27" s="1"/>
  <c r="D29" i="27"/>
  <c r="D30" i="27" s="1"/>
  <c r="D33" i="27" s="1"/>
  <c r="D34" i="27" s="1"/>
  <c r="D27" i="27"/>
  <c r="D28" i="27"/>
  <c r="H28" i="25"/>
  <c r="H29" i="25" s="1"/>
  <c r="H32" i="25" s="1"/>
  <c r="H33" i="25" s="1"/>
  <c r="H26" i="25"/>
  <c r="H27" i="25"/>
  <c r="L26" i="25"/>
  <c r="L110" i="30" s="1"/>
  <c r="L27" i="25"/>
  <c r="L111" i="30" s="1"/>
  <c r="L14" i="24"/>
  <c r="L96" i="30" s="1"/>
  <c r="L13" i="24"/>
  <c r="L95" i="30" s="1"/>
  <c r="N13" i="24"/>
  <c r="N95" i="30" s="1"/>
  <c r="N15" i="24"/>
  <c r="N14" i="24"/>
  <c r="N96" i="30" s="1"/>
  <c r="E27" i="25"/>
  <c r="E28" i="25"/>
  <c r="E29" i="25" s="1"/>
  <c r="E32" i="25" s="1"/>
  <c r="E33" i="25" s="1"/>
  <c r="E26" i="25"/>
  <c r="J21" i="28"/>
  <c r="J141" i="30" s="1"/>
  <c r="J22" i="28"/>
  <c r="J20" i="28"/>
  <c r="J140" i="30" s="1"/>
  <c r="L22" i="23"/>
  <c r="L80" i="30" s="1"/>
  <c r="L24" i="23"/>
  <c r="L23" i="23"/>
  <c r="L81" i="30" s="1"/>
  <c r="G48" i="20"/>
  <c r="G49" i="20" s="1"/>
  <c r="G52" i="20" s="1"/>
  <c r="G53" i="20" s="1"/>
  <c r="G46" i="20"/>
  <c r="G47" i="20"/>
  <c r="F13" i="24"/>
  <c r="F15" i="24"/>
  <c r="F16" i="24" s="1"/>
  <c r="F19" i="24" s="1"/>
  <c r="F20" i="24" s="1"/>
  <c r="F14" i="24"/>
  <c r="K26" i="25"/>
  <c r="K110" i="30" s="1"/>
  <c r="K27" i="25"/>
  <c r="K111" i="30" s="1"/>
  <c r="K28" i="25"/>
  <c r="O16" i="22"/>
  <c r="O65" i="30" s="1"/>
  <c r="O17" i="22"/>
  <c r="O66" i="30" s="1"/>
  <c r="M26" i="25"/>
  <c r="M110" i="30" s="1"/>
  <c r="M27" i="25"/>
  <c r="M111" i="30" s="1"/>
  <c r="M28" i="25"/>
  <c r="M22" i="23"/>
  <c r="M80" i="30" s="1"/>
  <c r="M24" i="23"/>
  <c r="M23" i="23"/>
  <c r="M81" i="30" s="1"/>
  <c r="I28" i="27"/>
  <c r="I29" i="27" s="1"/>
  <c r="I27" i="27"/>
  <c r="L27" i="27"/>
  <c r="L125" i="30" s="1"/>
  <c r="L28" i="27"/>
  <c r="L126" i="30" s="1"/>
  <c r="I26" i="25"/>
  <c r="I27" i="25"/>
  <c r="I28" i="25" s="1"/>
  <c r="F27" i="27"/>
  <c r="F28" i="27"/>
  <c r="F29" i="27"/>
  <c r="F30" i="27" s="1"/>
  <c r="F33" i="27" s="1"/>
  <c r="F34" i="27" s="1"/>
  <c r="N47" i="20"/>
  <c r="N36" i="30" s="1"/>
  <c r="N46" i="20"/>
  <c r="N35" i="30" s="1"/>
  <c r="O26" i="25"/>
  <c r="O110" i="30" s="1"/>
  <c r="O27" i="25"/>
  <c r="O111" i="30" s="1"/>
  <c r="J17" i="22"/>
  <c r="J66" i="30" s="1"/>
  <c r="J16" i="22"/>
  <c r="J65" i="30" s="1"/>
  <c r="J18" i="22"/>
  <c r="E28" i="27"/>
  <c r="E29" i="27"/>
  <c r="E30" i="27" s="1"/>
  <c r="E33" i="27" s="1"/>
  <c r="E34" i="27" s="1"/>
  <c r="E27" i="27"/>
  <c r="N26" i="25"/>
  <c r="N110" i="30" s="1"/>
  <c r="N27" i="25"/>
  <c r="N111" i="30" s="1"/>
  <c r="F17" i="22"/>
  <c r="F16" i="22"/>
  <c r="F18" i="22"/>
  <c r="F19" i="22" s="1"/>
  <c r="F22" i="22" s="1"/>
  <c r="F23" i="22" s="1"/>
  <c r="O15" i="24"/>
  <c r="O14" i="24"/>
  <c r="O96" i="30" s="1"/>
  <c r="O13" i="24"/>
  <c r="O95" i="30" s="1"/>
  <c r="O14" i="21"/>
  <c r="O51" i="30" s="1"/>
  <c r="O13" i="21"/>
  <c r="O50" i="30" s="1"/>
  <c r="O15" i="21"/>
  <c r="N23" i="23"/>
  <c r="N81" i="30" s="1"/>
  <c r="N24" i="23"/>
  <c r="N22" i="23"/>
  <c r="N80" i="30" s="1"/>
  <c r="O28" i="27"/>
  <c r="O126" i="30" s="1"/>
  <c r="O27" i="27"/>
  <c r="O125" i="30" s="1"/>
  <c r="G26" i="25"/>
  <c r="G27" i="25"/>
  <c r="G28" i="25"/>
  <c r="G29" i="25" s="1"/>
  <c r="G32" i="25" s="1"/>
  <c r="G33" i="25" s="1"/>
  <c r="L17" i="22"/>
  <c r="L66" i="30" s="1"/>
  <c r="L16" i="22"/>
  <c r="L65" i="30" s="1"/>
  <c r="L18" i="22"/>
  <c r="J27" i="27"/>
  <c r="J125" i="30" s="1"/>
  <c r="J28" i="27"/>
  <c r="J126" i="30" s="1"/>
  <c r="J29" i="27"/>
  <c r="K14" i="24"/>
  <c r="K96" i="30" s="1"/>
  <c r="K13" i="24"/>
  <c r="K95" i="30" s="1"/>
  <c r="K15" i="24"/>
  <c r="J22" i="23"/>
  <c r="J80" i="30" s="1"/>
  <c r="J24" i="23"/>
  <c r="J23" i="23"/>
  <c r="J81" i="30" s="1"/>
  <c r="F28" i="25"/>
  <c r="F29" i="25" s="1"/>
  <c r="F32" i="25" s="1"/>
  <c r="F33" i="25" s="1"/>
  <c r="F26" i="25"/>
  <c r="F27" i="25"/>
  <c r="N58" i="13"/>
  <c r="N59" i="13" s="1"/>
  <c r="N57" i="13"/>
  <c r="N5" i="30" s="1"/>
  <c r="K18" i="22"/>
  <c r="K17" i="22"/>
  <c r="K66" i="30" s="1"/>
  <c r="K16" i="22"/>
  <c r="K65" i="30" s="1"/>
  <c r="N13" i="19"/>
  <c r="N21" i="30" s="1"/>
  <c r="N12" i="19"/>
  <c r="N20" i="30" s="1"/>
  <c r="M14" i="19"/>
  <c r="M12" i="19"/>
  <c r="M20" i="30" s="1"/>
  <c r="M13" i="19"/>
  <c r="M21" i="30" s="1"/>
  <c r="I14" i="24"/>
  <c r="I15" i="24" s="1"/>
  <c r="I13" i="24"/>
  <c r="O23" i="23"/>
  <c r="O81" i="30" s="1"/>
  <c r="O22" i="23"/>
  <c r="O80" i="30" s="1"/>
  <c r="O24" i="23"/>
  <c r="M14" i="21"/>
  <c r="M51" i="30" s="1"/>
  <c r="M13" i="21"/>
  <c r="M50" i="30" s="1"/>
  <c r="M15" i="21"/>
  <c r="J47" i="20"/>
  <c r="J36" i="30" s="1"/>
  <c r="J46" i="20"/>
  <c r="J35" i="30" s="1"/>
  <c r="G15" i="24"/>
  <c r="G16" i="24" s="1"/>
  <c r="G19" i="24" s="1"/>
  <c r="G20" i="24" s="1"/>
  <c r="G14" i="24"/>
  <c r="G13" i="24"/>
  <c r="E14" i="24"/>
  <c r="E13" i="24"/>
  <c r="E15" i="24"/>
  <c r="E16" i="24" s="1"/>
  <c r="E19" i="24" s="1"/>
  <c r="E20" i="24" s="1"/>
  <c r="K22" i="23"/>
  <c r="K80" i="30" s="1"/>
  <c r="K24" i="23"/>
  <c r="K23" i="23"/>
  <c r="K81" i="30" s="1"/>
  <c r="M18" i="22"/>
  <c r="M19" i="22" s="1"/>
  <c r="M17" i="22"/>
  <c r="M66" i="30" s="1"/>
  <c r="M16" i="22"/>
  <c r="M65" i="30" s="1"/>
  <c r="L48" i="20"/>
  <c r="L47" i="20"/>
  <c r="L36" i="30" s="1"/>
  <c r="L46" i="20"/>
  <c r="L35" i="30" s="1"/>
  <c r="O46" i="20"/>
  <c r="O35" i="30" s="1"/>
  <c r="O47" i="20"/>
  <c r="O48" i="20" s="1"/>
  <c r="H14" i="24"/>
  <c r="H13" i="24"/>
  <c r="H15" i="24"/>
  <c r="H16" i="24" s="1"/>
  <c r="H19" i="24" s="1"/>
  <c r="H20" i="24" s="1"/>
  <c r="K12" i="19"/>
  <c r="K20" i="30" s="1"/>
  <c r="K14" i="19"/>
  <c r="K15" i="19" s="1"/>
  <c r="K13" i="19"/>
  <c r="K21" i="30" s="1"/>
  <c r="J57" i="13"/>
  <c r="J5" i="30" s="1"/>
  <c r="J59" i="13"/>
  <c r="J60" i="13" s="1"/>
  <c r="J63" i="13" s="1"/>
  <c r="J58" i="13"/>
  <c r="J6" i="30" s="1"/>
  <c r="E16" i="22"/>
  <c r="E18" i="22"/>
  <c r="E19" i="22" s="1"/>
  <c r="E22" i="22" s="1"/>
  <c r="E23" i="22" s="1"/>
  <c r="E17" i="22"/>
  <c r="K47" i="20"/>
  <c r="K36" i="30" s="1"/>
  <c r="K48" i="20"/>
  <c r="K46" i="20"/>
  <c r="K35" i="30" s="1"/>
  <c r="K59" i="13"/>
  <c r="K60" i="13" s="1"/>
  <c r="K58" i="13"/>
  <c r="K6" i="30" s="1"/>
  <c r="K57" i="13"/>
  <c r="K5" i="30" s="1"/>
  <c r="N15" i="21"/>
  <c r="N14" i="21"/>
  <c r="N51" i="30" s="1"/>
  <c r="N13" i="21"/>
  <c r="N50" i="30" s="1"/>
  <c r="M14" i="24"/>
  <c r="M96" i="30" s="1"/>
  <c r="M13" i="24"/>
  <c r="M95" i="30" s="1"/>
  <c r="M15" i="24"/>
  <c r="O13" i="19"/>
  <c r="O21" i="30" s="1"/>
  <c r="O12" i="19"/>
  <c r="O20" i="30" s="1"/>
  <c r="L14" i="21"/>
  <c r="L51" i="30" s="1"/>
  <c r="L13" i="21"/>
  <c r="L50" i="30" s="1"/>
  <c r="L15" i="21"/>
  <c r="L16" i="21" s="1"/>
  <c r="L19" i="21" s="1"/>
  <c r="L20" i="21" s="1"/>
  <c r="L57" i="30" s="1"/>
  <c r="I46" i="20"/>
  <c r="I47" i="20"/>
  <c r="I48" i="20"/>
  <c r="I49" i="20" s="1"/>
  <c r="I52" i="20" s="1"/>
  <c r="I53" i="20" s="1"/>
  <c r="J150" i="30"/>
  <c r="J32" i="28"/>
  <c r="J152" i="30" s="1"/>
  <c r="H39" i="27"/>
  <c r="L34" i="23"/>
  <c r="L92" i="30" s="1"/>
  <c r="L90" i="30"/>
  <c r="N90" i="30"/>
  <c r="N34" i="23"/>
  <c r="N92" i="30" s="1"/>
  <c r="M69" i="13"/>
  <c r="M17" i="30" s="1"/>
  <c r="M15" i="30"/>
  <c r="I25" i="21"/>
  <c r="I62" i="30" s="1"/>
  <c r="I60" i="30"/>
  <c r="G28" i="22"/>
  <c r="L75" i="30"/>
  <c r="L28" i="22"/>
  <c r="L77" i="30" s="1"/>
  <c r="K90" i="30"/>
  <c r="K34" i="23"/>
  <c r="K92" i="30" s="1"/>
  <c r="I38" i="25"/>
  <c r="L30" i="30"/>
  <c r="L24" i="19"/>
  <c r="L32" i="30" s="1"/>
  <c r="K38" i="25"/>
  <c r="K122" i="30" s="1"/>
  <c r="K120" i="30"/>
  <c r="K105" i="30"/>
  <c r="K25" i="24"/>
  <c r="K107" i="30" s="1"/>
  <c r="J60" i="30"/>
  <c r="J25" i="21"/>
  <c r="J62" i="30" s="1"/>
  <c r="F25" i="24"/>
  <c r="M90" i="30"/>
  <c r="M34" i="23"/>
  <c r="M92" i="30" s="1"/>
  <c r="N25" i="24"/>
  <c r="N107" i="30" s="1"/>
  <c r="N105" i="30"/>
  <c r="O25" i="21"/>
  <c r="O62" i="30" s="1"/>
  <c r="O60" i="30"/>
  <c r="M60" i="30"/>
  <c r="M25" i="21"/>
  <c r="M62" i="30" s="1"/>
  <c r="N45" i="30"/>
  <c r="N58" i="20"/>
  <c r="N47" i="30" s="1"/>
  <c r="M30" i="30"/>
  <c r="M24" i="19"/>
  <c r="M32" i="30" s="1"/>
  <c r="O58" i="13"/>
  <c r="O6" i="30" s="1"/>
  <c r="O57" i="13"/>
  <c r="O5" i="30" s="1"/>
  <c r="K13" i="21"/>
  <c r="K50" i="30" s="1"/>
  <c r="K14" i="21"/>
  <c r="K51" i="30" s="1"/>
  <c r="J13" i="24"/>
  <c r="J95" i="30" s="1"/>
  <c r="J15" i="24"/>
  <c r="J14" i="24"/>
  <c r="J96" i="30" s="1"/>
  <c r="H47" i="20"/>
  <c r="H48" i="20"/>
  <c r="H49" i="20" s="1"/>
  <c r="H52" i="20" s="1"/>
  <c r="H53" i="20" s="1"/>
  <c r="H46" i="20"/>
  <c r="N16" i="22"/>
  <c r="N65" i="30" s="1"/>
  <c r="N18" i="22"/>
  <c r="N17" i="22"/>
  <c r="N66" i="30" s="1"/>
  <c r="L58" i="13"/>
  <c r="L6" i="30" s="1"/>
  <c r="L57" i="13"/>
  <c r="L5" i="30" s="1"/>
  <c r="M32" i="28"/>
  <c r="M152" i="30" s="1"/>
  <c r="M150" i="30"/>
  <c r="I28" i="22"/>
  <c r="L120" i="30"/>
  <c r="L38" i="25"/>
  <c r="L122" i="30" s="1"/>
  <c r="H38" i="25"/>
  <c r="L69" i="13"/>
  <c r="L17" i="30" s="1"/>
  <c r="L15" i="30"/>
  <c r="D39" i="27"/>
  <c r="O34" i="23"/>
  <c r="O92" i="30" s="1"/>
  <c r="O90" i="30"/>
  <c r="M45" i="30"/>
  <c r="M58" i="20"/>
  <c r="M47" i="30" s="1"/>
  <c r="J45" i="30"/>
  <c r="J58" i="20"/>
  <c r="J47" i="30" s="1"/>
  <c r="M38" i="25"/>
  <c r="M122" i="30" s="1"/>
  <c r="M120" i="30"/>
  <c r="L135" i="30"/>
  <c r="L39" i="27"/>
  <c r="L137" i="30" s="1"/>
  <c r="H28" i="22"/>
  <c r="M105" i="30"/>
  <c r="M25" i="24"/>
  <c r="M107" i="30" s="1"/>
  <c r="K24" i="19"/>
  <c r="K32" i="30" s="1"/>
  <c r="K30" i="30"/>
  <c r="I58" i="20"/>
  <c r="J135" i="30"/>
  <c r="J39" i="27"/>
  <c r="J137" i="30" s="1"/>
  <c r="H58" i="20"/>
  <c r="N25" i="21"/>
  <c r="N62" i="30" s="1"/>
  <c r="N60" i="30"/>
  <c r="O38" i="25"/>
  <c r="O122" i="30" s="1"/>
  <c r="O120" i="30"/>
  <c r="J69" i="13"/>
  <c r="J17" i="30" s="1"/>
  <c r="J15" i="30"/>
  <c r="M57" i="13"/>
  <c r="M5" i="30" s="1"/>
  <c r="M59" i="13"/>
  <c r="M60" i="13" s="1"/>
  <c r="M8" i="30" s="1"/>
  <c r="M58" i="13"/>
  <c r="M6" i="30" s="1"/>
  <c r="J14" i="21"/>
  <c r="J51" i="30" s="1"/>
  <c r="J13" i="21"/>
  <c r="J50" i="30" s="1"/>
  <c r="J15" i="21"/>
  <c r="G17" i="22"/>
  <c r="G16" i="22"/>
  <c r="G18" i="22"/>
  <c r="G19" i="22" s="1"/>
  <c r="G22" i="22" s="1"/>
  <c r="G23" i="22" s="1"/>
  <c r="F39" i="27"/>
  <c r="L25" i="24"/>
  <c r="L107" i="30" s="1"/>
  <c r="L105" i="30"/>
  <c r="N38" i="25"/>
  <c r="N122" i="30" s="1"/>
  <c r="N120" i="30"/>
  <c r="J25" i="24"/>
  <c r="J107" i="30" s="1"/>
  <c r="J105" i="30"/>
  <c r="E38" i="25"/>
  <c r="O135" i="30"/>
  <c r="O39" i="27"/>
  <c r="O137" i="30" s="1"/>
  <c r="F38" i="25"/>
  <c r="G25" i="24"/>
  <c r="H25" i="24"/>
  <c r="L45" i="30"/>
  <c r="L58" i="20"/>
  <c r="L47" i="30" s="1"/>
  <c r="M135" i="30"/>
  <c r="M39" i="27"/>
  <c r="M137" i="30" s="1"/>
  <c r="K45" i="30"/>
  <c r="K58" i="20"/>
  <c r="K47" i="30" s="1"/>
  <c r="J34" i="23"/>
  <c r="J92" i="30" s="1"/>
  <c r="J90" i="30"/>
  <c r="F28" i="22"/>
  <c r="K69" i="13"/>
  <c r="K17" i="30" s="1"/>
  <c r="K15" i="30"/>
  <c r="G39" i="27"/>
  <c r="E25" i="24"/>
  <c r="J28" i="22"/>
  <c r="J77" i="30" s="1"/>
  <c r="J75" i="30"/>
  <c r="I25" i="24"/>
  <c r="E28" i="22"/>
  <c r="H16" i="22"/>
  <c r="H18" i="22"/>
  <c r="H19" i="22" s="1"/>
  <c r="H22" i="22" s="1"/>
  <c r="H23" i="22" s="1"/>
  <c r="H17" i="22"/>
  <c r="J14" i="19"/>
  <c r="J15" i="19" s="1"/>
  <c r="J18" i="19" s="1"/>
  <c r="J13" i="19"/>
  <c r="J21" i="30" s="1"/>
  <c r="J12" i="19"/>
  <c r="J20" i="30" s="1"/>
  <c r="M46" i="20"/>
  <c r="M35" i="30" s="1"/>
  <c r="M47" i="20"/>
  <c r="M36" i="30" s="1"/>
  <c r="M48" i="20"/>
  <c r="I14" i="21"/>
  <c r="I51" i="30" s="1"/>
  <c r="I13" i="21"/>
  <c r="I50" i="30" s="1"/>
  <c r="I15" i="21"/>
  <c r="L12" i="19"/>
  <c r="L20" i="30" s="1"/>
  <c r="L14" i="19"/>
  <c r="L22" i="30" s="1"/>
  <c r="L13" i="19"/>
  <c r="L21" i="30" s="1"/>
  <c r="I16" i="22"/>
  <c r="I18" i="22"/>
  <c r="I19" i="22" s="1"/>
  <c r="I22" i="22" s="1"/>
  <c r="I23" i="22" s="1"/>
  <c r="I17" i="22"/>
  <c r="K135" i="30"/>
  <c r="K39" i="27"/>
  <c r="K137" i="30" s="1"/>
  <c r="L25" i="21"/>
  <c r="L62" i="30" s="1"/>
  <c r="L60" i="30"/>
  <c r="N28" i="22"/>
  <c r="N77" i="30" s="1"/>
  <c r="N75" i="30"/>
  <c r="N69" i="13"/>
  <c r="N17" i="30" s="1"/>
  <c r="N15" i="30"/>
  <c r="M75" i="30"/>
  <c r="M28" i="22"/>
  <c r="M77" i="30" s="1"/>
  <c r="E39" i="27"/>
  <c r="G38" i="25"/>
  <c r="O45" i="30"/>
  <c r="O58" i="20"/>
  <c r="O47" i="30" s="1"/>
  <c r="J24" i="19"/>
  <c r="J32" i="30" s="1"/>
  <c r="J30" i="30"/>
  <c r="O15" i="30"/>
  <c r="O69" i="13"/>
  <c r="O17" i="30" s="1"/>
  <c r="N135" i="30"/>
  <c r="N39" i="27"/>
  <c r="N137" i="30" s="1"/>
  <c r="J38" i="25"/>
  <c r="J122" i="30" s="1"/>
  <c r="J120" i="30"/>
  <c r="O28" i="22"/>
  <c r="O77" i="30" s="1"/>
  <c r="O75" i="30"/>
  <c r="K75" i="30"/>
  <c r="K28" i="22"/>
  <c r="K77" i="30" s="1"/>
  <c r="N30" i="30"/>
  <c r="N24" i="19"/>
  <c r="N32" i="30" s="1"/>
  <c r="I39" i="27"/>
  <c r="K25" i="21"/>
  <c r="K62" i="30" s="1"/>
  <c r="K60" i="30"/>
  <c r="G58" i="20"/>
  <c r="O24" i="19"/>
  <c r="O32" i="30" s="1"/>
  <c r="O30" i="30"/>
  <c r="O25" i="24"/>
  <c r="O107" i="30" s="1"/>
  <c r="O105" i="30"/>
  <c r="K22" i="30"/>
  <c r="M7" i="30"/>
  <c r="J48" i="20"/>
  <c r="K15" i="21"/>
  <c r="K52" i="30" s="1"/>
  <c r="J22" i="30"/>
  <c r="N6" i="30"/>
  <c r="O36" i="30"/>
  <c r="N14" i="19"/>
  <c r="N22" i="30" s="1"/>
  <c r="L56" i="30"/>
  <c r="L59" i="13"/>
  <c r="L7" i="30" s="1"/>
  <c r="M67" i="30"/>
  <c r="L52" i="30"/>
  <c r="L53" i="30"/>
  <c r="L15" i="19"/>
  <c r="M29" i="25"/>
  <c r="M112" i="30"/>
  <c r="K16" i="24"/>
  <c r="K97" i="30"/>
  <c r="J23" i="30"/>
  <c r="N19" i="22"/>
  <c r="N67" i="30"/>
  <c r="K29" i="25"/>
  <c r="K112" i="30"/>
  <c r="K19" i="22"/>
  <c r="K67" i="30"/>
  <c r="N16" i="21"/>
  <c r="N52" i="30"/>
  <c r="M68" i="30"/>
  <c r="M22" i="22"/>
  <c r="O28" i="25"/>
  <c r="O18" i="22"/>
  <c r="L28" i="25"/>
  <c r="N28" i="25"/>
  <c r="K23" i="30"/>
  <c r="K18" i="19"/>
  <c r="L15" i="24"/>
  <c r="J112" i="30"/>
  <c r="J29" i="25"/>
  <c r="M15" i="19"/>
  <c r="M22" i="30"/>
  <c r="L37" i="30"/>
  <c r="O29" i="27"/>
  <c r="O127" i="30" s="1"/>
  <c r="L29" i="27"/>
  <c r="L30" i="27" s="1"/>
  <c r="M127" i="30"/>
  <c r="M30" i="27"/>
  <c r="M23" i="28"/>
  <c r="M142" i="30"/>
  <c r="J127" i="30"/>
  <c r="J30" i="27"/>
  <c r="J23" i="28"/>
  <c r="J142" i="30"/>
  <c r="K127" i="30"/>
  <c r="K30" i="27"/>
  <c r="N29" i="27"/>
  <c r="O31" i="28"/>
  <c r="O151" i="30" s="1"/>
  <c r="N31" i="28"/>
  <c r="N151" i="30" s="1"/>
  <c r="L31" i="28"/>
  <c r="L151" i="30" s="1"/>
  <c r="K31" i="28"/>
  <c r="K151" i="30" s="1"/>
  <c r="I31" i="28"/>
  <c r="H31" i="28"/>
  <c r="G31" i="28"/>
  <c r="F31" i="28"/>
  <c r="E31" i="28"/>
  <c r="D31" i="28"/>
  <c r="C31" i="28"/>
  <c r="O25" i="28"/>
  <c r="O145" i="30" s="1"/>
  <c r="N25" i="28"/>
  <c r="N145" i="30" s="1"/>
  <c r="L25" i="28"/>
  <c r="L145" i="30" s="1"/>
  <c r="K25" i="28"/>
  <c r="K145" i="30" s="1"/>
  <c r="I25" i="28"/>
  <c r="H25" i="28"/>
  <c r="G25" i="28"/>
  <c r="F25" i="28"/>
  <c r="E25" i="28"/>
  <c r="D25" i="28"/>
  <c r="C25" i="28"/>
  <c r="C38" i="27"/>
  <c r="C32" i="27"/>
  <c r="D37" i="25"/>
  <c r="C37" i="25"/>
  <c r="D31" i="25"/>
  <c r="C31" i="25"/>
  <c r="D24" i="24"/>
  <c r="C24" i="24"/>
  <c r="D18" i="24"/>
  <c r="C18" i="24"/>
  <c r="I33" i="23"/>
  <c r="H33" i="23"/>
  <c r="G33" i="23"/>
  <c r="F33" i="23"/>
  <c r="E33" i="23"/>
  <c r="D33" i="23"/>
  <c r="C33" i="23"/>
  <c r="I27" i="23"/>
  <c r="H27" i="23"/>
  <c r="G27" i="23"/>
  <c r="F27" i="23"/>
  <c r="E27" i="23"/>
  <c r="D27" i="23"/>
  <c r="C27" i="23"/>
  <c r="D27" i="22"/>
  <c r="C27" i="22"/>
  <c r="D21" i="22"/>
  <c r="C21" i="22"/>
  <c r="H24" i="21"/>
  <c r="G24" i="21"/>
  <c r="F24" i="21"/>
  <c r="E24" i="21"/>
  <c r="D24" i="21"/>
  <c r="C24" i="21"/>
  <c r="H18" i="21"/>
  <c r="G18" i="21"/>
  <c r="F18" i="21"/>
  <c r="E18" i="21"/>
  <c r="D18" i="21"/>
  <c r="C18" i="21"/>
  <c r="F57" i="20"/>
  <c r="E57" i="20"/>
  <c r="D57" i="20"/>
  <c r="C57" i="20"/>
  <c r="F51" i="20"/>
  <c r="E51" i="20"/>
  <c r="D51" i="20"/>
  <c r="C51" i="20"/>
  <c r="I23" i="19"/>
  <c r="H23" i="19"/>
  <c r="G23" i="19"/>
  <c r="F23" i="19"/>
  <c r="E23" i="19"/>
  <c r="D23" i="19"/>
  <c r="C23" i="19"/>
  <c r="I17" i="19"/>
  <c r="H17" i="19"/>
  <c r="G17" i="19"/>
  <c r="F17" i="19"/>
  <c r="E17" i="19"/>
  <c r="D17" i="19"/>
  <c r="C17" i="19"/>
  <c r="I68" i="13"/>
  <c r="H68" i="13"/>
  <c r="G68" i="13"/>
  <c r="F68" i="13"/>
  <c r="E68" i="13"/>
  <c r="D68" i="13"/>
  <c r="C68" i="13"/>
  <c r="I62" i="13"/>
  <c r="H62" i="13"/>
  <c r="G62" i="13"/>
  <c r="F62" i="13"/>
  <c r="E62" i="13"/>
  <c r="D62" i="13"/>
  <c r="C62" i="13"/>
  <c r="I30" i="27" l="1"/>
  <c r="I33" i="27" s="1"/>
  <c r="I34" i="27" s="1"/>
  <c r="O14" i="19"/>
  <c r="O49" i="20"/>
  <c r="N60" i="13"/>
  <c r="L49" i="20"/>
  <c r="J8" i="30"/>
  <c r="K7" i="30"/>
  <c r="N7" i="30"/>
  <c r="O59" i="13"/>
  <c r="O7" i="30" s="1"/>
  <c r="O37" i="30"/>
  <c r="J7" i="30"/>
  <c r="I16" i="24"/>
  <c r="I19" i="24" s="1"/>
  <c r="I20" i="24" s="1"/>
  <c r="J16" i="21"/>
  <c r="J52" i="30"/>
  <c r="K49" i="20"/>
  <c r="K37" i="30"/>
  <c r="O82" i="30"/>
  <c r="O25" i="23"/>
  <c r="N25" i="23"/>
  <c r="N82" i="30"/>
  <c r="J67" i="30"/>
  <c r="J19" i="22"/>
  <c r="N16" i="24"/>
  <c r="N97" i="30"/>
  <c r="J16" i="24"/>
  <c r="J97" i="30"/>
  <c r="M16" i="21"/>
  <c r="M52" i="30"/>
  <c r="N48" i="20"/>
  <c r="M37" i="30"/>
  <c r="M49" i="20"/>
  <c r="M16" i="24"/>
  <c r="M97" i="30"/>
  <c r="O16" i="21"/>
  <c r="O52" i="30"/>
  <c r="M25" i="23"/>
  <c r="M82" i="30"/>
  <c r="M63" i="13"/>
  <c r="M64" i="13" s="1"/>
  <c r="M12" i="30" s="1"/>
  <c r="I52" i="30"/>
  <c r="I16" i="21"/>
  <c r="K25" i="23"/>
  <c r="K82" i="30"/>
  <c r="J25" i="23"/>
  <c r="J82" i="30"/>
  <c r="L19" i="22"/>
  <c r="L67" i="30"/>
  <c r="O16" i="24"/>
  <c r="O97" i="30"/>
  <c r="I29" i="25"/>
  <c r="I32" i="25" s="1"/>
  <c r="I33" i="25" s="1"/>
  <c r="L25" i="23"/>
  <c r="L82" i="30"/>
  <c r="J49" i="20"/>
  <c r="J37" i="30"/>
  <c r="K16" i="21"/>
  <c r="K19" i="21" s="1"/>
  <c r="N15" i="19"/>
  <c r="N18" i="19" s="1"/>
  <c r="L60" i="13"/>
  <c r="O60" i="13"/>
  <c r="J113" i="30"/>
  <c r="J32" i="25"/>
  <c r="O29" i="25"/>
  <c r="O112" i="30"/>
  <c r="N19" i="21"/>
  <c r="N53" i="30"/>
  <c r="K113" i="30"/>
  <c r="K32" i="25"/>
  <c r="N29" i="25"/>
  <c r="N112" i="30"/>
  <c r="M23" i="22"/>
  <c r="M72" i="30" s="1"/>
  <c r="M71" i="30"/>
  <c r="K98" i="30"/>
  <c r="K19" i="24"/>
  <c r="L23" i="30"/>
  <c r="L18" i="19"/>
  <c r="L97" i="30"/>
  <c r="L16" i="24"/>
  <c r="L112" i="30"/>
  <c r="L29" i="25"/>
  <c r="K22" i="22"/>
  <c r="K68" i="30"/>
  <c r="N22" i="22"/>
  <c r="N68" i="30"/>
  <c r="K63" i="13"/>
  <c r="K8" i="30"/>
  <c r="K19" i="19"/>
  <c r="K27" i="30" s="1"/>
  <c r="K26" i="30"/>
  <c r="O19" i="22"/>
  <c r="O67" i="30"/>
  <c r="J19" i="19"/>
  <c r="J27" i="30" s="1"/>
  <c r="J26" i="30"/>
  <c r="M32" i="25"/>
  <c r="M113" i="30"/>
  <c r="N23" i="30"/>
  <c r="M23" i="30"/>
  <c r="M18" i="19"/>
  <c r="L52" i="20"/>
  <c r="L38" i="30"/>
  <c r="J64" i="13"/>
  <c r="J12" i="30" s="1"/>
  <c r="J11" i="30"/>
  <c r="O30" i="27"/>
  <c r="O128" i="30" s="1"/>
  <c r="L127" i="30"/>
  <c r="M26" i="28"/>
  <c r="M143" i="30"/>
  <c r="K128" i="30"/>
  <c r="K33" i="27"/>
  <c r="J128" i="30"/>
  <c r="J33" i="27"/>
  <c r="L128" i="30"/>
  <c r="L33" i="27"/>
  <c r="M128" i="30"/>
  <c r="M33" i="27"/>
  <c r="N127" i="30"/>
  <c r="N30" i="27"/>
  <c r="J26" i="28"/>
  <c r="J143" i="30"/>
  <c r="P2" i="1"/>
  <c r="O2" i="1"/>
  <c r="L2" i="1"/>
  <c r="L3" i="1"/>
  <c r="L4" i="1"/>
  <c r="L5" i="1"/>
  <c r="L6" i="1"/>
  <c r="L7" i="1"/>
  <c r="L8" i="1"/>
  <c r="L9" i="1"/>
  <c r="L10" i="1"/>
  <c r="L11" i="1"/>
  <c r="L12" i="1"/>
  <c r="L13" i="1"/>
  <c r="L14" i="1"/>
  <c r="L15" i="1"/>
  <c r="L16" i="1"/>
  <c r="L17" i="1"/>
  <c r="L18" i="1"/>
  <c r="L19" i="1"/>
  <c r="L20" i="1"/>
  <c r="L21" i="1"/>
  <c r="L22" i="1"/>
  <c r="L23" i="1"/>
  <c r="L24" i="1"/>
  <c r="L25" i="1"/>
  <c r="L26" i="1"/>
  <c r="L27" i="1"/>
  <c r="L28" i="1"/>
  <c r="L29" i="1"/>
  <c r="L30" i="1"/>
  <c r="L31" i="1"/>
  <c r="L32" i="1"/>
  <c r="L33" i="1"/>
  <c r="L34" i="1"/>
  <c r="L35" i="1"/>
  <c r="L36" i="1"/>
  <c r="L37" i="1"/>
  <c r="L38" i="1"/>
  <c r="L39" i="1"/>
  <c r="L40" i="1"/>
  <c r="L41" i="1"/>
  <c r="L42" i="1"/>
  <c r="L43" i="1"/>
  <c r="L44" i="1"/>
  <c r="L45" i="1"/>
  <c r="L46" i="1"/>
  <c r="L47" i="1"/>
  <c r="L48" i="1"/>
  <c r="L49" i="1"/>
  <c r="L50" i="1"/>
  <c r="L51" i="1"/>
  <c r="L52" i="1"/>
  <c r="L53" i="1"/>
  <c r="L54" i="1"/>
  <c r="L55" i="1"/>
  <c r="L56" i="1"/>
  <c r="L57" i="1"/>
  <c r="L58" i="1"/>
  <c r="L59" i="1"/>
  <c r="L60" i="1"/>
  <c r="L61" i="1"/>
  <c r="L62" i="1"/>
  <c r="L63" i="1"/>
  <c r="L64" i="1"/>
  <c r="L65" i="1"/>
  <c r="L66" i="1"/>
  <c r="L67" i="1"/>
  <c r="L68" i="1"/>
  <c r="L69" i="1"/>
  <c r="L70" i="1"/>
  <c r="L71" i="1"/>
  <c r="L72" i="1"/>
  <c r="L73" i="1"/>
  <c r="L74" i="1"/>
  <c r="L75" i="1"/>
  <c r="L76" i="1"/>
  <c r="L77" i="1"/>
  <c r="L78" i="1"/>
  <c r="L79" i="1"/>
  <c r="L80" i="1"/>
  <c r="L81" i="1"/>
  <c r="L82" i="1"/>
  <c r="L83" i="1"/>
  <c r="L84" i="1"/>
  <c r="L85" i="1"/>
  <c r="L86" i="1"/>
  <c r="L87" i="1"/>
  <c r="L88" i="1"/>
  <c r="L89" i="1"/>
  <c r="L90" i="1"/>
  <c r="L91" i="1"/>
  <c r="L92" i="1"/>
  <c r="L93" i="1"/>
  <c r="L94" i="1"/>
  <c r="L95" i="1"/>
  <c r="L96" i="1"/>
  <c r="L97" i="1"/>
  <c r="L98" i="1"/>
  <c r="L99" i="1"/>
  <c r="L100" i="1"/>
  <c r="L101" i="1"/>
  <c r="L102" i="1"/>
  <c r="L103" i="1"/>
  <c r="L104" i="1"/>
  <c r="L105" i="1"/>
  <c r="L106" i="1"/>
  <c r="L107" i="1"/>
  <c r="L108" i="1"/>
  <c r="L109" i="1"/>
  <c r="L110" i="1"/>
  <c r="L111" i="1"/>
  <c r="L112" i="1"/>
  <c r="L113" i="1"/>
  <c r="L114" i="1"/>
  <c r="L115" i="1"/>
  <c r="L116" i="1"/>
  <c r="L117" i="1"/>
  <c r="L118" i="1"/>
  <c r="L119" i="1"/>
  <c r="L120" i="1"/>
  <c r="L121" i="1"/>
  <c r="L122" i="1"/>
  <c r="L123" i="1"/>
  <c r="L124" i="1"/>
  <c r="L125" i="1"/>
  <c r="L126" i="1"/>
  <c r="L127" i="1"/>
  <c r="L128" i="1"/>
  <c r="L129" i="1"/>
  <c r="L130" i="1"/>
  <c r="L131" i="1"/>
  <c r="L132" i="1"/>
  <c r="L133" i="1"/>
  <c r="L134" i="1"/>
  <c r="L135" i="1"/>
  <c r="L136" i="1"/>
  <c r="L137" i="1"/>
  <c r="L138" i="1"/>
  <c r="L139" i="1"/>
  <c r="L140" i="1"/>
  <c r="L141" i="1"/>
  <c r="L142" i="1"/>
  <c r="L143" i="1"/>
  <c r="L144" i="1"/>
  <c r="L145" i="1"/>
  <c r="L146" i="1"/>
  <c r="L147" i="1"/>
  <c r="L148" i="1"/>
  <c r="L149" i="1"/>
  <c r="L150" i="1"/>
  <c r="L151" i="1"/>
  <c r="L152" i="1"/>
  <c r="L153" i="1"/>
  <c r="L154" i="1"/>
  <c r="L155" i="1"/>
  <c r="L156" i="1"/>
  <c r="L157" i="1"/>
  <c r="L158" i="1"/>
  <c r="L159" i="1"/>
  <c r="L160" i="1"/>
  <c r="L161" i="1"/>
  <c r="L162" i="1"/>
  <c r="L163" i="1"/>
  <c r="L164" i="1"/>
  <c r="L165" i="1"/>
  <c r="L166" i="1"/>
  <c r="L167" i="1"/>
  <c r="L168" i="1"/>
  <c r="L169" i="1"/>
  <c r="L170" i="1"/>
  <c r="L171" i="1"/>
  <c r="L172" i="1"/>
  <c r="L173" i="1"/>
  <c r="L174" i="1"/>
  <c r="L175" i="1"/>
  <c r="L176" i="1"/>
  <c r="L177" i="1"/>
  <c r="L178" i="1"/>
  <c r="L179" i="1"/>
  <c r="L180" i="1"/>
  <c r="L181" i="1"/>
  <c r="L182" i="1"/>
  <c r="L183" i="1"/>
  <c r="L184" i="1"/>
  <c r="L185" i="1"/>
  <c r="L186" i="1"/>
  <c r="L187" i="1"/>
  <c r="L188" i="1"/>
  <c r="L189" i="1"/>
  <c r="L190" i="1"/>
  <c r="L191" i="1"/>
  <c r="L192" i="1"/>
  <c r="L193" i="1"/>
  <c r="L194" i="1"/>
  <c r="L195" i="1"/>
  <c r="L196" i="1"/>
  <c r="L197" i="1"/>
  <c r="L198" i="1"/>
  <c r="L199" i="1"/>
  <c r="L200" i="1"/>
  <c r="L201" i="1"/>
  <c r="L202" i="1"/>
  <c r="L203" i="1"/>
  <c r="L204" i="1"/>
  <c r="L205" i="1"/>
  <c r="L206" i="1"/>
  <c r="L207" i="1"/>
  <c r="L208" i="1"/>
  <c r="L209" i="1"/>
  <c r="L210" i="1"/>
  <c r="L211" i="1"/>
  <c r="L212" i="1"/>
  <c r="L213" i="1"/>
  <c r="L214" i="1"/>
  <c r="L215" i="1"/>
  <c r="L216" i="1"/>
  <c r="L217" i="1"/>
  <c r="L218" i="1"/>
  <c r="L219" i="1"/>
  <c r="L220" i="1"/>
  <c r="L221" i="1"/>
  <c r="L222" i="1"/>
  <c r="L223" i="1"/>
  <c r="L224" i="1"/>
  <c r="L225" i="1"/>
  <c r="L226" i="1"/>
  <c r="L227" i="1"/>
  <c r="L228" i="1"/>
  <c r="L229" i="1"/>
  <c r="L230" i="1"/>
  <c r="L231" i="1"/>
  <c r="L232" i="1"/>
  <c r="L233" i="1"/>
  <c r="L234" i="1"/>
  <c r="L235" i="1"/>
  <c r="L236" i="1"/>
  <c r="L237" i="1"/>
  <c r="L238" i="1"/>
  <c r="L239" i="1"/>
  <c r="L240" i="1"/>
  <c r="L241" i="1"/>
  <c r="L242" i="1"/>
  <c r="L243" i="1"/>
  <c r="L244" i="1"/>
  <c r="L245" i="1"/>
  <c r="L246" i="1"/>
  <c r="L247" i="1"/>
  <c r="L248" i="1"/>
  <c r="L249" i="1"/>
  <c r="L250" i="1"/>
  <c r="L251" i="1"/>
  <c r="L252" i="1"/>
  <c r="L253" i="1"/>
  <c r="L254" i="1"/>
  <c r="L255" i="1"/>
  <c r="L256" i="1"/>
  <c r="L257" i="1"/>
  <c r="L258" i="1"/>
  <c r="L259" i="1"/>
  <c r="L260" i="1"/>
  <c r="L261" i="1"/>
  <c r="L262" i="1"/>
  <c r="L263" i="1"/>
  <c r="L264" i="1"/>
  <c r="L265" i="1"/>
  <c r="L266" i="1"/>
  <c r="L267" i="1"/>
  <c r="L268" i="1"/>
  <c r="L269" i="1"/>
  <c r="L270" i="1"/>
  <c r="L271" i="1"/>
  <c r="L272" i="1"/>
  <c r="L273" i="1"/>
  <c r="L274" i="1"/>
  <c r="L275" i="1"/>
  <c r="L276" i="1"/>
  <c r="L277" i="1"/>
  <c r="L278" i="1"/>
  <c r="L279" i="1"/>
  <c r="L280" i="1"/>
  <c r="L281" i="1"/>
  <c r="L282" i="1"/>
  <c r="L283" i="1"/>
  <c r="L284" i="1"/>
  <c r="L285" i="1"/>
  <c r="L286" i="1"/>
  <c r="L287" i="1"/>
  <c r="L288" i="1"/>
  <c r="L289" i="1"/>
  <c r="L290" i="1"/>
  <c r="L291" i="1"/>
  <c r="L292" i="1"/>
  <c r="L293" i="1"/>
  <c r="L294" i="1"/>
  <c r="L295" i="1"/>
  <c r="L296" i="1"/>
  <c r="L297" i="1"/>
  <c r="L298" i="1"/>
  <c r="L299" i="1"/>
  <c r="L300" i="1"/>
  <c r="L301" i="1"/>
  <c r="L302" i="1"/>
  <c r="L303" i="1"/>
  <c r="L304" i="1"/>
  <c r="L305" i="1"/>
  <c r="L306" i="1"/>
  <c r="L307" i="1"/>
  <c r="L308" i="1"/>
  <c r="L309" i="1"/>
  <c r="L310" i="1"/>
  <c r="L311" i="1"/>
  <c r="L312" i="1"/>
  <c r="L313" i="1"/>
  <c r="L314" i="1"/>
  <c r="L315" i="1"/>
  <c r="L316" i="1"/>
  <c r="L317" i="1"/>
  <c r="L318" i="1"/>
  <c r="L319" i="1"/>
  <c r="L320" i="1"/>
  <c r="L321" i="1"/>
  <c r="L322" i="1"/>
  <c r="L323" i="1"/>
  <c r="L324" i="1"/>
  <c r="L325" i="1"/>
  <c r="L326" i="1"/>
  <c r="L327" i="1"/>
  <c r="L328" i="1"/>
  <c r="L329" i="1"/>
  <c r="L330" i="1"/>
  <c r="L331" i="1"/>
  <c r="L332" i="1"/>
  <c r="L333" i="1"/>
  <c r="L334" i="1"/>
  <c r="L335" i="1"/>
  <c r="L336" i="1"/>
  <c r="L337" i="1"/>
  <c r="L338" i="1"/>
  <c r="L339" i="1"/>
  <c r="L340" i="1"/>
  <c r="L341" i="1"/>
  <c r="L342" i="1"/>
  <c r="L343" i="1"/>
  <c r="L344" i="1"/>
  <c r="L345" i="1"/>
  <c r="L346" i="1"/>
  <c r="L347" i="1"/>
  <c r="L348" i="1"/>
  <c r="L349" i="1"/>
  <c r="L350" i="1"/>
  <c r="L351" i="1"/>
  <c r="L352" i="1"/>
  <c r="L353" i="1"/>
  <c r="L354" i="1"/>
  <c r="L355" i="1"/>
  <c r="L356" i="1"/>
  <c r="L357" i="1"/>
  <c r="L358" i="1"/>
  <c r="L359" i="1"/>
  <c r="L360" i="1"/>
  <c r="L361" i="1"/>
  <c r="L362" i="1"/>
  <c r="L363" i="1"/>
  <c r="L364" i="1"/>
  <c r="L365" i="1"/>
  <c r="L366" i="1"/>
  <c r="L367" i="1"/>
  <c r="L368" i="1"/>
  <c r="L369" i="1"/>
  <c r="L370" i="1"/>
  <c r="L371" i="1"/>
  <c r="L372" i="1"/>
  <c r="L373" i="1"/>
  <c r="L374" i="1"/>
  <c r="L375" i="1"/>
  <c r="L376" i="1"/>
  <c r="L377" i="1"/>
  <c r="L378" i="1"/>
  <c r="L379" i="1"/>
  <c r="L380" i="1"/>
  <c r="L381" i="1"/>
  <c r="L382" i="1"/>
  <c r="L383" i="1"/>
  <c r="L384" i="1"/>
  <c r="L385" i="1"/>
  <c r="L386" i="1"/>
  <c r="L387" i="1"/>
  <c r="L388" i="1"/>
  <c r="L389" i="1"/>
  <c r="L390" i="1"/>
  <c r="L391" i="1"/>
  <c r="L392" i="1"/>
  <c r="L393" i="1"/>
  <c r="L394" i="1"/>
  <c r="L395" i="1"/>
  <c r="L396" i="1"/>
  <c r="L397" i="1"/>
  <c r="L398" i="1"/>
  <c r="L399" i="1"/>
  <c r="L400" i="1"/>
  <c r="L401" i="1"/>
  <c r="L402" i="1"/>
  <c r="L403" i="1"/>
  <c r="L404" i="1"/>
  <c r="L405" i="1"/>
  <c r="L406" i="1"/>
  <c r="L407" i="1"/>
  <c r="L408" i="1"/>
  <c r="L409" i="1"/>
  <c r="L410" i="1"/>
  <c r="L411" i="1"/>
  <c r="L412" i="1"/>
  <c r="L413" i="1"/>
  <c r="L414" i="1"/>
  <c r="L415" i="1"/>
  <c r="L416" i="1"/>
  <c r="L417" i="1"/>
  <c r="L418" i="1"/>
  <c r="L419" i="1"/>
  <c r="L420" i="1"/>
  <c r="L421" i="1"/>
  <c r="L422" i="1"/>
  <c r="L423" i="1"/>
  <c r="L424" i="1"/>
  <c r="L425" i="1"/>
  <c r="L426" i="1"/>
  <c r="L427" i="1"/>
  <c r="L428" i="1"/>
  <c r="L429" i="1"/>
  <c r="L430" i="1"/>
  <c r="L431" i="1"/>
  <c r="L432" i="1"/>
  <c r="L433" i="1"/>
  <c r="L434" i="1"/>
  <c r="L435" i="1"/>
  <c r="L436" i="1"/>
  <c r="L437" i="1"/>
  <c r="L438" i="1"/>
  <c r="L439" i="1"/>
  <c r="L440" i="1"/>
  <c r="L441" i="1"/>
  <c r="L442" i="1"/>
  <c r="L443" i="1"/>
  <c r="L444" i="1"/>
  <c r="L445" i="1"/>
  <c r="L446" i="1"/>
  <c r="L447" i="1"/>
  <c r="L448" i="1"/>
  <c r="L449" i="1"/>
  <c r="L450" i="1"/>
  <c r="L451" i="1"/>
  <c r="L452" i="1"/>
  <c r="L453" i="1"/>
  <c r="L454" i="1"/>
  <c r="L455" i="1"/>
  <c r="L456" i="1"/>
  <c r="L457" i="1"/>
  <c r="L458" i="1"/>
  <c r="L459" i="1"/>
  <c r="L460" i="1"/>
  <c r="L461" i="1"/>
  <c r="L462" i="1"/>
  <c r="L463" i="1"/>
  <c r="L464" i="1"/>
  <c r="L465" i="1"/>
  <c r="L466" i="1"/>
  <c r="L467" i="1"/>
  <c r="L468" i="1"/>
  <c r="L469" i="1"/>
  <c r="L470" i="1"/>
  <c r="L471" i="1"/>
  <c r="L472" i="1"/>
  <c r="L473" i="1"/>
  <c r="L474" i="1"/>
  <c r="L475" i="1"/>
  <c r="L476" i="1"/>
  <c r="L477" i="1"/>
  <c r="L478" i="1"/>
  <c r="L479" i="1"/>
  <c r="L480" i="1"/>
  <c r="L481" i="1"/>
  <c r="L482" i="1"/>
  <c r="L483" i="1"/>
  <c r="L484" i="1"/>
  <c r="L485" i="1"/>
  <c r="L486" i="1"/>
  <c r="L487" i="1"/>
  <c r="L488" i="1"/>
  <c r="L489" i="1"/>
  <c r="L490" i="1"/>
  <c r="L491" i="1"/>
  <c r="L492" i="1"/>
  <c r="L493" i="1"/>
  <c r="L494" i="1"/>
  <c r="L495" i="1"/>
  <c r="L496" i="1"/>
  <c r="L497" i="1"/>
  <c r="L498" i="1"/>
  <c r="L499" i="1"/>
  <c r="L500" i="1"/>
  <c r="L501" i="1"/>
  <c r="L502" i="1"/>
  <c r="L503" i="1"/>
  <c r="L504" i="1"/>
  <c r="L505" i="1"/>
  <c r="L506" i="1"/>
  <c r="L507" i="1"/>
  <c r="L508" i="1"/>
  <c r="L509" i="1"/>
  <c r="L510" i="1"/>
  <c r="L511" i="1"/>
  <c r="L514" i="1"/>
  <c r="L515" i="1"/>
  <c r="L513" i="1"/>
  <c r="L512" i="1"/>
  <c r="L517" i="1"/>
  <c r="L516" i="1"/>
  <c r="L518" i="1"/>
  <c r="L520" i="1"/>
  <c r="L521" i="1"/>
  <c r="L522" i="1"/>
  <c r="L519" i="1"/>
  <c r="L525" i="1"/>
  <c r="L523" i="1"/>
  <c r="L524" i="1"/>
  <c r="L527" i="1"/>
  <c r="L526" i="1"/>
  <c r="L528" i="1"/>
  <c r="L530" i="1"/>
  <c r="L529" i="1"/>
  <c r="L531" i="1"/>
  <c r="L533" i="1"/>
  <c r="L532" i="1"/>
  <c r="L537" i="1"/>
  <c r="L538" i="1"/>
  <c r="L534" i="1"/>
  <c r="L535" i="1"/>
  <c r="L536" i="1"/>
  <c r="L542" i="1"/>
  <c r="L541" i="1"/>
  <c r="L539" i="1"/>
  <c r="L540" i="1"/>
  <c r="L544" i="1"/>
  <c r="L543" i="1"/>
  <c r="L545" i="1"/>
  <c r="L547" i="1"/>
  <c r="L546" i="1"/>
  <c r="L550" i="1"/>
  <c r="L548" i="1"/>
  <c r="L549" i="1"/>
  <c r="L552" i="1"/>
  <c r="L551" i="1"/>
  <c r="L553" i="1"/>
  <c r="L555" i="1"/>
  <c r="L554" i="1"/>
  <c r="L556" i="1"/>
  <c r="L557" i="1"/>
  <c r="L558" i="1"/>
  <c r="L559" i="1"/>
  <c r="L560" i="1"/>
  <c r="L561" i="1"/>
  <c r="L563" i="1"/>
  <c r="L562" i="1"/>
  <c r="L564" i="1"/>
  <c r="L565" i="1"/>
  <c r="L567" i="1"/>
  <c r="L566" i="1"/>
  <c r="L569" i="1"/>
  <c r="L568" i="1"/>
  <c r="L571" i="1"/>
  <c r="L570" i="1"/>
  <c r="L574" i="1"/>
  <c r="L572" i="1"/>
  <c r="L573" i="1"/>
  <c r="L575" i="1"/>
  <c r="L576" i="1"/>
  <c r="L579" i="1"/>
  <c r="L577" i="1"/>
  <c r="L581" i="1"/>
  <c r="L578" i="1"/>
  <c r="L580" i="1"/>
  <c r="L582" i="1"/>
  <c r="L583" i="1"/>
  <c r="L586" i="1"/>
  <c r="L585" i="1"/>
  <c r="L584" i="1"/>
  <c r="L590" i="1"/>
  <c r="L588" i="1"/>
  <c r="L589" i="1"/>
  <c r="L587" i="1"/>
  <c r="L592" i="1"/>
  <c r="L591" i="1"/>
  <c r="L593" i="1"/>
  <c r="L597" i="1"/>
  <c r="L596" i="1"/>
  <c r="L594" i="1"/>
  <c r="L595" i="1"/>
  <c r="L598" i="1"/>
  <c r="L605" i="1"/>
  <c r="L603" i="1"/>
  <c r="L599" i="1"/>
  <c r="L602" i="1"/>
  <c r="L606" i="1"/>
  <c r="L604" i="1"/>
  <c r="L601" i="1"/>
  <c r="L600" i="1"/>
  <c r="L611" i="1"/>
  <c r="L608" i="1"/>
  <c r="L607" i="1"/>
  <c r="L609" i="1"/>
  <c r="L610" i="1"/>
  <c r="L614" i="1"/>
  <c r="L613" i="1"/>
  <c r="L615" i="1"/>
  <c r="L612" i="1"/>
  <c r="L663" i="1"/>
  <c r="L664" i="1"/>
  <c r="L665" i="1"/>
  <c r="L666" i="1"/>
  <c r="L667" i="1"/>
  <c r="L668" i="1"/>
  <c r="L669" i="1"/>
  <c r="L670" i="1"/>
  <c r="L671" i="1"/>
  <c r="L672" i="1"/>
  <c r="L673" i="1"/>
  <c r="L674" i="1"/>
  <c r="L675" i="1"/>
  <c r="L676" i="1"/>
  <c r="L677" i="1"/>
  <c r="L678" i="1"/>
  <c r="L679" i="1"/>
  <c r="L680" i="1"/>
  <c r="L681" i="1"/>
  <c r="L682" i="1"/>
  <c r="L683" i="1"/>
  <c r="L684" i="1"/>
  <c r="L685" i="1"/>
  <c r="L686" i="1"/>
  <c r="L687" i="1"/>
  <c r="L688" i="1"/>
  <c r="L689" i="1"/>
  <c r="L690" i="1"/>
  <c r="L691" i="1"/>
  <c r="L692" i="1"/>
  <c r="L693" i="1"/>
  <c r="L694" i="1"/>
  <c r="L695" i="1"/>
  <c r="L696" i="1"/>
  <c r="L697" i="1"/>
  <c r="L698" i="1"/>
  <c r="L699" i="1"/>
  <c r="L700" i="1"/>
  <c r="L701" i="1"/>
  <c r="L702" i="1"/>
  <c r="L703" i="1"/>
  <c r="L704" i="1"/>
  <c r="L705" i="1"/>
  <c r="L706" i="1"/>
  <c r="L728" i="1"/>
  <c r="L729" i="1"/>
  <c r="L730" i="1"/>
  <c r="L731" i="1"/>
  <c r="L732" i="1"/>
  <c r="L733" i="1"/>
  <c r="L734" i="1"/>
  <c r="L735" i="1"/>
  <c r="L736" i="1"/>
  <c r="L737" i="1"/>
  <c r="L738" i="1"/>
  <c r="L739" i="1"/>
  <c r="L740" i="1"/>
  <c r="L741" i="1"/>
  <c r="L742" i="1"/>
  <c r="L743" i="1"/>
  <c r="L744" i="1"/>
  <c r="L745" i="1"/>
  <c r="L746" i="1"/>
  <c r="L747" i="1"/>
  <c r="L748" i="1"/>
  <c r="L749" i="1"/>
  <c r="L750" i="1"/>
  <c r="L751" i="1"/>
  <c r="L752" i="1"/>
  <c r="L753" i="1"/>
  <c r="L754" i="1"/>
  <c r="L755" i="1"/>
  <c r="L756" i="1"/>
  <c r="L757" i="1"/>
  <c r="L758" i="1"/>
  <c r="L759" i="1"/>
  <c r="L760" i="1"/>
  <c r="L761" i="1"/>
  <c r="L762" i="1"/>
  <c r="L774" i="1"/>
  <c r="L775" i="1"/>
  <c r="L776" i="1"/>
  <c r="L777" i="1"/>
  <c r="L778" i="1"/>
  <c r="L779" i="1"/>
  <c r="L780" i="1"/>
  <c r="L781" i="1"/>
  <c r="L782" i="1"/>
  <c r="L783" i="1"/>
  <c r="L784" i="1"/>
  <c r="L785" i="1"/>
  <c r="L786" i="1"/>
  <c r="L787" i="1"/>
  <c r="L788" i="1"/>
  <c r="L789" i="1"/>
  <c r="L790" i="1"/>
  <c r="L791" i="1"/>
  <c r="L792" i="1"/>
  <c r="L793" i="1"/>
  <c r="L794" i="1"/>
  <c r="L795" i="1"/>
  <c r="L796" i="1"/>
  <c r="L797" i="1"/>
  <c r="L798" i="1"/>
  <c r="L799" i="1"/>
  <c r="L800" i="1"/>
  <c r="L801" i="1"/>
  <c r="L802" i="1"/>
  <c r="L803" i="1"/>
  <c r="L804" i="1"/>
  <c r="L805" i="1"/>
  <c r="L806" i="1"/>
  <c r="L807" i="1"/>
  <c r="L808" i="1"/>
  <c r="L809" i="1"/>
  <c r="L810" i="1"/>
  <c r="L811" i="1"/>
  <c r="L824" i="1"/>
  <c r="L825" i="1"/>
  <c r="L826" i="1"/>
  <c r="L827" i="1"/>
  <c r="L828" i="1"/>
  <c r="L829" i="1"/>
  <c r="L830" i="1"/>
  <c r="L831" i="1"/>
  <c r="L832" i="1"/>
  <c r="L833" i="1"/>
  <c r="L834" i="1"/>
  <c r="L835" i="1"/>
  <c r="L836" i="1"/>
  <c r="L837" i="1"/>
  <c r="L838" i="1"/>
  <c r="L839" i="1"/>
  <c r="L840" i="1"/>
  <c r="L841" i="1"/>
  <c r="L842" i="1"/>
  <c r="L843" i="1"/>
  <c r="L844" i="1"/>
  <c r="L845" i="1"/>
  <c r="L846" i="1"/>
  <c r="L847" i="1"/>
  <c r="L848" i="1"/>
  <c r="L849" i="1"/>
  <c r="L850" i="1"/>
  <c r="L851" i="1"/>
  <c r="L852" i="1"/>
  <c r="L853" i="1"/>
  <c r="L854" i="1"/>
  <c r="L855" i="1"/>
  <c r="L856" i="1"/>
  <c r="L857" i="1"/>
  <c r="L858" i="1"/>
  <c r="L859" i="1"/>
  <c r="L860" i="1"/>
  <c r="L861" i="1"/>
  <c r="L862" i="1"/>
  <c r="L863" i="1"/>
  <c r="L864" i="1"/>
  <c r="L865" i="1"/>
  <c r="L866" i="1"/>
  <c r="L867" i="1"/>
  <c r="L868" i="1"/>
  <c r="L869" i="1"/>
  <c r="L870" i="1"/>
  <c r="L871" i="1"/>
  <c r="L872" i="1"/>
  <c r="L873" i="1"/>
  <c r="L874" i="1"/>
  <c r="L875" i="1"/>
  <c r="L876" i="1"/>
  <c r="L877" i="1"/>
  <c r="L878" i="1"/>
  <c r="L879" i="1"/>
  <c r="L880" i="1"/>
  <c r="L881" i="1"/>
  <c r="L882" i="1"/>
  <c r="L883" i="1"/>
  <c r="L884" i="1"/>
  <c r="L885" i="1"/>
  <c r="L886" i="1"/>
  <c r="L887" i="1"/>
  <c r="L888" i="1"/>
  <c r="L889" i="1"/>
  <c r="L890" i="1"/>
  <c r="L891" i="1"/>
  <c r="L892" i="1"/>
  <c r="L893" i="1"/>
  <c r="L894" i="1"/>
  <c r="L895" i="1"/>
  <c r="L896" i="1"/>
  <c r="L897" i="1"/>
  <c r="L898" i="1"/>
  <c r="L899" i="1"/>
  <c r="L900" i="1"/>
  <c r="L901" i="1"/>
  <c r="L902" i="1"/>
  <c r="L903" i="1"/>
  <c r="L904" i="1"/>
  <c r="L905" i="1"/>
  <c r="L906" i="1"/>
  <c r="L907" i="1"/>
  <c r="L908" i="1"/>
  <c r="L909" i="1"/>
  <c r="L910" i="1"/>
  <c r="L911" i="1"/>
  <c r="L912" i="1"/>
  <c r="L913" i="1"/>
  <c r="L914" i="1"/>
  <c r="L915" i="1"/>
  <c r="L916" i="1"/>
  <c r="L917" i="1"/>
  <c r="L918" i="1"/>
  <c r="L919" i="1"/>
  <c r="L920" i="1"/>
  <c r="L921" i="1"/>
  <c r="L922" i="1"/>
  <c r="L923" i="1"/>
  <c r="L924" i="1"/>
  <c r="L925" i="1"/>
  <c r="L926" i="1"/>
  <c r="L927" i="1"/>
  <c r="L928" i="1"/>
  <c r="L929" i="1"/>
  <c r="L930" i="1"/>
  <c r="L931" i="1"/>
  <c r="L932" i="1"/>
  <c r="L933" i="1"/>
  <c r="L934" i="1"/>
  <c r="L935" i="1"/>
  <c r="L936" i="1"/>
  <c r="L937" i="1"/>
  <c r="L938" i="1"/>
  <c r="L939" i="1"/>
  <c r="L940" i="1"/>
  <c r="L941" i="1"/>
  <c r="L942" i="1"/>
  <c r="L943" i="1"/>
  <c r="L944" i="1"/>
  <c r="L945" i="1"/>
  <c r="L946" i="1"/>
  <c r="L947" i="1"/>
  <c r="L948" i="1"/>
  <c r="L949" i="1"/>
  <c r="L950" i="1"/>
  <c r="L951" i="1"/>
  <c r="L952" i="1"/>
  <c r="L953" i="1"/>
  <c r="L954" i="1"/>
  <c r="L955" i="1"/>
  <c r="L956" i="1"/>
  <c r="L957" i="1"/>
  <c r="L958" i="1"/>
  <c r="L959" i="1"/>
  <c r="L960" i="1"/>
  <c r="L961" i="1"/>
  <c r="L962" i="1"/>
  <c r="L963" i="1"/>
  <c r="L964" i="1"/>
  <c r="L965" i="1"/>
  <c r="L966" i="1"/>
  <c r="L967" i="1"/>
  <c r="L968" i="1"/>
  <c r="L969" i="1"/>
  <c r="L970" i="1"/>
  <c r="L971" i="1"/>
  <c r="L972" i="1"/>
  <c r="L973" i="1"/>
  <c r="L974" i="1"/>
  <c r="L975" i="1"/>
  <c r="L976" i="1"/>
  <c r="L977" i="1"/>
  <c r="L978" i="1"/>
  <c r="L979" i="1"/>
  <c r="L980" i="1"/>
  <c r="L981" i="1"/>
  <c r="L982" i="1"/>
  <c r="L983" i="1"/>
  <c r="L984" i="1"/>
  <c r="L985" i="1"/>
  <c r="L986" i="1"/>
  <c r="L987" i="1"/>
  <c r="L988" i="1"/>
  <c r="L989" i="1"/>
  <c r="L990" i="1"/>
  <c r="L991" i="1"/>
  <c r="L992" i="1"/>
  <c r="L993" i="1"/>
  <c r="L994" i="1"/>
  <c r="L995" i="1"/>
  <c r="L996" i="1"/>
  <c r="L997" i="1"/>
  <c r="L998" i="1"/>
  <c r="L999" i="1"/>
  <c r="L1000" i="1"/>
  <c r="L1001" i="1"/>
  <c r="L1002" i="1"/>
  <c r="L1003" i="1"/>
  <c r="L1004" i="1"/>
  <c r="L1005" i="1"/>
  <c r="L1006" i="1"/>
  <c r="L1007" i="1"/>
  <c r="L1008" i="1"/>
  <c r="L1009" i="1"/>
  <c r="L1010" i="1"/>
  <c r="L1011" i="1"/>
  <c r="L1012" i="1"/>
  <c r="L1013" i="1"/>
  <c r="L1014" i="1"/>
  <c r="L1015" i="1"/>
  <c r="L1016" i="1"/>
  <c r="L1017" i="1"/>
  <c r="L1018" i="1"/>
  <c r="L1019" i="1"/>
  <c r="L1020" i="1"/>
  <c r="L1021" i="1"/>
  <c r="L1022" i="1"/>
  <c r="L1023" i="1"/>
  <c r="L1024" i="1"/>
  <c r="L1025" i="1"/>
  <c r="L1026" i="1"/>
  <c r="L1027" i="1"/>
  <c r="L1028" i="1"/>
  <c r="L1029" i="1"/>
  <c r="L1030" i="1"/>
  <c r="L1031" i="1"/>
  <c r="L1032" i="1"/>
  <c r="L1033" i="1"/>
  <c r="L1034" i="1"/>
  <c r="L1035" i="1"/>
  <c r="L1036" i="1"/>
  <c r="L1037" i="1"/>
  <c r="L1038" i="1"/>
  <c r="L1039" i="1"/>
  <c r="L1040" i="1"/>
  <c r="L1041" i="1"/>
  <c r="L1042" i="1"/>
  <c r="L1043" i="1"/>
  <c r="L1044" i="1"/>
  <c r="L1045" i="1"/>
  <c r="L1046" i="1"/>
  <c r="L1047" i="1"/>
  <c r="L1048" i="1"/>
  <c r="L1049" i="1"/>
  <c r="L1050" i="1"/>
  <c r="L1051" i="1"/>
  <c r="L1052" i="1"/>
  <c r="L1053" i="1"/>
  <c r="L1054" i="1"/>
  <c r="L1055" i="1"/>
  <c r="L1056" i="1"/>
  <c r="L1057" i="1"/>
  <c r="L1058" i="1"/>
  <c r="L1059" i="1"/>
  <c r="L1060" i="1"/>
  <c r="L1061" i="1"/>
  <c r="L1062" i="1"/>
  <c r="L1063" i="1"/>
  <c r="L1064" i="1"/>
  <c r="L1065" i="1"/>
  <c r="L1066" i="1"/>
  <c r="L1067" i="1"/>
  <c r="L1068" i="1"/>
  <c r="L1069" i="1"/>
  <c r="L1070" i="1"/>
  <c r="L1071" i="1"/>
  <c r="L1072" i="1"/>
  <c r="L1073" i="1"/>
  <c r="L1074" i="1"/>
  <c r="L1075" i="1"/>
  <c r="L1076" i="1"/>
  <c r="L1077" i="1"/>
  <c r="L1078" i="1"/>
  <c r="L1079" i="1"/>
  <c r="L1080" i="1"/>
  <c r="L1081" i="1"/>
  <c r="L1082" i="1"/>
  <c r="L1083" i="1"/>
  <c r="L1084" i="1"/>
  <c r="L1085" i="1"/>
  <c r="L1086" i="1"/>
  <c r="L1087" i="1"/>
  <c r="L1088" i="1"/>
  <c r="L1089" i="1"/>
  <c r="L1090" i="1"/>
  <c r="L1099" i="1"/>
  <c r="L1100" i="1"/>
  <c r="L1101" i="1"/>
  <c r="L1102" i="1"/>
  <c r="L1103" i="1"/>
  <c r="L1104" i="1"/>
  <c r="L1105" i="1"/>
  <c r="L1106" i="1"/>
  <c r="L1107" i="1"/>
  <c r="L1108" i="1"/>
  <c r="L1109" i="1"/>
  <c r="L1110" i="1"/>
  <c r="L1111" i="1"/>
  <c r="L1112" i="1"/>
  <c r="L1113" i="1"/>
  <c r="L1114" i="1"/>
  <c r="L1115" i="1"/>
  <c r="L1116" i="1"/>
  <c r="L1117" i="1"/>
  <c r="L1118" i="1"/>
  <c r="L1119" i="1"/>
  <c r="L1120" i="1"/>
  <c r="L1121" i="1"/>
  <c r="L1122" i="1"/>
  <c r="L1123" i="1"/>
  <c r="L1124" i="1"/>
  <c r="L1125" i="1"/>
  <c r="L1126" i="1"/>
  <c r="L1127" i="1"/>
  <c r="L1128" i="1"/>
  <c r="L1129" i="1"/>
  <c r="L1130" i="1"/>
  <c r="L1131" i="1"/>
  <c r="L1132" i="1"/>
  <c r="L1133" i="1"/>
  <c r="L1134" i="1"/>
  <c r="L1135" i="1"/>
  <c r="L1136" i="1"/>
  <c r="L1137" i="1"/>
  <c r="L1138" i="1"/>
  <c r="L1139" i="1"/>
  <c r="L1140" i="1"/>
  <c r="L1141" i="1"/>
  <c r="L1142" i="1"/>
  <c r="L1143" i="1"/>
  <c r="L1144" i="1"/>
  <c r="L1145" i="1"/>
  <c r="L1146" i="1"/>
  <c r="L1147" i="1"/>
  <c r="L1148" i="1"/>
  <c r="L1149" i="1"/>
  <c r="L1150" i="1"/>
  <c r="L1151" i="1"/>
  <c r="L1152" i="1"/>
  <c r="L1153" i="1"/>
  <c r="L1154" i="1"/>
  <c r="L1155" i="1"/>
  <c r="L1156" i="1"/>
  <c r="L1157" i="1"/>
  <c r="L1158" i="1"/>
  <c r="L1159" i="1"/>
  <c r="L1160" i="1"/>
  <c r="L1161" i="1"/>
  <c r="L1162" i="1"/>
  <c r="L1163" i="1"/>
  <c r="L1164" i="1"/>
  <c r="L1165" i="1"/>
  <c r="L1166" i="1"/>
  <c r="L1167" i="1"/>
  <c r="L1168" i="1"/>
  <c r="L1169" i="1"/>
  <c r="L1170" i="1"/>
  <c r="L1171" i="1"/>
  <c r="L1172" i="1"/>
  <c r="L1173" i="1"/>
  <c r="L1174" i="1"/>
  <c r="L1175" i="1"/>
  <c r="L1176" i="1"/>
  <c r="L1177" i="1"/>
  <c r="L1178" i="1"/>
  <c r="L1179" i="1"/>
  <c r="L1180" i="1"/>
  <c r="L1181" i="1"/>
  <c r="L1182" i="1"/>
  <c r="L1183" i="1"/>
  <c r="L1184" i="1"/>
  <c r="L1185" i="1"/>
  <c r="L1186" i="1"/>
  <c r="L1187" i="1"/>
  <c r="L1188" i="1"/>
  <c r="L1189" i="1"/>
  <c r="L1190" i="1"/>
  <c r="L1191" i="1"/>
  <c r="L1192" i="1"/>
  <c r="L1193" i="1"/>
  <c r="L1194" i="1"/>
  <c r="L1195" i="1"/>
  <c r="L1196" i="1"/>
  <c r="L1197" i="1"/>
  <c r="L1198" i="1"/>
  <c r="L1199" i="1"/>
  <c r="L1200" i="1"/>
  <c r="L1201" i="1"/>
  <c r="L1202" i="1"/>
  <c r="L1203" i="1"/>
  <c r="L1204" i="1"/>
  <c r="L1205" i="1"/>
  <c r="L1206" i="1"/>
  <c r="L1207" i="1"/>
  <c r="L1208" i="1"/>
  <c r="L1209" i="1"/>
  <c r="L1210" i="1"/>
  <c r="L1211" i="1"/>
  <c r="L1212" i="1"/>
  <c r="L1213" i="1"/>
  <c r="L1214" i="1"/>
  <c r="L1215" i="1"/>
  <c r="L1216" i="1"/>
  <c r="L1217" i="1"/>
  <c r="L1218" i="1"/>
  <c r="L1219" i="1"/>
  <c r="L1220" i="1"/>
  <c r="L1221" i="1"/>
  <c r="L1222" i="1"/>
  <c r="L1223" i="1"/>
  <c r="L1224" i="1"/>
  <c r="L1225" i="1"/>
  <c r="L1226" i="1"/>
  <c r="L1227" i="1"/>
  <c r="L1228" i="1"/>
  <c r="L1229" i="1"/>
  <c r="L1230" i="1"/>
  <c r="L1231" i="1"/>
  <c r="L1232" i="1"/>
  <c r="L1233" i="1"/>
  <c r="L1234" i="1"/>
  <c r="L1235" i="1"/>
  <c r="L1236" i="1"/>
  <c r="L1237" i="1"/>
  <c r="L1238" i="1"/>
  <c r="L1239" i="1"/>
  <c r="L1240" i="1"/>
  <c r="L1241" i="1"/>
  <c r="L1242" i="1"/>
  <c r="L1243" i="1"/>
  <c r="L1244" i="1"/>
  <c r="L1245" i="1"/>
  <c r="L1246" i="1"/>
  <c r="L1247" i="1"/>
  <c r="L1248" i="1"/>
  <c r="L1249" i="1"/>
  <c r="L1250" i="1"/>
  <c r="L1251" i="1"/>
  <c r="L1252" i="1"/>
  <c r="L1253" i="1"/>
  <c r="L1254" i="1"/>
  <c r="L1255" i="1"/>
  <c r="L1256" i="1"/>
  <c r="L1257" i="1"/>
  <c r="L1258" i="1"/>
  <c r="L1259" i="1"/>
  <c r="L1260" i="1"/>
  <c r="L1261" i="1"/>
  <c r="L1262" i="1"/>
  <c r="L1263" i="1"/>
  <c r="L1264" i="1"/>
  <c r="L1265" i="1"/>
  <c r="L1266" i="1"/>
  <c r="L1267" i="1"/>
  <c r="L1268" i="1"/>
  <c r="L1269" i="1"/>
  <c r="L1270" i="1"/>
  <c r="L1271" i="1"/>
  <c r="L1272" i="1"/>
  <c r="L1273" i="1"/>
  <c r="L1274" i="1"/>
  <c r="L1275" i="1"/>
  <c r="L1276" i="1"/>
  <c r="L1277" i="1"/>
  <c r="L1278" i="1"/>
  <c r="L1279" i="1"/>
  <c r="L1280" i="1"/>
  <c r="L1281" i="1"/>
  <c r="L1282" i="1"/>
  <c r="L1283" i="1"/>
  <c r="L1284" i="1"/>
  <c r="L1285" i="1"/>
  <c r="L1286" i="1"/>
  <c r="L1287" i="1"/>
  <c r="L1288" i="1"/>
  <c r="L1289" i="1"/>
  <c r="L1290" i="1"/>
  <c r="L1291" i="1"/>
  <c r="L1292" i="1"/>
  <c r="L1293" i="1"/>
  <c r="L1294" i="1"/>
  <c r="L1295" i="1"/>
  <c r="L1296" i="1"/>
  <c r="L1297" i="1"/>
  <c r="L1298" i="1"/>
  <c r="L1299" i="1"/>
  <c r="L1300" i="1"/>
  <c r="L1301" i="1"/>
  <c r="L1302" i="1"/>
  <c r="L1303" i="1"/>
  <c r="L1304" i="1"/>
  <c r="L1305" i="1"/>
  <c r="L1306" i="1"/>
  <c r="L1307" i="1"/>
  <c r="L1308" i="1"/>
  <c r="L1309" i="1"/>
  <c r="L1310" i="1"/>
  <c r="L1311" i="1"/>
  <c r="L1312" i="1"/>
  <c r="L1313" i="1"/>
  <c r="L1314" i="1"/>
  <c r="L1315" i="1"/>
  <c r="L1316" i="1"/>
  <c r="L1317" i="1"/>
  <c r="L1318" i="1"/>
  <c r="L1319" i="1"/>
  <c r="L1320" i="1"/>
  <c r="L1321" i="1"/>
  <c r="L1322" i="1"/>
  <c r="L1323" i="1"/>
  <c r="L1324" i="1"/>
  <c r="L1325" i="1"/>
  <c r="L1326" i="1"/>
  <c r="L1327" i="1"/>
  <c r="L1328" i="1"/>
  <c r="L1329" i="1"/>
  <c r="L1330" i="1"/>
  <c r="L1331" i="1"/>
  <c r="L1332" i="1"/>
  <c r="L1333" i="1"/>
  <c r="L1334" i="1"/>
  <c r="L1335" i="1"/>
  <c r="L1336" i="1"/>
  <c r="L1337" i="1"/>
  <c r="L1338" i="1"/>
  <c r="L1339" i="1"/>
  <c r="L1340" i="1"/>
  <c r="L1341" i="1"/>
  <c r="L1342" i="1"/>
  <c r="L1343" i="1"/>
  <c r="L1344" i="1"/>
  <c r="L1345" i="1"/>
  <c r="L1346" i="1"/>
  <c r="L1347" i="1"/>
  <c r="L1348" i="1"/>
  <c r="L1349" i="1"/>
  <c r="L1350" i="1"/>
  <c r="L1351" i="1"/>
  <c r="L1352" i="1"/>
  <c r="L1353" i="1"/>
  <c r="L1354" i="1"/>
  <c r="L1355" i="1"/>
  <c r="L1356" i="1"/>
  <c r="L1357" i="1"/>
  <c r="L1358" i="1"/>
  <c r="L1359" i="1"/>
  <c r="L1360" i="1"/>
  <c r="L1361" i="1"/>
  <c r="L1362" i="1"/>
  <c r="L1363" i="1"/>
  <c r="L1364" i="1"/>
  <c r="L1365" i="1"/>
  <c r="L1366" i="1"/>
  <c r="L1367" i="1"/>
  <c r="L1368" i="1"/>
  <c r="L1369" i="1"/>
  <c r="L1370" i="1"/>
  <c r="L1371" i="1"/>
  <c r="L1372" i="1"/>
  <c r="L1373" i="1"/>
  <c r="L1374" i="1"/>
  <c r="L1375" i="1"/>
  <c r="L1376" i="1"/>
  <c r="L1377" i="1"/>
  <c r="L1378" i="1"/>
  <c r="L1379" i="1"/>
  <c r="L1380" i="1"/>
  <c r="L1381" i="1"/>
  <c r="L1382" i="1"/>
  <c r="L1383" i="1"/>
  <c r="L1384" i="1"/>
  <c r="L1385" i="1"/>
  <c r="L1386" i="1"/>
  <c r="L1387" i="1"/>
  <c r="L1388" i="1"/>
  <c r="L1389" i="1"/>
  <c r="L1390" i="1"/>
  <c r="L1391" i="1"/>
  <c r="L1392" i="1"/>
  <c r="L1393" i="1"/>
  <c r="L1394" i="1"/>
  <c r="L1395" i="1"/>
  <c r="L1396" i="1"/>
  <c r="L1397" i="1"/>
  <c r="L1398" i="1"/>
  <c r="L1399" i="1"/>
  <c r="L1400" i="1"/>
  <c r="L1401" i="1"/>
  <c r="L1402" i="1"/>
  <c r="L1403" i="1"/>
  <c r="L1404" i="1"/>
  <c r="L1405" i="1"/>
  <c r="L1406" i="1"/>
  <c r="L1407" i="1"/>
  <c r="L1408" i="1"/>
  <c r="L1409" i="1"/>
  <c r="L1410" i="1"/>
  <c r="L1411" i="1"/>
  <c r="L1412" i="1"/>
  <c r="L1413" i="1"/>
  <c r="L1414" i="1"/>
  <c r="L1415" i="1"/>
  <c r="L1416" i="1"/>
  <c r="L1417" i="1"/>
  <c r="L1418" i="1"/>
  <c r="L1419" i="1"/>
  <c r="L1420" i="1"/>
  <c r="L1421" i="1"/>
  <c r="L1422" i="1"/>
  <c r="L1423" i="1"/>
  <c r="L1424" i="1"/>
  <c r="L1425" i="1"/>
  <c r="L1426" i="1"/>
  <c r="L1427" i="1"/>
  <c r="L1428" i="1"/>
  <c r="L1429" i="1"/>
  <c r="L1430" i="1"/>
  <c r="L1431" i="1"/>
  <c r="L1432" i="1"/>
  <c r="L1433" i="1"/>
  <c r="L1434" i="1"/>
  <c r="L1435" i="1"/>
  <c r="L1436" i="1"/>
  <c r="L1437" i="1"/>
  <c r="L1438" i="1"/>
  <c r="L1439" i="1"/>
  <c r="L1440" i="1"/>
  <c r="L1441" i="1"/>
  <c r="L1442" i="1"/>
  <c r="L1443" i="1"/>
  <c r="L1444" i="1"/>
  <c r="L1445" i="1"/>
  <c r="L1446" i="1"/>
  <c r="L1447" i="1"/>
  <c r="L1448" i="1"/>
  <c r="L1449" i="1"/>
  <c r="L1450" i="1"/>
  <c r="L1451" i="1"/>
  <c r="L1452" i="1"/>
  <c r="L1453" i="1"/>
  <c r="L1454" i="1"/>
  <c r="L1455" i="1"/>
  <c r="L1456" i="1"/>
  <c r="L1457" i="1"/>
  <c r="L1458" i="1"/>
  <c r="L1459" i="1"/>
  <c r="L1460" i="1"/>
  <c r="L1461" i="1"/>
  <c r="L1462" i="1"/>
  <c r="L1463" i="1"/>
  <c r="L1464" i="1"/>
  <c r="L1465" i="1"/>
  <c r="L1466" i="1"/>
  <c r="L1467" i="1"/>
  <c r="L1468" i="1"/>
  <c r="L1469" i="1"/>
  <c r="L1470" i="1"/>
  <c r="L1471" i="1"/>
  <c r="L1472" i="1"/>
  <c r="L1473" i="1"/>
  <c r="L1474" i="1"/>
  <c r="L1475" i="1"/>
  <c r="L1476" i="1"/>
  <c r="L1477" i="1"/>
  <c r="L1478" i="1"/>
  <c r="L1479" i="1"/>
  <c r="L1480" i="1"/>
  <c r="L1481" i="1"/>
  <c r="L1482" i="1"/>
  <c r="L1483" i="1"/>
  <c r="L1484" i="1"/>
  <c r="L1485" i="1"/>
  <c r="L1486" i="1"/>
  <c r="L1487" i="1"/>
  <c r="L1488" i="1"/>
  <c r="L1489" i="1"/>
  <c r="L1490" i="1"/>
  <c r="L1491" i="1"/>
  <c r="L1492" i="1"/>
  <c r="L1493" i="1"/>
  <c r="L1494" i="1"/>
  <c r="L1495" i="1"/>
  <c r="L1496" i="1"/>
  <c r="L1497" i="1"/>
  <c r="L1498" i="1"/>
  <c r="L1499" i="1"/>
  <c r="L1500" i="1"/>
  <c r="L1501" i="1"/>
  <c r="L1502" i="1"/>
  <c r="L1503" i="1"/>
  <c r="L1504" i="1"/>
  <c r="L1505" i="1"/>
  <c r="L1506" i="1"/>
  <c r="L1507" i="1"/>
  <c r="L1508" i="1"/>
  <c r="L1509" i="1"/>
  <c r="L1510" i="1"/>
  <c r="L1511" i="1"/>
  <c r="L1512" i="1"/>
  <c r="L1513" i="1"/>
  <c r="L1514" i="1"/>
  <c r="L1515" i="1"/>
  <c r="L1516" i="1"/>
  <c r="L1517" i="1"/>
  <c r="L1518" i="1"/>
  <c r="L1519" i="1"/>
  <c r="L1520" i="1"/>
  <c r="L1521" i="1"/>
  <c r="L1522" i="1"/>
  <c r="L1523" i="1"/>
  <c r="L1524" i="1"/>
  <c r="L1525" i="1"/>
  <c r="L1526" i="1"/>
  <c r="L1527" i="1"/>
  <c r="L1528" i="1"/>
  <c r="L1529" i="1"/>
  <c r="L1530" i="1"/>
  <c r="L1531" i="1"/>
  <c r="L1532" i="1"/>
  <c r="L1533" i="1"/>
  <c r="L1534" i="1"/>
  <c r="L1535" i="1"/>
  <c r="L1536" i="1"/>
  <c r="L1537" i="1"/>
  <c r="L1538" i="1"/>
  <c r="L1539" i="1"/>
  <c r="L1540" i="1"/>
  <c r="L1541" i="1"/>
  <c r="L1542" i="1"/>
  <c r="L1543" i="1"/>
  <c r="L1544" i="1"/>
  <c r="L1545" i="1"/>
  <c r="L1546" i="1"/>
  <c r="L1547" i="1"/>
  <c r="L1548" i="1"/>
  <c r="L1549" i="1"/>
  <c r="L1550" i="1"/>
  <c r="L1551" i="1"/>
  <c r="L1552" i="1"/>
  <c r="L1553" i="1"/>
  <c r="L1554" i="1"/>
  <c r="L1555" i="1"/>
  <c r="L1556" i="1"/>
  <c r="L1557" i="1"/>
  <c r="L1558" i="1"/>
  <c r="L1559" i="1"/>
  <c r="L1560" i="1"/>
  <c r="L1561" i="1"/>
  <c r="L1562" i="1"/>
  <c r="L1563" i="1"/>
  <c r="L1564" i="1"/>
  <c r="L1565" i="1"/>
  <c r="L1566" i="1"/>
  <c r="L1567" i="1"/>
  <c r="L1568" i="1"/>
  <c r="L1569" i="1"/>
  <c r="L1570" i="1"/>
  <c r="L1571" i="1"/>
  <c r="L1572" i="1"/>
  <c r="L1573" i="1"/>
  <c r="L1574" i="1"/>
  <c r="L1575" i="1"/>
  <c r="L1576" i="1"/>
  <c r="L1577" i="1"/>
  <c r="L1578" i="1"/>
  <c r="L1579" i="1"/>
  <c r="L1580" i="1"/>
  <c r="L1581" i="1"/>
  <c r="L1582" i="1"/>
  <c r="L1583" i="1"/>
  <c r="L1584" i="1"/>
  <c r="L1585" i="1"/>
  <c r="L1586" i="1"/>
  <c r="L1587" i="1"/>
  <c r="L1588" i="1"/>
  <c r="L1589" i="1"/>
  <c r="L1590" i="1"/>
  <c r="L1591" i="1"/>
  <c r="L1592" i="1"/>
  <c r="L1593" i="1"/>
  <c r="L1594" i="1"/>
  <c r="L1595" i="1"/>
  <c r="L1596" i="1"/>
  <c r="L1597" i="1"/>
  <c r="L1598" i="1"/>
  <c r="L1599" i="1"/>
  <c r="L1600" i="1"/>
  <c r="L1601" i="1"/>
  <c r="L1602" i="1"/>
  <c r="L1603" i="1"/>
  <c r="L1604" i="1"/>
  <c r="L1605" i="1"/>
  <c r="L1606" i="1"/>
  <c r="L1607" i="1"/>
  <c r="L1608" i="1"/>
  <c r="L1609" i="1"/>
  <c r="L1610" i="1"/>
  <c r="L1611" i="1"/>
  <c r="L1612" i="1"/>
  <c r="L1613" i="1"/>
  <c r="L1614" i="1"/>
  <c r="L1615" i="1"/>
  <c r="L1616" i="1"/>
  <c r="L1617" i="1"/>
  <c r="L1618" i="1"/>
  <c r="L1619" i="1"/>
  <c r="L1620" i="1"/>
  <c r="L1621" i="1"/>
  <c r="L1622" i="1"/>
  <c r="L1623" i="1"/>
  <c r="L1624" i="1"/>
  <c r="L1625" i="1"/>
  <c r="L1626" i="1"/>
  <c r="L1627" i="1"/>
  <c r="L1628" i="1"/>
  <c r="L1629" i="1"/>
  <c r="L1630" i="1"/>
  <c r="L1631" i="1"/>
  <c r="L1632" i="1"/>
  <c r="L1633" i="1"/>
  <c r="L1634" i="1"/>
  <c r="L1635" i="1"/>
  <c r="L1636" i="1"/>
  <c r="L1637" i="1"/>
  <c r="L1638" i="1"/>
  <c r="L1639" i="1"/>
  <c r="L1640" i="1"/>
  <c r="L1641" i="1"/>
  <c r="L1642" i="1"/>
  <c r="L1643" i="1"/>
  <c r="L1644" i="1"/>
  <c r="L1645" i="1"/>
  <c r="L1646" i="1"/>
  <c r="L1647" i="1"/>
  <c r="L1648" i="1"/>
  <c r="L1649" i="1"/>
  <c r="L1650" i="1"/>
  <c r="L1651" i="1"/>
  <c r="L1652" i="1"/>
  <c r="L1653" i="1"/>
  <c r="L1654" i="1"/>
  <c r="L1655" i="1"/>
  <c r="L1656" i="1"/>
  <c r="L1657" i="1"/>
  <c r="L1658" i="1"/>
  <c r="L1659" i="1"/>
  <c r="L1660" i="1"/>
  <c r="L1661" i="1"/>
  <c r="L1662" i="1"/>
  <c r="L1663" i="1"/>
  <c r="L1664" i="1"/>
  <c r="L1665" i="1"/>
  <c r="L1666" i="1"/>
  <c r="L1667" i="1"/>
  <c r="L1668" i="1"/>
  <c r="L1669" i="1"/>
  <c r="L1670" i="1"/>
  <c r="L1671" i="1"/>
  <c r="L1672" i="1"/>
  <c r="L1673" i="1"/>
  <c r="L1674" i="1"/>
  <c r="L1675" i="1"/>
  <c r="L1676" i="1"/>
  <c r="L1677" i="1"/>
  <c r="L1678" i="1"/>
  <c r="L1679" i="1"/>
  <c r="L1680" i="1"/>
  <c r="L1681" i="1"/>
  <c r="L1682" i="1"/>
  <c r="L1683" i="1"/>
  <c r="L1684" i="1"/>
  <c r="L1685" i="1"/>
  <c r="L1686" i="1"/>
  <c r="L1687" i="1"/>
  <c r="L1688" i="1"/>
  <c r="L1689" i="1"/>
  <c r="L1690" i="1"/>
  <c r="L1691" i="1"/>
  <c r="L1692" i="1"/>
  <c r="L1693" i="1"/>
  <c r="L1694" i="1"/>
  <c r="L1695" i="1"/>
  <c r="L1696" i="1"/>
  <c r="L1697" i="1"/>
  <c r="L1698" i="1"/>
  <c r="L1699" i="1"/>
  <c r="L1700" i="1"/>
  <c r="L1701" i="1"/>
  <c r="L1702" i="1"/>
  <c r="L1703" i="1"/>
  <c r="L1704" i="1"/>
  <c r="L1705" i="1"/>
  <c r="L1706" i="1"/>
  <c r="L1707" i="1"/>
  <c r="L1708" i="1"/>
  <c r="L1709" i="1"/>
  <c r="L1710" i="1"/>
  <c r="L1711" i="1"/>
  <c r="L1712" i="1"/>
  <c r="L1713" i="1"/>
  <c r="L1714" i="1"/>
  <c r="L1715" i="1"/>
  <c r="L1716" i="1"/>
  <c r="L1717" i="1"/>
  <c r="L1718" i="1"/>
  <c r="L1719" i="1"/>
  <c r="L1720" i="1"/>
  <c r="L1721" i="1"/>
  <c r="L1722" i="1"/>
  <c r="L1723" i="1"/>
  <c r="L1724" i="1"/>
  <c r="L1725" i="1"/>
  <c r="L1726" i="1"/>
  <c r="L1727" i="1"/>
  <c r="L1728" i="1"/>
  <c r="L1729" i="1"/>
  <c r="L1730" i="1"/>
  <c r="L1731" i="1"/>
  <c r="L1732" i="1"/>
  <c r="L1733" i="1"/>
  <c r="L1734" i="1"/>
  <c r="L1735" i="1"/>
  <c r="L1736" i="1"/>
  <c r="L1737" i="1"/>
  <c r="L1738" i="1"/>
  <c r="L1739" i="1"/>
  <c r="L1740" i="1"/>
  <c r="L1741" i="1"/>
  <c r="L1742" i="1"/>
  <c r="L1743" i="1"/>
  <c r="L1744" i="1"/>
  <c r="L1745" i="1"/>
  <c r="L1746" i="1"/>
  <c r="L1747" i="1"/>
  <c r="L1748" i="1"/>
  <c r="L1749" i="1"/>
  <c r="L1750" i="1"/>
  <c r="L1751" i="1"/>
  <c r="L1752" i="1"/>
  <c r="L1753" i="1"/>
  <c r="L1754" i="1"/>
  <c r="L1755" i="1"/>
  <c r="L1756" i="1"/>
  <c r="L1757" i="1"/>
  <c r="L1758" i="1"/>
  <c r="L1759" i="1"/>
  <c r="L1760" i="1"/>
  <c r="L1761" i="1"/>
  <c r="L1762" i="1"/>
  <c r="L1763" i="1"/>
  <c r="L1764" i="1"/>
  <c r="L1765" i="1"/>
  <c r="L1766" i="1"/>
  <c r="L1767" i="1"/>
  <c r="L1768" i="1"/>
  <c r="L1769" i="1"/>
  <c r="L1770" i="1"/>
  <c r="L1771" i="1"/>
  <c r="L1772" i="1"/>
  <c r="L1773" i="1"/>
  <c r="L1774" i="1"/>
  <c r="L1775" i="1"/>
  <c r="L1776" i="1"/>
  <c r="L1777" i="1"/>
  <c r="L1778" i="1"/>
  <c r="L1779" i="1"/>
  <c r="L1780" i="1"/>
  <c r="L1781" i="1"/>
  <c r="L1782" i="1"/>
  <c r="L1783" i="1"/>
  <c r="L1784" i="1"/>
  <c r="L1785" i="1"/>
  <c r="L1786" i="1"/>
  <c r="L1787" i="1"/>
  <c r="L1788" i="1"/>
  <c r="L1789" i="1"/>
  <c r="L1790" i="1"/>
  <c r="L1791" i="1"/>
  <c r="L1792" i="1"/>
  <c r="L1793" i="1"/>
  <c r="L1794" i="1"/>
  <c r="L1795" i="1"/>
  <c r="L1796" i="1"/>
  <c r="L1797" i="1"/>
  <c r="L1798" i="1"/>
  <c r="L1799" i="1"/>
  <c r="L1800" i="1"/>
  <c r="L1801" i="1"/>
  <c r="L1802" i="1"/>
  <c r="L1803" i="1"/>
  <c r="L1804" i="1"/>
  <c r="L1805" i="1"/>
  <c r="L1806" i="1"/>
  <c r="L1807" i="1"/>
  <c r="L1808" i="1"/>
  <c r="L1809" i="1"/>
  <c r="L1810" i="1"/>
  <c r="L1811" i="1"/>
  <c r="L1812" i="1"/>
  <c r="L1813" i="1"/>
  <c r="L1814" i="1"/>
  <c r="L1815" i="1"/>
  <c r="L1816" i="1"/>
  <c r="L1817" i="1"/>
  <c r="L1818" i="1"/>
  <c r="L1819" i="1"/>
  <c r="L1820" i="1"/>
  <c r="L1821" i="1"/>
  <c r="L1822" i="1"/>
  <c r="L1823" i="1"/>
  <c r="L1824" i="1"/>
  <c r="L1825" i="1"/>
  <c r="L1826" i="1"/>
  <c r="L1827" i="1"/>
  <c r="L1828" i="1"/>
  <c r="L1829" i="1"/>
  <c r="L1830" i="1"/>
  <c r="L1831" i="1"/>
  <c r="L1832" i="1"/>
  <c r="L1833" i="1"/>
  <c r="L1834" i="1"/>
  <c r="L1835" i="1"/>
  <c r="L1836" i="1"/>
  <c r="L1837" i="1"/>
  <c r="L1838" i="1"/>
  <c r="L1839" i="1"/>
  <c r="L1840" i="1"/>
  <c r="L1841" i="1"/>
  <c r="L1842" i="1"/>
  <c r="L1843" i="1"/>
  <c r="L1844" i="1"/>
  <c r="L1845" i="1"/>
  <c r="L1846" i="1"/>
  <c r="L1847" i="1"/>
  <c r="L1848" i="1"/>
  <c r="L1849" i="1"/>
  <c r="L1850" i="1"/>
  <c r="L1851" i="1"/>
  <c r="L1852" i="1"/>
  <c r="L1853" i="1"/>
  <c r="L1854" i="1"/>
  <c r="L1855" i="1"/>
  <c r="L1856" i="1"/>
  <c r="L1857" i="1"/>
  <c r="L1858" i="1"/>
  <c r="L1859" i="1"/>
  <c r="M2" i="1"/>
  <c r="M3" i="1"/>
  <c r="M4" i="1"/>
  <c r="M5" i="1"/>
  <c r="M6" i="1"/>
  <c r="M7" i="1"/>
  <c r="M8" i="1"/>
  <c r="M9" i="1"/>
  <c r="M10" i="1"/>
  <c r="M11" i="1"/>
  <c r="M12" i="1"/>
  <c r="M13" i="1"/>
  <c r="M14" i="1"/>
  <c r="M15" i="1"/>
  <c r="M16" i="1"/>
  <c r="M17" i="1"/>
  <c r="M18" i="1"/>
  <c r="M19" i="1"/>
  <c r="M20" i="1"/>
  <c r="M21" i="1"/>
  <c r="M22" i="1"/>
  <c r="M23" i="1"/>
  <c r="M24" i="1"/>
  <c r="M25" i="1"/>
  <c r="M26" i="1"/>
  <c r="M27" i="1"/>
  <c r="M28" i="1"/>
  <c r="M29" i="1"/>
  <c r="M30" i="1"/>
  <c r="M31" i="1"/>
  <c r="M32" i="1"/>
  <c r="M33" i="1"/>
  <c r="M34" i="1"/>
  <c r="M35" i="1"/>
  <c r="M36" i="1"/>
  <c r="M37" i="1"/>
  <c r="M38" i="1"/>
  <c r="M39" i="1"/>
  <c r="M40" i="1"/>
  <c r="M41" i="1"/>
  <c r="M42" i="1"/>
  <c r="M43" i="1"/>
  <c r="M44" i="1"/>
  <c r="M45" i="1"/>
  <c r="M46" i="1"/>
  <c r="M47" i="1"/>
  <c r="M48" i="1"/>
  <c r="M49" i="1"/>
  <c r="M50" i="1"/>
  <c r="M51" i="1"/>
  <c r="M52" i="1"/>
  <c r="M53" i="1"/>
  <c r="M54" i="1"/>
  <c r="M55" i="1"/>
  <c r="M56" i="1"/>
  <c r="M57" i="1"/>
  <c r="M58" i="1"/>
  <c r="M59" i="1"/>
  <c r="M60" i="1"/>
  <c r="M61" i="1"/>
  <c r="M62" i="1"/>
  <c r="M63" i="1"/>
  <c r="M64" i="1"/>
  <c r="M65" i="1"/>
  <c r="M66" i="1"/>
  <c r="M67" i="1"/>
  <c r="M68" i="1"/>
  <c r="M69" i="1"/>
  <c r="M70" i="1"/>
  <c r="M71" i="1"/>
  <c r="M72" i="1"/>
  <c r="M73" i="1"/>
  <c r="M74" i="1"/>
  <c r="M75" i="1"/>
  <c r="M76" i="1"/>
  <c r="M77" i="1"/>
  <c r="M78" i="1"/>
  <c r="M79" i="1"/>
  <c r="M80" i="1"/>
  <c r="M81" i="1"/>
  <c r="M82" i="1"/>
  <c r="M83" i="1"/>
  <c r="M84" i="1"/>
  <c r="M85" i="1"/>
  <c r="M86" i="1"/>
  <c r="M87" i="1"/>
  <c r="M88" i="1"/>
  <c r="M89" i="1"/>
  <c r="M90" i="1"/>
  <c r="M91" i="1"/>
  <c r="M92" i="1"/>
  <c r="M93" i="1"/>
  <c r="M94" i="1"/>
  <c r="M95" i="1"/>
  <c r="M96" i="1"/>
  <c r="M97" i="1"/>
  <c r="M98" i="1"/>
  <c r="M99" i="1"/>
  <c r="M100" i="1"/>
  <c r="M101" i="1"/>
  <c r="M102" i="1"/>
  <c r="M103" i="1"/>
  <c r="M104" i="1"/>
  <c r="M105" i="1"/>
  <c r="M106" i="1"/>
  <c r="M107" i="1"/>
  <c r="M108" i="1"/>
  <c r="M109" i="1"/>
  <c r="M110" i="1"/>
  <c r="M111" i="1"/>
  <c r="M112" i="1"/>
  <c r="M113" i="1"/>
  <c r="M114" i="1"/>
  <c r="M115" i="1"/>
  <c r="M116" i="1"/>
  <c r="M117" i="1"/>
  <c r="M118" i="1"/>
  <c r="M119" i="1"/>
  <c r="M120" i="1"/>
  <c r="M121" i="1"/>
  <c r="M122" i="1"/>
  <c r="M123" i="1"/>
  <c r="M124" i="1"/>
  <c r="M125" i="1"/>
  <c r="M126" i="1"/>
  <c r="M127" i="1"/>
  <c r="M128" i="1"/>
  <c r="M129" i="1"/>
  <c r="M130" i="1"/>
  <c r="M131" i="1"/>
  <c r="M132" i="1"/>
  <c r="M133" i="1"/>
  <c r="M134" i="1"/>
  <c r="M135" i="1"/>
  <c r="M136" i="1"/>
  <c r="M137" i="1"/>
  <c r="M138" i="1"/>
  <c r="M139" i="1"/>
  <c r="M140" i="1"/>
  <c r="M141" i="1"/>
  <c r="M142" i="1"/>
  <c r="M143" i="1"/>
  <c r="M144" i="1"/>
  <c r="M145" i="1"/>
  <c r="M146" i="1"/>
  <c r="M147" i="1"/>
  <c r="M148" i="1"/>
  <c r="M149" i="1"/>
  <c r="M150" i="1"/>
  <c r="M151" i="1"/>
  <c r="M152" i="1"/>
  <c r="M153" i="1"/>
  <c r="M154" i="1"/>
  <c r="M155" i="1"/>
  <c r="M156" i="1"/>
  <c r="M157" i="1"/>
  <c r="M158" i="1"/>
  <c r="M159" i="1"/>
  <c r="M160" i="1"/>
  <c r="M161" i="1"/>
  <c r="M162" i="1"/>
  <c r="M163" i="1"/>
  <c r="M164" i="1"/>
  <c r="M165" i="1"/>
  <c r="M166" i="1"/>
  <c r="M167" i="1"/>
  <c r="M168" i="1"/>
  <c r="M169" i="1"/>
  <c r="M170" i="1"/>
  <c r="M171" i="1"/>
  <c r="M172" i="1"/>
  <c r="M173" i="1"/>
  <c r="M174" i="1"/>
  <c r="M175" i="1"/>
  <c r="M176" i="1"/>
  <c r="M177" i="1"/>
  <c r="M178" i="1"/>
  <c r="M179" i="1"/>
  <c r="M180" i="1"/>
  <c r="M181" i="1"/>
  <c r="M182" i="1"/>
  <c r="M183" i="1"/>
  <c r="M184" i="1"/>
  <c r="M185" i="1"/>
  <c r="M186" i="1"/>
  <c r="M187" i="1"/>
  <c r="M188" i="1"/>
  <c r="M189" i="1"/>
  <c r="M190" i="1"/>
  <c r="M191" i="1"/>
  <c r="M192" i="1"/>
  <c r="M193" i="1"/>
  <c r="M194" i="1"/>
  <c r="M195" i="1"/>
  <c r="M196" i="1"/>
  <c r="M197" i="1"/>
  <c r="M198" i="1"/>
  <c r="M199" i="1"/>
  <c r="M200" i="1"/>
  <c r="M201" i="1"/>
  <c r="M202" i="1"/>
  <c r="M203" i="1"/>
  <c r="M204" i="1"/>
  <c r="M205" i="1"/>
  <c r="M206" i="1"/>
  <c r="M207" i="1"/>
  <c r="M208" i="1"/>
  <c r="M209" i="1"/>
  <c r="M210" i="1"/>
  <c r="M211" i="1"/>
  <c r="M212" i="1"/>
  <c r="M213" i="1"/>
  <c r="M214" i="1"/>
  <c r="M215" i="1"/>
  <c r="M216" i="1"/>
  <c r="M217" i="1"/>
  <c r="M218" i="1"/>
  <c r="M219" i="1"/>
  <c r="M220" i="1"/>
  <c r="M221" i="1"/>
  <c r="M222" i="1"/>
  <c r="M223" i="1"/>
  <c r="M224" i="1"/>
  <c r="M225" i="1"/>
  <c r="M226" i="1"/>
  <c r="M227" i="1"/>
  <c r="M228" i="1"/>
  <c r="M229" i="1"/>
  <c r="M230" i="1"/>
  <c r="M231" i="1"/>
  <c r="M232" i="1"/>
  <c r="M233" i="1"/>
  <c r="M234" i="1"/>
  <c r="M235" i="1"/>
  <c r="M236" i="1"/>
  <c r="M237" i="1"/>
  <c r="M238" i="1"/>
  <c r="M239" i="1"/>
  <c r="M240" i="1"/>
  <c r="M241" i="1"/>
  <c r="M242" i="1"/>
  <c r="M243" i="1"/>
  <c r="M244" i="1"/>
  <c r="M245" i="1"/>
  <c r="M246" i="1"/>
  <c r="M247" i="1"/>
  <c r="M248" i="1"/>
  <c r="M249" i="1"/>
  <c r="M250" i="1"/>
  <c r="M251" i="1"/>
  <c r="M252" i="1"/>
  <c r="M253" i="1"/>
  <c r="M254" i="1"/>
  <c r="M255" i="1"/>
  <c r="M256" i="1"/>
  <c r="M257" i="1"/>
  <c r="M258" i="1"/>
  <c r="M259" i="1"/>
  <c r="M260" i="1"/>
  <c r="M261" i="1"/>
  <c r="M262" i="1"/>
  <c r="M263" i="1"/>
  <c r="M264" i="1"/>
  <c r="M265" i="1"/>
  <c r="M266" i="1"/>
  <c r="M267" i="1"/>
  <c r="M268" i="1"/>
  <c r="M269" i="1"/>
  <c r="M270" i="1"/>
  <c r="M271" i="1"/>
  <c r="M272" i="1"/>
  <c r="M273" i="1"/>
  <c r="M274" i="1"/>
  <c r="M275" i="1"/>
  <c r="M276" i="1"/>
  <c r="M277" i="1"/>
  <c r="M278" i="1"/>
  <c r="M279" i="1"/>
  <c r="M280" i="1"/>
  <c r="M281" i="1"/>
  <c r="M282" i="1"/>
  <c r="M283" i="1"/>
  <c r="M284" i="1"/>
  <c r="M285" i="1"/>
  <c r="M286" i="1"/>
  <c r="M287" i="1"/>
  <c r="M288" i="1"/>
  <c r="M289" i="1"/>
  <c r="M290" i="1"/>
  <c r="M291" i="1"/>
  <c r="M292" i="1"/>
  <c r="M293" i="1"/>
  <c r="M294" i="1"/>
  <c r="M295" i="1"/>
  <c r="M296" i="1"/>
  <c r="M297" i="1"/>
  <c r="M298" i="1"/>
  <c r="M299" i="1"/>
  <c r="M300" i="1"/>
  <c r="M301" i="1"/>
  <c r="M302" i="1"/>
  <c r="M303" i="1"/>
  <c r="M304" i="1"/>
  <c r="M305" i="1"/>
  <c r="M306" i="1"/>
  <c r="M307" i="1"/>
  <c r="M308" i="1"/>
  <c r="M309" i="1"/>
  <c r="M310" i="1"/>
  <c r="M311" i="1"/>
  <c r="M312" i="1"/>
  <c r="M313" i="1"/>
  <c r="M314" i="1"/>
  <c r="M315" i="1"/>
  <c r="M316" i="1"/>
  <c r="M317" i="1"/>
  <c r="M318" i="1"/>
  <c r="M319" i="1"/>
  <c r="M320" i="1"/>
  <c r="M321" i="1"/>
  <c r="M322" i="1"/>
  <c r="M323" i="1"/>
  <c r="M324" i="1"/>
  <c r="M325" i="1"/>
  <c r="M326" i="1"/>
  <c r="M327" i="1"/>
  <c r="M328" i="1"/>
  <c r="M329" i="1"/>
  <c r="M330" i="1"/>
  <c r="M331" i="1"/>
  <c r="M332" i="1"/>
  <c r="M333" i="1"/>
  <c r="M334" i="1"/>
  <c r="M335" i="1"/>
  <c r="M336" i="1"/>
  <c r="M337" i="1"/>
  <c r="M338" i="1"/>
  <c r="M339" i="1"/>
  <c r="M340" i="1"/>
  <c r="M341" i="1"/>
  <c r="M342" i="1"/>
  <c r="M343" i="1"/>
  <c r="M344" i="1"/>
  <c r="M345" i="1"/>
  <c r="M346" i="1"/>
  <c r="M347" i="1"/>
  <c r="M348" i="1"/>
  <c r="M349" i="1"/>
  <c r="M350" i="1"/>
  <c r="M351" i="1"/>
  <c r="M352" i="1"/>
  <c r="M353" i="1"/>
  <c r="M354" i="1"/>
  <c r="M355" i="1"/>
  <c r="M356" i="1"/>
  <c r="M357" i="1"/>
  <c r="M358" i="1"/>
  <c r="M359" i="1"/>
  <c r="M360" i="1"/>
  <c r="M361" i="1"/>
  <c r="M362" i="1"/>
  <c r="M363" i="1"/>
  <c r="M364" i="1"/>
  <c r="M365" i="1"/>
  <c r="M366" i="1"/>
  <c r="M367" i="1"/>
  <c r="M368" i="1"/>
  <c r="M369" i="1"/>
  <c r="M370" i="1"/>
  <c r="M371" i="1"/>
  <c r="M372" i="1"/>
  <c r="M373" i="1"/>
  <c r="M374" i="1"/>
  <c r="M375" i="1"/>
  <c r="M376" i="1"/>
  <c r="M377" i="1"/>
  <c r="M378" i="1"/>
  <c r="M379" i="1"/>
  <c r="M380" i="1"/>
  <c r="M381" i="1"/>
  <c r="M382" i="1"/>
  <c r="M383" i="1"/>
  <c r="M384" i="1"/>
  <c r="M385" i="1"/>
  <c r="M386" i="1"/>
  <c r="M387" i="1"/>
  <c r="M388" i="1"/>
  <c r="M389" i="1"/>
  <c r="M390" i="1"/>
  <c r="M391" i="1"/>
  <c r="M392" i="1"/>
  <c r="M393" i="1"/>
  <c r="M394" i="1"/>
  <c r="M395" i="1"/>
  <c r="M396" i="1"/>
  <c r="M397" i="1"/>
  <c r="M398" i="1"/>
  <c r="M399" i="1"/>
  <c r="M400" i="1"/>
  <c r="M401" i="1"/>
  <c r="M402" i="1"/>
  <c r="M403" i="1"/>
  <c r="M404" i="1"/>
  <c r="M405" i="1"/>
  <c r="M406" i="1"/>
  <c r="M407" i="1"/>
  <c r="M408" i="1"/>
  <c r="M409" i="1"/>
  <c r="M410" i="1"/>
  <c r="M411" i="1"/>
  <c r="M412" i="1"/>
  <c r="M413" i="1"/>
  <c r="M414" i="1"/>
  <c r="M415" i="1"/>
  <c r="M416" i="1"/>
  <c r="M417" i="1"/>
  <c r="M418" i="1"/>
  <c r="M419" i="1"/>
  <c r="M420" i="1"/>
  <c r="M421" i="1"/>
  <c r="M422" i="1"/>
  <c r="M423" i="1"/>
  <c r="M424" i="1"/>
  <c r="M425" i="1"/>
  <c r="M426" i="1"/>
  <c r="M427" i="1"/>
  <c r="M428" i="1"/>
  <c r="M429" i="1"/>
  <c r="M430" i="1"/>
  <c r="M431" i="1"/>
  <c r="M432" i="1"/>
  <c r="M433" i="1"/>
  <c r="M434" i="1"/>
  <c r="M435" i="1"/>
  <c r="M436" i="1"/>
  <c r="M437" i="1"/>
  <c r="M438" i="1"/>
  <c r="M439" i="1"/>
  <c r="M440" i="1"/>
  <c r="M441" i="1"/>
  <c r="M442" i="1"/>
  <c r="M443" i="1"/>
  <c r="M444" i="1"/>
  <c r="M445" i="1"/>
  <c r="M446" i="1"/>
  <c r="M447" i="1"/>
  <c r="M448" i="1"/>
  <c r="M449" i="1"/>
  <c r="M450" i="1"/>
  <c r="M451" i="1"/>
  <c r="M452" i="1"/>
  <c r="M453" i="1"/>
  <c r="M454" i="1"/>
  <c r="M455" i="1"/>
  <c r="M456" i="1"/>
  <c r="M457" i="1"/>
  <c r="M458" i="1"/>
  <c r="M459" i="1"/>
  <c r="M460" i="1"/>
  <c r="M461" i="1"/>
  <c r="M462" i="1"/>
  <c r="M463" i="1"/>
  <c r="M464" i="1"/>
  <c r="M465" i="1"/>
  <c r="M466" i="1"/>
  <c r="M467" i="1"/>
  <c r="M468" i="1"/>
  <c r="M469" i="1"/>
  <c r="M470" i="1"/>
  <c r="M471" i="1"/>
  <c r="M472" i="1"/>
  <c r="M473" i="1"/>
  <c r="M474" i="1"/>
  <c r="M475" i="1"/>
  <c r="M476" i="1"/>
  <c r="M477" i="1"/>
  <c r="M478" i="1"/>
  <c r="M479" i="1"/>
  <c r="M480" i="1"/>
  <c r="M481" i="1"/>
  <c r="M482" i="1"/>
  <c r="M483" i="1"/>
  <c r="M484" i="1"/>
  <c r="M485" i="1"/>
  <c r="M486" i="1"/>
  <c r="M487" i="1"/>
  <c r="M488" i="1"/>
  <c r="M489" i="1"/>
  <c r="M490" i="1"/>
  <c r="M491" i="1"/>
  <c r="M492" i="1"/>
  <c r="M493" i="1"/>
  <c r="M494" i="1"/>
  <c r="M495" i="1"/>
  <c r="M496" i="1"/>
  <c r="M497" i="1"/>
  <c r="M498" i="1"/>
  <c r="M499" i="1"/>
  <c r="M500" i="1"/>
  <c r="M501" i="1"/>
  <c r="M502" i="1"/>
  <c r="M503" i="1"/>
  <c r="M504" i="1"/>
  <c r="M505" i="1"/>
  <c r="M506" i="1"/>
  <c r="M507" i="1"/>
  <c r="M508" i="1"/>
  <c r="M509" i="1"/>
  <c r="M510" i="1"/>
  <c r="M511" i="1"/>
  <c r="M514" i="1"/>
  <c r="M515" i="1"/>
  <c r="M513" i="1"/>
  <c r="M512" i="1"/>
  <c r="M517" i="1"/>
  <c r="M516" i="1"/>
  <c r="M518" i="1"/>
  <c r="M520" i="1"/>
  <c r="M521" i="1"/>
  <c r="M522" i="1"/>
  <c r="M519" i="1"/>
  <c r="M525" i="1"/>
  <c r="M523" i="1"/>
  <c r="M524" i="1"/>
  <c r="M527" i="1"/>
  <c r="M526" i="1"/>
  <c r="M528" i="1"/>
  <c r="M530" i="1"/>
  <c r="M529" i="1"/>
  <c r="M531" i="1"/>
  <c r="M533" i="1"/>
  <c r="M532" i="1"/>
  <c r="M537" i="1"/>
  <c r="M538" i="1"/>
  <c r="M534" i="1"/>
  <c r="M535" i="1"/>
  <c r="M536" i="1"/>
  <c r="M542" i="1"/>
  <c r="M541" i="1"/>
  <c r="M539" i="1"/>
  <c r="M540" i="1"/>
  <c r="M544" i="1"/>
  <c r="M543" i="1"/>
  <c r="M545" i="1"/>
  <c r="M547" i="1"/>
  <c r="M546" i="1"/>
  <c r="M550" i="1"/>
  <c r="M548" i="1"/>
  <c r="M549" i="1"/>
  <c r="M552" i="1"/>
  <c r="M551" i="1"/>
  <c r="M553" i="1"/>
  <c r="M555" i="1"/>
  <c r="M554" i="1"/>
  <c r="M556" i="1"/>
  <c r="M557" i="1"/>
  <c r="M558" i="1"/>
  <c r="M559" i="1"/>
  <c r="M560" i="1"/>
  <c r="M561" i="1"/>
  <c r="M563" i="1"/>
  <c r="M562" i="1"/>
  <c r="M564" i="1"/>
  <c r="M565" i="1"/>
  <c r="M567" i="1"/>
  <c r="M566" i="1"/>
  <c r="M569" i="1"/>
  <c r="M568" i="1"/>
  <c r="M571" i="1"/>
  <c r="M570" i="1"/>
  <c r="M574" i="1"/>
  <c r="M572" i="1"/>
  <c r="M573" i="1"/>
  <c r="M575" i="1"/>
  <c r="M576" i="1"/>
  <c r="M579" i="1"/>
  <c r="M577" i="1"/>
  <c r="M581" i="1"/>
  <c r="M578" i="1"/>
  <c r="M580" i="1"/>
  <c r="M582" i="1"/>
  <c r="M583" i="1"/>
  <c r="M586" i="1"/>
  <c r="M585" i="1"/>
  <c r="M584" i="1"/>
  <c r="M590" i="1"/>
  <c r="M588" i="1"/>
  <c r="M589" i="1"/>
  <c r="M587" i="1"/>
  <c r="M592" i="1"/>
  <c r="M591" i="1"/>
  <c r="M593" i="1"/>
  <c r="M597" i="1"/>
  <c r="M596" i="1"/>
  <c r="M594" i="1"/>
  <c r="M595" i="1"/>
  <c r="M598" i="1"/>
  <c r="M605" i="1"/>
  <c r="M603" i="1"/>
  <c r="M599" i="1"/>
  <c r="M602" i="1"/>
  <c r="M606" i="1"/>
  <c r="M604" i="1"/>
  <c r="M601" i="1"/>
  <c r="M600" i="1"/>
  <c r="M611" i="1"/>
  <c r="M608" i="1"/>
  <c r="M607" i="1"/>
  <c r="M609" i="1"/>
  <c r="M610" i="1"/>
  <c r="M614" i="1"/>
  <c r="M613" i="1"/>
  <c r="M615" i="1"/>
  <c r="M612" i="1"/>
  <c r="M663" i="1"/>
  <c r="M664" i="1"/>
  <c r="M665" i="1"/>
  <c r="M666" i="1"/>
  <c r="M667" i="1"/>
  <c r="M668" i="1"/>
  <c r="M669" i="1"/>
  <c r="M670" i="1"/>
  <c r="M671" i="1"/>
  <c r="M672" i="1"/>
  <c r="M673" i="1"/>
  <c r="M674" i="1"/>
  <c r="M675" i="1"/>
  <c r="M676" i="1"/>
  <c r="M677" i="1"/>
  <c r="M678" i="1"/>
  <c r="M679" i="1"/>
  <c r="M680" i="1"/>
  <c r="M681" i="1"/>
  <c r="M682" i="1"/>
  <c r="M683" i="1"/>
  <c r="M684" i="1"/>
  <c r="M685" i="1"/>
  <c r="M686" i="1"/>
  <c r="M687" i="1"/>
  <c r="M688" i="1"/>
  <c r="M689" i="1"/>
  <c r="M690" i="1"/>
  <c r="M691" i="1"/>
  <c r="M692" i="1"/>
  <c r="M693" i="1"/>
  <c r="M694" i="1"/>
  <c r="M695" i="1"/>
  <c r="M696" i="1"/>
  <c r="M697" i="1"/>
  <c r="M698" i="1"/>
  <c r="M699" i="1"/>
  <c r="M700" i="1"/>
  <c r="M701" i="1"/>
  <c r="M702" i="1"/>
  <c r="M703" i="1"/>
  <c r="M704" i="1"/>
  <c r="M705" i="1"/>
  <c r="M706" i="1"/>
  <c r="M728" i="1"/>
  <c r="M729" i="1"/>
  <c r="M730" i="1"/>
  <c r="M731" i="1"/>
  <c r="M732" i="1"/>
  <c r="M733" i="1"/>
  <c r="M734" i="1"/>
  <c r="M735" i="1"/>
  <c r="M736" i="1"/>
  <c r="M737" i="1"/>
  <c r="M738" i="1"/>
  <c r="M739" i="1"/>
  <c r="M740" i="1"/>
  <c r="M741" i="1"/>
  <c r="M742" i="1"/>
  <c r="M743" i="1"/>
  <c r="M744" i="1"/>
  <c r="M745" i="1"/>
  <c r="M746" i="1"/>
  <c r="M747" i="1"/>
  <c r="M748" i="1"/>
  <c r="M749" i="1"/>
  <c r="M750" i="1"/>
  <c r="M751" i="1"/>
  <c r="M752" i="1"/>
  <c r="M753" i="1"/>
  <c r="M754" i="1"/>
  <c r="M755" i="1"/>
  <c r="M756" i="1"/>
  <c r="M757" i="1"/>
  <c r="M758" i="1"/>
  <c r="M759" i="1"/>
  <c r="M760" i="1"/>
  <c r="M761" i="1"/>
  <c r="M762" i="1"/>
  <c r="M774" i="1"/>
  <c r="M775" i="1"/>
  <c r="M776" i="1"/>
  <c r="M777" i="1"/>
  <c r="M778" i="1"/>
  <c r="M779" i="1"/>
  <c r="M780" i="1"/>
  <c r="M781" i="1"/>
  <c r="M782" i="1"/>
  <c r="M783" i="1"/>
  <c r="M784" i="1"/>
  <c r="M785" i="1"/>
  <c r="M786" i="1"/>
  <c r="M787" i="1"/>
  <c r="M788" i="1"/>
  <c r="M789" i="1"/>
  <c r="M790" i="1"/>
  <c r="M791" i="1"/>
  <c r="M792" i="1"/>
  <c r="M793" i="1"/>
  <c r="M794" i="1"/>
  <c r="M795" i="1"/>
  <c r="M796" i="1"/>
  <c r="M797" i="1"/>
  <c r="M798" i="1"/>
  <c r="M799" i="1"/>
  <c r="M800" i="1"/>
  <c r="M801" i="1"/>
  <c r="M802" i="1"/>
  <c r="M803" i="1"/>
  <c r="M804" i="1"/>
  <c r="M805" i="1"/>
  <c r="M806" i="1"/>
  <c r="M807" i="1"/>
  <c r="M808" i="1"/>
  <c r="M809" i="1"/>
  <c r="M810" i="1"/>
  <c r="M811" i="1"/>
  <c r="M824" i="1"/>
  <c r="M825" i="1"/>
  <c r="M826" i="1"/>
  <c r="M827" i="1"/>
  <c r="M828" i="1"/>
  <c r="M829" i="1"/>
  <c r="M830" i="1"/>
  <c r="M831" i="1"/>
  <c r="M832" i="1"/>
  <c r="M833" i="1"/>
  <c r="M834" i="1"/>
  <c r="M835" i="1"/>
  <c r="M836" i="1"/>
  <c r="M837" i="1"/>
  <c r="M838" i="1"/>
  <c r="M839" i="1"/>
  <c r="M840" i="1"/>
  <c r="M841" i="1"/>
  <c r="M842" i="1"/>
  <c r="M843" i="1"/>
  <c r="M844" i="1"/>
  <c r="M845" i="1"/>
  <c r="M846" i="1"/>
  <c r="M847" i="1"/>
  <c r="M848" i="1"/>
  <c r="M849" i="1"/>
  <c r="M850" i="1"/>
  <c r="M851" i="1"/>
  <c r="M852" i="1"/>
  <c r="M853" i="1"/>
  <c r="M854" i="1"/>
  <c r="M855" i="1"/>
  <c r="M856" i="1"/>
  <c r="M857" i="1"/>
  <c r="M858" i="1"/>
  <c r="M859" i="1"/>
  <c r="M860" i="1"/>
  <c r="M861" i="1"/>
  <c r="M862" i="1"/>
  <c r="M863" i="1"/>
  <c r="M864" i="1"/>
  <c r="M865" i="1"/>
  <c r="M866" i="1"/>
  <c r="M867" i="1"/>
  <c r="M868" i="1"/>
  <c r="M869" i="1"/>
  <c r="M870" i="1"/>
  <c r="M871" i="1"/>
  <c r="M872" i="1"/>
  <c r="M873" i="1"/>
  <c r="M874" i="1"/>
  <c r="M875" i="1"/>
  <c r="M876" i="1"/>
  <c r="M877" i="1"/>
  <c r="M878" i="1"/>
  <c r="M879" i="1"/>
  <c r="M880" i="1"/>
  <c r="M881" i="1"/>
  <c r="M882" i="1"/>
  <c r="M883" i="1"/>
  <c r="M884" i="1"/>
  <c r="M885" i="1"/>
  <c r="M886" i="1"/>
  <c r="M887" i="1"/>
  <c r="M888" i="1"/>
  <c r="M889" i="1"/>
  <c r="M890" i="1"/>
  <c r="M891" i="1"/>
  <c r="M892" i="1"/>
  <c r="M893" i="1"/>
  <c r="M894" i="1"/>
  <c r="M895" i="1"/>
  <c r="M896" i="1"/>
  <c r="M897" i="1"/>
  <c r="M898" i="1"/>
  <c r="M899" i="1"/>
  <c r="M900" i="1"/>
  <c r="M901" i="1"/>
  <c r="M902" i="1"/>
  <c r="M903" i="1"/>
  <c r="M904" i="1"/>
  <c r="M905" i="1"/>
  <c r="M906" i="1"/>
  <c r="M907" i="1"/>
  <c r="M908" i="1"/>
  <c r="M909" i="1"/>
  <c r="M910" i="1"/>
  <c r="M911" i="1"/>
  <c r="M912" i="1"/>
  <c r="M913" i="1"/>
  <c r="M914" i="1"/>
  <c r="M915" i="1"/>
  <c r="M916" i="1"/>
  <c r="M917" i="1"/>
  <c r="M918" i="1"/>
  <c r="M919" i="1"/>
  <c r="M920" i="1"/>
  <c r="M921" i="1"/>
  <c r="M922" i="1"/>
  <c r="M923" i="1"/>
  <c r="M924" i="1"/>
  <c r="M925" i="1"/>
  <c r="M926" i="1"/>
  <c r="M927" i="1"/>
  <c r="M928" i="1"/>
  <c r="M929" i="1"/>
  <c r="M930" i="1"/>
  <c r="M931" i="1"/>
  <c r="M932" i="1"/>
  <c r="M933" i="1"/>
  <c r="M934" i="1"/>
  <c r="M935" i="1"/>
  <c r="M936" i="1"/>
  <c r="M937" i="1"/>
  <c r="M938" i="1"/>
  <c r="M939" i="1"/>
  <c r="M940" i="1"/>
  <c r="M941" i="1"/>
  <c r="M942" i="1"/>
  <c r="M943" i="1"/>
  <c r="M944" i="1"/>
  <c r="M945" i="1"/>
  <c r="M946" i="1"/>
  <c r="M947" i="1"/>
  <c r="M948" i="1"/>
  <c r="M949" i="1"/>
  <c r="M950" i="1"/>
  <c r="M951" i="1"/>
  <c r="M952" i="1"/>
  <c r="M953" i="1"/>
  <c r="M954" i="1"/>
  <c r="M955" i="1"/>
  <c r="M956" i="1"/>
  <c r="M957" i="1"/>
  <c r="M958" i="1"/>
  <c r="M959" i="1"/>
  <c r="M960" i="1"/>
  <c r="M961" i="1"/>
  <c r="M962" i="1"/>
  <c r="M963" i="1"/>
  <c r="M964" i="1"/>
  <c r="M965" i="1"/>
  <c r="M966" i="1"/>
  <c r="M967" i="1"/>
  <c r="M968" i="1"/>
  <c r="M969" i="1"/>
  <c r="M970" i="1"/>
  <c r="M971" i="1"/>
  <c r="M972" i="1"/>
  <c r="M973" i="1"/>
  <c r="M974" i="1"/>
  <c r="M975" i="1"/>
  <c r="M976" i="1"/>
  <c r="M977" i="1"/>
  <c r="M978" i="1"/>
  <c r="M979" i="1"/>
  <c r="M980" i="1"/>
  <c r="M981" i="1"/>
  <c r="M982" i="1"/>
  <c r="M983" i="1"/>
  <c r="M984" i="1"/>
  <c r="M985" i="1"/>
  <c r="M986" i="1"/>
  <c r="M987" i="1"/>
  <c r="M988" i="1"/>
  <c r="M989" i="1"/>
  <c r="M990" i="1"/>
  <c r="M991" i="1"/>
  <c r="M992" i="1"/>
  <c r="M993" i="1"/>
  <c r="M994" i="1"/>
  <c r="M995" i="1"/>
  <c r="M996" i="1"/>
  <c r="M997" i="1"/>
  <c r="M998" i="1"/>
  <c r="M999" i="1"/>
  <c r="M1000" i="1"/>
  <c r="M1001" i="1"/>
  <c r="M1002" i="1"/>
  <c r="M1003" i="1"/>
  <c r="M1004" i="1"/>
  <c r="M1005" i="1"/>
  <c r="M1006" i="1"/>
  <c r="M1007" i="1"/>
  <c r="M1008" i="1"/>
  <c r="M1009" i="1"/>
  <c r="M1010" i="1"/>
  <c r="M1011" i="1"/>
  <c r="M1012" i="1"/>
  <c r="M1013" i="1"/>
  <c r="M1014" i="1"/>
  <c r="M1015" i="1"/>
  <c r="M1016" i="1"/>
  <c r="M1017" i="1"/>
  <c r="M1018" i="1"/>
  <c r="M1019" i="1"/>
  <c r="M1020" i="1"/>
  <c r="M1021" i="1"/>
  <c r="M1022" i="1"/>
  <c r="M1023" i="1"/>
  <c r="M1024" i="1"/>
  <c r="M1025" i="1"/>
  <c r="M1026" i="1"/>
  <c r="M1027" i="1"/>
  <c r="M1028" i="1"/>
  <c r="M1029" i="1"/>
  <c r="M1030" i="1"/>
  <c r="M1031" i="1"/>
  <c r="M1032" i="1"/>
  <c r="M1033" i="1"/>
  <c r="M1034" i="1"/>
  <c r="M1035" i="1"/>
  <c r="M1036" i="1"/>
  <c r="M1037" i="1"/>
  <c r="M1038" i="1"/>
  <c r="M1039" i="1"/>
  <c r="M1040" i="1"/>
  <c r="M1041" i="1"/>
  <c r="M1042" i="1"/>
  <c r="M1043" i="1"/>
  <c r="M1044" i="1"/>
  <c r="M1045" i="1"/>
  <c r="M1046" i="1"/>
  <c r="M1047" i="1"/>
  <c r="M1048" i="1"/>
  <c r="M1049" i="1"/>
  <c r="M1050" i="1"/>
  <c r="M1051" i="1"/>
  <c r="M1052" i="1"/>
  <c r="M1053" i="1"/>
  <c r="M1054" i="1"/>
  <c r="M1055" i="1"/>
  <c r="M1056" i="1"/>
  <c r="M1057" i="1"/>
  <c r="M1058" i="1"/>
  <c r="M1059" i="1"/>
  <c r="M1060" i="1"/>
  <c r="M1061" i="1"/>
  <c r="M1062" i="1"/>
  <c r="M1063" i="1"/>
  <c r="M1064" i="1"/>
  <c r="M1065" i="1"/>
  <c r="M1066" i="1"/>
  <c r="M1067" i="1"/>
  <c r="M1068" i="1"/>
  <c r="M1069" i="1"/>
  <c r="M1070" i="1"/>
  <c r="M1071" i="1"/>
  <c r="M1072" i="1"/>
  <c r="M1073" i="1"/>
  <c r="M1074" i="1"/>
  <c r="M1075" i="1"/>
  <c r="M1076" i="1"/>
  <c r="M1077" i="1"/>
  <c r="M1078" i="1"/>
  <c r="M1079" i="1"/>
  <c r="M1080" i="1"/>
  <c r="M1081" i="1"/>
  <c r="M1082" i="1"/>
  <c r="M1083" i="1"/>
  <c r="M1084" i="1"/>
  <c r="M1085" i="1"/>
  <c r="M1086" i="1"/>
  <c r="M1087" i="1"/>
  <c r="M1088" i="1"/>
  <c r="M1089" i="1"/>
  <c r="M1090" i="1"/>
  <c r="M1099" i="1"/>
  <c r="M1100" i="1"/>
  <c r="M1101" i="1"/>
  <c r="M1102" i="1"/>
  <c r="M1103" i="1"/>
  <c r="M1104" i="1"/>
  <c r="M1105" i="1"/>
  <c r="M1106" i="1"/>
  <c r="M1107" i="1"/>
  <c r="M1108" i="1"/>
  <c r="M1109" i="1"/>
  <c r="M1110" i="1"/>
  <c r="M1111" i="1"/>
  <c r="M1112" i="1"/>
  <c r="M1113" i="1"/>
  <c r="M1114" i="1"/>
  <c r="M1115" i="1"/>
  <c r="M1116" i="1"/>
  <c r="M1117" i="1"/>
  <c r="M1118" i="1"/>
  <c r="M1119" i="1"/>
  <c r="M1120" i="1"/>
  <c r="M1121" i="1"/>
  <c r="M1122" i="1"/>
  <c r="M1123" i="1"/>
  <c r="M1124" i="1"/>
  <c r="M1125" i="1"/>
  <c r="M1126" i="1"/>
  <c r="M1127" i="1"/>
  <c r="M1128" i="1"/>
  <c r="M1129" i="1"/>
  <c r="M1130" i="1"/>
  <c r="M1131" i="1"/>
  <c r="M1132" i="1"/>
  <c r="M1133" i="1"/>
  <c r="M1134" i="1"/>
  <c r="M1135" i="1"/>
  <c r="M1136" i="1"/>
  <c r="M1137" i="1"/>
  <c r="M1138" i="1"/>
  <c r="M1139" i="1"/>
  <c r="M1140" i="1"/>
  <c r="M1141" i="1"/>
  <c r="M1142" i="1"/>
  <c r="M1143" i="1"/>
  <c r="M1144" i="1"/>
  <c r="M1145" i="1"/>
  <c r="M1146" i="1"/>
  <c r="M1147" i="1"/>
  <c r="M1148" i="1"/>
  <c r="M1149" i="1"/>
  <c r="M1150" i="1"/>
  <c r="M1151" i="1"/>
  <c r="M1152" i="1"/>
  <c r="M1153" i="1"/>
  <c r="M1154" i="1"/>
  <c r="M1155" i="1"/>
  <c r="M1156" i="1"/>
  <c r="M1157" i="1"/>
  <c r="M1158" i="1"/>
  <c r="M1159" i="1"/>
  <c r="M1160" i="1"/>
  <c r="M1161" i="1"/>
  <c r="M1162" i="1"/>
  <c r="M1163" i="1"/>
  <c r="M1164" i="1"/>
  <c r="M1165" i="1"/>
  <c r="M1166" i="1"/>
  <c r="M1167" i="1"/>
  <c r="M1168" i="1"/>
  <c r="M1169" i="1"/>
  <c r="M1170" i="1"/>
  <c r="M1171" i="1"/>
  <c r="M1172" i="1"/>
  <c r="M1173" i="1"/>
  <c r="M1174" i="1"/>
  <c r="M1175" i="1"/>
  <c r="M1176" i="1"/>
  <c r="M1177" i="1"/>
  <c r="M1178" i="1"/>
  <c r="M1179" i="1"/>
  <c r="M1180" i="1"/>
  <c r="M1181" i="1"/>
  <c r="M1182" i="1"/>
  <c r="M1183" i="1"/>
  <c r="M1184" i="1"/>
  <c r="M1185" i="1"/>
  <c r="M1186" i="1"/>
  <c r="M1187" i="1"/>
  <c r="M1188" i="1"/>
  <c r="M1189" i="1"/>
  <c r="M1190" i="1"/>
  <c r="M1191" i="1"/>
  <c r="M1192" i="1"/>
  <c r="M1193" i="1"/>
  <c r="M1194" i="1"/>
  <c r="M1195" i="1"/>
  <c r="M1196" i="1"/>
  <c r="M1197" i="1"/>
  <c r="M1198" i="1"/>
  <c r="M1199" i="1"/>
  <c r="M1200" i="1"/>
  <c r="M1201" i="1"/>
  <c r="M1202" i="1"/>
  <c r="M1203" i="1"/>
  <c r="M1204" i="1"/>
  <c r="M1205" i="1"/>
  <c r="M1206" i="1"/>
  <c r="M1207" i="1"/>
  <c r="M1208" i="1"/>
  <c r="M1209" i="1"/>
  <c r="M1210" i="1"/>
  <c r="M1211" i="1"/>
  <c r="M1212" i="1"/>
  <c r="M1213" i="1"/>
  <c r="M1214" i="1"/>
  <c r="M1215" i="1"/>
  <c r="M1216" i="1"/>
  <c r="M1217" i="1"/>
  <c r="M1218" i="1"/>
  <c r="M1219" i="1"/>
  <c r="M1220" i="1"/>
  <c r="M1221" i="1"/>
  <c r="M1222" i="1"/>
  <c r="M1223" i="1"/>
  <c r="M1224" i="1"/>
  <c r="M1225" i="1"/>
  <c r="M1226" i="1"/>
  <c r="M1227" i="1"/>
  <c r="M1228" i="1"/>
  <c r="M1229" i="1"/>
  <c r="M1230" i="1"/>
  <c r="M1231" i="1"/>
  <c r="M1232" i="1"/>
  <c r="M1233" i="1"/>
  <c r="M1234" i="1"/>
  <c r="M1235" i="1"/>
  <c r="M1236" i="1"/>
  <c r="M1237" i="1"/>
  <c r="M1238" i="1"/>
  <c r="M1239" i="1"/>
  <c r="M1240" i="1"/>
  <c r="M1241" i="1"/>
  <c r="M1242" i="1"/>
  <c r="M1243" i="1"/>
  <c r="M1244" i="1"/>
  <c r="M1245" i="1"/>
  <c r="M1246" i="1"/>
  <c r="M1247" i="1"/>
  <c r="M1248" i="1"/>
  <c r="M1249" i="1"/>
  <c r="M1250" i="1"/>
  <c r="M1251" i="1"/>
  <c r="M1252" i="1"/>
  <c r="M1253" i="1"/>
  <c r="M1254" i="1"/>
  <c r="M1255" i="1"/>
  <c r="M1256" i="1"/>
  <c r="M1257" i="1"/>
  <c r="M1258" i="1"/>
  <c r="M1259" i="1"/>
  <c r="M1260" i="1"/>
  <c r="M1261" i="1"/>
  <c r="M1262" i="1"/>
  <c r="M1263" i="1"/>
  <c r="M1264" i="1"/>
  <c r="M1265" i="1"/>
  <c r="M1266" i="1"/>
  <c r="M1267" i="1"/>
  <c r="M1268" i="1"/>
  <c r="M1269" i="1"/>
  <c r="M1270" i="1"/>
  <c r="M1271" i="1"/>
  <c r="M1272" i="1"/>
  <c r="M1273" i="1"/>
  <c r="M1274" i="1"/>
  <c r="M1275" i="1"/>
  <c r="M1276" i="1"/>
  <c r="M1277" i="1"/>
  <c r="M1278" i="1"/>
  <c r="M1279" i="1"/>
  <c r="M1280" i="1"/>
  <c r="M1281" i="1"/>
  <c r="M1282" i="1"/>
  <c r="M1283" i="1"/>
  <c r="M1284" i="1"/>
  <c r="M1285" i="1"/>
  <c r="M1286" i="1"/>
  <c r="M1287" i="1"/>
  <c r="M1288" i="1"/>
  <c r="M1289" i="1"/>
  <c r="M1290" i="1"/>
  <c r="M1291" i="1"/>
  <c r="M1292" i="1"/>
  <c r="M1293" i="1"/>
  <c r="M1294" i="1"/>
  <c r="M1295" i="1"/>
  <c r="M1296" i="1"/>
  <c r="M1297" i="1"/>
  <c r="M1298" i="1"/>
  <c r="M1299" i="1"/>
  <c r="M1300" i="1"/>
  <c r="M1301" i="1"/>
  <c r="M1302" i="1"/>
  <c r="M1303" i="1"/>
  <c r="M1304" i="1"/>
  <c r="M1305" i="1"/>
  <c r="M1306" i="1"/>
  <c r="M1307" i="1"/>
  <c r="M1308" i="1"/>
  <c r="M1309" i="1"/>
  <c r="M1310" i="1"/>
  <c r="M1311" i="1"/>
  <c r="M1312" i="1"/>
  <c r="M1313" i="1"/>
  <c r="M1314" i="1"/>
  <c r="M1315" i="1"/>
  <c r="M1316" i="1"/>
  <c r="M1317" i="1"/>
  <c r="M1318" i="1"/>
  <c r="M1319" i="1"/>
  <c r="M1320" i="1"/>
  <c r="M1321" i="1"/>
  <c r="M1322" i="1"/>
  <c r="M1323" i="1"/>
  <c r="M1324" i="1"/>
  <c r="M1325" i="1"/>
  <c r="M1326" i="1"/>
  <c r="M1327" i="1"/>
  <c r="M1328" i="1"/>
  <c r="M1329" i="1"/>
  <c r="M1330" i="1"/>
  <c r="M1331" i="1"/>
  <c r="M1332" i="1"/>
  <c r="M1333" i="1"/>
  <c r="M1334" i="1"/>
  <c r="M1335" i="1"/>
  <c r="M1336" i="1"/>
  <c r="M1337" i="1"/>
  <c r="M1338" i="1"/>
  <c r="M1339" i="1"/>
  <c r="M1340" i="1"/>
  <c r="M1341" i="1"/>
  <c r="M1342" i="1"/>
  <c r="M1343" i="1"/>
  <c r="M1344" i="1"/>
  <c r="M1345" i="1"/>
  <c r="M1346" i="1"/>
  <c r="M1347" i="1"/>
  <c r="M1348" i="1"/>
  <c r="M1349" i="1"/>
  <c r="M1350" i="1"/>
  <c r="M1351" i="1"/>
  <c r="M1352" i="1"/>
  <c r="M1353" i="1"/>
  <c r="M1354" i="1"/>
  <c r="M1355" i="1"/>
  <c r="M1356" i="1"/>
  <c r="M1357" i="1"/>
  <c r="M1358" i="1"/>
  <c r="M1359" i="1"/>
  <c r="M1360" i="1"/>
  <c r="M1361" i="1"/>
  <c r="M1362" i="1"/>
  <c r="M1363" i="1"/>
  <c r="M1364" i="1"/>
  <c r="M1365" i="1"/>
  <c r="M1366" i="1"/>
  <c r="M1367" i="1"/>
  <c r="M1368" i="1"/>
  <c r="M1369" i="1"/>
  <c r="M1370" i="1"/>
  <c r="M1371" i="1"/>
  <c r="M1372" i="1"/>
  <c r="M1373" i="1"/>
  <c r="M1374" i="1"/>
  <c r="M1375" i="1"/>
  <c r="M1376" i="1"/>
  <c r="M1377" i="1"/>
  <c r="M1378" i="1"/>
  <c r="M1379" i="1"/>
  <c r="M1380" i="1"/>
  <c r="M1381" i="1"/>
  <c r="M1382" i="1"/>
  <c r="M1383" i="1"/>
  <c r="M1384" i="1"/>
  <c r="M1385" i="1"/>
  <c r="M1386" i="1"/>
  <c r="M1387" i="1"/>
  <c r="M1388" i="1"/>
  <c r="M1389" i="1"/>
  <c r="M1390" i="1"/>
  <c r="M1391" i="1"/>
  <c r="M1392" i="1"/>
  <c r="M1393" i="1"/>
  <c r="M1394" i="1"/>
  <c r="M1395" i="1"/>
  <c r="M1396" i="1"/>
  <c r="M1397" i="1"/>
  <c r="M1398" i="1"/>
  <c r="M1399" i="1"/>
  <c r="M1400" i="1"/>
  <c r="M1401" i="1"/>
  <c r="M1402" i="1"/>
  <c r="M1403" i="1"/>
  <c r="M1404" i="1"/>
  <c r="M1405" i="1"/>
  <c r="M1406" i="1"/>
  <c r="M1407" i="1"/>
  <c r="M1408" i="1"/>
  <c r="M1409" i="1"/>
  <c r="M1410" i="1"/>
  <c r="M1411" i="1"/>
  <c r="M1412" i="1"/>
  <c r="M1413" i="1"/>
  <c r="M1414" i="1"/>
  <c r="M1415" i="1"/>
  <c r="M1416" i="1"/>
  <c r="M1417" i="1"/>
  <c r="M1418" i="1"/>
  <c r="M1419" i="1"/>
  <c r="M1420" i="1"/>
  <c r="M1421" i="1"/>
  <c r="M1422" i="1"/>
  <c r="M1423" i="1"/>
  <c r="M1424" i="1"/>
  <c r="M1425" i="1"/>
  <c r="M1426" i="1"/>
  <c r="M1427" i="1"/>
  <c r="M1428" i="1"/>
  <c r="M1429" i="1"/>
  <c r="M1430" i="1"/>
  <c r="M1431" i="1"/>
  <c r="M1432" i="1"/>
  <c r="M1433" i="1"/>
  <c r="M1434" i="1"/>
  <c r="M1435" i="1"/>
  <c r="M1436" i="1"/>
  <c r="M1437" i="1"/>
  <c r="M1438" i="1"/>
  <c r="M1439" i="1"/>
  <c r="M1440" i="1"/>
  <c r="M1441" i="1"/>
  <c r="M1442" i="1"/>
  <c r="M1443" i="1"/>
  <c r="M1444" i="1"/>
  <c r="M1445" i="1"/>
  <c r="M1446" i="1"/>
  <c r="M1447" i="1"/>
  <c r="M1448" i="1"/>
  <c r="M1449" i="1"/>
  <c r="M1450" i="1"/>
  <c r="M1451" i="1"/>
  <c r="M1452" i="1"/>
  <c r="M1453" i="1"/>
  <c r="M1454" i="1"/>
  <c r="M1455" i="1"/>
  <c r="M1456" i="1"/>
  <c r="M1457" i="1"/>
  <c r="M1458" i="1"/>
  <c r="M1459" i="1"/>
  <c r="M1460" i="1"/>
  <c r="M1461" i="1"/>
  <c r="M1462" i="1"/>
  <c r="M1463" i="1"/>
  <c r="M1464" i="1"/>
  <c r="M1465" i="1"/>
  <c r="M1466" i="1"/>
  <c r="M1467" i="1"/>
  <c r="M1468" i="1"/>
  <c r="M1469" i="1"/>
  <c r="M1470" i="1"/>
  <c r="M1471" i="1"/>
  <c r="M1472" i="1"/>
  <c r="M1473" i="1"/>
  <c r="M1474" i="1"/>
  <c r="M1475" i="1"/>
  <c r="M1476" i="1"/>
  <c r="M1477" i="1"/>
  <c r="M1478" i="1"/>
  <c r="M1479" i="1"/>
  <c r="M1480" i="1"/>
  <c r="M1481" i="1"/>
  <c r="M1482" i="1"/>
  <c r="M1483" i="1"/>
  <c r="M1484" i="1"/>
  <c r="M1485" i="1"/>
  <c r="M1486" i="1"/>
  <c r="M1487" i="1"/>
  <c r="M1488" i="1"/>
  <c r="M1489" i="1"/>
  <c r="M1490" i="1"/>
  <c r="M1491" i="1"/>
  <c r="M1492" i="1"/>
  <c r="M1493" i="1"/>
  <c r="M1494" i="1"/>
  <c r="M1495" i="1"/>
  <c r="M1496" i="1"/>
  <c r="M1497" i="1"/>
  <c r="M1498" i="1"/>
  <c r="M1499" i="1"/>
  <c r="M1500" i="1"/>
  <c r="M1501" i="1"/>
  <c r="M1502" i="1"/>
  <c r="M1503" i="1"/>
  <c r="M1504" i="1"/>
  <c r="M1505" i="1"/>
  <c r="M1506" i="1"/>
  <c r="M1507" i="1"/>
  <c r="M1508" i="1"/>
  <c r="M1509" i="1"/>
  <c r="M1510" i="1"/>
  <c r="M1511" i="1"/>
  <c r="M1512" i="1"/>
  <c r="M1513" i="1"/>
  <c r="M1514" i="1"/>
  <c r="M1515" i="1"/>
  <c r="M1516" i="1"/>
  <c r="M1517" i="1"/>
  <c r="M1518" i="1"/>
  <c r="M1519" i="1"/>
  <c r="M1520" i="1"/>
  <c r="M1521" i="1"/>
  <c r="M1522" i="1"/>
  <c r="M1523" i="1"/>
  <c r="M1524" i="1"/>
  <c r="M1525" i="1"/>
  <c r="M1526" i="1"/>
  <c r="M1527" i="1"/>
  <c r="M1528" i="1"/>
  <c r="M1529" i="1"/>
  <c r="M1530" i="1"/>
  <c r="M1531" i="1"/>
  <c r="M1532" i="1"/>
  <c r="M1533" i="1"/>
  <c r="M1534" i="1"/>
  <c r="M1535" i="1"/>
  <c r="M1536" i="1"/>
  <c r="M1537" i="1"/>
  <c r="M1538" i="1"/>
  <c r="M1539" i="1"/>
  <c r="M1540" i="1"/>
  <c r="M1541" i="1"/>
  <c r="M1542" i="1"/>
  <c r="M1543" i="1"/>
  <c r="M1544" i="1"/>
  <c r="M1545" i="1"/>
  <c r="M1546" i="1"/>
  <c r="M1547" i="1"/>
  <c r="M1548" i="1"/>
  <c r="M1549" i="1"/>
  <c r="M1550" i="1"/>
  <c r="M1551" i="1"/>
  <c r="M1552" i="1"/>
  <c r="M1553" i="1"/>
  <c r="M1554" i="1"/>
  <c r="M1555" i="1"/>
  <c r="M1556" i="1"/>
  <c r="M1557" i="1"/>
  <c r="M1558" i="1"/>
  <c r="M1559" i="1"/>
  <c r="M1560" i="1"/>
  <c r="M1561" i="1"/>
  <c r="M1562" i="1"/>
  <c r="M1563" i="1"/>
  <c r="M1564" i="1"/>
  <c r="M1565" i="1"/>
  <c r="M1566" i="1"/>
  <c r="M1567" i="1"/>
  <c r="M1568" i="1"/>
  <c r="M1569" i="1"/>
  <c r="M1570" i="1"/>
  <c r="M1571" i="1"/>
  <c r="M1572" i="1"/>
  <c r="M1573" i="1"/>
  <c r="M1574" i="1"/>
  <c r="M1575" i="1"/>
  <c r="M1576" i="1"/>
  <c r="M1577" i="1"/>
  <c r="M1578" i="1"/>
  <c r="M1579" i="1"/>
  <c r="M1580" i="1"/>
  <c r="M1581" i="1"/>
  <c r="M1582" i="1"/>
  <c r="M1583" i="1"/>
  <c r="M1584" i="1"/>
  <c r="M1585" i="1"/>
  <c r="M1586" i="1"/>
  <c r="M1587" i="1"/>
  <c r="M1588" i="1"/>
  <c r="M1589" i="1"/>
  <c r="M1590" i="1"/>
  <c r="M1591" i="1"/>
  <c r="M1592" i="1"/>
  <c r="M1593" i="1"/>
  <c r="M1594" i="1"/>
  <c r="M1595" i="1"/>
  <c r="M1596" i="1"/>
  <c r="M1597" i="1"/>
  <c r="M1598" i="1"/>
  <c r="M1599" i="1"/>
  <c r="M1600" i="1"/>
  <c r="M1601" i="1"/>
  <c r="M1602" i="1"/>
  <c r="M1603" i="1"/>
  <c r="M1604" i="1"/>
  <c r="M1605" i="1"/>
  <c r="M1606" i="1"/>
  <c r="M1607" i="1"/>
  <c r="M1608" i="1"/>
  <c r="M1609" i="1"/>
  <c r="M1610" i="1"/>
  <c r="M1611" i="1"/>
  <c r="M1612" i="1"/>
  <c r="M1613" i="1"/>
  <c r="M1614" i="1"/>
  <c r="M1615" i="1"/>
  <c r="M1616" i="1"/>
  <c r="M1617" i="1"/>
  <c r="M1618" i="1"/>
  <c r="M1619" i="1"/>
  <c r="M1620" i="1"/>
  <c r="M1621" i="1"/>
  <c r="M1622" i="1"/>
  <c r="M1623" i="1"/>
  <c r="M1624" i="1"/>
  <c r="M1625" i="1"/>
  <c r="M1626" i="1"/>
  <c r="M1627" i="1"/>
  <c r="M1628" i="1"/>
  <c r="M1629" i="1"/>
  <c r="M1630" i="1"/>
  <c r="M1631" i="1"/>
  <c r="M1632" i="1"/>
  <c r="M1633" i="1"/>
  <c r="M1634" i="1"/>
  <c r="M1635" i="1"/>
  <c r="M1636" i="1"/>
  <c r="M1637" i="1"/>
  <c r="M1638" i="1"/>
  <c r="M1639" i="1"/>
  <c r="M1640" i="1"/>
  <c r="M1641" i="1"/>
  <c r="M1642" i="1"/>
  <c r="M1643" i="1"/>
  <c r="M1644" i="1"/>
  <c r="M1645" i="1"/>
  <c r="M1646" i="1"/>
  <c r="M1647" i="1"/>
  <c r="M1648" i="1"/>
  <c r="M1649" i="1"/>
  <c r="M1650" i="1"/>
  <c r="M1651" i="1"/>
  <c r="M1652" i="1"/>
  <c r="M1653" i="1"/>
  <c r="M1654" i="1"/>
  <c r="M1655" i="1"/>
  <c r="M1656" i="1"/>
  <c r="M1657" i="1"/>
  <c r="M1658" i="1"/>
  <c r="M1659" i="1"/>
  <c r="M1660" i="1"/>
  <c r="M1661" i="1"/>
  <c r="M1662" i="1"/>
  <c r="M1663" i="1"/>
  <c r="M1664" i="1"/>
  <c r="M1665" i="1"/>
  <c r="M1666" i="1"/>
  <c r="M1667" i="1"/>
  <c r="M1668" i="1"/>
  <c r="M1669" i="1"/>
  <c r="M1670" i="1"/>
  <c r="M1671" i="1"/>
  <c r="M1672" i="1"/>
  <c r="M1673" i="1"/>
  <c r="M1674" i="1"/>
  <c r="M1675" i="1"/>
  <c r="M1676" i="1"/>
  <c r="M1677" i="1"/>
  <c r="M1678" i="1"/>
  <c r="M1679" i="1"/>
  <c r="M1680" i="1"/>
  <c r="M1681" i="1"/>
  <c r="M1682" i="1"/>
  <c r="M1683" i="1"/>
  <c r="M1684" i="1"/>
  <c r="M1685" i="1"/>
  <c r="M1686" i="1"/>
  <c r="M1687" i="1"/>
  <c r="M1688" i="1"/>
  <c r="M1689" i="1"/>
  <c r="M1690" i="1"/>
  <c r="M1691" i="1"/>
  <c r="M1692" i="1"/>
  <c r="M1693" i="1"/>
  <c r="M1694" i="1"/>
  <c r="M1695" i="1"/>
  <c r="M1696" i="1"/>
  <c r="M1697" i="1"/>
  <c r="M1698" i="1"/>
  <c r="M1699" i="1"/>
  <c r="M1700" i="1"/>
  <c r="M1701" i="1"/>
  <c r="M1702" i="1"/>
  <c r="M1703" i="1"/>
  <c r="M1704" i="1"/>
  <c r="M1705" i="1"/>
  <c r="M1706" i="1"/>
  <c r="M1707" i="1"/>
  <c r="M1708" i="1"/>
  <c r="M1709" i="1"/>
  <c r="M1710" i="1"/>
  <c r="M1711" i="1"/>
  <c r="M1712" i="1"/>
  <c r="M1713" i="1"/>
  <c r="M1714" i="1"/>
  <c r="M1715" i="1"/>
  <c r="M1716" i="1"/>
  <c r="M1717" i="1"/>
  <c r="M1718" i="1"/>
  <c r="M1719" i="1"/>
  <c r="M1720" i="1"/>
  <c r="M1721" i="1"/>
  <c r="M1722" i="1"/>
  <c r="M1723" i="1"/>
  <c r="M1724" i="1"/>
  <c r="M1725" i="1"/>
  <c r="M1726" i="1"/>
  <c r="M1727" i="1"/>
  <c r="M1728" i="1"/>
  <c r="M1729" i="1"/>
  <c r="M1730" i="1"/>
  <c r="M1731" i="1"/>
  <c r="M1732" i="1"/>
  <c r="M1733" i="1"/>
  <c r="M1734" i="1"/>
  <c r="M1735" i="1"/>
  <c r="M1736" i="1"/>
  <c r="M1737" i="1"/>
  <c r="M1738" i="1"/>
  <c r="M1739" i="1"/>
  <c r="M1740" i="1"/>
  <c r="M1741" i="1"/>
  <c r="M1742" i="1"/>
  <c r="M1743" i="1"/>
  <c r="M1744" i="1"/>
  <c r="M1745" i="1"/>
  <c r="M1746" i="1"/>
  <c r="M1747" i="1"/>
  <c r="M1748" i="1"/>
  <c r="M1749" i="1"/>
  <c r="M1750" i="1"/>
  <c r="M1751" i="1"/>
  <c r="M1752" i="1"/>
  <c r="M1753" i="1"/>
  <c r="M1754" i="1"/>
  <c r="M1755" i="1"/>
  <c r="M1756" i="1"/>
  <c r="M1757" i="1"/>
  <c r="M1758" i="1"/>
  <c r="M1759" i="1"/>
  <c r="M1760" i="1"/>
  <c r="M1761" i="1"/>
  <c r="M1762" i="1"/>
  <c r="M1763" i="1"/>
  <c r="M1764" i="1"/>
  <c r="M1765" i="1"/>
  <c r="M1766" i="1"/>
  <c r="M1767" i="1"/>
  <c r="M1768" i="1"/>
  <c r="M1769" i="1"/>
  <c r="M1770" i="1"/>
  <c r="M1771" i="1"/>
  <c r="M1772" i="1"/>
  <c r="M1773" i="1"/>
  <c r="M1774" i="1"/>
  <c r="M1775" i="1"/>
  <c r="M1776" i="1"/>
  <c r="M1777" i="1"/>
  <c r="M1778" i="1"/>
  <c r="M1779" i="1"/>
  <c r="M1780" i="1"/>
  <c r="M1781" i="1"/>
  <c r="M1782" i="1"/>
  <c r="M1783" i="1"/>
  <c r="M1784" i="1"/>
  <c r="M1785" i="1"/>
  <c r="M1786" i="1"/>
  <c r="M1787" i="1"/>
  <c r="M1788" i="1"/>
  <c r="M1789" i="1"/>
  <c r="M1790" i="1"/>
  <c r="M1791" i="1"/>
  <c r="M1792" i="1"/>
  <c r="M1793" i="1"/>
  <c r="M1794" i="1"/>
  <c r="M1795" i="1"/>
  <c r="M1796" i="1"/>
  <c r="M1797" i="1"/>
  <c r="M1798" i="1"/>
  <c r="M1799" i="1"/>
  <c r="M1800" i="1"/>
  <c r="M1801" i="1"/>
  <c r="M1802" i="1"/>
  <c r="M1803" i="1"/>
  <c r="M1804" i="1"/>
  <c r="M1805" i="1"/>
  <c r="M1806" i="1"/>
  <c r="M1807" i="1"/>
  <c r="M1808" i="1"/>
  <c r="M1809" i="1"/>
  <c r="M1810" i="1"/>
  <c r="M1811" i="1"/>
  <c r="M1812" i="1"/>
  <c r="M1813" i="1"/>
  <c r="M1814" i="1"/>
  <c r="M1815" i="1"/>
  <c r="M1816" i="1"/>
  <c r="M1817" i="1"/>
  <c r="M1818" i="1"/>
  <c r="M1819" i="1"/>
  <c r="M1820" i="1"/>
  <c r="M1821" i="1"/>
  <c r="M1822" i="1"/>
  <c r="M1823" i="1"/>
  <c r="M1824" i="1"/>
  <c r="M1825" i="1"/>
  <c r="M1826" i="1"/>
  <c r="M1827" i="1"/>
  <c r="M1828" i="1"/>
  <c r="M1829" i="1"/>
  <c r="M1830" i="1"/>
  <c r="M1831" i="1"/>
  <c r="M1832" i="1"/>
  <c r="M1833" i="1"/>
  <c r="M1834" i="1"/>
  <c r="M1835" i="1"/>
  <c r="M1836" i="1"/>
  <c r="M1837" i="1"/>
  <c r="M1838" i="1"/>
  <c r="M1839" i="1"/>
  <c r="M1840" i="1"/>
  <c r="M1841" i="1"/>
  <c r="M1842" i="1"/>
  <c r="M1843" i="1"/>
  <c r="M1844" i="1"/>
  <c r="M1845" i="1"/>
  <c r="M1846" i="1"/>
  <c r="M1847" i="1"/>
  <c r="M1848" i="1"/>
  <c r="M1849" i="1"/>
  <c r="M1850" i="1"/>
  <c r="M1851" i="1"/>
  <c r="M1852" i="1"/>
  <c r="M1853" i="1"/>
  <c r="M1854" i="1"/>
  <c r="M1855" i="1"/>
  <c r="M1856" i="1"/>
  <c r="M1857" i="1"/>
  <c r="M1858" i="1"/>
  <c r="M1859" i="1"/>
  <c r="K2" i="1"/>
  <c r="K3" i="1"/>
  <c r="K4" i="1"/>
  <c r="K5" i="1"/>
  <c r="K6" i="1"/>
  <c r="K7" i="1"/>
  <c r="K8" i="1"/>
  <c r="K9" i="1"/>
  <c r="K10" i="1"/>
  <c r="K11" i="1"/>
  <c r="K12" i="1"/>
  <c r="K13" i="1"/>
  <c r="K14" i="1"/>
  <c r="K15" i="1"/>
  <c r="K16" i="1"/>
  <c r="K17" i="1"/>
  <c r="K18" i="1"/>
  <c r="K19" i="1"/>
  <c r="K20" i="1"/>
  <c r="K21" i="1"/>
  <c r="K22" i="1"/>
  <c r="K23" i="1"/>
  <c r="K24" i="1"/>
  <c r="K25" i="1"/>
  <c r="K26" i="1"/>
  <c r="K27" i="1"/>
  <c r="K28" i="1"/>
  <c r="K29" i="1"/>
  <c r="K30" i="1"/>
  <c r="K31" i="1"/>
  <c r="K32" i="1"/>
  <c r="K33" i="1"/>
  <c r="K34" i="1"/>
  <c r="K35" i="1"/>
  <c r="K36" i="1"/>
  <c r="K37" i="1"/>
  <c r="K38" i="1"/>
  <c r="K39" i="1"/>
  <c r="K40" i="1"/>
  <c r="K41" i="1"/>
  <c r="K42" i="1"/>
  <c r="K43" i="1"/>
  <c r="K44" i="1"/>
  <c r="K45" i="1"/>
  <c r="K46" i="1"/>
  <c r="K47" i="1"/>
  <c r="K48" i="1"/>
  <c r="K49" i="1"/>
  <c r="K50" i="1"/>
  <c r="K51" i="1"/>
  <c r="K52" i="1"/>
  <c r="K53" i="1"/>
  <c r="K54" i="1"/>
  <c r="K55" i="1"/>
  <c r="K56" i="1"/>
  <c r="K57" i="1"/>
  <c r="K58" i="1"/>
  <c r="K59" i="1"/>
  <c r="K60" i="1"/>
  <c r="K61" i="1"/>
  <c r="K62" i="1"/>
  <c r="K63" i="1"/>
  <c r="K64" i="1"/>
  <c r="K65" i="1"/>
  <c r="K66" i="1"/>
  <c r="K67" i="1"/>
  <c r="K68" i="1"/>
  <c r="K69" i="1"/>
  <c r="K70" i="1"/>
  <c r="K71" i="1"/>
  <c r="K72" i="1"/>
  <c r="K73" i="1"/>
  <c r="K74" i="1"/>
  <c r="K75" i="1"/>
  <c r="K76" i="1"/>
  <c r="K77" i="1"/>
  <c r="K78" i="1"/>
  <c r="K79" i="1"/>
  <c r="K80" i="1"/>
  <c r="K81" i="1"/>
  <c r="K82" i="1"/>
  <c r="K83" i="1"/>
  <c r="K84" i="1"/>
  <c r="K85" i="1"/>
  <c r="K86" i="1"/>
  <c r="K87" i="1"/>
  <c r="K88" i="1"/>
  <c r="K89" i="1"/>
  <c r="K90" i="1"/>
  <c r="K91" i="1"/>
  <c r="K92" i="1"/>
  <c r="K93" i="1"/>
  <c r="K94" i="1"/>
  <c r="K95" i="1"/>
  <c r="K96" i="1"/>
  <c r="K97" i="1"/>
  <c r="K98" i="1"/>
  <c r="K99" i="1"/>
  <c r="K100" i="1"/>
  <c r="K101" i="1"/>
  <c r="K102" i="1"/>
  <c r="K103" i="1"/>
  <c r="K104" i="1"/>
  <c r="K105" i="1"/>
  <c r="K106" i="1"/>
  <c r="K107" i="1"/>
  <c r="K108" i="1"/>
  <c r="K109" i="1"/>
  <c r="K110" i="1"/>
  <c r="K111" i="1"/>
  <c r="K112" i="1"/>
  <c r="K113" i="1"/>
  <c r="K114" i="1"/>
  <c r="K115" i="1"/>
  <c r="K116" i="1"/>
  <c r="K117" i="1"/>
  <c r="K118" i="1"/>
  <c r="K119" i="1"/>
  <c r="K120" i="1"/>
  <c r="K121" i="1"/>
  <c r="K122" i="1"/>
  <c r="K123" i="1"/>
  <c r="K124" i="1"/>
  <c r="K125" i="1"/>
  <c r="K126" i="1"/>
  <c r="K127" i="1"/>
  <c r="K128" i="1"/>
  <c r="K129" i="1"/>
  <c r="K130" i="1"/>
  <c r="K131" i="1"/>
  <c r="K132" i="1"/>
  <c r="K133" i="1"/>
  <c r="K134" i="1"/>
  <c r="K135" i="1"/>
  <c r="K136" i="1"/>
  <c r="K137" i="1"/>
  <c r="K138" i="1"/>
  <c r="K139" i="1"/>
  <c r="K140" i="1"/>
  <c r="K141" i="1"/>
  <c r="K142" i="1"/>
  <c r="K143" i="1"/>
  <c r="K144" i="1"/>
  <c r="K145" i="1"/>
  <c r="K146" i="1"/>
  <c r="K147" i="1"/>
  <c r="K148" i="1"/>
  <c r="K149" i="1"/>
  <c r="K150" i="1"/>
  <c r="K151" i="1"/>
  <c r="K152" i="1"/>
  <c r="K153" i="1"/>
  <c r="K154" i="1"/>
  <c r="K155" i="1"/>
  <c r="K156" i="1"/>
  <c r="K157" i="1"/>
  <c r="K158" i="1"/>
  <c r="K159" i="1"/>
  <c r="K160" i="1"/>
  <c r="K161" i="1"/>
  <c r="K162" i="1"/>
  <c r="K163" i="1"/>
  <c r="K164" i="1"/>
  <c r="K165" i="1"/>
  <c r="K166" i="1"/>
  <c r="K167" i="1"/>
  <c r="K168" i="1"/>
  <c r="K169" i="1"/>
  <c r="K170" i="1"/>
  <c r="K171" i="1"/>
  <c r="K172" i="1"/>
  <c r="K173" i="1"/>
  <c r="K174" i="1"/>
  <c r="K175" i="1"/>
  <c r="K176" i="1"/>
  <c r="K177" i="1"/>
  <c r="K178" i="1"/>
  <c r="K179" i="1"/>
  <c r="K180" i="1"/>
  <c r="K181" i="1"/>
  <c r="K182" i="1"/>
  <c r="K183" i="1"/>
  <c r="K184" i="1"/>
  <c r="K185" i="1"/>
  <c r="K186" i="1"/>
  <c r="K187" i="1"/>
  <c r="K188" i="1"/>
  <c r="K189" i="1"/>
  <c r="K190" i="1"/>
  <c r="K191" i="1"/>
  <c r="K192" i="1"/>
  <c r="K193" i="1"/>
  <c r="K194" i="1"/>
  <c r="K195" i="1"/>
  <c r="K196" i="1"/>
  <c r="K197" i="1"/>
  <c r="K198" i="1"/>
  <c r="K199" i="1"/>
  <c r="K200" i="1"/>
  <c r="K201" i="1"/>
  <c r="K202" i="1"/>
  <c r="K203" i="1"/>
  <c r="K204" i="1"/>
  <c r="K205" i="1"/>
  <c r="K206" i="1"/>
  <c r="K207" i="1"/>
  <c r="K208" i="1"/>
  <c r="K209" i="1"/>
  <c r="K210" i="1"/>
  <c r="K211" i="1"/>
  <c r="K212" i="1"/>
  <c r="K213" i="1"/>
  <c r="K214" i="1"/>
  <c r="K215" i="1"/>
  <c r="K216" i="1"/>
  <c r="K217" i="1"/>
  <c r="K218" i="1"/>
  <c r="K219" i="1"/>
  <c r="K220" i="1"/>
  <c r="K221" i="1"/>
  <c r="K222" i="1"/>
  <c r="K223" i="1"/>
  <c r="K224" i="1"/>
  <c r="K225" i="1"/>
  <c r="K226" i="1"/>
  <c r="K227" i="1"/>
  <c r="K228" i="1"/>
  <c r="K229" i="1"/>
  <c r="K230" i="1"/>
  <c r="K231" i="1"/>
  <c r="K232" i="1"/>
  <c r="K233" i="1"/>
  <c r="K234" i="1"/>
  <c r="K235" i="1"/>
  <c r="K236" i="1"/>
  <c r="K237" i="1"/>
  <c r="K238" i="1"/>
  <c r="K239" i="1"/>
  <c r="K240" i="1"/>
  <c r="K241" i="1"/>
  <c r="K242" i="1"/>
  <c r="K243" i="1"/>
  <c r="K244" i="1"/>
  <c r="K245" i="1"/>
  <c r="K246" i="1"/>
  <c r="K247" i="1"/>
  <c r="K248" i="1"/>
  <c r="K249" i="1"/>
  <c r="K250" i="1"/>
  <c r="K251" i="1"/>
  <c r="K252" i="1"/>
  <c r="K253" i="1"/>
  <c r="K254" i="1"/>
  <c r="K255" i="1"/>
  <c r="K256" i="1"/>
  <c r="K257" i="1"/>
  <c r="K258" i="1"/>
  <c r="K259" i="1"/>
  <c r="K260" i="1"/>
  <c r="K261" i="1"/>
  <c r="K262" i="1"/>
  <c r="K263" i="1"/>
  <c r="K264" i="1"/>
  <c r="K265" i="1"/>
  <c r="K266" i="1"/>
  <c r="K267" i="1"/>
  <c r="K268" i="1"/>
  <c r="K269" i="1"/>
  <c r="K270" i="1"/>
  <c r="K271" i="1"/>
  <c r="K272" i="1"/>
  <c r="K273" i="1"/>
  <c r="K274" i="1"/>
  <c r="K275" i="1"/>
  <c r="K276" i="1"/>
  <c r="K277" i="1"/>
  <c r="K278" i="1"/>
  <c r="K279" i="1"/>
  <c r="K280" i="1"/>
  <c r="K281" i="1"/>
  <c r="K282" i="1"/>
  <c r="K283" i="1"/>
  <c r="K284" i="1"/>
  <c r="K285" i="1"/>
  <c r="K286" i="1"/>
  <c r="K287" i="1"/>
  <c r="K288" i="1"/>
  <c r="K289" i="1"/>
  <c r="K290" i="1"/>
  <c r="K291" i="1"/>
  <c r="K292" i="1"/>
  <c r="K293" i="1"/>
  <c r="K294" i="1"/>
  <c r="K295" i="1"/>
  <c r="K296" i="1"/>
  <c r="K297" i="1"/>
  <c r="K298" i="1"/>
  <c r="K299" i="1"/>
  <c r="K300" i="1"/>
  <c r="K301" i="1"/>
  <c r="K302" i="1"/>
  <c r="K303" i="1"/>
  <c r="K304" i="1"/>
  <c r="K305" i="1"/>
  <c r="K306" i="1"/>
  <c r="K307" i="1"/>
  <c r="K308" i="1"/>
  <c r="K309" i="1"/>
  <c r="K310" i="1"/>
  <c r="K311" i="1"/>
  <c r="K312" i="1"/>
  <c r="K313" i="1"/>
  <c r="K314" i="1"/>
  <c r="K315" i="1"/>
  <c r="K316" i="1"/>
  <c r="K317" i="1"/>
  <c r="K318" i="1"/>
  <c r="K319" i="1"/>
  <c r="K320" i="1"/>
  <c r="K321" i="1"/>
  <c r="K322" i="1"/>
  <c r="K323" i="1"/>
  <c r="K324" i="1"/>
  <c r="K325" i="1"/>
  <c r="K326" i="1"/>
  <c r="K327" i="1"/>
  <c r="K328" i="1"/>
  <c r="K329" i="1"/>
  <c r="K330" i="1"/>
  <c r="K331" i="1"/>
  <c r="K332" i="1"/>
  <c r="K333" i="1"/>
  <c r="K334" i="1"/>
  <c r="K335" i="1"/>
  <c r="K336" i="1"/>
  <c r="K337" i="1"/>
  <c r="K338" i="1"/>
  <c r="K339" i="1"/>
  <c r="K340" i="1"/>
  <c r="K341" i="1"/>
  <c r="K342" i="1"/>
  <c r="K343" i="1"/>
  <c r="K344" i="1"/>
  <c r="K345" i="1"/>
  <c r="K346" i="1"/>
  <c r="K347" i="1"/>
  <c r="K348" i="1"/>
  <c r="K349" i="1"/>
  <c r="K350" i="1"/>
  <c r="K351" i="1"/>
  <c r="K352" i="1"/>
  <c r="K353" i="1"/>
  <c r="K354" i="1"/>
  <c r="K355" i="1"/>
  <c r="K356" i="1"/>
  <c r="K357" i="1"/>
  <c r="K358" i="1"/>
  <c r="K359" i="1"/>
  <c r="K360" i="1"/>
  <c r="K361" i="1"/>
  <c r="K362" i="1"/>
  <c r="K363" i="1"/>
  <c r="K364" i="1"/>
  <c r="K365" i="1"/>
  <c r="K366" i="1"/>
  <c r="K367" i="1"/>
  <c r="K368" i="1"/>
  <c r="K369" i="1"/>
  <c r="K370" i="1"/>
  <c r="K371" i="1"/>
  <c r="K372" i="1"/>
  <c r="K373" i="1"/>
  <c r="K374" i="1"/>
  <c r="K375" i="1"/>
  <c r="K376" i="1"/>
  <c r="K377" i="1"/>
  <c r="K378" i="1"/>
  <c r="K379" i="1"/>
  <c r="K380" i="1"/>
  <c r="K381" i="1"/>
  <c r="K382" i="1"/>
  <c r="K383" i="1"/>
  <c r="K384" i="1"/>
  <c r="K385" i="1"/>
  <c r="K386" i="1"/>
  <c r="K387" i="1"/>
  <c r="K388" i="1"/>
  <c r="K389" i="1"/>
  <c r="K390" i="1"/>
  <c r="K391" i="1"/>
  <c r="K392" i="1"/>
  <c r="K393" i="1"/>
  <c r="K394" i="1"/>
  <c r="K395" i="1"/>
  <c r="K396" i="1"/>
  <c r="K397" i="1"/>
  <c r="K398" i="1"/>
  <c r="K399" i="1"/>
  <c r="K400" i="1"/>
  <c r="K401" i="1"/>
  <c r="K402" i="1"/>
  <c r="K403" i="1"/>
  <c r="K404" i="1"/>
  <c r="K405" i="1"/>
  <c r="K406" i="1"/>
  <c r="K407" i="1"/>
  <c r="K408" i="1"/>
  <c r="K409" i="1"/>
  <c r="K410" i="1"/>
  <c r="K411" i="1"/>
  <c r="K412" i="1"/>
  <c r="K413" i="1"/>
  <c r="K414" i="1"/>
  <c r="K415" i="1"/>
  <c r="K416" i="1"/>
  <c r="K417" i="1"/>
  <c r="K418" i="1"/>
  <c r="K419" i="1"/>
  <c r="K420" i="1"/>
  <c r="K421" i="1"/>
  <c r="K422" i="1"/>
  <c r="K423" i="1"/>
  <c r="K424" i="1"/>
  <c r="K425" i="1"/>
  <c r="K426" i="1"/>
  <c r="K427" i="1"/>
  <c r="K428" i="1"/>
  <c r="K429" i="1"/>
  <c r="K430" i="1"/>
  <c r="K431" i="1"/>
  <c r="K432" i="1"/>
  <c r="K433" i="1"/>
  <c r="K434" i="1"/>
  <c r="K435" i="1"/>
  <c r="K436" i="1"/>
  <c r="K437" i="1"/>
  <c r="K438" i="1"/>
  <c r="K439" i="1"/>
  <c r="K440" i="1"/>
  <c r="K441" i="1"/>
  <c r="K442" i="1"/>
  <c r="K443" i="1"/>
  <c r="K444" i="1"/>
  <c r="K445" i="1"/>
  <c r="K446" i="1"/>
  <c r="K447" i="1"/>
  <c r="K448" i="1"/>
  <c r="K449" i="1"/>
  <c r="K450" i="1"/>
  <c r="K451" i="1"/>
  <c r="K452" i="1"/>
  <c r="K453" i="1"/>
  <c r="K454" i="1"/>
  <c r="K455" i="1"/>
  <c r="K456" i="1"/>
  <c r="K457" i="1"/>
  <c r="K458" i="1"/>
  <c r="K459" i="1"/>
  <c r="K460" i="1"/>
  <c r="K461" i="1"/>
  <c r="K462" i="1"/>
  <c r="K463" i="1"/>
  <c r="K464" i="1"/>
  <c r="K465" i="1"/>
  <c r="K466" i="1"/>
  <c r="K467" i="1"/>
  <c r="K468" i="1"/>
  <c r="K469" i="1"/>
  <c r="K470" i="1"/>
  <c r="K471" i="1"/>
  <c r="K472" i="1"/>
  <c r="K473" i="1"/>
  <c r="K474" i="1"/>
  <c r="K475" i="1"/>
  <c r="K476" i="1"/>
  <c r="K477" i="1"/>
  <c r="K478" i="1"/>
  <c r="K479" i="1"/>
  <c r="K480" i="1"/>
  <c r="K481" i="1"/>
  <c r="K482" i="1"/>
  <c r="K483" i="1"/>
  <c r="K484" i="1"/>
  <c r="K485" i="1"/>
  <c r="K486" i="1"/>
  <c r="K487" i="1"/>
  <c r="K488" i="1"/>
  <c r="K489" i="1"/>
  <c r="K490" i="1"/>
  <c r="K491" i="1"/>
  <c r="K492" i="1"/>
  <c r="K493" i="1"/>
  <c r="K494" i="1"/>
  <c r="K495" i="1"/>
  <c r="K496" i="1"/>
  <c r="K497" i="1"/>
  <c r="K498" i="1"/>
  <c r="K499" i="1"/>
  <c r="K500" i="1"/>
  <c r="K501" i="1"/>
  <c r="K502" i="1"/>
  <c r="K503" i="1"/>
  <c r="K504" i="1"/>
  <c r="K505" i="1"/>
  <c r="K506" i="1"/>
  <c r="K507" i="1"/>
  <c r="K508" i="1"/>
  <c r="K509" i="1"/>
  <c r="K510" i="1"/>
  <c r="K511" i="1"/>
  <c r="K514" i="1"/>
  <c r="K515" i="1"/>
  <c r="K513" i="1"/>
  <c r="K512" i="1"/>
  <c r="K517" i="1"/>
  <c r="K516" i="1"/>
  <c r="K518" i="1"/>
  <c r="K520" i="1"/>
  <c r="K521" i="1"/>
  <c r="K522" i="1"/>
  <c r="K519" i="1"/>
  <c r="K525" i="1"/>
  <c r="K523" i="1"/>
  <c r="K524" i="1"/>
  <c r="K527" i="1"/>
  <c r="K526" i="1"/>
  <c r="K528" i="1"/>
  <c r="K530" i="1"/>
  <c r="K529" i="1"/>
  <c r="K531" i="1"/>
  <c r="K533" i="1"/>
  <c r="K532" i="1"/>
  <c r="K537" i="1"/>
  <c r="K538" i="1"/>
  <c r="K534" i="1"/>
  <c r="K535" i="1"/>
  <c r="K536" i="1"/>
  <c r="K542" i="1"/>
  <c r="K541" i="1"/>
  <c r="K539" i="1"/>
  <c r="K540" i="1"/>
  <c r="K544" i="1"/>
  <c r="K543" i="1"/>
  <c r="K545" i="1"/>
  <c r="K547" i="1"/>
  <c r="K546" i="1"/>
  <c r="K550" i="1"/>
  <c r="K548" i="1"/>
  <c r="K549" i="1"/>
  <c r="K552" i="1"/>
  <c r="K551" i="1"/>
  <c r="K553" i="1"/>
  <c r="K555" i="1"/>
  <c r="K554" i="1"/>
  <c r="K556" i="1"/>
  <c r="K557" i="1"/>
  <c r="K558" i="1"/>
  <c r="K559" i="1"/>
  <c r="K560" i="1"/>
  <c r="K561" i="1"/>
  <c r="K563" i="1"/>
  <c r="K562" i="1"/>
  <c r="K564" i="1"/>
  <c r="K565" i="1"/>
  <c r="K567" i="1"/>
  <c r="K566" i="1"/>
  <c r="K569" i="1"/>
  <c r="K568" i="1"/>
  <c r="K571" i="1"/>
  <c r="K570" i="1"/>
  <c r="K574" i="1"/>
  <c r="K572" i="1"/>
  <c r="K573" i="1"/>
  <c r="K575" i="1"/>
  <c r="K576" i="1"/>
  <c r="K579" i="1"/>
  <c r="K577" i="1"/>
  <c r="K581" i="1"/>
  <c r="K578" i="1"/>
  <c r="K580" i="1"/>
  <c r="K582" i="1"/>
  <c r="K583" i="1"/>
  <c r="K586" i="1"/>
  <c r="K585" i="1"/>
  <c r="K584" i="1"/>
  <c r="K590" i="1"/>
  <c r="K588" i="1"/>
  <c r="K589" i="1"/>
  <c r="K587" i="1"/>
  <c r="K592" i="1"/>
  <c r="K591" i="1"/>
  <c r="K593" i="1"/>
  <c r="K597" i="1"/>
  <c r="K596" i="1"/>
  <c r="K594" i="1"/>
  <c r="K595" i="1"/>
  <c r="K598" i="1"/>
  <c r="K605" i="1"/>
  <c r="K603" i="1"/>
  <c r="K599" i="1"/>
  <c r="K602" i="1"/>
  <c r="K606" i="1"/>
  <c r="K604" i="1"/>
  <c r="K601" i="1"/>
  <c r="K600" i="1"/>
  <c r="K611" i="1"/>
  <c r="K608" i="1"/>
  <c r="K607" i="1"/>
  <c r="K609" i="1"/>
  <c r="K610" i="1"/>
  <c r="K614" i="1"/>
  <c r="K613" i="1"/>
  <c r="K615" i="1"/>
  <c r="K612" i="1"/>
  <c r="K663" i="1"/>
  <c r="K664" i="1"/>
  <c r="K665" i="1"/>
  <c r="K666" i="1"/>
  <c r="K667" i="1"/>
  <c r="K668" i="1"/>
  <c r="K669" i="1"/>
  <c r="K670" i="1"/>
  <c r="K671" i="1"/>
  <c r="K672" i="1"/>
  <c r="K673" i="1"/>
  <c r="K674" i="1"/>
  <c r="K675" i="1"/>
  <c r="K676" i="1"/>
  <c r="K677" i="1"/>
  <c r="K678" i="1"/>
  <c r="K679" i="1"/>
  <c r="K680" i="1"/>
  <c r="K681" i="1"/>
  <c r="K682" i="1"/>
  <c r="K683" i="1"/>
  <c r="K684" i="1"/>
  <c r="K685" i="1"/>
  <c r="K686" i="1"/>
  <c r="K687" i="1"/>
  <c r="K688" i="1"/>
  <c r="K689" i="1"/>
  <c r="K690" i="1"/>
  <c r="K691" i="1"/>
  <c r="K692" i="1"/>
  <c r="K693" i="1"/>
  <c r="K694" i="1"/>
  <c r="K695" i="1"/>
  <c r="K696" i="1"/>
  <c r="K697" i="1"/>
  <c r="K698" i="1"/>
  <c r="K699" i="1"/>
  <c r="K700" i="1"/>
  <c r="K701" i="1"/>
  <c r="K702" i="1"/>
  <c r="K703" i="1"/>
  <c r="K704" i="1"/>
  <c r="K705" i="1"/>
  <c r="K706" i="1"/>
  <c r="K728" i="1"/>
  <c r="K729" i="1"/>
  <c r="K730" i="1"/>
  <c r="K731" i="1"/>
  <c r="K732" i="1"/>
  <c r="K733" i="1"/>
  <c r="K734" i="1"/>
  <c r="K735" i="1"/>
  <c r="K736" i="1"/>
  <c r="K737" i="1"/>
  <c r="K738" i="1"/>
  <c r="K739" i="1"/>
  <c r="K740" i="1"/>
  <c r="K741" i="1"/>
  <c r="K742" i="1"/>
  <c r="K743" i="1"/>
  <c r="K744" i="1"/>
  <c r="K745" i="1"/>
  <c r="K746" i="1"/>
  <c r="K747" i="1"/>
  <c r="K748" i="1"/>
  <c r="K749" i="1"/>
  <c r="K750" i="1"/>
  <c r="K751" i="1"/>
  <c r="K752" i="1"/>
  <c r="K753" i="1"/>
  <c r="K754" i="1"/>
  <c r="K755" i="1"/>
  <c r="K756" i="1"/>
  <c r="K757" i="1"/>
  <c r="K758" i="1"/>
  <c r="K759" i="1"/>
  <c r="K760" i="1"/>
  <c r="K761" i="1"/>
  <c r="K762" i="1"/>
  <c r="K774" i="1"/>
  <c r="K775" i="1"/>
  <c r="K776" i="1"/>
  <c r="K777" i="1"/>
  <c r="K778" i="1"/>
  <c r="K779" i="1"/>
  <c r="K780" i="1"/>
  <c r="K781" i="1"/>
  <c r="K782" i="1"/>
  <c r="K783" i="1"/>
  <c r="K784" i="1"/>
  <c r="K785" i="1"/>
  <c r="K786" i="1"/>
  <c r="K787" i="1"/>
  <c r="K788" i="1"/>
  <c r="K789" i="1"/>
  <c r="K790" i="1"/>
  <c r="K791" i="1"/>
  <c r="K792" i="1"/>
  <c r="K793" i="1"/>
  <c r="K794" i="1"/>
  <c r="K795" i="1"/>
  <c r="K796" i="1"/>
  <c r="K797" i="1"/>
  <c r="K798" i="1"/>
  <c r="K799" i="1"/>
  <c r="K800" i="1"/>
  <c r="K801" i="1"/>
  <c r="K802" i="1"/>
  <c r="K803" i="1"/>
  <c r="K804" i="1"/>
  <c r="K805" i="1"/>
  <c r="K806" i="1"/>
  <c r="K807" i="1"/>
  <c r="K808" i="1"/>
  <c r="K809" i="1"/>
  <c r="K810" i="1"/>
  <c r="K811" i="1"/>
  <c r="K824" i="1"/>
  <c r="K825" i="1"/>
  <c r="K826" i="1"/>
  <c r="K827" i="1"/>
  <c r="K828" i="1"/>
  <c r="K829" i="1"/>
  <c r="K830" i="1"/>
  <c r="K831" i="1"/>
  <c r="K832" i="1"/>
  <c r="K833" i="1"/>
  <c r="K834" i="1"/>
  <c r="K835" i="1"/>
  <c r="K836" i="1"/>
  <c r="K837" i="1"/>
  <c r="K838" i="1"/>
  <c r="K839" i="1"/>
  <c r="K840" i="1"/>
  <c r="K841" i="1"/>
  <c r="K842" i="1"/>
  <c r="K843" i="1"/>
  <c r="K844" i="1"/>
  <c r="K845" i="1"/>
  <c r="K846" i="1"/>
  <c r="K847" i="1"/>
  <c r="K848" i="1"/>
  <c r="K849" i="1"/>
  <c r="K850" i="1"/>
  <c r="K851" i="1"/>
  <c r="K852" i="1"/>
  <c r="K853" i="1"/>
  <c r="K854" i="1"/>
  <c r="K855" i="1"/>
  <c r="K856" i="1"/>
  <c r="K857" i="1"/>
  <c r="K858" i="1"/>
  <c r="K859" i="1"/>
  <c r="K860" i="1"/>
  <c r="K861" i="1"/>
  <c r="K862" i="1"/>
  <c r="K863" i="1"/>
  <c r="K864" i="1"/>
  <c r="K865" i="1"/>
  <c r="K866" i="1"/>
  <c r="K867" i="1"/>
  <c r="K868" i="1"/>
  <c r="K869" i="1"/>
  <c r="K870" i="1"/>
  <c r="K871" i="1"/>
  <c r="K872" i="1"/>
  <c r="K873" i="1"/>
  <c r="K874" i="1"/>
  <c r="K875" i="1"/>
  <c r="K876" i="1"/>
  <c r="K877" i="1"/>
  <c r="K878" i="1"/>
  <c r="K879" i="1"/>
  <c r="K880" i="1"/>
  <c r="K881" i="1"/>
  <c r="K882" i="1"/>
  <c r="K883" i="1"/>
  <c r="K884" i="1"/>
  <c r="K885" i="1"/>
  <c r="K886" i="1"/>
  <c r="K887" i="1"/>
  <c r="K888" i="1"/>
  <c r="K889" i="1"/>
  <c r="K890" i="1"/>
  <c r="K891" i="1"/>
  <c r="K892" i="1"/>
  <c r="K893" i="1"/>
  <c r="K894" i="1"/>
  <c r="K895" i="1"/>
  <c r="K896" i="1"/>
  <c r="K897" i="1"/>
  <c r="K898" i="1"/>
  <c r="K899" i="1"/>
  <c r="K900" i="1"/>
  <c r="K901" i="1"/>
  <c r="K902" i="1"/>
  <c r="K903" i="1"/>
  <c r="K904" i="1"/>
  <c r="K905" i="1"/>
  <c r="K906" i="1"/>
  <c r="K907" i="1"/>
  <c r="K908" i="1"/>
  <c r="K909" i="1"/>
  <c r="K910" i="1"/>
  <c r="K911" i="1"/>
  <c r="K912" i="1"/>
  <c r="K913" i="1"/>
  <c r="K914" i="1"/>
  <c r="K915" i="1"/>
  <c r="K916" i="1"/>
  <c r="K917" i="1"/>
  <c r="K918" i="1"/>
  <c r="K919" i="1"/>
  <c r="K920" i="1"/>
  <c r="K921" i="1"/>
  <c r="K922" i="1"/>
  <c r="K923" i="1"/>
  <c r="K924" i="1"/>
  <c r="K925" i="1"/>
  <c r="K926" i="1"/>
  <c r="K927" i="1"/>
  <c r="K928" i="1"/>
  <c r="K929" i="1"/>
  <c r="K930" i="1"/>
  <c r="K931" i="1"/>
  <c r="K932" i="1"/>
  <c r="K933" i="1"/>
  <c r="K934" i="1"/>
  <c r="K935" i="1"/>
  <c r="K936" i="1"/>
  <c r="K937" i="1"/>
  <c r="K938" i="1"/>
  <c r="K939" i="1"/>
  <c r="K940" i="1"/>
  <c r="K941" i="1"/>
  <c r="K942" i="1"/>
  <c r="K943" i="1"/>
  <c r="K944" i="1"/>
  <c r="K945" i="1"/>
  <c r="K946" i="1"/>
  <c r="K947" i="1"/>
  <c r="K948" i="1"/>
  <c r="K949" i="1"/>
  <c r="K950" i="1"/>
  <c r="K951" i="1"/>
  <c r="K952" i="1"/>
  <c r="K953" i="1"/>
  <c r="K954" i="1"/>
  <c r="K955" i="1"/>
  <c r="K956" i="1"/>
  <c r="K957" i="1"/>
  <c r="K958" i="1"/>
  <c r="K959" i="1"/>
  <c r="K960" i="1"/>
  <c r="K961" i="1"/>
  <c r="K962" i="1"/>
  <c r="K963" i="1"/>
  <c r="K964" i="1"/>
  <c r="K965" i="1"/>
  <c r="K966" i="1"/>
  <c r="K967" i="1"/>
  <c r="K968" i="1"/>
  <c r="K969" i="1"/>
  <c r="K970" i="1"/>
  <c r="K971" i="1"/>
  <c r="K972" i="1"/>
  <c r="K973" i="1"/>
  <c r="K974" i="1"/>
  <c r="K975" i="1"/>
  <c r="K976" i="1"/>
  <c r="K977" i="1"/>
  <c r="K978" i="1"/>
  <c r="K979" i="1"/>
  <c r="K980" i="1"/>
  <c r="K981" i="1"/>
  <c r="K982" i="1"/>
  <c r="K983" i="1"/>
  <c r="K984" i="1"/>
  <c r="K985" i="1"/>
  <c r="K986" i="1"/>
  <c r="K987" i="1"/>
  <c r="K988" i="1"/>
  <c r="K989" i="1"/>
  <c r="K990" i="1"/>
  <c r="K991" i="1"/>
  <c r="K992" i="1"/>
  <c r="K993" i="1"/>
  <c r="K994" i="1"/>
  <c r="K995" i="1"/>
  <c r="K996" i="1"/>
  <c r="K997" i="1"/>
  <c r="K998" i="1"/>
  <c r="K999" i="1"/>
  <c r="K1000" i="1"/>
  <c r="K1001" i="1"/>
  <c r="K1002" i="1"/>
  <c r="K1003" i="1"/>
  <c r="K1004" i="1"/>
  <c r="K1005" i="1"/>
  <c r="K1006" i="1"/>
  <c r="K1007" i="1"/>
  <c r="K1008" i="1"/>
  <c r="K1009" i="1"/>
  <c r="K1010" i="1"/>
  <c r="K1011" i="1"/>
  <c r="K1012" i="1"/>
  <c r="K1013" i="1"/>
  <c r="K1014" i="1"/>
  <c r="K1015" i="1"/>
  <c r="K1016" i="1"/>
  <c r="K1017" i="1"/>
  <c r="K1018" i="1"/>
  <c r="K1019" i="1"/>
  <c r="K1020" i="1"/>
  <c r="K1021" i="1"/>
  <c r="K1022" i="1"/>
  <c r="K1023" i="1"/>
  <c r="K1024" i="1"/>
  <c r="K1025" i="1"/>
  <c r="K1026" i="1"/>
  <c r="K1027" i="1"/>
  <c r="K1028" i="1"/>
  <c r="K1029" i="1"/>
  <c r="K1030" i="1"/>
  <c r="K1031" i="1"/>
  <c r="K1032" i="1"/>
  <c r="K1033" i="1"/>
  <c r="K1034" i="1"/>
  <c r="K1035" i="1"/>
  <c r="K1036" i="1"/>
  <c r="K1037" i="1"/>
  <c r="K1038" i="1"/>
  <c r="K1039" i="1"/>
  <c r="K1040" i="1"/>
  <c r="K1041" i="1"/>
  <c r="K1042" i="1"/>
  <c r="K1043" i="1"/>
  <c r="K1044" i="1"/>
  <c r="K1045" i="1"/>
  <c r="K1046" i="1"/>
  <c r="K1047" i="1"/>
  <c r="K1048" i="1"/>
  <c r="K1049" i="1"/>
  <c r="K1050" i="1"/>
  <c r="K1051" i="1"/>
  <c r="K1052" i="1"/>
  <c r="K1053" i="1"/>
  <c r="K1054" i="1"/>
  <c r="K1055" i="1"/>
  <c r="K1056" i="1"/>
  <c r="K1057" i="1"/>
  <c r="K1058" i="1"/>
  <c r="K1059" i="1"/>
  <c r="K1060" i="1"/>
  <c r="K1061" i="1"/>
  <c r="K1062" i="1"/>
  <c r="K1063" i="1"/>
  <c r="K1064" i="1"/>
  <c r="K1065" i="1"/>
  <c r="K1066" i="1"/>
  <c r="K1067" i="1"/>
  <c r="K1068" i="1"/>
  <c r="K1069" i="1"/>
  <c r="K1070" i="1"/>
  <c r="K1071" i="1"/>
  <c r="K1072" i="1"/>
  <c r="K1073" i="1"/>
  <c r="K1074" i="1"/>
  <c r="K1075" i="1"/>
  <c r="K1076" i="1"/>
  <c r="K1077" i="1"/>
  <c r="K1078" i="1"/>
  <c r="K1079" i="1"/>
  <c r="K1080" i="1"/>
  <c r="K1081" i="1"/>
  <c r="K1082" i="1"/>
  <c r="K1083" i="1"/>
  <c r="K1084" i="1"/>
  <c r="K1085" i="1"/>
  <c r="K1086" i="1"/>
  <c r="K1087" i="1"/>
  <c r="K1088" i="1"/>
  <c r="K1089" i="1"/>
  <c r="K1090" i="1"/>
  <c r="K1099" i="1"/>
  <c r="K1100" i="1"/>
  <c r="K1101" i="1"/>
  <c r="K1102" i="1"/>
  <c r="K1103" i="1"/>
  <c r="K1104" i="1"/>
  <c r="K1105" i="1"/>
  <c r="K1106" i="1"/>
  <c r="K1107" i="1"/>
  <c r="K1108" i="1"/>
  <c r="K1109" i="1"/>
  <c r="K1110" i="1"/>
  <c r="K1111" i="1"/>
  <c r="K1112" i="1"/>
  <c r="K1113" i="1"/>
  <c r="K1114" i="1"/>
  <c r="K1115" i="1"/>
  <c r="K1116" i="1"/>
  <c r="K1117" i="1"/>
  <c r="K1118" i="1"/>
  <c r="K1119" i="1"/>
  <c r="K1120" i="1"/>
  <c r="K1121" i="1"/>
  <c r="K1122" i="1"/>
  <c r="K1123" i="1"/>
  <c r="K1124" i="1"/>
  <c r="K1125" i="1"/>
  <c r="K1126" i="1"/>
  <c r="K1127" i="1"/>
  <c r="K1128" i="1"/>
  <c r="K1129" i="1"/>
  <c r="K1130" i="1"/>
  <c r="K1131" i="1"/>
  <c r="K1132" i="1"/>
  <c r="K1133" i="1"/>
  <c r="K1134" i="1"/>
  <c r="K1135" i="1"/>
  <c r="K1136" i="1"/>
  <c r="K1137" i="1"/>
  <c r="K1138" i="1"/>
  <c r="K1139" i="1"/>
  <c r="K1140" i="1"/>
  <c r="K1141" i="1"/>
  <c r="K1142" i="1"/>
  <c r="K1143" i="1"/>
  <c r="K1144" i="1"/>
  <c r="K1145" i="1"/>
  <c r="K1146" i="1"/>
  <c r="K1147" i="1"/>
  <c r="K1148" i="1"/>
  <c r="K1149" i="1"/>
  <c r="K1150" i="1"/>
  <c r="K1151" i="1"/>
  <c r="K1152" i="1"/>
  <c r="K1153" i="1"/>
  <c r="K1154" i="1"/>
  <c r="K1155" i="1"/>
  <c r="K1156" i="1"/>
  <c r="K1157" i="1"/>
  <c r="K1158" i="1"/>
  <c r="K1159" i="1"/>
  <c r="K1160" i="1"/>
  <c r="K1161" i="1"/>
  <c r="K1162" i="1"/>
  <c r="K1163" i="1"/>
  <c r="K1164" i="1"/>
  <c r="K1165" i="1"/>
  <c r="K1166" i="1"/>
  <c r="K1167" i="1"/>
  <c r="K1168" i="1"/>
  <c r="K1169" i="1"/>
  <c r="K1170" i="1"/>
  <c r="K1171" i="1"/>
  <c r="K1172" i="1"/>
  <c r="K1173" i="1"/>
  <c r="K1174" i="1"/>
  <c r="K1175" i="1"/>
  <c r="K1176" i="1"/>
  <c r="K1177" i="1"/>
  <c r="K1178" i="1"/>
  <c r="K1179" i="1"/>
  <c r="K1180" i="1"/>
  <c r="K1181" i="1"/>
  <c r="K1182" i="1"/>
  <c r="K1183" i="1"/>
  <c r="K1184" i="1"/>
  <c r="K1185" i="1"/>
  <c r="K1186" i="1"/>
  <c r="K1187" i="1"/>
  <c r="K1188" i="1"/>
  <c r="K1189" i="1"/>
  <c r="K1190" i="1"/>
  <c r="K1191" i="1"/>
  <c r="K1192" i="1"/>
  <c r="K1193" i="1"/>
  <c r="K1194" i="1"/>
  <c r="K1195" i="1"/>
  <c r="K1196" i="1"/>
  <c r="K1197" i="1"/>
  <c r="K1198" i="1"/>
  <c r="K1199" i="1"/>
  <c r="K1200" i="1"/>
  <c r="K1201" i="1"/>
  <c r="K1202" i="1"/>
  <c r="K1203" i="1"/>
  <c r="K1204" i="1"/>
  <c r="K1205" i="1"/>
  <c r="K1206" i="1"/>
  <c r="K1207" i="1"/>
  <c r="K1208" i="1"/>
  <c r="K1209" i="1"/>
  <c r="K1210" i="1"/>
  <c r="K1211" i="1"/>
  <c r="K1212" i="1"/>
  <c r="K1213" i="1"/>
  <c r="K1214" i="1"/>
  <c r="K1215" i="1"/>
  <c r="K1216" i="1"/>
  <c r="K1217" i="1"/>
  <c r="K1218" i="1"/>
  <c r="K1219" i="1"/>
  <c r="K1220" i="1"/>
  <c r="K1221" i="1"/>
  <c r="K1222" i="1"/>
  <c r="K1223" i="1"/>
  <c r="K1224" i="1"/>
  <c r="K1225" i="1"/>
  <c r="K1226" i="1"/>
  <c r="K1227" i="1"/>
  <c r="K1228" i="1"/>
  <c r="K1229" i="1"/>
  <c r="K1230" i="1"/>
  <c r="K1231" i="1"/>
  <c r="K1232" i="1"/>
  <c r="K1233" i="1"/>
  <c r="K1234" i="1"/>
  <c r="K1235" i="1"/>
  <c r="K1236" i="1"/>
  <c r="K1237" i="1"/>
  <c r="K1238" i="1"/>
  <c r="K1239" i="1"/>
  <c r="K1240" i="1"/>
  <c r="K1241" i="1"/>
  <c r="K1242" i="1"/>
  <c r="K1243" i="1"/>
  <c r="K1244" i="1"/>
  <c r="K1245" i="1"/>
  <c r="K1246" i="1"/>
  <c r="K1247" i="1"/>
  <c r="K1248" i="1"/>
  <c r="K1249" i="1"/>
  <c r="K1250" i="1"/>
  <c r="K1251" i="1"/>
  <c r="K1252" i="1"/>
  <c r="K1253" i="1"/>
  <c r="K1254" i="1"/>
  <c r="K1255" i="1"/>
  <c r="K1256" i="1"/>
  <c r="K1257" i="1"/>
  <c r="K1258" i="1"/>
  <c r="K1259" i="1"/>
  <c r="K1260" i="1"/>
  <c r="K1261" i="1"/>
  <c r="K1262" i="1"/>
  <c r="K1263" i="1"/>
  <c r="K1264" i="1"/>
  <c r="K1265" i="1"/>
  <c r="K1266" i="1"/>
  <c r="K1267" i="1"/>
  <c r="K1268" i="1"/>
  <c r="K1269" i="1"/>
  <c r="K1270" i="1"/>
  <c r="K1271" i="1"/>
  <c r="K1272" i="1"/>
  <c r="K1273" i="1"/>
  <c r="K1274" i="1"/>
  <c r="K1275" i="1"/>
  <c r="K1276" i="1"/>
  <c r="K1277" i="1"/>
  <c r="K1278" i="1"/>
  <c r="K1279" i="1"/>
  <c r="K1280" i="1"/>
  <c r="K1281" i="1"/>
  <c r="K1282" i="1"/>
  <c r="K1283" i="1"/>
  <c r="K1284" i="1"/>
  <c r="K1285" i="1"/>
  <c r="K1286" i="1"/>
  <c r="K1287" i="1"/>
  <c r="K1288" i="1"/>
  <c r="K1289" i="1"/>
  <c r="K1290" i="1"/>
  <c r="K1291" i="1"/>
  <c r="K1292" i="1"/>
  <c r="K1293" i="1"/>
  <c r="K1294" i="1"/>
  <c r="K1295" i="1"/>
  <c r="K1296" i="1"/>
  <c r="K1297" i="1"/>
  <c r="K1298" i="1"/>
  <c r="K1299" i="1"/>
  <c r="K1300" i="1"/>
  <c r="K1301" i="1"/>
  <c r="K1302" i="1"/>
  <c r="K1303" i="1"/>
  <c r="K1304" i="1"/>
  <c r="K1305" i="1"/>
  <c r="K1306" i="1"/>
  <c r="K1307" i="1"/>
  <c r="K1308" i="1"/>
  <c r="K1309" i="1"/>
  <c r="K1310" i="1"/>
  <c r="K1311" i="1"/>
  <c r="K1312" i="1"/>
  <c r="K1313" i="1"/>
  <c r="K1314" i="1"/>
  <c r="K1315" i="1"/>
  <c r="K1316" i="1"/>
  <c r="K1317" i="1"/>
  <c r="K1318" i="1"/>
  <c r="K1319" i="1"/>
  <c r="K1320" i="1"/>
  <c r="K1321" i="1"/>
  <c r="K1322" i="1"/>
  <c r="K1323" i="1"/>
  <c r="K1324" i="1"/>
  <c r="K1325" i="1"/>
  <c r="K1326" i="1"/>
  <c r="K1327" i="1"/>
  <c r="K1328" i="1"/>
  <c r="K1329" i="1"/>
  <c r="K1330" i="1"/>
  <c r="K1331" i="1"/>
  <c r="K1332" i="1"/>
  <c r="K1333" i="1"/>
  <c r="K1334" i="1"/>
  <c r="K1335" i="1"/>
  <c r="K1336" i="1"/>
  <c r="K1337" i="1"/>
  <c r="K1338" i="1"/>
  <c r="K1339" i="1"/>
  <c r="K1340" i="1"/>
  <c r="K1341" i="1"/>
  <c r="K1342" i="1"/>
  <c r="K1343" i="1"/>
  <c r="K1344" i="1"/>
  <c r="K1345" i="1"/>
  <c r="K1346" i="1"/>
  <c r="K1347" i="1"/>
  <c r="K1348" i="1"/>
  <c r="K1349" i="1"/>
  <c r="K1350" i="1"/>
  <c r="K1351" i="1"/>
  <c r="K1352" i="1"/>
  <c r="K1353" i="1"/>
  <c r="K1354" i="1"/>
  <c r="K1355" i="1"/>
  <c r="K1356" i="1"/>
  <c r="K1357" i="1"/>
  <c r="K1358" i="1"/>
  <c r="K1359" i="1"/>
  <c r="K1360" i="1"/>
  <c r="K1361" i="1"/>
  <c r="K1362" i="1"/>
  <c r="K1363" i="1"/>
  <c r="K1364" i="1"/>
  <c r="K1365" i="1"/>
  <c r="K1366" i="1"/>
  <c r="K1367" i="1"/>
  <c r="K1368" i="1"/>
  <c r="K1369" i="1"/>
  <c r="K1370" i="1"/>
  <c r="K1371" i="1"/>
  <c r="K1372" i="1"/>
  <c r="K1373" i="1"/>
  <c r="K1374" i="1"/>
  <c r="K1375" i="1"/>
  <c r="K1376" i="1"/>
  <c r="K1377" i="1"/>
  <c r="K1378" i="1"/>
  <c r="K1379" i="1"/>
  <c r="K1380" i="1"/>
  <c r="K1381" i="1"/>
  <c r="K1382" i="1"/>
  <c r="K1383" i="1"/>
  <c r="K1384" i="1"/>
  <c r="K1385" i="1"/>
  <c r="K1386" i="1"/>
  <c r="K1387" i="1"/>
  <c r="K1388" i="1"/>
  <c r="K1389" i="1"/>
  <c r="K1390" i="1"/>
  <c r="K1391" i="1"/>
  <c r="K1392" i="1"/>
  <c r="K1393" i="1"/>
  <c r="K1394" i="1"/>
  <c r="K1395" i="1"/>
  <c r="K1396" i="1"/>
  <c r="K1397" i="1"/>
  <c r="K1398" i="1"/>
  <c r="K1399" i="1"/>
  <c r="K1400" i="1"/>
  <c r="K1401" i="1"/>
  <c r="K1402" i="1"/>
  <c r="K1403" i="1"/>
  <c r="K1404" i="1"/>
  <c r="K1405" i="1"/>
  <c r="K1406" i="1"/>
  <c r="K1407" i="1"/>
  <c r="K1408" i="1"/>
  <c r="K1409" i="1"/>
  <c r="K1410" i="1"/>
  <c r="K1411" i="1"/>
  <c r="K1412" i="1"/>
  <c r="K1413" i="1"/>
  <c r="K1414" i="1"/>
  <c r="K1415" i="1"/>
  <c r="K1416" i="1"/>
  <c r="K1417" i="1"/>
  <c r="K1418" i="1"/>
  <c r="K1419" i="1"/>
  <c r="K1420" i="1"/>
  <c r="K1421" i="1"/>
  <c r="K1422" i="1"/>
  <c r="K1423" i="1"/>
  <c r="K1424" i="1"/>
  <c r="K1425" i="1"/>
  <c r="K1426" i="1"/>
  <c r="K1427" i="1"/>
  <c r="K1428" i="1"/>
  <c r="K1429" i="1"/>
  <c r="K1430" i="1"/>
  <c r="K1431" i="1"/>
  <c r="K1432" i="1"/>
  <c r="K1433" i="1"/>
  <c r="K1434" i="1"/>
  <c r="K1435" i="1"/>
  <c r="K1436" i="1"/>
  <c r="K1437" i="1"/>
  <c r="K1438" i="1"/>
  <c r="K1439" i="1"/>
  <c r="K1440" i="1"/>
  <c r="K1441" i="1"/>
  <c r="K1442" i="1"/>
  <c r="K1443" i="1"/>
  <c r="K1444" i="1"/>
  <c r="K1445" i="1"/>
  <c r="K1446" i="1"/>
  <c r="K1447" i="1"/>
  <c r="K1448" i="1"/>
  <c r="K1449" i="1"/>
  <c r="K1450" i="1"/>
  <c r="K1451" i="1"/>
  <c r="K1452" i="1"/>
  <c r="K1453" i="1"/>
  <c r="K1454" i="1"/>
  <c r="K1455" i="1"/>
  <c r="K1456" i="1"/>
  <c r="K1457" i="1"/>
  <c r="K1458" i="1"/>
  <c r="K1459" i="1"/>
  <c r="K1460" i="1"/>
  <c r="K1461" i="1"/>
  <c r="K1462" i="1"/>
  <c r="K1463" i="1"/>
  <c r="K1464" i="1"/>
  <c r="K1465" i="1"/>
  <c r="K1466" i="1"/>
  <c r="K1467" i="1"/>
  <c r="K1468" i="1"/>
  <c r="K1469" i="1"/>
  <c r="K1470" i="1"/>
  <c r="K1471" i="1"/>
  <c r="K1472" i="1"/>
  <c r="K1473" i="1"/>
  <c r="K1474" i="1"/>
  <c r="K1475" i="1"/>
  <c r="K1476" i="1"/>
  <c r="K1477" i="1"/>
  <c r="K1478" i="1"/>
  <c r="K1479" i="1"/>
  <c r="K1480" i="1"/>
  <c r="K1481" i="1"/>
  <c r="K1482" i="1"/>
  <c r="K1483" i="1"/>
  <c r="K1484" i="1"/>
  <c r="K1485" i="1"/>
  <c r="K1486" i="1"/>
  <c r="K1487" i="1"/>
  <c r="K1488" i="1"/>
  <c r="K1489" i="1"/>
  <c r="K1490" i="1"/>
  <c r="K1491" i="1"/>
  <c r="K1492" i="1"/>
  <c r="K1493" i="1"/>
  <c r="K1494" i="1"/>
  <c r="K1495" i="1"/>
  <c r="K1496" i="1"/>
  <c r="K1497" i="1"/>
  <c r="K1498" i="1"/>
  <c r="K1499" i="1"/>
  <c r="K1500" i="1"/>
  <c r="K1501" i="1"/>
  <c r="K1502" i="1"/>
  <c r="K1503" i="1"/>
  <c r="K1504" i="1"/>
  <c r="K1505" i="1"/>
  <c r="K1506" i="1"/>
  <c r="K1507" i="1"/>
  <c r="K1508" i="1"/>
  <c r="K1509" i="1"/>
  <c r="K1510" i="1"/>
  <c r="K1511" i="1"/>
  <c r="K1512" i="1"/>
  <c r="K1513" i="1"/>
  <c r="K1514" i="1"/>
  <c r="K1515" i="1"/>
  <c r="K1516" i="1"/>
  <c r="K1517" i="1"/>
  <c r="K1518" i="1"/>
  <c r="K1519" i="1"/>
  <c r="K1520" i="1"/>
  <c r="K1521" i="1"/>
  <c r="K1522" i="1"/>
  <c r="K1523" i="1"/>
  <c r="K1524" i="1"/>
  <c r="K1525" i="1"/>
  <c r="K1526" i="1"/>
  <c r="K1527" i="1"/>
  <c r="K1528" i="1"/>
  <c r="K1529" i="1"/>
  <c r="K1530" i="1"/>
  <c r="K1531" i="1"/>
  <c r="K1532" i="1"/>
  <c r="K1533" i="1"/>
  <c r="K1534" i="1"/>
  <c r="K1535" i="1"/>
  <c r="K1536" i="1"/>
  <c r="K1537" i="1"/>
  <c r="K1538" i="1"/>
  <c r="K1539" i="1"/>
  <c r="K1540" i="1"/>
  <c r="K1541" i="1"/>
  <c r="K1542" i="1"/>
  <c r="K1543" i="1"/>
  <c r="K1544" i="1"/>
  <c r="K1545" i="1"/>
  <c r="K1546" i="1"/>
  <c r="K1547" i="1"/>
  <c r="K1548" i="1"/>
  <c r="K1549" i="1"/>
  <c r="K1550" i="1"/>
  <c r="K1551" i="1"/>
  <c r="K1552" i="1"/>
  <c r="K1553" i="1"/>
  <c r="K1554" i="1"/>
  <c r="K1555" i="1"/>
  <c r="K1556" i="1"/>
  <c r="K1557" i="1"/>
  <c r="K1558" i="1"/>
  <c r="K1559" i="1"/>
  <c r="K1560" i="1"/>
  <c r="K1561" i="1"/>
  <c r="K1562" i="1"/>
  <c r="K1563" i="1"/>
  <c r="K1564" i="1"/>
  <c r="K1565" i="1"/>
  <c r="K1566" i="1"/>
  <c r="K1567" i="1"/>
  <c r="K1568" i="1"/>
  <c r="K1569" i="1"/>
  <c r="K1570" i="1"/>
  <c r="K1571" i="1"/>
  <c r="K1572" i="1"/>
  <c r="K1573" i="1"/>
  <c r="K1574" i="1"/>
  <c r="K1575" i="1"/>
  <c r="K1576" i="1"/>
  <c r="K1577" i="1"/>
  <c r="K1578" i="1"/>
  <c r="K1579" i="1"/>
  <c r="K1580" i="1"/>
  <c r="K1581" i="1"/>
  <c r="K1582" i="1"/>
  <c r="K1583" i="1"/>
  <c r="K1584" i="1"/>
  <c r="K1585" i="1"/>
  <c r="K1586" i="1"/>
  <c r="K1587" i="1"/>
  <c r="K1588" i="1"/>
  <c r="K1589" i="1"/>
  <c r="K1590" i="1"/>
  <c r="K1591" i="1"/>
  <c r="K1592" i="1"/>
  <c r="K1593" i="1"/>
  <c r="K1594" i="1"/>
  <c r="K1595" i="1"/>
  <c r="K1596" i="1"/>
  <c r="K1597" i="1"/>
  <c r="K1598" i="1"/>
  <c r="K1599" i="1"/>
  <c r="K1600" i="1"/>
  <c r="K1601" i="1"/>
  <c r="K1602" i="1"/>
  <c r="K1603" i="1"/>
  <c r="K1604" i="1"/>
  <c r="K1605" i="1"/>
  <c r="K1606" i="1"/>
  <c r="K1607" i="1"/>
  <c r="K1608" i="1"/>
  <c r="K1609" i="1"/>
  <c r="K1610" i="1"/>
  <c r="K1611" i="1"/>
  <c r="K1612" i="1"/>
  <c r="K1613" i="1"/>
  <c r="K1614" i="1"/>
  <c r="K1615" i="1"/>
  <c r="K1616" i="1"/>
  <c r="K1617" i="1"/>
  <c r="K1618" i="1"/>
  <c r="K1619" i="1"/>
  <c r="K1620" i="1"/>
  <c r="K1621" i="1"/>
  <c r="K1622" i="1"/>
  <c r="K1623" i="1"/>
  <c r="K1624" i="1"/>
  <c r="K1625" i="1"/>
  <c r="K1626" i="1"/>
  <c r="K1627" i="1"/>
  <c r="K1628" i="1"/>
  <c r="K1629" i="1"/>
  <c r="K1630" i="1"/>
  <c r="K1631" i="1"/>
  <c r="K1632" i="1"/>
  <c r="K1633" i="1"/>
  <c r="K1634" i="1"/>
  <c r="K1635" i="1"/>
  <c r="K1636" i="1"/>
  <c r="K1637" i="1"/>
  <c r="K1638" i="1"/>
  <c r="K1639" i="1"/>
  <c r="K1640" i="1"/>
  <c r="K1641" i="1"/>
  <c r="K1642" i="1"/>
  <c r="K1643" i="1"/>
  <c r="K1644" i="1"/>
  <c r="K1645" i="1"/>
  <c r="K1646" i="1"/>
  <c r="K1647" i="1"/>
  <c r="K1648" i="1"/>
  <c r="K1649" i="1"/>
  <c r="K1650" i="1"/>
  <c r="K1651" i="1"/>
  <c r="K1652" i="1"/>
  <c r="K1653" i="1"/>
  <c r="K1654" i="1"/>
  <c r="K1655" i="1"/>
  <c r="K1656" i="1"/>
  <c r="K1657" i="1"/>
  <c r="K1658" i="1"/>
  <c r="K1659" i="1"/>
  <c r="K1660" i="1"/>
  <c r="K1661" i="1"/>
  <c r="K1662" i="1"/>
  <c r="K1663" i="1"/>
  <c r="K1664" i="1"/>
  <c r="K1665" i="1"/>
  <c r="K1666" i="1"/>
  <c r="K1667" i="1"/>
  <c r="K1668" i="1"/>
  <c r="K1669" i="1"/>
  <c r="K1670" i="1"/>
  <c r="K1671" i="1"/>
  <c r="K1672" i="1"/>
  <c r="K1673" i="1"/>
  <c r="K1674" i="1"/>
  <c r="K1675" i="1"/>
  <c r="K1676" i="1"/>
  <c r="K1677" i="1"/>
  <c r="K1678" i="1"/>
  <c r="K1679" i="1"/>
  <c r="K1680" i="1"/>
  <c r="K1681" i="1"/>
  <c r="K1682" i="1"/>
  <c r="K1683" i="1"/>
  <c r="K1684" i="1"/>
  <c r="K1685" i="1"/>
  <c r="K1686" i="1"/>
  <c r="K1687" i="1"/>
  <c r="K1688" i="1"/>
  <c r="K1689" i="1"/>
  <c r="K1690" i="1"/>
  <c r="K1691" i="1"/>
  <c r="K1692" i="1"/>
  <c r="K1693" i="1"/>
  <c r="K1694" i="1"/>
  <c r="K1695" i="1"/>
  <c r="K1696" i="1"/>
  <c r="K1697" i="1"/>
  <c r="K1698" i="1"/>
  <c r="K1699" i="1"/>
  <c r="K1700" i="1"/>
  <c r="K1701" i="1"/>
  <c r="K1702" i="1"/>
  <c r="K1703" i="1"/>
  <c r="K1704" i="1"/>
  <c r="K1705" i="1"/>
  <c r="K1706" i="1"/>
  <c r="K1707" i="1"/>
  <c r="K1708" i="1"/>
  <c r="K1709" i="1"/>
  <c r="K1710" i="1"/>
  <c r="K1711" i="1"/>
  <c r="K1712" i="1"/>
  <c r="K1713" i="1"/>
  <c r="K1714" i="1"/>
  <c r="K1715" i="1"/>
  <c r="K1716" i="1"/>
  <c r="K1717" i="1"/>
  <c r="K1718" i="1"/>
  <c r="K1719" i="1"/>
  <c r="K1720" i="1"/>
  <c r="K1721" i="1"/>
  <c r="K1722" i="1"/>
  <c r="K1723" i="1"/>
  <c r="K1724" i="1"/>
  <c r="K1725" i="1"/>
  <c r="K1726" i="1"/>
  <c r="K1727" i="1"/>
  <c r="K1728" i="1"/>
  <c r="K1729" i="1"/>
  <c r="K1730" i="1"/>
  <c r="K1731" i="1"/>
  <c r="K1732" i="1"/>
  <c r="K1733" i="1"/>
  <c r="K1734" i="1"/>
  <c r="K1735" i="1"/>
  <c r="K1736" i="1"/>
  <c r="K1737" i="1"/>
  <c r="K1738" i="1"/>
  <c r="K1739" i="1"/>
  <c r="K1740" i="1"/>
  <c r="K1741" i="1"/>
  <c r="K1742" i="1"/>
  <c r="K1743" i="1"/>
  <c r="K1744" i="1"/>
  <c r="K1745" i="1"/>
  <c r="K1746" i="1"/>
  <c r="K1747" i="1"/>
  <c r="K1748" i="1"/>
  <c r="K1749" i="1"/>
  <c r="K1750" i="1"/>
  <c r="K1751" i="1"/>
  <c r="K1752" i="1"/>
  <c r="K1753" i="1"/>
  <c r="K1754" i="1"/>
  <c r="K1755" i="1"/>
  <c r="K1756" i="1"/>
  <c r="K1757" i="1"/>
  <c r="K1758" i="1"/>
  <c r="K1759" i="1"/>
  <c r="K1760" i="1"/>
  <c r="K1761" i="1"/>
  <c r="K1762" i="1"/>
  <c r="K1763" i="1"/>
  <c r="K1764" i="1"/>
  <c r="K1765" i="1"/>
  <c r="K1766" i="1"/>
  <c r="K1767" i="1"/>
  <c r="K1768" i="1"/>
  <c r="K1769" i="1"/>
  <c r="K1770" i="1"/>
  <c r="K1771" i="1"/>
  <c r="K1772" i="1"/>
  <c r="K1773" i="1"/>
  <c r="K1774" i="1"/>
  <c r="K1775" i="1"/>
  <c r="K1776" i="1"/>
  <c r="K1777" i="1"/>
  <c r="K1778" i="1"/>
  <c r="K1779" i="1"/>
  <c r="K1780" i="1"/>
  <c r="K1781" i="1"/>
  <c r="K1782" i="1"/>
  <c r="K1783" i="1"/>
  <c r="K1784" i="1"/>
  <c r="K1785" i="1"/>
  <c r="K1786" i="1"/>
  <c r="K1787" i="1"/>
  <c r="K1788" i="1"/>
  <c r="K1789" i="1"/>
  <c r="K1790" i="1"/>
  <c r="K1791" i="1"/>
  <c r="K1792" i="1"/>
  <c r="K1793" i="1"/>
  <c r="K1794" i="1"/>
  <c r="K1795" i="1"/>
  <c r="K1796" i="1"/>
  <c r="K1797" i="1"/>
  <c r="K1798" i="1"/>
  <c r="K1799" i="1"/>
  <c r="K1800" i="1"/>
  <c r="K1801" i="1"/>
  <c r="K1802" i="1"/>
  <c r="K1803" i="1"/>
  <c r="K1804" i="1"/>
  <c r="K1805" i="1"/>
  <c r="K1806" i="1"/>
  <c r="K1807" i="1"/>
  <c r="K1808" i="1"/>
  <c r="K1809" i="1"/>
  <c r="K1810" i="1"/>
  <c r="K1811" i="1"/>
  <c r="K1812" i="1"/>
  <c r="K1813" i="1"/>
  <c r="K1814" i="1"/>
  <c r="K1815" i="1"/>
  <c r="K1816" i="1"/>
  <c r="K1817" i="1"/>
  <c r="K1818" i="1"/>
  <c r="K1819" i="1"/>
  <c r="K1820" i="1"/>
  <c r="K1821" i="1"/>
  <c r="K1822" i="1"/>
  <c r="K1823" i="1"/>
  <c r="K1824" i="1"/>
  <c r="K1825" i="1"/>
  <c r="K1826" i="1"/>
  <c r="K1827" i="1"/>
  <c r="K1828" i="1"/>
  <c r="K1829" i="1"/>
  <c r="K1830" i="1"/>
  <c r="K1831" i="1"/>
  <c r="K1832" i="1"/>
  <c r="K1833" i="1"/>
  <c r="K1834" i="1"/>
  <c r="K1835" i="1"/>
  <c r="K1836" i="1"/>
  <c r="K1837" i="1"/>
  <c r="K1838" i="1"/>
  <c r="K1839" i="1"/>
  <c r="K1840" i="1"/>
  <c r="K1841" i="1"/>
  <c r="K1842" i="1"/>
  <c r="K1843" i="1"/>
  <c r="K1844" i="1"/>
  <c r="K1845" i="1"/>
  <c r="K1846" i="1"/>
  <c r="K1847" i="1"/>
  <c r="K1848" i="1"/>
  <c r="K1849" i="1"/>
  <c r="K1850" i="1"/>
  <c r="K1851" i="1"/>
  <c r="K1852" i="1"/>
  <c r="K1853" i="1"/>
  <c r="K1854" i="1"/>
  <c r="K1855" i="1"/>
  <c r="K1856" i="1"/>
  <c r="K1857" i="1"/>
  <c r="K1858" i="1"/>
  <c r="K1859" i="1"/>
  <c r="M11" i="30" l="1"/>
  <c r="N63" i="13"/>
  <c r="N8" i="30"/>
  <c r="O52" i="20"/>
  <c r="O38" i="30"/>
  <c r="O22" i="30"/>
  <c r="O15" i="19"/>
  <c r="I53" i="30"/>
  <c r="I19" i="21"/>
  <c r="M83" i="30"/>
  <c r="M28" i="23"/>
  <c r="M98" i="30"/>
  <c r="M19" i="24"/>
  <c r="O19" i="24"/>
  <c r="O98" i="30"/>
  <c r="J83" i="30"/>
  <c r="J28" i="23"/>
  <c r="M38" i="30"/>
  <c r="M52" i="20"/>
  <c r="M53" i="30"/>
  <c r="M19" i="21"/>
  <c r="N98" i="30"/>
  <c r="N19" i="24"/>
  <c r="N83" i="30"/>
  <c r="N28" i="23"/>
  <c r="K52" i="20"/>
  <c r="K38" i="30"/>
  <c r="L28" i="23"/>
  <c r="L83" i="30"/>
  <c r="O19" i="21"/>
  <c r="O53" i="30"/>
  <c r="J68" i="30"/>
  <c r="J22" i="22"/>
  <c r="O28" i="23"/>
  <c r="O83" i="30"/>
  <c r="L22" i="22"/>
  <c r="L68" i="30"/>
  <c r="K28" i="23"/>
  <c r="K83" i="30"/>
  <c r="N37" i="30"/>
  <c r="N49" i="20"/>
  <c r="J19" i="24"/>
  <c r="J98" i="30"/>
  <c r="J53" i="30"/>
  <c r="J19" i="21"/>
  <c r="K53" i="30"/>
  <c r="J38" i="30"/>
  <c r="J52" i="20"/>
  <c r="O63" i="13"/>
  <c r="O8" i="30"/>
  <c r="L8" i="30"/>
  <c r="L63" i="13"/>
  <c r="L113" i="30"/>
  <c r="L32" i="25"/>
  <c r="L19" i="19"/>
  <c r="L27" i="30" s="1"/>
  <c r="L26" i="30"/>
  <c r="K116" i="30"/>
  <c r="K33" i="25"/>
  <c r="K117" i="30" s="1"/>
  <c r="N23" i="22"/>
  <c r="N72" i="30" s="1"/>
  <c r="N71" i="30"/>
  <c r="O113" i="30"/>
  <c r="O32" i="25"/>
  <c r="L98" i="30"/>
  <c r="L19" i="24"/>
  <c r="K101" i="30"/>
  <c r="K20" i="24"/>
  <c r="K102" i="30" s="1"/>
  <c r="J33" i="25"/>
  <c r="J117" i="30" s="1"/>
  <c r="J116" i="30"/>
  <c r="M116" i="30"/>
  <c r="M33" i="25"/>
  <c r="M117" i="30" s="1"/>
  <c r="O22" i="22"/>
  <c r="O68" i="30"/>
  <c r="K64" i="13"/>
  <c r="K12" i="30" s="1"/>
  <c r="K11" i="30"/>
  <c r="K23" i="22"/>
  <c r="K72" i="30" s="1"/>
  <c r="K71" i="30"/>
  <c r="N32" i="25"/>
  <c r="N113" i="30"/>
  <c r="N20" i="21"/>
  <c r="N57" i="30" s="1"/>
  <c r="N56" i="30"/>
  <c r="N19" i="19"/>
  <c r="N27" i="30" s="1"/>
  <c r="N26" i="30"/>
  <c r="M19" i="19"/>
  <c r="M27" i="30" s="1"/>
  <c r="M26" i="30"/>
  <c r="L41" i="30"/>
  <c r="L53" i="20"/>
  <c r="L42" i="30" s="1"/>
  <c r="K56" i="30"/>
  <c r="K20" i="21"/>
  <c r="K57" i="30" s="1"/>
  <c r="O33" i="27"/>
  <c r="O131" i="30" s="1"/>
  <c r="M131" i="30"/>
  <c r="M34" i="27"/>
  <c r="M132" i="30" s="1"/>
  <c r="J131" i="30"/>
  <c r="J34" i="27"/>
  <c r="J132" i="30" s="1"/>
  <c r="M27" i="28"/>
  <c r="M147" i="30" s="1"/>
  <c r="M146" i="30"/>
  <c r="N128" i="30"/>
  <c r="N33" i="27"/>
  <c r="L131" i="30"/>
  <c r="L34" i="27"/>
  <c r="L132" i="30" s="1"/>
  <c r="K131" i="30"/>
  <c r="K34" i="27"/>
  <c r="K132" i="30" s="1"/>
  <c r="J27" i="28"/>
  <c r="J147" i="30" s="1"/>
  <c r="J146" i="30"/>
  <c r="G151" i="30"/>
  <c r="E151" i="30"/>
  <c r="G145" i="30"/>
  <c r="C151" i="30"/>
  <c r="F151" i="30"/>
  <c r="C145" i="30"/>
  <c r="I145" i="30"/>
  <c r="H151" i="30"/>
  <c r="I151" i="30"/>
  <c r="D151" i="30"/>
  <c r="C3" i="7"/>
  <c r="C4" i="7"/>
  <c r="C5" i="7"/>
  <c r="C6" i="7"/>
  <c r="C7" i="7"/>
  <c r="C8" i="7"/>
  <c r="C9" i="7"/>
  <c r="C10" i="7"/>
  <c r="C11" i="7"/>
  <c r="C12" i="7"/>
  <c r="C13" i="7"/>
  <c r="C14" i="7"/>
  <c r="C15" i="7"/>
  <c r="C16" i="7"/>
  <c r="C17" i="7"/>
  <c r="C18" i="7"/>
  <c r="C19" i="7"/>
  <c r="C20" i="7"/>
  <c r="C21" i="7"/>
  <c r="C22" i="7"/>
  <c r="C23" i="7"/>
  <c r="C24" i="7"/>
  <c r="C25" i="7"/>
  <c r="C26" i="7"/>
  <c r="C27" i="7"/>
  <c r="C28" i="7"/>
  <c r="C29" i="7"/>
  <c r="C30" i="7"/>
  <c r="C31" i="7"/>
  <c r="C32" i="7"/>
  <c r="C33" i="7"/>
  <c r="C34" i="7"/>
  <c r="C35" i="7"/>
  <c r="C36" i="7"/>
  <c r="C37" i="7"/>
  <c r="C38" i="7"/>
  <c r="C39" i="7"/>
  <c r="C40" i="7"/>
  <c r="C41" i="7"/>
  <c r="C42" i="7"/>
  <c r="C43" i="7"/>
  <c r="C44" i="7"/>
  <c r="C45" i="7"/>
  <c r="C46" i="7"/>
  <c r="C47" i="7"/>
  <c r="C48" i="7"/>
  <c r="C49" i="7"/>
  <c r="C50" i="7"/>
  <c r="C51" i="7"/>
  <c r="C52" i="7"/>
  <c r="C53" i="7"/>
  <c r="C54" i="7"/>
  <c r="C55" i="7"/>
  <c r="C56" i="7"/>
  <c r="C57" i="7"/>
  <c r="C58" i="7"/>
  <c r="C59" i="7"/>
  <c r="C60" i="7"/>
  <c r="C61" i="7"/>
  <c r="C62" i="7"/>
  <c r="C63" i="7"/>
  <c r="C64" i="7"/>
  <c r="C65" i="7"/>
  <c r="C66" i="7"/>
  <c r="C67" i="7"/>
  <c r="C68" i="7"/>
  <c r="C69" i="7"/>
  <c r="C70" i="7"/>
  <c r="C71" i="7"/>
  <c r="C72" i="7"/>
  <c r="C73" i="7"/>
  <c r="C74" i="7"/>
  <c r="C75" i="7"/>
  <c r="C76" i="7"/>
  <c r="C77" i="7"/>
  <c r="C78" i="7"/>
  <c r="C79" i="7"/>
  <c r="C80" i="7"/>
  <c r="C81" i="7"/>
  <c r="C82" i="7"/>
  <c r="C83" i="7"/>
  <c r="C84" i="7"/>
  <c r="C85" i="7"/>
  <c r="C86" i="7"/>
  <c r="C87" i="7"/>
  <c r="C88" i="7"/>
  <c r="C89" i="7"/>
  <c r="C90" i="7"/>
  <c r="C91" i="7"/>
  <c r="C92" i="7"/>
  <c r="C93" i="7"/>
  <c r="C94" i="7"/>
  <c r="C95" i="7"/>
  <c r="C96" i="7"/>
  <c r="C97" i="7"/>
  <c r="C98" i="7"/>
  <c r="C99" i="7"/>
  <c r="C100" i="7"/>
  <c r="C101" i="7"/>
  <c r="C102" i="7"/>
  <c r="C103" i="7"/>
  <c r="C104" i="7"/>
  <c r="C105" i="7"/>
  <c r="C106" i="7"/>
  <c r="C107" i="7"/>
  <c r="C108" i="7"/>
  <c r="C109" i="7"/>
  <c r="C110" i="7"/>
  <c r="C111" i="7"/>
  <c r="C112" i="7"/>
  <c r="C113" i="7"/>
  <c r="C114" i="7"/>
  <c r="C115" i="7"/>
  <c r="C116" i="7"/>
  <c r="C117" i="7"/>
  <c r="C118" i="7"/>
  <c r="C119" i="7"/>
  <c r="C120" i="7"/>
  <c r="C121" i="7"/>
  <c r="C122" i="7"/>
  <c r="C123" i="7"/>
  <c r="C124" i="7"/>
  <c r="C125" i="7"/>
  <c r="C126" i="7"/>
  <c r="C127" i="7"/>
  <c r="C128" i="7"/>
  <c r="C129" i="7"/>
  <c r="C130" i="7"/>
  <c r="C131" i="7"/>
  <c r="C2" i="7"/>
  <c r="O18" i="19" l="1"/>
  <c r="O23" i="30"/>
  <c r="O41" i="30"/>
  <c r="O53" i="20"/>
  <c r="O42" i="30" s="1"/>
  <c r="N64" i="13"/>
  <c r="N12" i="30" s="1"/>
  <c r="N11" i="30"/>
  <c r="N20" i="24"/>
  <c r="N102" i="30" s="1"/>
  <c r="N101" i="30"/>
  <c r="M53" i="20"/>
  <c r="M42" i="30" s="1"/>
  <c r="M41" i="30"/>
  <c r="M29" i="23"/>
  <c r="M87" i="30" s="1"/>
  <c r="M86" i="30"/>
  <c r="J101" i="30"/>
  <c r="J20" i="24"/>
  <c r="J102" i="30" s="1"/>
  <c r="K29" i="23"/>
  <c r="K87" i="30" s="1"/>
  <c r="K86" i="30"/>
  <c r="O29" i="23"/>
  <c r="O87" i="30" s="1"/>
  <c r="O86" i="30"/>
  <c r="O56" i="30"/>
  <c r="O20" i="21"/>
  <c r="O57" i="30" s="1"/>
  <c r="K53" i="20"/>
  <c r="K42" i="30" s="1"/>
  <c r="K41" i="30"/>
  <c r="O101" i="30"/>
  <c r="O20" i="24"/>
  <c r="O102" i="30" s="1"/>
  <c r="J20" i="21"/>
  <c r="J57" i="30" s="1"/>
  <c r="J56" i="30"/>
  <c r="N38" i="30"/>
  <c r="N52" i="20"/>
  <c r="J71" i="30"/>
  <c r="J23" i="22"/>
  <c r="J72" i="30" s="1"/>
  <c r="N86" i="30"/>
  <c r="N29" i="23"/>
  <c r="N87" i="30" s="1"/>
  <c r="M56" i="30"/>
  <c r="M20" i="21"/>
  <c r="M57" i="30" s="1"/>
  <c r="J29" i="23"/>
  <c r="J87" i="30" s="1"/>
  <c r="J86" i="30"/>
  <c r="M101" i="30"/>
  <c r="M20" i="24"/>
  <c r="M102" i="30" s="1"/>
  <c r="I20" i="21"/>
  <c r="I57" i="30" s="1"/>
  <c r="I56" i="30"/>
  <c r="L71" i="30"/>
  <c r="L23" i="22"/>
  <c r="L72" i="30" s="1"/>
  <c r="L29" i="23"/>
  <c r="L87" i="30" s="1"/>
  <c r="L86" i="30"/>
  <c r="J53" i="20"/>
  <c r="J42" i="30" s="1"/>
  <c r="J41" i="30"/>
  <c r="L64" i="13"/>
  <c r="L12" i="30" s="1"/>
  <c r="L11" i="30"/>
  <c r="O64" i="13"/>
  <c r="O12" i="30" s="1"/>
  <c r="O11" i="30"/>
  <c r="L20" i="24"/>
  <c r="L102" i="30" s="1"/>
  <c r="L101" i="30"/>
  <c r="O71" i="30"/>
  <c r="O23" i="22"/>
  <c r="O72" i="30" s="1"/>
  <c r="O33" i="25"/>
  <c r="O117" i="30" s="1"/>
  <c r="O116" i="30"/>
  <c r="L33" i="25"/>
  <c r="L117" i="30" s="1"/>
  <c r="L116" i="30"/>
  <c r="N33" i="25"/>
  <c r="N117" i="30" s="1"/>
  <c r="N116" i="30"/>
  <c r="O34" i="27"/>
  <c r="O132" i="30" s="1"/>
  <c r="N131" i="30"/>
  <c r="N34" i="27"/>
  <c r="N132" i="30" s="1"/>
  <c r="C61" i="30"/>
  <c r="F76" i="30"/>
  <c r="C46" i="30"/>
  <c r="F61" i="30"/>
  <c r="I76" i="30"/>
  <c r="C100" i="30"/>
  <c r="G121" i="30"/>
  <c r="H121" i="30"/>
  <c r="C115" i="30"/>
  <c r="C10" i="30"/>
  <c r="F31" i="30"/>
  <c r="E46" i="30"/>
  <c r="G61" i="30"/>
  <c r="H61" i="30"/>
  <c r="E76" i="30"/>
  <c r="G91" i="30"/>
  <c r="H91" i="30"/>
  <c r="C106" i="30"/>
  <c r="I106" i="30"/>
  <c r="D106" i="30"/>
  <c r="I100" i="30"/>
  <c r="C121" i="30"/>
  <c r="I121" i="30"/>
  <c r="D121" i="30"/>
  <c r="I115" i="30"/>
  <c r="G16" i="30"/>
  <c r="I10" i="30"/>
  <c r="G136" i="30"/>
  <c r="H136" i="30"/>
  <c r="C130" i="30"/>
  <c r="I25" i="30"/>
  <c r="F46" i="30"/>
  <c r="C70" i="30"/>
  <c r="C91" i="30"/>
  <c r="C136" i="30"/>
  <c r="I136" i="30"/>
  <c r="D136" i="30"/>
  <c r="I130" i="30"/>
  <c r="E145" i="30"/>
  <c r="H31" i="30"/>
  <c r="C40" i="30"/>
  <c r="I91" i="30"/>
  <c r="D91" i="30"/>
  <c r="C85" i="30"/>
  <c r="E106" i="30"/>
  <c r="E121" i="30"/>
  <c r="H16" i="30"/>
  <c r="C31" i="30"/>
  <c r="I31" i="30"/>
  <c r="D31" i="30"/>
  <c r="C25" i="30"/>
  <c r="G46" i="30"/>
  <c r="H46" i="30"/>
  <c r="I40" i="30"/>
  <c r="F40" i="30"/>
  <c r="E61" i="30"/>
  <c r="E55" i="30"/>
  <c r="C55" i="30"/>
  <c r="G76" i="30"/>
  <c r="H76" i="30"/>
  <c r="D70" i="30"/>
  <c r="I70" i="30"/>
  <c r="E91" i="30"/>
  <c r="I85" i="30"/>
  <c r="F106" i="30"/>
  <c r="F121" i="30"/>
  <c r="I16" i="30"/>
  <c r="D16" i="30"/>
  <c r="F16" i="30"/>
  <c r="E136" i="30"/>
  <c r="G31" i="30"/>
  <c r="D61" i="30"/>
  <c r="E31" i="30"/>
  <c r="I46" i="30"/>
  <c r="D46" i="30"/>
  <c r="H55" i="30"/>
  <c r="C76" i="30"/>
  <c r="D76" i="30"/>
  <c r="F91" i="30"/>
  <c r="G106" i="30"/>
  <c r="H106" i="30"/>
  <c r="E16" i="30"/>
  <c r="C16" i="30"/>
  <c r="F136" i="30"/>
  <c r="D145" i="30"/>
  <c r="H145" i="30"/>
  <c r="F145" i="30"/>
  <c r="J2" i="1"/>
  <c r="J3" i="1"/>
  <c r="J4" i="1"/>
  <c r="J5" i="1"/>
  <c r="J6" i="1"/>
  <c r="J7" i="1"/>
  <c r="J8" i="1"/>
  <c r="J9" i="1"/>
  <c r="J10" i="1"/>
  <c r="J11" i="1"/>
  <c r="J12" i="1"/>
  <c r="J13" i="1"/>
  <c r="J14" i="1"/>
  <c r="J15" i="1"/>
  <c r="J16" i="1"/>
  <c r="J17" i="1"/>
  <c r="J18" i="1"/>
  <c r="J19" i="1"/>
  <c r="J20" i="1"/>
  <c r="J21" i="1"/>
  <c r="J22" i="1"/>
  <c r="J23" i="1"/>
  <c r="J24" i="1"/>
  <c r="J25" i="1"/>
  <c r="J26" i="1"/>
  <c r="J27" i="1"/>
  <c r="J28" i="1"/>
  <c r="J29" i="1"/>
  <c r="J30" i="1"/>
  <c r="J31" i="1"/>
  <c r="J32" i="1"/>
  <c r="J33" i="1"/>
  <c r="J34" i="1"/>
  <c r="J35" i="1"/>
  <c r="J36" i="1"/>
  <c r="J37" i="1"/>
  <c r="J38" i="1"/>
  <c r="J39" i="1"/>
  <c r="J40" i="1"/>
  <c r="J41" i="1"/>
  <c r="J42" i="1"/>
  <c r="J43" i="1"/>
  <c r="J44" i="1"/>
  <c r="J45" i="1"/>
  <c r="J46" i="1"/>
  <c r="J47" i="1"/>
  <c r="J48" i="1"/>
  <c r="J49" i="1"/>
  <c r="J50" i="1"/>
  <c r="J51" i="1"/>
  <c r="J52" i="1"/>
  <c r="J53" i="1"/>
  <c r="J54" i="1"/>
  <c r="J55" i="1"/>
  <c r="J56" i="1"/>
  <c r="J57" i="1"/>
  <c r="J58" i="1"/>
  <c r="J59" i="1"/>
  <c r="J60" i="1"/>
  <c r="J61" i="1"/>
  <c r="J62" i="1"/>
  <c r="J63" i="1"/>
  <c r="J64" i="1"/>
  <c r="J65" i="1"/>
  <c r="J66" i="1"/>
  <c r="J67" i="1"/>
  <c r="J68" i="1"/>
  <c r="J69" i="1"/>
  <c r="J70" i="1"/>
  <c r="J71" i="1"/>
  <c r="J72" i="1"/>
  <c r="J73" i="1"/>
  <c r="J74" i="1"/>
  <c r="J75" i="1"/>
  <c r="J76" i="1"/>
  <c r="J77" i="1"/>
  <c r="J78" i="1"/>
  <c r="J79" i="1"/>
  <c r="J80" i="1"/>
  <c r="J81" i="1"/>
  <c r="J82" i="1"/>
  <c r="J83" i="1"/>
  <c r="J84" i="1"/>
  <c r="J85" i="1"/>
  <c r="J86" i="1"/>
  <c r="J87" i="1"/>
  <c r="J88" i="1"/>
  <c r="J89" i="1"/>
  <c r="J90" i="1"/>
  <c r="J91" i="1"/>
  <c r="J92" i="1"/>
  <c r="J93" i="1"/>
  <c r="J94" i="1"/>
  <c r="J95" i="1"/>
  <c r="J96" i="1"/>
  <c r="J97" i="1"/>
  <c r="J98" i="1"/>
  <c r="J99" i="1"/>
  <c r="J100" i="1"/>
  <c r="J101" i="1"/>
  <c r="J102" i="1"/>
  <c r="J103" i="1"/>
  <c r="J104" i="1"/>
  <c r="J105" i="1"/>
  <c r="J106" i="1"/>
  <c r="J107" i="1"/>
  <c r="J108" i="1"/>
  <c r="J109" i="1"/>
  <c r="J110" i="1"/>
  <c r="J111" i="1"/>
  <c r="J112" i="1"/>
  <c r="J113" i="1"/>
  <c r="J114" i="1"/>
  <c r="J115" i="1"/>
  <c r="J116" i="1"/>
  <c r="J117" i="1"/>
  <c r="J118" i="1"/>
  <c r="J119" i="1"/>
  <c r="J120" i="1"/>
  <c r="J121" i="1"/>
  <c r="J122" i="1"/>
  <c r="J123" i="1"/>
  <c r="J124" i="1"/>
  <c r="J125" i="1"/>
  <c r="J126" i="1"/>
  <c r="J127" i="1"/>
  <c r="J128" i="1"/>
  <c r="J129" i="1"/>
  <c r="J130" i="1"/>
  <c r="J131" i="1"/>
  <c r="J132" i="1"/>
  <c r="J133" i="1"/>
  <c r="J134" i="1"/>
  <c r="J135" i="1"/>
  <c r="J136" i="1"/>
  <c r="J137" i="1"/>
  <c r="J138" i="1"/>
  <c r="J139" i="1"/>
  <c r="J140" i="1"/>
  <c r="J141" i="1"/>
  <c r="J142" i="1"/>
  <c r="J143" i="1"/>
  <c r="J144" i="1"/>
  <c r="J145" i="1"/>
  <c r="J146" i="1"/>
  <c r="J147" i="1"/>
  <c r="J148" i="1"/>
  <c r="J149" i="1"/>
  <c r="J150" i="1"/>
  <c r="J151" i="1"/>
  <c r="J152" i="1"/>
  <c r="J153" i="1"/>
  <c r="J154" i="1"/>
  <c r="J155" i="1"/>
  <c r="J156" i="1"/>
  <c r="J157" i="1"/>
  <c r="J158" i="1"/>
  <c r="J159" i="1"/>
  <c r="J160" i="1"/>
  <c r="J161" i="1"/>
  <c r="J162" i="1"/>
  <c r="J163" i="1"/>
  <c r="J164" i="1"/>
  <c r="J165" i="1"/>
  <c r="J166" i="1"/>
  <c r="J167" i="1"/>
  <c r="J168" i="1"/>
  <c r="J169" i="1"/>
  <c r="J170" i="1"/>
  <c r="J171" i="1"/>
  <c r="J172" i="1"/>
  <c r="J173" i="1"/>
  <c r="J174" i="1"/>
  <c r="J175" i="1"/>
  <c r="J176" i="1"/>
  <c r="J177" i="1"/>
  <c r="J178" i="1"/>
  <c r="J179" i="1"/>
  <c r="J180" i="1"/>
  <c r="J181" i="1"/>
  <c r="J182" i="1"/>
  <c r="J183" i="1"/>
  <c r="J184" i="1"/>
  <c r="J185" i="1"/>
  <c r="J186" i="1"/>
  <c r="J187" i="1"/>
  <c r="J188" i="1"/>
  <c r="J189" i="1"/>
  <c r="J190" i="1"/>
  <c r="J191" i="1"/>
  <c r="J192" i="1"/>
  <c r="J193" i="1"/>
  <c r="J194" i="1"/>
  <c r="J195" i="1"/>
  <c r="J196" i="1"/>
  <c r="J197" i="1"/>
  <c r="J198" i="1"/>
  <c r="J199" i="1"/>
  <c r="J200" i="1"/>
  <c r="J201" i="1"/>
  <c r="J202" i="1"/>
  <c r="J203" i="1"/>
  <c r="J204" i="1"/>
  <c r="J205" i="1"/>
  <c r="J206" i="1"/>
  <c r="J207" i="1"/>
  <c r="J208" i="1"/>
  <c r="J209" i="1"/>
  <c r="J210" i="1"/>
  <c r="J211" i="1"/>
  <c r="J212" i="1"/>
  <c r="J213" i="1"/>
  <c r="J214" i="1"/>
  <c r="J215" i="1"/>
  <c r="J216" i="1"/>
  <c r="J217" i="1"/>
  <c r="J218" i="1"/>
  <c r="J219" i="1"/>
  <c r="J220" i="1"/>
  <c r="J221" i="1"/>
  <c r="J222" i="1"/>
  <c r="J223" i="1"/>
  <c r="J224" i="1"/>
  <c r="J225" i="1"/>
  <c r="J226" i="1"/>
  <c r="J227" i="1"/>
  <c r="J228" i="1"/>
  <c r="J229" i="1"/>
  <c r="J230" i="1"/>
  <c r="J231" i="1"/>
  <c r="J232" i="1"/>
  <c r="J233" i="1"/>
  <c r="J234" i="1"/>
  <c r="J235" i="1"/>
  <c r="J236" i="1"/>
  <c r="J237" i="1"/>
  <c r="J238" i="1"/>
  <c r="J239" i="1"/>
  <c r="J240" i="1"/>
  <c r="J241" i="1"/>
  <c r="J242" i="1"/>
  <c r="J243" i="1"/>
  <c r="J244" i="1"/>
  <c r="J245" i="1"/>
  <c r="J246" i="1"/>
  <c r="J247" i="1"/>
  <c r="J248" i="1"/>
  <c r="J249" i="1"/>
  <c r="J250" i="1"/>
  <c r="J251" i="1"/>
  <c r="J252" i="1"/>
  <c r="J253" i="1"/>
  <c r="J254" i="1"/>
  <c r="J255" i="1"/>
  <c r="J256" i="1"/>
  <c r="J257" i="1"/>
  <c r="J258" i="1"/>
  <c r="J259" i="1"/>
  <c r="J260" i="1"/>
  <c r="J261" i="1"/>
  <c r="J262" i="1"/>
  <c r="J263" i="1"/>
  <c r="J264" i="1"/>
  <c r="J265" i="1"/>
  <c r="J266" i="1"/>
  <c r="J267" i="1"/>
  <c r="J268" i="1"/>
  <c r="J269" i="1"/>
  <c r="J270" i="1"/>
  <c r="J271" i="1"/>
  <c r="J272" i="1"/>
  <c r="J273" i="1"/>
  <c r="J274" i="1"/>
  <c r="J275" i="1"/>
  <c r="J276" i="1"/>
  <c r="J277" i="1"/>
  <c r="J278" i="1"/>
  <c r="J279" i="1"/>
  <c r="J280" i="1"/>
  <c r="J281" i="1"/>
  <c r="J282" i="1"/>
  <c r="J283" i="1"/>
  <c r="J284" i="1"/>
  <c r="J285" i="1"/>
  <c r="J286" i="1"/>
  <c r="J287" i="1"/>
  <c r="J288" i="1"/>
  <c r="J289" i="1"/>
  <c r="J290" i="1"/>
  <c r="J291" i="1"/>
  <c r="J292" i="1"/>
  <c r="J293" i="1"/>
  <c r="J294" i="1"/>
  <c r="J295" i="1"/>
  <c r="J296" i="1"/>
  <c r="J297" i="1"/>
  <c r="J298" i="1"/>
  <c r="J299" i="1"/>
  <c r="J300" i="1"/>
  <c r="J301" i="1"/>
  <c r="J302" i="1"/>
  <c r="J303" i="1"/>
  <c r="J304" i="1"/>
  <c r="J305" i="1"/>
  <c r="J306" i="1"/>
  <c r="J307" i="1"/>
  <c r="J308" i="1"/>
  <c r="J309" i="1"/>
  <c r="J310" i="1"/>
  <c r="J311" i="1"/>
  <c r="J312" i="1"/>
  <c r="J313" i="1"/>
  <c r="J314" i="1"/>
  <c r="J315" i="1"/>
  <c r="J316" i="1"/>
  <c r="J317" i="1"/>
  <c r="J318" i="1"/>
  <c r="J319" i="1"/>
  <c r="J320" i="1"/>
  <c r="J321" i="1"/>
  <c r="J322" i="1"/>
  <c r="J323" i="1"/>
  <c r="J324" i="1"/>
  <c r="J325" i="1"/>
  <c r="J326" i="1"/>
  <c r="J327" i="1"/>
  <c r="J328" i="1"/>
  <c r="J329" i="1"/>
  <c r="J330" i="1"/>
  <c r="J331" i="1"/>
  <c r="J332" i="1"/>
  <c r="J333" i="1"/>
  <c r="J334" i="1"/>
  <c r="J335" i="1"/>
  <c r="J336" i="1"/>
  <c r="J337" i="1"/>
  <c r="J338" i="1"/>
  <c r="J339" i="1"/>
  <c r="J340" i="1"/>
  <c r="J341" i="1"/>
  <c r="J342" i="1"/>
  <c r="J343" i="1"/>
  <c r="J344" i="1"/>
  <c r="J345" i="1"/>
  <c r="J346" i="1"/>
  <c r="J347" i="1"/>
  <c r="J348" i="1"/>
  <c r="J349" i="1"/>
  <c r="J350" i="1"/>
  <c r="J351" i="1"/>
  <c r="J352" i="1"/>
  <c r="J353" i="1"/>
  <c r="J354" i="1"/>
  <c r="J355" i="1"/>
  <c r="J356" i="1"/>
  <c r="J357" i="1"/>
  <c r="J358" i="1"/>
  <c r="J359" i="1"/>
  <c r="J360" i="1"/>
  <c r="J361" i="1"/>
  <c r="J362" i="1"/>
  <c r="J363" i="1"/>
  <c r="J364" i="1"/>
  <c r="J365" i="1"/>
  <c r="J366" i="1"/>
  <c r="J367" i="1"/>
  <c r="J368" i="1"/>
  <c r="J369" i="1"/>
  <c r="J370" i="1"/>
  <c r="J371" i="1"/>
  <c r="J372" i="1"/>
  <c r="J373" i="1"/>
  <c r="J374" i="1"/>
  <c r="J375" i="1"/>
  <c r="J376" i="1"/>
  <c r="J377" i="1"/>
  <c r="J378" i="1"/>
  <c r="J379" i="1"/>
  <c r="J380" i="1"/>
  <c r="J381" i="1"/>
  <c r="J382" i="1"/>
  <c r="J383" i="1"/>
  <c r="J384" i="1"/>
  <c r="J385" i="1"/>
  <c r="J386" i="1"/>
  <c r="J387" i="1"/>
  <c r="J388" i="1"/>
  <c r="J389" i="1"/>
  <c r="J390" i="1"/>
  <c r="J391" i="1"/>
  <c r="J392" i="1"/>
  <c r="J393" i="1"/>
  <c r="J394" i="1"/>
  <c r="J395" i="1"/>
  <c r="J396" i="1"/>
  <c r="J397" i="1"/>
  <c r="J398" i="1"/>
  <c r="J399" i="1"/>
  <c r="J400" i="1"/>
  <c r="J401" i="1"/>
  <c r="J402" i="1"/>
  <c r="J403" i="1"/>
  <c r="J404" i="1"/>
  <c r="J405" i="1"/>
  <c r="J406" i="1"/>
  <c r="J407" i="1"/>
  <c r="J408" i="1"/>
  <c r="J409" i="1"/>
  <c r="J410" i="1"/>
  <c r="J411" i="1"/>
  <c r="J412" i="1"/>
  <c r="J413" i="1"/>
  <c r="J414" i="1"/>
  <c r="J415" i="1"/>
  <c r="J416" i="1"/>
  <c r="J417" i="1"/>
  <c r="J418" i="1"/>
  <c r="J419" i="1"/>
  <c r="J420" i="1"/>
  <c r="J421" i="1"/>
  <c r="J422" i="1"/>
  <c r="J423" i="1"/>
  <c r="J424" i="1"/>
  <c r="J425" i="1"/>
  <c r="J426" i="1"/>
  <c r="J427" i="1"/>
  <c r="J428" i="1"/>
  <c r="J429" i="1"/>
  <c r="J430" i="1"/>
  <c r="J431" i="1"/>
  <c r="J432" i="1"/>
  <c r="J433" i="1"/>
  <c r="J434" i="1"/>
  <c r="J435" i="1"/>
  <c r="J436" i="1"/>
  <c r="J437" i="1"/>
  <c r="J438" i="1"/>
  <c r="J439" i="1"/>
  <c r="J440" i="1"/>
  <c r="J441" i="1"/>
  <c r="J442" i="1"/>
  <c r="J443" i="1"/>
  <c r="J444" i="1"/>
  <c r="J445" i="1"/>
  <c r="J446" i="1"/>
  <c r="J447" i="1"/>
  <c r="J448" i="1"/>
  <c r="J449" i="1"/>
  <c r="J450" i="1"/>
  <c r="J451" i="1"/>
  <c r="J452" i="1"/>
  <c r="J453" i="1"/>
  <c r="J454" i="1"/>
  <c r="J455" i="1"/>
  <c r="J456" i="1"/>
  <c r="J457" i="1"/>
  <c r="J458" i="1"/>
  <c r="J459" i="1"/>
  <c r="J460" i="1"/>
  <c r="J461" i="1"/>
  <c r="J462" i="1"/>
  <c r="J463" i="1"/>
  <c r="J464" i="1"/>
  <c r="J465" i="1"/>
  <c r="J466" i="1"/>
  <c r="J467" i="1"/>
  <c r="J468" i="1"/>
  <c r="J469" i="1"/>
  <c r="J470" i="1"/>
  <c r="J471" i="1"/>
  <c r="J472" i="1"/>
  <c r="J473" i="1"/>
  <c r="J474" i="1"/>
  <c r="J475" i="1"/>
  <c r="J476" i="1"/>
  <c r="J477" i="1"/>
  <c r="J478" i="1"/>
  <c r="J479" i="1"/>
  <c r="J480" i="1"/>
  <c r="J481" i="1"/>
  <c r="J482" i="1"/>
  <c r="J483" i="1"/>
  <c r="J484" i="1"/>
  <c r="J485" i="1"/>
  <c r="J486" i="1"/>
  <c r="J487" i="1"/>
  <c r="J488" i="1"/>
  <c r="J489" i="1"/>
  <c r="J490" i="1"/>
  <c r="J491" i="1"/>
  <c r="J492" i="1"/>
  <c r="J493" i="1"/>
  <c r="J494" i="1"/>
  <c r="J495" i="1"/>
  <c r="J496" i="1"/>
  <c r="J497" i="1"/>
  <c r="J498" i="1"/>
  <c r="J499" i="1"/>
  <c r="J500" i="1"/>
  <c r="J501" i="1"/>
  <c r="J502" i="1"/>
  <c r="J503" i="1"/>
  <c r="J504" i="1"/>
  <c r="J505" i="1"/>
  <c r="J506" i="1"/>
  <c r="J507" i="1"/>
  <c r="J508" i="1"/>
  <c r="J509" i="1"/>
  <c r="J510" i="1"/>
  <c r="J511" i="1"/>
  <c r="J514" i="1"/>
  <c r="J515" i="1"/>
  <c r="J513" i="1"/>
  <c r="J512" i="1"/>
  <c r="J517" i="1"/>
  <c r="J516" i="1"/>
  <c r="J518" i="1"/>
  <c r="J520" i="1"/>
  <c r="J521" i="1"/>
  <c r="J522" i="1"/>
  <c r="J519" i="1"/>
  <c r="J525" i="1"/>
  <c r="J523" i="1"/>
  <c r="J524" i="1"/>
  <c r="J527" i="1"/>
  <c r="J526" i="1"/>
  <c r="J528" i="1"/>
  <c r="J530" i="1"/>
  <c r="J529" i="1"/>
  <c r="J531" i="1"/>
  <c r="J533" i="1"/>
  <c r="J532" i="1"/>
  <c r="J537" i="1"/>
  <c r="J538" i="1"/>
  <c r="J534" i="1"/>
  <c r="J535" i="1"/>
  <c r="J536" i="1"/>
  <c r="J542" i="1"/>
  <c r="J541" i="1"/>
  <c r="J540" i="1"/>
  <c r="J544" i="1"/>
  <c r="J543" i="1"/>
  <c r="J545" i="1"/>
  <c r="J547" i="1"/>
  <c r="J546" i="1"/>
  <c r="J550" i="1"/>
  <c r="J548" i="1"/>
  <c r="J549" i="1"/>
  <c r="J552" i="1"/>
  <c r="J551" i="1"/>
  <c r="J553" i="1"/>
  <c r="J555" i="1"/>
  <c r="J554" i="1"/>
  <c r="J556" i="1"/>
  <c r="J557" i="1"/>
  <c r="J558" i="1"/>
  <c r="J559" i="1"/>
  <c r="J560" i="1"/>
  <c r="J561" i="1"/>
  <c r="J563" i="1"/>
  <c r="J562" i="1"/>
  <c r="J564" i="1"/>
  <c r="J565" i="1"/>
  <c r="J567" i="1"/>
  <c r="J566" i="1"/>
  <c r="J569" i="1"/>
  <c r="J568" i="1"/>
  <c r="J571" i="1"/>
  <c r="J570" i="1"/>
  <c r="J574" i="1"/>
  <c r="J572" i="1"/>
  <c r="J573" i="1"/>
  <c r="J575" i="1"/>
  <c r="J576" i="1"/>
  <c r="J579" i="1"/>
  <c r="J577" i="1"/>
  <c r="J581" i="1"/>
  <c r="J578" i="1"/>
  <c r="J580" i="1"/>
  <c r="J582" i="1"/>
  <c r="J583" i="1"/>
  <c r="J586" i="1"/>
  <c r="J585" i="1"/>
  <c r="J584" i="1"/>
  <c r="J590" i="1"/>
  <c r="J588" i="1"/>
  <c r="J589" i="1"/>
  <c r="J587" i="1"/>
  <c r="J592" i="1"/>
  <c r="J591" i="1"/>
  <c r="J593" i="1"/>
  <c r="J597" i="1"/>
  <c r="J596" i="1"/>
  <c r="J594" i="1"/>
  <c r="J595" i="1"/>
  <c r="J598" i="1"/>
  <c r="J605" i="1"/>
  <c r="J603" i="1"/>
  <c r="J599" i="1"/>
  <c r="J602" i="1"/>
  <c r="J606" i="1"/>
  <c r="J604" i="1"/>
  <c r="J601" i="1"/>
  <c r="J600" i="1"/>
  <c r="J611" i="1"/>
  <c r="J608" i="1"/>
  <c r="J607" i="1"/>
  <c r="J609" i="1"/>
  <c r="J610" i="1"/>
  <c r="J614" i="1"/>
  <c r="J613" i="1"/>
  <c r="J615" i="1"/>
  <c r="J612" i="1"/>
  <c r="J663" i="1"/>
  <c r="J664" i="1"/>
  <c r="J665" i="1"/>
  <c r="J666" i="1"/>
  <c r="J667" i="1"/>
  <c r="J668" i="1"/>
  <c r="J669" i="1"/>
  <c r="J670" i="1"/>
  <c r="J671" i="1"/>
  <c r="J672" i="1"/>
  <c r="J673" i="1"/>
  <c r="J674" i="1"/>
  <c r="J675" i="1"/>
  <c r="J676" i="1"/>
  <c r="J677" i="1"/>
  <c r="J678" i="1"/>
  <c r="J679" i="1"/>
  <c r="J680" i="1"/>
  <c r="J681" i="1"/>
  <c r="J682" i="1"/>
  <c r="J683" i="1"/>
  <c r="J684" i="1"/>
  <c r="J685" i="1"/>
  <c r="J686" i="1"/>
  <c r="J687" i="1"/>
  <c r="J688" i="1"/>
  <c r="J689" i="1"/>
  <c r="J690" i="1"/>
  <c r="J691" i="1"/>
  <c r="J692" i="1"/>
  <c r="J693" i="1"/>
  <c r="J694" i="1"/>
  <c r="J695" i="1"/>
  <c r="J696" i="1"/>
  <c r="J697" i="1"/>
  <c r="J698" i="1"/>
  <c r="J699" i="1"/>
  <c r="J700" i="1"/>
  <c r="J701" i="1"/>
  <c r="J702" i="1"/>
  <c r="J703" i="1"/>
  <c r="J704" i="1"/>
  <c r="J705" i="1"/>
  <c r="J706" i="1"/>
  <c r="J728" i="1"/>
  <c r="J729" i="1"/>
  <c r="J730" i="1"/>
  <c r="J731" i="1"/>
  <c r="J732" i="1"/>
  <c r="J733" i="1"/>
  <c r="J734" i="1"/>
  <c r="J735" i="1"/>
  <c r="J736" i="1"/>
  <c r="J737" i="1"/>
  <c r="J738" i="1"/>
  <c r="J739" i="1"/>
  <c r="J740" i="1"/>
  <c r="J741" i="1"/>
  <c r="J742" i="1"/>
  <c r="J743" i="1"/>
  <c r="J744" i="1"/>
  <c r="J745" i="1"/>
  <c r="J746" i="1"/>
  <c r="J747" i="1"/>
  <c r="J748" i="1"/>
  <c r="J749" i="1"/>
  <c r="J750" i="1"/>
  <c r="J751" i="1"/>
  <c r="J752" i="1"/>
  <c r="J753" i="1"/>
  <c r="J754" i="1"/>
  <c r="J755" i="1"/>
  <c r="J756" i="1"/>
  <c r="J757" i="1"/>
  <c r="J758" i="1"/>
  <c r="J759" i="1"/>
  <c r="J760" i="1"/>
  <c r="J761" i="1"/>
  <c r="J762" i="1"/>
  <c r="J774" i="1"/>
  <c r="J775" i="1"/>
  <c r="J776" i="1"/>
  <c r="J777" i="1"/>
  <c r="J778" i="1"/>
  <c r="J779" i="1"/>
  <c r="J780" i="1"/>
  <c r="J781" i="1"/>
  <c r="J782" i="1"/>
  <c r="J783" i="1"/>
  <c r="J784" i="1"/>
  <c r="J785" i="1"/>
  <c r="J786" i="1"/>
  <c r="J787" i="1"/>
  <c r="J788" i="1"/>
  <c r="J789" i="1"/>
  <c r="J790" i="1"/>
  <c r="J791" i="1"/>
  <c r="J792" i="1"/>
  <c r="J793" i="1"/>
  <c r="J794" i="1"/>
  <c r="J795" i="1"/>
  <c r="J796" i="1"/>
  <c r="J797" i="1"/>
  <c r="J798" i="1"/>
  <c r="J799" i="1"/>
  <c r="J800" i="1"/>
  <c r="J801" i="1"/>
  <c r="J802" i="1"/>
  <c r="J803" i="1"/>
  <c r="J804" i="1"/>
  <c r="J805" i="1"/>
  <c r="J806" i="1"/>
  <c r="J807" i="1"/>
  <c r="J808" i="1"/>
  <c r="J809" i="1"/>
  <c r="J810" i="1"/>
  <c r="J811" i="1"/>
  <c r="J824" i="1"/>
  <c r="J825" i="1"/>
  <c r="J826" i="1"/>
  <c r="J827" i="1"/>
  <c r="J828" i="1"/>
  <c r="J829" i="1"/>
  <c r="J830" i="1"/>
  <c r="J831" i="1"/>
  <c r="J832" i="1"/>
  <c r="J833" i="1"/>
  <c r="J834" i="1"/>
  <c r="J835" i="1"/>
  <c r="J836" i="1"/>
  <c r="J837" i="1"/>
  <c r="J838" i="1"/>
  <c r="J839" i="1"/>
  <c r="J840" i="1"/>
  <c r="J841" i="1"/>
  <c r="J842" i="1"/>
  <c r="J843" i="1"/>
  <c r="J844" i="1"/>
  <c r="J845" i="1"/>
  <c r="J846" i="1"/>
  <c r="J847" i="1"/>
  <c r="J848" i="1"/>
  <c r="J849" i="1"/>
  <c r="J850" i="1"/>
  <c r="J851" i="1"/>
  <c r="J852" i="1"/>
  <c r="J853" i="1"/>
  <c r="J854" i="1"/>
  <c r="J855" i="1"/>
  <c r="J856" i="1"/>
  <c r="J857" i="1"/>
  <c r="J858" i="1"/>
  <c r="J859" i="1"/>
  <c r="J860" i="1"/>
  <c r="J861" i="1"/>
  <c r="J862" i="1"/>
  <c r="J863" i="1"/>
  <c r="J864" i="1"/>
  <c r="J865" i="1"/>
  <c r="J866" i="1"/>
  <c r="J867" i="1"/>
  <c r="J868" i="1"/>
  <c r="J869" i="1"/>
  <c r="J870" i="1"/>
  <c r="J871" i="1"/>
  <c r="J872" i="1"/>
  <c r="J873" i="1"/>
  <c r="J874" i="1"/>
  <c r="J875" i="1"/>
  <c r="J876" i="1"/>
  <c r="J877" i="1"/>
  <c r="J878" i="1"/>
  <c r="J879" i="1"/>
  <c r="J880" i="1"/>
  <c r="J881" i="1"/>
  <c r="J882" i="1"/>
  <c r="J883" i="1"/>
  <c r="J884" i="1"/>
  <c r="J885" i="1"/>
  <c r="J886" i="1"/>
  <c r="J887" i="1"/>
  <c r="J888" i="1"/>
  <c r="J889" i="1"/>
  <c r="J890" i="1"/>
  <c r="J891" i="1"/>
  <c r="J892" i="1"/>
  <c r="J893" i="1"/>
  <c r="J894" i="1"/>
  <c r="J895" i="1"/>
  <c r="J896" i="1"/>
  <c r="J897" i="1"/>
  <c r="J898" i="1"/>
  <c r="J899" i="1"/>
  <c r="J900" i="1"/>
  <c r="J901" i="1"/>
  <c r="J902" i="1"/>
  <c r="J903" i="1"/>
  <c r="J904" i="1"/>
  <c r="J905" i="1"/>
  <c r="J906" i="1"/>
  <c r="J907" i="1"/>
  <c r="J908" i="1"/>
  <c r="J909" i="1"/>
  <c r="J910" i="1"/>
  <c r="J911" i="1"/>
  <c r="J912" i="1"/>
  <c r="J913" i="1"/>
  <c r="J914" i="1"/>
  <c r="J915" i="1"/>
  <c r="J916" i="1"/>
  <c r="J917" i="1"/>
  <c r="J918" i="1"/>
  <c r="J919" i="1"/>
  <c r="J920" i="1"/>
  <c r="J921" i="1"/>
  <c r="J922" i="1"/>
  <c r="J923" i="1"/>
  <c r="J924" i="1"/>
  <c r="J925" i="1"/>
  <c r="J926" i="1"/>
  <c r="J927" i="1"/>
  <c r="J928" i="1"/>
  <c r="J929" i="1"/>
  <c r="J930" i="1"/>
  <c r="J931" i="1"/>
  <c r="J932" i="1"/>
  <c r="J933" i="1"/>
  <c r="J934" i="1"/>
  <c r="J935" i="1"/>
  <c r="J936" i="1"/>
  <c r="J937" i="1"/>
  <c r="J938" i="1"/>
  <c r="J939" i="1"/>
  <c r="J940" i="1"/>
  <c r="J941" i="1"/>
  <c r="J942" i="1"/>
  <c r="J943" i="1"/>
  <c r="J944" i="1"/>
  <c r="J945" i="1"/>
  <c r="J946" i="1"/>
  <c r="J947" i="1"/>
  <c r="J948" i="1"/>
  <c r="J949" i="1"/>
  <c r="J950" i="1"/>
  <c r="J951" i="1"/>
  <c r="J952" i="1"/>
  <c r="J953" i="1"/>
  <c r="J954" i="1"/>
  <c r="J955" i="1"/>
  <c r="J956" i="1"/>
  <c r="J957" i="1"/>
  <c r="J958" i="1"/>
  <c r="J959" i="1"/>
  <c r="J960" i="1"/>
  <c r="J961" i="1"/>
  <c r="J962" i="1"/>
  <c r="J963" i="1"/>
  <c r="J964" i="1"/>
  <c r="J965" i="1"/>
  <c r="J966" i="1"/>
  <c r="J967" i="1"/>
  <c r="J968" i="1"/>
  <c r="J969" i="1"/>
  <c r="J970" i="1"/>
  <c r="J971" i="1"/>
  <c r="J972" i="1"/>
  <c r="J973" i="1"/>
  <c r="J974" i="1"/>
  <c r="J975" i="1"/>
  <c r="J976" i="1"/>
  <c r="J977" i="1"/>
  <c r="J978" i="1"/>
  <c r="J979" i="1"/>
  <c r="J980" i="1"/>
  <c r="J981" i="1"/>
  <c r="J982" i="1"/>
  <c r="J983" i="1"/>
  <c r="J984" i="1"/>
  <c r="J985" i="1"/>
  <c r="J986" i="1"/>
  <c r="J987" i="1"/>
  <c r="J988" i="1"/>
  <c r="J989" i="1"/>
  <c r="J990" i="1"/>
  <c r="J991" i="1"/>
  <c r="J992" i="1"/>
  <c r="J993" i="1"/>
  <c r="J994" i="1"/>
  <c r="J995" i="1"/>
  <c r="J996" i="1"/>
  <c r="J997" i="1"/>
  <c r="J998" i="1"/>
  <c r="J999" i="1"/>
  <c r="J1000" i="1"/>
  <c r="J1001" i="1"/>
  <c r="J1002" i="1"/>
  <c r="J1003" i="1"/>
  <c r="J1004" i="1"/>
  <c r="J1005" i="1"/>
  <c r="J1006" i="1"/>
  <c r="J1007" i="1"/>
  <c r="J1008" i="1"/>
  <c r="J1009" i="1"/>
  <c r="J1010" i="1"/>
  <c r="J1011" i="1"/>
  <c r="J1012" i="1"/>
  <c r="J1013" i="1"/>
  <c r="J1014" i="1"/>
  <c r="J1015" i="1"/>
  <c r="J1016" i="1"/>
  <c r="J1017" i="1"/>
  <c r="J1018" i="1"/>
  <c r="J1019" i="1"/>
  <c r="J1020" i="1"/>
  <c r="J1021" i="1"/>
  <c r="J1022" i="1"/>
  <c r="J1023" i="1"/>
  <c r="J1024" i="1"/>
  <c r="J1025" i="1"/>
  <c r="J1026" i="1"/>
  <c r="J1027" i="1"/>
  <c r="J1028" i="1"/>
  <c r="J1029" i="1"/>
  <c r="J1030" i="1"/>
  <c r="J1031" i="1"/>
  <c r="J1032" i="1"/>
  <c r="J1033" i="1"/>
  <c r="J1034" i="1"/>
  <c r="J1035" i="1"/>
  <c r="J1036" i="1"/>
  <c r="J1037" i="1"/>
  <c r="J1038" i="1"/>
  <c r="J1039" i="1"/>
  <c r="J1040" i="1"/>
  <c r="J1041" i="1"/>
  <c r="J1042" i="1"/>
  <c r="J1043" i="1"/>
  <c r="J1044" i="1"/>
  <c r="J1045" i="1"/>
  <c r="J1046" i="1"/>
  <c r="J1047" i="1"/>
  <c r="J1048" i="1"/>
  <c r="J1049" i="1"/>
  <c r="J1050" i="1"/>
  <c r="J1051" i="1"/>
  <c r="J1052" i="1"/>
  <c r="J1053" i="1"/>
  <c r="J1054" i="1"/>
  <c r="J1055" i="1"/>
  <c r="J1056" i="1"/>
  <c r="J1057" i="1"/>
  <c r="J1058" i="1"/>
  <c r="J1059" i="1"/>
  <c r="J1060" i="1"/>
  <c r="J1061" i="1"/>
  <c r="J1062" i="1"/>
  <c r="J1063" i="1"/>
  <c r="J1064" i="1"/>
  <c r="J1065" i="1"/>
  <c r="J1066" i="1"/>
  <c r="J1067" i="1"/>
  <c r="J1068" i="1"/>
  <c r="J1069" i="1"/>
  <c r="J1070" i="1"/>
  <c r="J1071" i="1"/>
  <c r="J1072" i="1"/>
  <c r="J1073" i="1"/>
  <c r="J1074" i="1"/>
  <c r="J1075" i="1"/>
  <c r="J1076" i="1"/>
  <c r="J1077" i="1"/>
  <c r="J1078" i="1"/>
  <c r="J1079" i="1"/>
  <c r="J1080" i="1"/>
  <c r="J1081" i="1"/>
  <c r="J1082" i="1"/>
  <c r="J1083" i="1"/>
  <c r="J1084" i="1"/>
  <c r="J1085" i="1"/>
  <c r="J1086" i="1"/>
  <c r="J1087" i="1"/>
  <c r="J1088" i="1"/>
  <c r="J1089" i="1"/>
  <c r="J1090" i="1"/>
  <c r="J1099" i="1"/>
  <c r="J1100" i="1"/>
  <c r="J1101" i="1"/>
  <c r="J1102" i="1"/>
  <c r="J1103" i="1"/>
  <c r="J1104" i="1"/>
  <c r="J1105" i="1"/>
  <c r="J1106" i="1"/>
  <c r="J1107" i="1"/>
  <c r="J1108" i="1"/>
  <c r="J1109" i="1"/>
  <c r="J1110" i="1"/>
  <c r="J1111" i="1"/>
  <c r="J1112" i="1"/>
  <c r="J1113" i="1"/>
  <c r="J1114" i="1"/>
  <c r="J1115" i="1"/>
  <c r="J1116" i="1"/>
  <c r="J1117" i="1"/>
  <c r="J1118" i="1"/>
  <c r="J1119" i="1"/>
  <c r="J1120" i="1"/>
  <c r="J1121" i="1"/>
  <c r="J1122" i="1"/>
  <c r="J1123" i="1"/>
  <c r="J1124" i="1"/>
  <c r="J1125" i="1"/>
  <c r="J1126" i="1"/>
  <c r="J1127" i="1"/>
  <c r="J1128" i="1"/>
  <c r="J1129" i="1"/>
  <c r="J1130" i="1"/>
  <c r="J1131" i="1"/>
  <c r="J1132" i="1"/>
  <c r="J1133" i="1"/>
  <c r="J1134" i="1"/>
  <c r="J1135" i="1"/>
  <c r="J1136" i="1"/>
  <c r="J1137" i="1"/>
  <c r="J1138" i="1"/>
  <c r="J1139" i="1"/>
  <c r="J1140" i="1"/>
  <c r="J1141" i="1"/>
  <c r="J1142" i="1"/>
  <c r="J1143" i="1"/>
  <c r="J1144" i="1"/>
  <c r="J1145" i="1"/>
  <c r="J1146" i="1"/>
  <c r="J1147" i="1"/>
  <c r="J1148" i="1"/>
  <c r="J1149" i="1"/>
  <c r="J1150" i="1"/>
  <c r="J1151" i="1"/>
  <c r="J1152" i="1"/>
  <c r="J1153" i="1"/>
  <c r="J1154" i="1"/>
  <c r="J1155" i="1"/>
  <c r="J1156" i="1"/>
  <c r="J1157" i="1"/>
  <c r="J1158" i="1"/>
  <c r="J1159" i="1"/>
  <c r="J1160" i="1"/>
  <c r="J1161" i="1"/>
  <c r="J1162" i="1"/>
  <c r="J1163" i="1"/>
  <c r="J1164" i="1"/>
  <c r="J1165" i="1"/>
  <c r="J1166" i="1"/>
  <c r="J1167" i="1"/>
  <c r="J1168" i="1"/>
  <c r="J1169" i="1"/>
  <c r="J1170" i="1"/>
  <c r="J1171" i="1"/>
  <c r="J1172" i="1"/>
  <c r="J1173" i="1"/>
  <c r="J1174" i="1"/>
  <c r="J1175" i="1"/>
  <c r="J1176" i="1"/>
  <c r="J1177" i="1"/>
  <c r="J1178" i="1"/>
  <c r="J1179" i="1"/>
  <c r="J1180" i="1"/>
  <c r="J1181" i="1"/>
  <c r="J1182" i="1"/>
  <c r="J1183" i="1"/>
  <c r="J1184" i="1"/>
  <c r="J1185" i="1"/>
  <c r="J1186" i="1"/>
  <c r="J1187" i="1"/>
  <c r="J1188" i="1"/>
  <c r="J1189" i="1"/>
  <c r="J1190" i="1"/>
  <c r="J1191" i="1"/>
  <c r="J1192" i="1"/>
  <c r="J1193" i="1"/>
  <c r="J1194" i="1"/>
  <c r="J1195" i="1"/>
  <c r="J1196" i="1"/>
  <c r="J1197" i="1"/>
  <c r="J1198" i="1"/>
  <c r="J1199" i="1"/>
  <c r="J1200" i="1"/>
  <c r="J1201" i="1"/>
  <c r="J1202" i="1"/>
  <c r="J1203" i="1"/>
  <c r="J1204" i="1"/>
  <c r="J1205" i="1"/>
  <c r="J1206" i="1"/>
  <c r="J1207" i="1"/>
  <c r="J1208" i="1"/>
  <c r="J1209" i="1"/>
  <c r="J1210" i="1"/>
  <c r="J1211" i="1"/>
  <c r="J1212" i="1"/>
  <c r="J1213" i="1"/>
  <c r="J1214" i="1"/>
  <c r="J1215" i="1"/>
  <c r="J1216" i="1"/>
  <c r="J1217" i="1"/>
  <c r="J1218" i="1"/>
  <c r="J1219" i="1"/>
  <c r="J1220" i="1"/>
  <c r="J1221" i="1"/>
  <c r="J1222" i="1"/>
  <c r="J1223" i="1"/>
  <c r="J1224" i="1"/>
  <c r="J1225" i="1"/>
  <c r="J1226" i="1"/>
  <c r="J1227" i="1"/>
  <c r="J1228" i="1"/>
  <c r="J1229" i="1"/>
  <c r="J1230" i="1"/>
  <c r="J1231" i="1"/>
  <c r="J1232" i="1"/>
  <c r="J1233" i="1"/>
  <c r="J1234" i="1"/>
  <c r="J1235" i="1"/>
  <c r="J1236" i="1"/>
  <c r="J1237" i="1"/>
  <c r="J1238" i="1"/>
  <c r="J1239" i="1"/>
  <c r="J1240" i="1"/>
  <c r="J1241" i="1"/>
  <c r="J1242" i="1"/>
  <c r="J1243" i="1"/>
  <c r="J1244" i="1"/>
  <c r="J1245" i="1"/>
  <c r="J1246" i="1"/>
  <c r="J1247" i="1"/>
  <c r="J1248" i="1"/>
  <c r="J1249" i="1"/>
  <c r="J1250" i="1"/>
  <c r="J1251" i="1"/>
  <c r="J1252" i="1"/>
  <c r="J1253" i="1"/>
  <c r="J1254" i="1"/>
  <c r="J1255" i="1"/>
  <c r="J1256" i="1"/>
  <c r="J1257" i="1"/>
  <c r="J1258" i="1"/>
  <c r="J1259" i="1"/>
  <c r="J1260" i="1"/>
  <c r="J1261" i="1"/>
  <c r="J1262" i="1"/>
  <c r="J1263" i="1"/>
  <c r="J1264" i="1"/>
  <c r="J1265" i="1"/>
  <c r="J1266" i="1"/>
  <c r="J1267" i="1"/>
  <c r="J1268" i="1"/>
  <c r="J1269" i="1"/>
  <c r="J1270" i="1"/>
  <c r="J1271" i="1"/>
  <c r="J1272" i="1"/>
  <c r="J1273" i="1"/>
  <c r="J1274" i="1"/>
  <c r="J1275" i="1"/>
  <c r="J1276" i="1"/>
  <c r="J1277" i="1"/>
  <c r="J1278" i="1"/>
  <c r="J1279" i="1"/>
  <c r="J1280" i="1"/>
  <c r="J1281" i="1"/>
  <c r="J1282" i="1"/>
  <c r="J1283" i="1"/>
  <c r="J1284" i="1"/>
  <c r="J1285" i="1"/>
  <c r="J1286" i="1"/>
  <c r="J1287" i="1"/>
  <c r="J1288" i="1"/>
  <c r="J1289" i="1"/>
  <c r="J1290" i="1"/>
  <c r="J1291" i="1"/>
  <c r="J1292" i="1"/>
  <c r="J1293" i="1"/>
  <c r="J1294" i="1"/>
  <c r="J1295" i="1"/>
  <c r="J1296" i="1"/>
  <c r="J1297" i="1"/>
  <c r="J1298" i="1"/>
  <c r="J1299" i="1"/>
  <c r="J1300" i="1"/>
  <c r="J1301" i="1"/>
  <c r="J1302" i="1"/>
  <c r="J1303" i="1"/>
  <c r="J1304" i="1"/>
  <c r="J1305" i="1"/>
  <c r="J1306" i="1"/>
  <c r="J1307" i="1"/>
  <c r="J1308" i="1"/>
  <c r="J1309" i="1"/>
  <c r="J1310" i="1"/>
  <c r="J1311" i="1"/>
  <c r="J1312" i="1"/>
  <c r="J1313" i="1"/>
  <c r="J1314" i="1"/>
  <c r="J1315" i="1"/>
  <c r="J1316" i="1"/>
  <c r="J1317" i="1"/>
  <c r="J1318" i="1"/>
  <c r="J1319" i="1"/>
  <c r="J1320" i="1"/>
  <c r="J1321" i="1"/>
  <c r="J1322" i="1"/>
  <c r="J1323" i="1"/>
  <c r="J1324" i="1"/>
  <c r="J1325" i="1"/>
  <c r="J1326" i="1"/>
  <c r="J1327" i="1"/>
  <c r="J1328" i="1"/>
  <c r="J1329" i="1"/>
  <c r="J1330" i="1"/>
  <c r="J1331" i="1"/>
  <c r="J1332" i="1"/>
  <c r="J1333" i="1"/>
  <c r="J1334" i="1"/>
  <c r="J1335" i="1"/>
  <c r="J1336" i="1"/>
  <c r="J1337" i="1"/>
  <c r="J1338" i="1"/>
  <c r="J1339" i="1"/>
  <c r="J1340" i="1"/>
  <c r="J1341" i="1"/>
  <c r="J1342" i="1"/>
  <c r="J1343" i="1"/>
  <c r="J1344" i="1"/>
  <c r="J1345" i="1"/>
  <c r="J1346" i="1"/>
  <c r="J1347" i="1"/>
  <c r="J1348" i="1"/>
  <c r="J1349" i="1"/>
  <c r="J1350" i="1"/>
  <c r="J1351" i="1"/>
  <c r="J1352" i="1"/>
  <c r="J1353" i="1"/>
  <c r="J1354" i="1"/>
  <c r="J1355" i="1"/>
  <c r="J1356" i="1"/>
  <c r="J1357" i="1"/>
  <c r="J1358" i="1"/>
  <c r="J1359" i="1"/>
  <c r="J1360" i="1"/>
  <c r="J1361" i="1"/>
  <c r="J1362" i="1"/>
  <c r="J1363" i="1"/>
  <c r="J1364" i="1"/>
  <c r="J1365" i="1"/>
  <c r="J1405" i="1"/>
  <c r="J1406" i="1"/>
  <c r="J1407" i="1"/>
  <c r="J1408" i="1"/>
  <c r="J1409" i="1"/>
  <c r="J1410" i="1"/>
  <c r="J1411" i="1"/>
  <c r="J1412" i="1"/>
  <c r="J1413" i="1"/>
  <c r="J1414" i="1"/>
  <c r="J1415" i="1"/>
  <c r="J1416" i="1"/>
  <c r="J1417" i="1"/>
  <c r="J1418" i="1"/>
  <c r="J1419" i="1"/>
  <c r="J1420" i="1"/>
  <c r="J1421" i="1"/>
  <c r="E2" i="1"/>
  <c r="E3" i="1"/>
  <c r="E4" i="1"/>
  <c r="E5" i="1"/>
  <c r="E6" i="1"/>
  <c r="E7" i="1"/>
  <c r="E8" i="1"/>
  <c r="E9" i="1"/>
  <c r="E10" i="1"/>
  <c r="E11" i="1"/>
  <c r="E12" i="1"/>
  <c r="E13" i="1"/>
  <c r="E14" i="1"/>
  <c r="E15" i="1"/>
  <c r="E16" i="1"/>
  <c r="E17" i="1"/>
  <c r="E18" i="1"/>
  <c r="E19" i="1"/>
  <c r="E20" i="1"/>
  <c r="E21" i="1"/>
  <c r="E22" i="1"/>
  <c r="E23" i="1"/>
  <c r="E24" i="1"/>
  <c r="E25" i="1"/>
  <c r="E26" i="1"/>
  <c r="E27" i="1"/>
  <c r="E28" i="1"/>
  <c r="E29" i="1"/>
  <c r="E30" i="1"/>
  <c r="E31" i="1"/>
  <c r="E32" i="1"/>
  <c r="E33" i="1"/>
  <c r="E34" i="1"/>
  <c r="E35" i="1"/>
  <c r="E36" i="1"/>
  <c r="E37" i="1"/>
  <c r="E38" i="1"/>
  <c r="E39" i="1"/>
  <c r="E40" i="1"/>
  <c r="E41" i="1"/>
  <c r="E42" i="1"/>
  <c r="E43" i="1"/>
  <c r="E44" i="1"/>
  <c r="E45" i="1"/>
  <c r="E46" i="1"/>
  <c r="E47" i="1"/>
  <c r="E48" i="1"/>
  <c r="E49" i="1"/>
  <c r="E50" i="1"/>
  <c r="E51" i="1"/>
  <c r="E52" i="1"/>
  <c r="E53" i="1"/>
  <c r="E54" i="1"/>
  <c r="E55" i="1"/>
  <c r="E56" i="1"/>
  <c r="E57" i="1"/>
  <c r="E58" i="1"/>
  <c r="E59" i="1"/>
  <c r="E60" i="1"/>
  <c r="E61" i="1"/>
  <c r="E62" i="1"/>
  <c r="E63" i="1"/>
  <c r="E64" i="1"/>
  <c r="E65" i="1"/>
  <c r="E66" i="1"/>
  <c r="E67" i="1"/>
  <c r="E68" i="1"/>
  <c r="E69" i="1"/>
  <c r="E70" i="1"/>
  <c r="E71" i="1"/>
  <c r="E72" i="1"/>
  <c r="E73" i="1"/>
  <c r="E74" i="1"/>
  <c r="E75" i="1"/>
  <c r="E76" i="1"/>
  <c r="E77" i="1"/>
  <c r="E78" i="1"/>
  <c r="E79" i="1"/>
  <c r="E80" i="1"/>
  <c r="E81" i="1"/>
  <c r="E82" i="1"/>
  <c r="E83" i="1"/>
  <c r="E84" i="1"/>
  <c r="E85" i="1"/>
  <c r="E86" i="1"/>
  <c r="E87" i="1"/>
  <c r="E88" i="1"/>
  <c r="E89" i="1"/>
  <c r="E90" i="1"/>
  <c r="E91" i="1"/>
  <c r="E92" i="1"/>
  <c r="E93" i="1"/>
  <c r="E94" i="1"/>
  <c r="E95" i="1"/>
  <c r="E96" i="1"/>
  <c r="E97" i="1"/>
  <c r="E98" i="1"/>
  <c r="E99" i="1"/>
  <c r="E100" i="1"/>
  <c r="E101" i="1"/>
  <c r="E102" i="1"/>
  <c r="E103" i="1"/>
  <c r="E104" i="1"/>
  <c r="E105" i="1"/>
  <c r="E106" i="1"/>
  <c r="E107" i="1"/>
  <c r="E108" i="1"/>
  <c r="E109" i="1"/>
  <c r="E110" i="1"/>
  <c r="E111" i="1"/>
  <c r="E112" i="1"/>
  <c r="E113" i="1"/>
  <c r="E114" i="1"/>
  <c r="E115" i="1"/>
  <c r="E116" i="1"/>
  <c r="E117" i="1"/>
  <c r="E118" i="1"/>
  <c r="E119" i="1"/>
  <c r="E120" i="1"/>
  <c r="E121" i="1"/>
  <c r="E122" i="1"/>
  <c r="E123" i="1"/>
  <c r="E124" i="1"/>
  <c r="E125" i="1"/>
  <c r="E126" i="1"/>
  <c r="E127" i="1"/>
  <c r="E128" i="1"/>
  <c r="E129" i="1"/>
  <c r="E130" i="1"/>
  <c r="E131" i="1"/>
  <c r="E132" i="1"/>
  <c r="E133" i="1"/>
  <c r="E134" i="1"/>
  <c r="E135" i="1"/>
  <c r="E136" i="1"/>
  <c r="E137" i="1"/>
  <c r="E138" i="1"/>
  <c r="E139" i="1"/>
  <c r="E140" i="1"/>
  <c r="E141" i="1"/>
  <c r="E142" i="1"/>
  <c r="E143" i="1"/>
  <c r="E144" i="1"/>
  <c r="E145" i="1"/>
  <c r="E146" i="1"/>
  <c r="E147" i="1"/>
  <c r="E148" i="1"/>
  <c r="E149" i="1"/>
  <c r="E150" i="1"/>
  <c r="E151" i="1"/>
  <c r="E152" i="1"/>
  <c r="E153" i="1"/>
  <c r="E154" i="1"/>
  <c r="E155" i="1"/>
  <c r="E156" i="1"/>
  <c r="E157" i="1"/>
  <c r="E158" i="1"/>
  <c r="E159" i="1"/>
  <c r="E160" i="1"/>
  <c r="E161" i="1"/>
  <c r="E162" i="1"/>
  <c r="E163" i="1"/>
  <c r="E164" i="1"/>
  <c r="E165" i="1"/>
  <c r="E166" i="1"/>
  <c r="E167" i="1"/>
  <c r="E168" i="1"/>
  <c r="E169" i="1"/>
  <c r="E170" i="1"/>
  <c r="E171" i="1"/>
  <c r="E172" i="1"/>
  <c r="E173" i="1"/>
  <c r="E174" i="1"/>
  <c r="E175" i="1"/>
  <c r="E176" i="1"/>
  <c r="E177" i="1"/>
  <c r="E178" i="1"/>
  <c r="E179" i="1"/>
  <c r="E180" i="1"/>
  <c r="E181" i="1"/>
  <c r="E182" i="1"/>
  <c r="E183" i="1"/>
  <c r="E184" i="1"/>
  <c r="E185" i="1"/>
  <c r="E186" i="1"/>
  <c r="E187" i="1"/>
  <c r="E188" i="1"/>
  <c r="E189" i="1"/>
  <c r="E190" i="1"/>
  <c r="E191" i="1"/>
  <c r="E192" i="1"/>
  <c r="E193" i="1"/>
  <c r="E194" i="1"/>
  <c r="E195" i="1"/>
  <c r="E196" i="1"/>
  <c r="E197" i="1"/>
  <c r="E198" i="1"/>
  <c r="E199" i="1"/>
  <c r="E200" i="1"/>
  <c r="E201" i="1"/>
  <c r="E202" i="1"/>
  <c r="E203" i="1"/>
  <c r="E204" i="1"/>
  <c r="E205" i="1"/>
  <c r="E206" i="1"/>
  <c r="E207" i="1"/>
  <c r="E208" i="1"/>
  <c r="E209" i="1"/>
  <c r="E210" i="1"/>
  <c r="E211" i="1"/>
  <c r="E212" i="1"/>
  <c r="E213" i="1"/>
  <c r="E214" i="1"/>
  <c r="E215" i="1"/>
  <c r="E216" i="1"/>
  <c r="E217" i="1"/>
  <c r="E218" i="1"/>
  <c r="E219" i="1"/>
  <c r="E220" i="1"/>
  <c r="E221" i="1"/>
  <c r="E222" i="1"/>
  <c r="E223" i="1"/>
  <c r="E224" i="1"/>
  <c r="E225" i="1"/>
  <c r="E226" i="1"/>
  <c r="E227" i="1"/>
  <c r="E228" i="1"/>
  <c r="E229" i="1"/>
  <c r="E230" i="1"/>
  <c r="E231" i="1"/>
  <c r="E232" i="1"/>
  <c r="E233" i="1"/>
  <c r="E234" i="1"/>
  <c r="E235" i="1"/>
  <c r="E236" i="1"/>
  <c r="E237" i="1"/>
  <c r="E238" i="1"/>
  <c r="E239" i="1"/>
  <c r="E240" i="1"/>
  <c r="E241" i="1"/>
  <c r="E242" i="1"/>
  <c r="E243" i="1"/>
  <c r="E244" i="1"/>
  <c r="E245" i="1"/>
  <c r="E246" i="1"/>
  <c r="E247" i="1"/>
  <c r="E248" i="1"/>
  <c r="E249" i="1"/>
  <c r="E250" i="1"/>
  <c r="E251" i="1"/>
  <c r="E252" i="1"/>
  <c r="E253" i="1"/>
  <c r="E254" i="1"/>
  <c r="E255" i="1"/>
  <c r="E256" i="1"/>
  <c r="E257" i="1"/>
  <c r="E258" i="1"/>
  <c r="E259" i="1"/>
  <c r="E260" i="1"/>
  <c r="E261" i="1"/>
  <c r="E262" i="1"/>
  <c r="E263" i="1"/>
  <c r="E264" i="1"/>
  <c r="E265" i="1"/>
  <c r="E266" i="1"/>
  <c r="E267" i="1"/>
  <c r="E268" i="1"/>
  <c r="E269" i="1"/>
  <c r="E270" i="1"/>
  <c r="E271" i="1"/>
  <c r="E272" i="1"/>
  <c r="E273" i="1"/>
  <c r="E274" i="1"/>
  <c r="E275" i="1"/>
  <c r="E276" i="1"/>
  <c r="E277" i="1"/>
  <c r="E278" i="1"/>
  <c r="E279" i="1"/>
  <c r="E280" i="1"/>
  <c r="E281" i="1"/>
  <c r="E282" i="1"/>
  <c r="E283" i="1"/>
  <c r="E284" i="1"/>
  <c r="E285" i="1"/>
  <c r="E286" i="1"/>
  <c r="E287" i="1"/>
  <c r="E288" i="1"/>
  <c r="E289" i="1"/>
  <c r="E290" i="1"/>
  <c r="E291" i="1"/>
  <c r="E292" i="1"/>
  <c r="E293" i="1"/>
  <c r="E294" i="1"/>
  <c r="E295" i="1"/>
  <c r="E296" i="1"/>
  <c r="E297" i="1"/>
  <c r="E298" i="1"/>
  <c r="E299" i="1"/>
  <c r="E300" i="1"/>
  <c r="E301" i="1"/>
  <c r="E302" i="1"/>
  <c r="E303" i="1"/>
  <c r="E304" i="1"/>
  <c r="E305" i="1"/>
  <c r="E306" i="1"/>
  <c r="E307" i="1"/>
  <c r="E308" i="1"/>
  <c r="E309" i="1"/>
  <c r="E310" i="1"/>
  <c r="E311" i="1"/>
  <c r="E312" i="1"/>
  <c r="E313" i="1"/>
  <c r="E314" i="1"/>
  <c r="E315" i="1"/>
  <c r="E316" i="1"/>
  <c r="E317" i="1"/>
  <c r="E318" i="1"/>
  <c r="E319" i="1"/>
  <c r="E320" i="1"/>
  <c r="E321" i="1"/>
  <c r="E322" i="1"/>
  <c r="E323" i="1"/>
  <c r="E324" i="1"/>
  <c r="E325" i="1"/>
  <c r="E326" i="1"/>
  <c r="E327" i="1"/>
  <c r="E328" i="1"/>
  <c r="E329" i="1"/>
  <c r="E330" i="1"/>
  <c r="E331" i="1"/>
  <c r="E332" i="1"/>
  <c r="E333" i="1"/>
  <c r="E334" i="1"/>
  <c r="E335" i="1"/>
  <c r="E336" i="1"/>
  <c r="E337" i="1"/>
  <c r="E338" i="1"/>
  <c r="E339" i="1"/>
  <c r="E340" i="1"/>
  <c r="E341" i="1"/>
  <c r="E342" i="1"/>
  <c r="E343" i="1"/>
  <c r="E344" i="1"/>
  <c r="E345" i="1"/>
  <c r="E346" i="1"/>
  <c r="E347" i="1"/>
  <c r="E348" i="1"/>
  <c r="E349" i="1"/>
  <c r="E350" i="1"/>
  <c r="E351" i="1"/>
  <c r="E352" i="1"/>
  <c r="E353" i="1"/>
  <c r="E354" i="1"/>
  <c r="E355" i="1"/>
  <c r="E356" i="1"/>
  <c r="E357" i="1"/>
  <c r="E358" i="1"/>
  <c r="E359" i="1"/>
  <c r="E360" i="1"/>
  <c r="E361" i="1"/>
  <c r="E362" i="1"/>
  <c r="E363" i="1"/>
  <c r="E364" i="1"/>
  <c r="E365" i="1"/>
  <c r="E366" i="1"/>
  <c r="E367" i="1"/>
  <c r="E368" i="1"/>
  <c r="E369" i="1"/>
  <c r="E370" i="1"/>
  <c r="E371" i="1"/>
  <c r="E372" i="1"/>
  <c r="E373" i="1"/>
  <c r="E374" i="1"/>
  <c r="E375" i="1"/>
  <c r="E376" i="1"/>
  <c r="E377" i="1"/>
  <c r="E378" i="1"/>
  <c r="E379" i="1"/>
  <c r="E380" i="1"/>
  <c r="E381" i="1"/>
  <c r="E382" i="1"/>
  <c r="E383" i="1"/>
  <c r="E384" i="1"/>
  <c r="E385" i="1"/>
  <c r="E386" i="1"/>
  <c r="E387" i="1"/>
  <c r="E388" i="1"/>
  <c r="E389" i="1"/>
  <c r="E390" i="1"/>
  <c r="E391" i="1"/>
  <c r="E392" i="1"/>
  <c r="E393" i="1"/>
  <c r="E394" i="1"/>
  <c r="E395" i="1"/>
  <c r="E396" i="1"/>
  <c r="E397" i="1"/>
  <c r="E398" i="1"/>
  <c r="E399" i="1"/>
  <c r="E400" i="1"/>
  <c r="E401" i="1"/>
  <c r="E402" i="1"/>
  <c r="E403" i="1"/>
  <c r="E404" i="1"/>
  <c r="E405" i="1"/>
  <c r="E406" i="1"/>
  <c r="E407" i="1"/>
  <c r="E408" i="1"/>
  <c r="E409" i="1"/>
  <c r="E410" i="1"/>
  <c r="E411" i="1"/>
  <c r="E412" i="1"/>
  <c r="E413" i="1"/>
  <c r="E414" i="1"/>
  <c r="E415" i="1"/>
  <c r="E416" i="1"/>
  <c r="E417" i="1"/>
  <c r="E418" i="1"/>
  <c r="E419" i="1"/>
  <c r="E420" i="1"/>
  <c r="E421" i="1"/>
  <c r="E422" i="1"/>
  <c r="E423" i="1"/>
  <c r="E424" i="1"/>
  <c r="E425" i="1"/>
  <c r="E426" i="1"/>
  <c r="E427" i="1"/>
  <c r="E428" i="1"/>
  <c r="E429" i="1"/>
  <c r="E430" i="1"/>
  <c r="E431" i="1"/>
  <c r="E432" i="1"/>
  <c r="E433" i="1"/>
  <c r="E434" i="1"/>
  <c r="E435" i="1"/>
  <c r="E436" i="1"/>
  <c r="E437" i="1"/>
  <c r="E438" i="1"/>
  <c r="E439" i="1"/>
  <c r="E440" i="1"/>
  <c r="E441" i="1"/>
  <c r="E442" i="1"/>
  <c r="E443" i="1"/>
  <c r="E444" i="1"/>
  <c r="E445" i="1"/>
  <c r="E446" i="1"/>
  <c r="E447" i="1"/>
  <c r="E448" i="1"/>
  <c r="E449" i="1"/>
  <c r="E450" i="1"/>
  <c r="E451" i="1"/>
  <c r="E452" i="1"/>
  <c r="E453" i="1"/>
  <c r="E454" i="1"/>
  <c r="E455" i="1"/>
  <c r="E456" i="1"/>
  <c r="E457" i="1"/>
  <c r="E458" i="1"/>
  <c r="E459" i="1"/>
  <c r="E460" i="1"/>
  <c r="E461" i="1"/>
  <c r="E462" i="1"/>
  <c r="E463" i="1"/>
  <c r="E464" i="1"/>
  <c r="E465" i="1"/>
  <c r="E466" i="1"/>
  <c r="E467" i="1"/>
  <c r="E468" i="1"/>
  <c r="E469" i="1"/>
  <c r="E470" i="1"/>
  <c r="E471" i="1"/>
  <c r="E472" i="1"/>
  <c r="E473" i="1"/>
  <c r="E474" i="1"/>
  <c r="E475" i="1"/>
  <c r="E476" i="1"/>
  <c r="E477" i="1"/>
  <c r="E478" i="1"/>
  <c r="E479" i="1"/>
  <c r="E480" i="1"/>
  <c r="E481" i="1"/>
  <c r="E482" i="1"/>
  <c r="E483" i="1"/>
  <c r="E484" i="1"/>
  <c r="E485" i="1"/>
  <c r="E486" i="1"/>
  <c r="E487" i="1"/>
  <c r="E488" i="1"/>
  <c r="E489" i="1"/>
  <c r="E490" i="1"/>
  <c r="E491" i="1"/>
  <c r="E492" i="1"/>
  <c r="E493" i="1"/>
  <c r="E494" i="1"/>
  <c r="E495" i="1"/>
  <c r="E496" i="1"/>
  <c r="E497" i="1"/>
  <c r="E498" i="1"/>
  <c r="E499" i="1"/>
  <c r="E500" i="1"/>
  <c r="E501" i="1"/>
  <c r="E502" i="1"/>
  <c r="E503" i="1"/>
  <c r="E504" i="1"/>
  <c r="E505" i="1"/>
  <c r="E506" i="1"/>
  <c r="E507" i="1"/>
  <c r="E508" i="1"/>
  <c r="E509" i="1"/>
  <c r="E510" i="1"/>
  <c r="E511" i="1"/>
  <c r="E514" i="1"/>
  <c r="E515" i="1"/>
  <c r="E513" i="1"/>
  <c r="E512" i="1"/>
  <c r="E517" i="1"/>
  <c r="E516" i="1"/>
  <c r="E518" i="1"/>
  <c r="E520" i="1"/>
  <c r="E521" i="1"/>
  <c r="E522" i="1"/>
  <c r="E519" i="1"/>
  <c r="E525" i="1"/>
  <c r="E523" i="1"/>
  <c r="E524" i="1"/>
  <c r="E527" i="1"/>
  <c r="E526" i="1"/>
  <c r="E528" i="1"/>
  <c r="E530" i="1"/>
  <c r="E529" i="1"/>
  <c r="E531" i="1"/>
  <c r="E533" i="1"/>
  <c r="E532" i="1"/>
  <c r="E537" i="1"/>
  <c r="E538" i="1"/>
  <c r="E534" i="1"/>
  <c r="E535" i="1"/>
  <c r="E536" i="1"/>
  <c r="E542" i="1"/>
  <c r="E541" i="1"/>
  <c r="E539" i="1"/>
  <c r="E540" i="1"/>
  <c r="E544" i="1"/>
  <c r="E543" i="1"/>
  <c r="E545" i="1"/>
  <c r="E547" i="1"/>
  <c r="E546" i="1"/>
  <c r="E550" i="1"/>
  <c r="E548" i="1"/>
  <c r="E549" i="1"/>
  <c r="E552" i="1"/>
  <c r="E551" i="1"/>
  <c r="E553" i="1"/>
  <c r="E555" i="1"/>
  <c r="E554" i="1"/>
  <c r="E556" i="1"/>
  <c r="E557" i="1"/>
  <c r="E558" i="1"/>
  <c r="E559" i="1"/>
  <c r="E560" i="1"/>
  <c r="E561" i="1"/>
  <c r="E563" i="1"/>
  <c r="E562" i="1"/>
  <c r="E564" i="1"/>
  <c r="E565" i="1"/>
  <c r="E567" i="1"/>
  <c r="E566" i="1"/>
  <c r="E569" i="1"/>
  <c r="E568" i="1"/>
  <c r="E571" i="1"/>
  <c r="E570" i="1"/>
  <c r="E574" i="1"/>
  <c r="E572" i="1"/>
  <c r="E573" i="1"/>
  <c r="E575" i="1"/>
  <c r="E576" i="1"/>
  <c r="E579" i="1"/>
  <c r="E577" i="1"/>
  <c r="E581" i="1"/>
  <c r="E578" i="1"/>
  <c r="E580" i="1"/>
  <c r="E582" i="1"/>
  <c r="E583" i="1"/>
  <c r="E586" i="1"/>
  <c r="E585" i="1"/>
  <c r="E584" i="1"/>
  <c r="E590" i="1"/>
  <c r="E588" i="1"/>
  <c r="E589" i="1"/>
  <c r="E587" i="1"/>
  <c r="E592" i="1"/>
  <c r="E591" i="1"/>
  <c r="E593" i="1"/>
  <c r="E597" i="1"/>
  <c r="E596" i="1"/>
  <c r="E594" i="1"/>
  <c r="E595" i="1"/>
  <c r="E598" i="1"/>
  <c r="E605" i="1"/>
  <c r="E603" i="1"/>
  <c r="E599" i="1"/>
  <c r="E602" i="1"/>
  <c r="E606" i="1"/>
  <c r="E604" i="1"/>
  <c r="E601" i="1"/>
  <c r="E600" i="1"/>
  <c r="E611" i="1"/>
  <c r="E608" i="1"/>
  <c r="E607" i="1"/>
  <c r="E609" i="1"/>
  <c r="E610" i="1"/>
  <c r="E614" i="1"/>
  <c r="E613" i="1"/>
  <c r="E615" i="1"/>
  <c r="E612" i="1"/>
  <c r="E663" i="1"/>
  <c r="E664" i="1"/>
  <c r="E665" i="1"/>
  <c r="E666" i="1"/>
  <c r="E667" i="1"/>
  <c r="E668" i="1"/>
  <c r="E669" i="1"/>
  <c r="E670" i="1"/>
  <c r="E671" i="1"/>
  <c r="E672" i="1"/>
  <c r="E673" i="1"/>
  <c r="E674" i="1"/>
  <c r="E675" i="1"/>
  <c r="E676" i="1"/>
  <c r="E677" i="1"/>
  <c r="E678" i="1"/>
  <c r="E679" i="1"/>
  <c r="E680" i="1"/>
  <c r="E681" i="1"/>
  <c r="E682" i="1"/>
  <c r="E683" i="1"/>
  <c r="E684" i="1"/>
  <c r="E685" i="1"/>
  <c r="E686" i="1"/>
  <c r="E687" i="1"/>
  <c r="E688" i="1"/>
  <c r="E689" i="1"/>
  <c r="E690" i="1"/>
  <c r="E691" i="1"/>
  <c r="E692" i="1"/>
  <c r="E693" i="1"/>
  <c r="E694" i="1"/>
  <c r="E695" i="1"/>
  <c r="E696" i="1"/>
  <c r="E697" i="1"/>
  <c r="E698" i="1"/>
  <c r="E699" i="1"/>
  <c r="E700" i="1"/>
  <c r="E701" i="1"/>
  <c r="E702" i="1"/>
  <c r="E703" i="1"/>
  <c r="E704" i="1"/>
  <c r="E705" i="1"/>
  <c r="E706" i="1"/>
  <c r="E728" i="1"/>
  <c r="E729" i="1"/>
  <c r="E730" i="1"/>
  <c r="E731" i="1"/>
  <c r="E732" i="1"/>
  <c r="E733" i="1"/>
  <c r="E734" i="1"/>
  <c r="E735" i="1"/>
  <c r="E736" i="1"/>
  <c r="E737" i="1"/>
  <c r="E738" i="1"/>
  <c r="E739" i="1"/>
  <c r="E740" i="1"/>
  <c r="E741" i="1"/>
  <c r="E742" i="1"/>
  <c r="E743" i="1"/>
  <c r="E744" i="1"/>
  <c r="E745" i="1"/>
  <c r="E746" i="1"/>
  <c r="E747" i="1"/>
  <c r="E748" i="1"/>
  <c r="E749" i="1"/>
  <c r="E750" i="1"/>
  <c r="E751" i="1"/>
  <c r="E752" i="1"/>
  <c r="E753" i="1"/>
  <c r="E754" i="1"/>
  <c r="E755" i="1"/>
  <c r="E756" i="1"/>
  <c r="E757" i="1"/>
  <c r="E758" i="1"/>
  <c r="E759" i="1"/>
  <c r="E760" i="1"/>
  <c r="E761" i="1"/>
  <c r="E762" i="1"/>
  <c r="E774" i="1"/>
  <c r="E775" i="1"/>
  <c r="E776" i="1"/>
  <c r="E777" i="1"/>
  <c r="E778" i="1"/>
  <c r="E779" i="1"/>
  <c r="E780" i="1"/>
  <c r="E781" i="1"/>
  <c r="E782" i="1"/>
  <c r="E783" i="1"/>
  <c r="E784" i="1"/>
  <c r="E785" i="1"/>
  <c r="E786" i="1"/>
  <c r="E787" i="1"/>
  <c r="E788" i="1"/>
  <c r="E789" i="1"/>
  <c r="E790" i="1"/>
  <c r="E791" i="1"/>
  <c r="E792" i="1"/>
  <c r="E793" i="1"/>
  <c r="E794" i="1"/>
  <c r="E795" i="1"/>
  <c r="E796" i="1"/>
  <c r="E797" i="1"/>
  <c r="E798" i="1"/>
  <c r="E799" i="1"/>
  <c r="E800" i="1"/>
  <c r="E801" i="1"/>
  <c r="E802" i="1"/>
  <c r="E803" i="1"/>
  <c r="E804" i="1"/>
  <c r="E805" i="1"/>
  <c r="E806" i="1"/>
  <c r="E807" i="1"/>
  <c r="E808" i="1"/>
  <c r="E809" i="1"/>
  <c r="E810" i="1"/>
  <c r="E811" i="1"/>
  <c r="E824" i="1"/>
  <c r="E825" i="1"/>
  <c r="E826" i="1"/>
  <c r="E827" i="1"/>
  <c r="E828" i="1"/>
  <c r="E829" i="1"/>
  <c r="E830" i="1"/>
  <c r="E831" i="1"/>
  <c r="E832" i="1"/>
  <c r="E833" i="1"/>
  <c r="E834" i="1"/>
  <c r="E835" i="1"/>
  <c r="E836" i="1"/>
  <c r="E837" i="1"/>
  <c r="E838" i="1"/>
  <c r="E839" i="1"/>
  <c r="E840" i="1"/>
  <c r="E841" i="1"/>
  <c r="E842" i="1"/>
  <c r="E843" i="1"/>
  <c r="E844" i="1"/>
  <c r="E845" i="1"/>
  <c r="E846" i="1"/>
  <c r="E847" i="1"/>
  <c r="E848" i="1"/>
  <c r="E849" i="1"/>
  <c r="E850" i="1"/>
  <c r="E851" i="1"/>
  <c r="E852" i="1"/>
  <c r="E853" i="1"/>
  <c r="E854" i="1"/>
  <c r="E855" i="1"/>
  <c r="E856" i="1"/>
  <c r="E857" i="1"/>
  <c r="E858" i="1"/>
  <c r="E859" i="1"/>
  <c r="E860" i="1"/>
  <c r="E861" i="1"/>
  <c r="E862" i="1"/>
  <c r="E863" i="1"/>
  <c r="E864" i="1"/>
  <c r="E865" i="1"/>
  <c r="E866" i="1"/>
  <c r="E867" i="1"/>
  <c r="E868" i="1"/>
  <c r="E869" i="1"/>
  <c r="E870" i="1"/>
  <c r="E871" i="1"/>
  <c r="E872" i="1"/>
  <c r="E873" i="1"/>
  <c r="E874" i="1"/>
  <c r="E875" i="1"/>
  <c r="E876" i="1"/>
  <c r="E877" i="1"/>
  <c r="E878" i="1"/>
  <c r="E879" i="1"/>
  <c r="E880" i="1"/>
  <c r="E881" i="1"/>
  <c r="E882" i="1"/>
  <c r="E883" i="1"/>
  <c r="E884" i="1"/>
  <c r="E885" i="1"/>
  <c r="E886" i="1"/>
  <c r="E887" i="1"/>
  <c r="E888" i="1"/>
  <c r="E889" i="1"/>
  <c r="E890" i="1"/>
  <c r="E891" i="1"/>
  <c r="E892" i="1"/>
  <c r="E893" i="1"/>
  <c r="E894" i="1"/>
  <c r="E895" i="1"/>
  <c r="E896" i="1"/>
  <c r="E897" i="1"/>
  <c r="E898" i="1"/>
  <c r="E899" i="1"/>
  <c r="E900" i="1"/>
  <c r="E901" i="1"/>
  <c r="E902" i="1"/>
  <c r="E903" i="1"/>
  <c r="E904" i="1"/>
  <c r="E905" i="1"/>
  <c r="E906" i="1"/>
  <c r="E907" i="1"/>
  <c r="E908" i="1"/>
  <c r="E909" i="1"/>
  <c r="E910" i="1"/>
  <c r="E911" i="1"/>
  <c r="E912" i="1"/>
  <c r="E913" i="1"/>
  <c r="E914" i="1"/>
  <c r="E915" i="1"/>
  <c r="E916" i="1"/>
  <c r="E917" i="1"/>
  <c r="E918" i="1"/>
  <c r="E919" i="1"/>
  <c r="E920" i="1"/>
  <c r="E921" i="1"/>
  <c r="E922" i="1"/>
  <c r="E923" i="1"/>
  <c r="E924" i="1"/>
  <c r="E925" i="1"/>
  <c r="E926" i="1"/>
  <c r="E927" i="1"/>
  <c r="E928" i="1"/>
  <c r="E929" i="1"/>
  <c r="E930" i="1"/>
  <c r="E931" i="1"/>
  <c r="E932" i="1"/>
  <c r="E933" i="1"/>
  <c r="E934" i="1"/>
  <c r="E935" i="1"/>
  <c r="E936" i="1"/>
  <c r="E937" i="1"/>
  <c r="E938" i="1"/>
  <c r="E939" i="1"/>
  <c r="E940" i="1"/>
  <c r="E941" i="1"/>
  <c r="E942" i="1"/>
  <c r="E943" i="1"/>
  <c r="E944" i="1"/>
  <c r="E945" i="1"/>
  <c r="E946" i="1"/>
  <c r="E947" i="1"/>
  <c r="E948" i="1"/>
  <c r="E949" i="1"/>
  <c r="E950" i="1"/>
  <c r="E951" i="1"/>
  <c r="E952" i="1"/>
  <c r="E953" i="1"/>
  <c r="E954" i="1"/>
  <c r="E955" i="1"/>
  <c r="E956" i="1"/>
  <c r="E957" i="1"/>
  <c r="E958" i="1"/>
  <c r="E959" i="1"/>
  <c r="E960" i="1"/>
  <c r="E961" i="1"/>
  <c r="E962" i="1"/>
  <c r="E963" i="1"/>
  <c r="E964" i="1"/>
  <c r="E965" i="1"/>
  <c r="E966" i="1"/>
  <c r="E967" i="1"/>
  <c r="E968" i="1"/>
  <c r="E969" i="1"/>
  <c r="E970" i="1"/>
  <c r="E971" i="1"/>
  <c r="E978" i="1"/>
  <c r="E979" i="1"/>
  <c r="E980" i="1"/>
  <c r="E981" i="1"/>
  <c r="E982" i="1"/>
  <c r="E983" i="1"/>
  <c r="E984" i="1"/>
  <c r="E985" i="1"/>
  <c r="E986" i="1"/>
  <c r="E987" i="1"/>
  <c r="E988" i="1"/>
  <c r="E989" i="1"/>
  <c r="E990" i="1"/>
  <c r="E991" i="1"/>
  <c r="E992" i="1"/>
  <c r="E993" i="1"/>
  <c r="E994" i="1"/>
  <c r="E995" i="1"/>
  <c r="E996" i="1"/>
  <c r="E997" i="1"/>
  <c r="E998" i="1"/>
  <c r="E999" i="1"/>
  <c r="E1000" i="1"/>
  <c r="E1001" i="1"/>
  <c r="E1002" i="1"/>
  <c r="E1003" i="1"/>
  <c r="E1004" i="1"/>
  <c r="E1005" i="1"/>
  <c r="E1006" i="1"/>
  <c r="E1007" i="1"/>
  <c r="E1018" i="1"/>
  <c r="E1019" i="1"/>
  <c r="E1020" i="1"/>
  <c r="E1021" i="1"/>
  <c r="E1022" i="1"/>
  <c r="E1023" i="1"/>
  <c r="E1024" i="1"/>
  <c r="E1025" i="1"/>
  <c r="E1026" i="1"/>
  <c r="E1027" i="1"/>
  <c r="E1028" i="1"/>
  <c r="E1029" i="1"/>
  <c r="E1030" i="1"/>
  <c r="E1031" i="1"/>
  <c r="E1032" i="1"/>
  <c r="E1033" i="1"/>
  <c r="E1034" i="1"/>
  <c r="E1035" i="1"/>
  <c r="E1036" i="1"/>
  <c r="E1037" i="1"/>
  <c r="E1038" i="1"/>
  <c r="E1039" i="1"/>
  <c r="E1040" i="1"/>
  <c r="E1041" i="1"/>
  <c r="E1042" i="1"/>
  <c r="E1043" i="1"/>
  <c r="E1044" i="1"/>
  <c r="E1045" i="1"/>
  <c r="E1046" i="1"/>
  <c r="E1047" i="1"/>
  <c r="E1048" i="1"/>
  <c r="E1049" i="1"/>
  <c r="E1050" i="1"/>
  <c r="E1051" i="1"/>
  <c r="E1052" i="1"/>
  <c r="E1053" i="1"/>
  <c r="E1054" i="1"/>
  <c r="E1055" i="1"/>
  <c r="E1056" i="1"/>
  <c r="E1057" i="1"/>
  <c r="E1058" i="1"/>
  <c r="E1059" i="1"/>
  <c r="E1060" i="1"/>
  <c r="E1061" i="1"/>
  <c r="E1062" i="1"/>
  <c r="E1063" i="1"/>
  <c r="E1064" i="1"/>
  <c r="E1065" i="1"/>
  <c r="E1066" i="1"/>
  <c r="E1067" i="1"/>
  <c r="E1068" i="1"/>
  <c r="E1069" i="1"/>
  <c r="E1070" i="1"/>
  <c r="E1071" i="1"/>
  <c r="E1072" i="1"/>
  <c r="E1073" i="1"/>
  <c r="E1074" i="1"/>
  <c r="E1075" i="1"/>
  <c r="E1076" i="1"/>
  <c r="E1077" i="1"/>
  <c r="E1078" i="1"/>
  <c r="E1079" i="1"/>
  <c r="E1080" i="1"/>
  <c r="E1081" i="1"/>
  <c r="E1082" i="1"/>
  <c r="E1083" i="1"/>
  <c r="E1084" i="1"/>
  <c r="E1085" i="1"/>
  <c r="E1086" i="1"/>
  <c r="E1087" i="1"/>
  <c r="E1088" i="1"/>
  <c r="E1089" i="1"/>
  <c r="E1090" i="1"/>
  <c r="E1099" i="1"/>
  <c r="E1100" i="1"/>
  <c r="E1101" i="1"/>
  <c r="E1102" i="1"/>
  <c r="E1103" i="1"/>
  <c r="E1104" i="1"/>
  <c r="E1105" i="1"/>
  <c r="E1106" i="1"/>
  <c r="E1107" i="1"/>
  <c r="E1108" i="1"/>
  <c r="E1109" i="1"/>
  <c r="E1110" i="1"/>
  <c r="E1111" i="1"/>
  <c r="E1112" i="1"/>
  <c r="E1113" i="1"/>
  <c r="E1114" i="1"/>
  <c r="E1115" i="1"/>
  <c r="E1116" i="1"/>
  <c r="E1117" i="1"/>
  <c r="E1118" i="1"/>
  <c r="E1119" i="1"/>
  <c r="E1120" i="1"/>
  <c r="E1121" i="1"/>
  <c r="E1122" i="1"/>
  <c r="E1123" i="1"/>
  <c r="E1124" i="1"/>
  <c r="E1125" i="1"/>
  <c r="E1126" i="1"/>
  <c r="E1127" i="1"/>
  <c r="E1128" i="1"/>
  <c r="E1129" i="1"/>
  <c r="E1130" i="1"/>
  <c r="E1131" i="1"/>
  <c r="E1132" i="1"/>
  <c r="E1133" i="1"/>
  <c r="E1134" i="1"/>
  <c r="E1135" i="1"/>
  <c r="E1136" i="1"/>
  <c r="E1137" i="1"/>
  <c r="E1138" i="1"/>
  <c r="E1139" i="1"/>
  <c r="E1140" i="1"/>
  <c r="E1141" i="1"/>
  <c r="E1142" i="1"/>
  <c r="E1143" i="1"/>
  <c r="E1144" i="1"/>
  <c r="E1145" i="1"/>
  <c r="E1146" i="1"/>
  <c r="E1147" i="1"/>
  <c r="E1148" i="1"/>
  <c r="E1149" i="1"/>
  <c r="E1150" i="1"/>
  <c r="E1151" i="1"/>
  <c r="E1152" i="1"/>
  <c r="E1153" i="1"/>
  <c r="E1154" i="1"/>
  <c r="E1155" i="1"/>
  <c r="E1156" i="1"/>
  <c r="E1157" i="1"/>
  <c r="E1158" i="1"/>
  <c r="E1159" i="1"/>
  <c r="E1160" i="1"/>
  <c r="E1161" i="1"/>
  <c r="E1162" i="1"/>
  <c r="E1163" i="1"/>
  <c r="E1164" i="1"/>
  <c r="E1165" i="1"/>
  <c r="E1166" i="1"/>
  <c r="E1167" i="1"/>
  <c r="E1168" i="1"/>
  <c r="E1169" i="1"/>
  <c r="E1170" i="1"/>
  <c r="E1171" i="1"/>
  <c r="E1172" i="1"/>
  <c r="E1173" i="1"/>
  <c r="E1174" i="1"/>
  <c r="E1175" i="1"/>
  <c r="E1176" i="1"/>
  <c r="E1177" i="1"/>
  <c r="E1178" i="1"/>
  <c r="E1179" i="1"/>
  <c r="E1180" i="1"/>
  <c r="E1181" i="1"/>
  <c r="E1182" i="1"/>
  <c r="E1183" i="1"/>
  <c r="E1184" i="1"/>
  <c r="E1185" i="1"/>
  <c r="E1186" i="1"/>
  <c r="E1187" i="1"/>
  <c r="E1188" i="1"/>
  <c r="E1189" i="1"/>
  <c r="E1190" i="1"/>
  <c r="E1191" i="1"/>
  <c r="E1192" i="1"/>
  <c r="E1193" i="1"/>
  <c r="E1194" i="1"/>
  <c r="E1195" i="1"/>
  <c r="E1196" i="1"/>
  <c r="E1197" i="1"/>
  <c r="E1198" i="1"/>
  <c r="E1199" i="1"/>
  <c r="E1200" i="1"/>
  <c r="E1201" i="1"/>
  <c r="E1202" i="1"/>
  <c r="E1203" i="1"/>
  <c r="E1204" i="1"/>
  <c r="E1205" i="1"/>
  <c r="E1206" i="1"/>
  <c r="E1207" i="1"/>
  <c r="E1208" i="1"/>
  <c r="E1209" i="1"/>
  <c r="E1210" i="1"/>
  <c r="E1211" i="1"/>
  <c r="E1212" i="1"/>
  <c r="E1213" i="1"/>
  <c r="E1214" i="1"/>
  <c r="E1215" i="1"/>
  <c r="E1216" i="1"/>
  <c r="E1217" i="1"/>
  <c r="E1218" i="1"/>
  <c r="E1219" i="1"/>
  <c r="E1220" i="1"/>
  <c r="E1221" i="1"/>
  <c r="E1222" i="1"/>
  <c r="E1223" i="1"/>
  <c r="E1224" i="1"/>
  <c r="E1225" i="1"/>
  <c r="E1226" i="1"/>
  <c r="E1227" i="1"/>
  <c r="E1228" i="1"/>
  <c r="E1229" i="1"/>
  <c r="E1230" i="1"/>
  <c r="E1231" i="1"/>
  <c r="E1232" i="1"/>
  <c r="E1233" i="1"/>
  <c r="E1234" i="1"/>
  <c r="E1235" i="1"/>
  <c r="E1236" i="1"/>
  <c r="E1237" i="1"/>
  <c r="E1238" i="1"/>
  <c r="E1239" i="1"/>
  <c r="E1240" i="1"/>
  <c r="E1241" i="1"/>
  <c r="E1242" i="1"/>
  <c r="E1243" i="1"/>
  <c r="E1244" i="1"/>
  <c r="E1245" i="1"/>
  <c r="E1246" i="1"/>
  <c r="E1247" i="1"/>
  <c r="E1248" i="1"/>
  <c r="E1249" i="1"/>
  <c r="E1250" i="1"/>
  <c r="E1251" i="1"/>
  <c r="E1252" i="1"/>
  <c r="E1253" i="1"/>
  <c r="E1254" i="1"/>
  <c r="E1255" i="1"/>
  <c r="E1256" i="1"/>
  <c r="E1257" i="1"/>
  <c r="E1258" i="1"/>
  <c r="E1259" i="1"/>
  <c r="E1260" i="1"/>
  <c r="E1261" i="1"/>
  <c r="E1262" i="1"/>
  <c r="E1263" i="1"/>
  <c r="E1264" i="1"/>
  <c r="E1265" i="1"/>
  <c r="E1266" i="1"/>
  <c r="E1267" i="1"/>
  <c r="E1268" i="1"/>
  <c r="E1269" i="1"/>
  <c r="E1270" i="1"/>
  <c r="E1271" i="1"/>
  <c r="E1272" i="1"/>
  <c r="E1273" i="1"/>
  <c r="E1274" i="1"/>
  <c r="E1275" i="1"/>
  <c r="E1276" i="1"/>
  <c r="E1277" i="1"/>
  <c r="E1278" i="1"/>
  <c r="E1279" i="1"/>
  <c r="E1280" i="1"/>
  <c r="E1281" i="1"/>
  <c r="E1282" i="1"/>
  <c r="E1283" i="1"/>
  <c r="E1284" i="1"/>
  <c r="E1285" i="1"/>
  <c r="E1286" i="1"/>
  <c r="E1287" i="1"/>
  <c r="E1288" i="1"/>
  <c r="E1289" i="1"/>
  <c r="E1290" i="1"/>
  <c r="E1291" i="1"/>
  <c r="E1292" i="1"/>
  <c r="E1293" i="1"/>
  <c r="E1294" i="1"/>
  <c r="E1295" i="1"/>
  <c r="E1296" i="1"/>
  <c r="E1297" i="1"/>
  <c r="E1298" i="1"/>
  <c r="E1299" i="1"/>
  <c r="E1300" i="1"/>
  <c r="E1301" i="1"/>
  <c r="E1302" i="1"/>
  <c r="E1303" i="1"/>
  <c r="E1304" i="1"/>
  <c r="E1305" i="1"/>
  <c r="E1306" i="1"/>
  <c r="E1307" i="1"/>
  <c r="E1308" i="1"/>
  <c r="E1309" i="1"/>
  <c r="E1310" i="1"/>
  <c r="E1311" i="1"/>
  <c r="E1312" i="1"/>
  <c r="E1313" i="1"/>
  <c r="E1314" i="1"/>
  <c r="E1315" i="1"/>
  <c r="E1316" i="1"/>
  <c r="E1317" i="1"/>
  <c r="E1318" i="1"/>
  <c r="E1319" i="1"/>
  <c r="E1320" i="1"/>
  <c r="E1321" i="1"/>
  <c r="E1322" i="1"/>
  <c r="E1323" i="1"/>
  <c r="E1324" i="1"/>
  <c r="E1325" i="1"/>
  <c r="E1326" i="1"/>
  <c r="E1327" i="1"/>
  <c r="E1328" i="1"/>
  <c r="E1329" i="1"/>
  <c r="E1330" i="1"/>
  <c r="E1331" i="1"/>
  <c r="E1332" i="1"/>
  <c r="E1333" i="1"/>
  <c r="E1334" i="1"/>
  <c r="E1335" i="1"/>
  <c r="E1336" i="1"/>
  <c r="E1337" i="1"/>
  <c r="E1338" i="1"/>
  <c r="E1339" i="1"/>
  <c r="E1340" i="1"/>
  <c r="E1341" i="1"/>
  <c r="E1342" i="1"/>
  <c r="E1343" i="1"/>
  <c r="E1344" i="1"/>
  <c r="E1345" i="1"/>
  <c r="E1346" i="1"/>
  <c r="E1347" i="1"/>
  <c r="E1348" i="1"/>
  <c r="E1349" i="1"/>
  <c r="E1350" i="1"/>
  <c r="E1351" i="1"/>
  <c r="E1352" i="1"/>
  <c r="E1353" i="1"/>
  <c r="E1354" i="1"/>
  <c r="E1355" i="1"/>
  <c r="E1356" i="1"/>
  <c r="E1357" i="1"/>
  <c r="E1358" i="1"/>
  <c r="E1359" i="1"/>
  <c r="E1360" i="1"/>
  <c r="E1361" i="1"/>
  <c r="E1362" i="1"/>
  <c r="E1363" i="1"/>
  <c r="E1364" i="1"/>
  <c r="E1365" i="1"/>
  <c r="E1366" i="1"/>
  <c r="E1367" i="1"/>
  <c r="E1368" i="1"/>
  <c r="E1369" i="1"/>
  <c r="E1370" i="1"/>
  <c r="E1371" i="1"/>
  <c r="E1372" i="1"/>
  <c r="E1373" i="1"/>
  <c r="E1374" i="1"/>
  <c r="E1375" i="1"/>
  <c r="E1376" i="1"/>
  <c r="E1377" i="1"/>
  <c r="E1378" i="1"/>
  <c r="E1379" i="1"/>
  <c r="E1380" i="1"/>
  <c r="E1381" i="1"/>
  <c r="E1382" i="1"/>
  <c r="E1383" i="1"/>
  <c r="E1384" i="1"/>
  <c r="E1385" i="1"/>
  <c r="E1386" i="1"/>
  <c r="E1387" i="1"/>
  <c r="E1388" i="1"/>
  <c r="E1389" i="1"/>
  <c r="E1390" i="1"/>
  <c r="E1391" i="1"/>
  <c r="E1392" i="1"/>
  <c r="E1393" i="1"/>
  <c r="E1394" i="1"/>
  <c r="E1395" i="1"/>
  <c r="E1396" i="1"/>
  <c r="E1397" i="1"/>
  <c r="E1398" i="1"/>
  <c r="E1399" i="1"/>
  <c r="E1400" i="1"/>
  <c r="E1401" i="1"/>
  <c r="E1402" i="1"/>
  <c r="E1403" i="1"/>
  <c r="E1404" i="1"/>
  <c r="E1405" i="1"/>
  <c r="E1406" i="1"/>
  <c r="E1407" i="1"/>
  <c r="E1408" i="1"/>
  <c r="E1409" i="1"/>
  <c r="E1410" i="1"/>
  <c r="E1411" i="1"/>
  <c r="E1412" i="1"/>
  <c r="E1413" i="1"/>
  <c r="E1414" i="1"/>
  <c r="E1415" i="1"/>
  <c r="E1416" i="1"/>
  <c r="E1417" i="1"/>
  <c r="E1418" i="1"/>
  <c r="E1419" i="1"/>
  <c r="E1420" i="1"/>
  <c r="E1421" i="1"/>
  <c r="E1422" i="1"/>
  <c r="E1423" i="1"/>
  <c r="E1424" i="1"/>
  <c r="E1425" i="1"/>
  <c r="E1426" i="1"/>
  <c r="E1427" i="1"/>
  <c r="E1428" i="1"/>
  <c r="E1429" i="1"/>
  <c r="E1430" i="1"/>
  <c r="E1431" i="1"/>
  <c r="E1432" i="1"/>
  <c r="E1433" i="1"/>
  <c r="E1434" i="1"/>
  <c r="E1435" i="1"/>
  <c r="E1436" i="1"/>
  <c r="E1437" i="1"/>
  <c r="E1438" i="1"/>
  <c r="E1439" i="1"/>
  <c r="E1440" i="1"/>
  <c r="E1441" i="1"/>
  <c r="E1442" i="1"/>
  <c r="E1443" i="1"/>
  <c r="E1444" i="1"/>
  <c r="E1445" i="1"/>
  <c r="E1446" i="1"/>
  <c r="E1447" i="1"/>
  <c r="E1448" i="1"/>
  <c r="E1449" i="1"/>
  <c r="E1450" i="1"/>
  <c r="E1451" i="1"/>
  <c r="E1452" i="1"/>
  <c r="E1453" i="1"/>
  <c r="E1454" i="1"/>
  <c r="E1455" i="1"/>
  <c r="E1456" i="1"/>
  <c r="E1457" i="1"/>
  <c r="E1458" i="1"/>
  <c r="E1459" i="1"/>
  <c r="E1460" i="1"/>
  <c r="E1461" i="1"/>
  <c r="E1462" i="1"/>
  <c r="E1463" i="1"/>
  <c r="E1464" i="1"/>
  <c r="E1465" i="1"/>
  <c r="E1466" i="1"/>
  <c r="E1467" i="1"/>
  <c r="E1468" i="1"/>
  <c r="E1469" i="1"/>
  <c r="E1470" i="1"/>
  <c r="E1471" i="1"/>
  <c r="E1472" i="1"/>
  <c r="E1473" i="1"/>
  <c r="E1474" i="1"/>
  <c r="E1475" i="1"/>
  <c r="E1476" i="1"/>
  <c r="E1477" i="1"/>
  <c r="E1478" i="1"/>
  <c r="E1479" i="1"/>
  <c r="E1480" i="1"/>
  <c r="E1481" i="1"/>
  <c r="E1482" i="1"/>
  <c r="E1483" i="1"/>
  <c r="E1484" i="1"/>
  <c r="E1485" i="1"/>
  <c r="E1486" i="1"/>
  <c r="E1487" i="1"/>
  <c r="E1488" i="1"/>
  <c r="E1489" i="1"/>
  <c r="E1490" i="1"/>
  <c r="E1491" i="1"/>
  <c r="E1492" i="1"/>
  <c r="E1493" i="1"/>
  <c r="E1494" i="1"/>
  <c r="E1495" i="1"/>
  <c r="E1496" i="1"/>
  <c r="E1497" i="1"/>
  <c r="E1498" i="1"/>
  <c r="E1499" i="1"/>
  <c r="E1500" i="1"/>
  <c r="E1501" i="1"/>
  <c r="E1502" i="1"/>
  <c r="E1503" i="1"/>
  <c r="E1504" i="1"/>
  <c r="E1505" i="1"/>
  <c r="E1506" i="1"/>
  <c r="E1507" i="1"/>
  <c r="E1508" i="1"/>
  <c r="E1509" i="1"/>
  <c r="E1510" i="1"/>
  <c r="E1511" i="1"/>
  <c r="E1512" i="1"/>
  <c r="E1513" i="1"/>
  <c r="E1514" i="1"/>
  <c r="E1515" i="1"/>
  <c r="E1516" i="1"/>
  <c r="E1517" i="1"/>
  <c r="E1518" i="1"/>
  <c r="E1525" i="1"/>
  <c r="E1526" i="1"/>
  <c r="E1527" i="1"/>
  <c r="E1528" i="1"/>
  <c r="E1529" i="1"/>
  <c r="E1530" i="1"/>
  <c r="E1531" i="1"/>
  <c r="E1532" i="1"/>
  <c r="E1533" i="1"/>
  <c r="E1534" i="1"/>
  <c r="E1535" i="1"/>
  <c r="E1536" i="1"/>
  <c r="E1537" i="1"/>
  <c r="E1538" i="1"/>
  <c r="E1539" i="1"/>
  <c r="E1540" i="1"/>
  <c r="E1541" i="1"/>
  <c r="E1542" i="1"/>
  <c r="E1543" i="1"/>
  <c r="E1544" i="1"/>
  <c r="E1545" i="1"/>
  <c r="E1546" i="1"/>
  <c r="E1547" i="1"/>
  <c r="E1548" i="1"/>
  <c r="E1549" i="1"/>
  <c r="E1550" i="1"/>
  <c r="E1551" i="1"/>
  <c r="E1552" i="1"/>
  <c r="E1553" i="1"/>
  <c r="E1554" i="1"/>
  <c r="E1555" i="1"/>
  <c r="E1556" i="1"/>
  <c r="E1557" i="1"/>
  <c r="E1558" i="1"/>
  <c r="E1559" i="1"/>
  <c r="E1560" i="1"/>
  <c r="E1561" i="1"/>
  <c r="E1562" i="1"/>
  <c r="E1563" i="1"/>
  <c r="E1564" i="1"/>
  <c r="E1565" i="1"/>
  <c r="E1566" i="1"/>
  <c r="E1567" i="1"/>
  <c r="E1568" i="1"/>
  <c r="E1569" i="1"/>
  <c r="E1570" i="1"/>
  <c r="E1571" i="1"/>
  <c r="E1572" i="1"/>
  <c r="E1573" i="1"/>
  <c r="E1574" i="1"/>
  <c r="E1575" i="1"/>
  <c r="E1576" i="1"/>
  <c r="E1577" i="1"/>
  <c r="E1578" i="1"/>
  <c r="E1579" i="1"/>
  <c r="E1580" i="1"/>
  <c r="E1581" i="1"/>
  <c r="E1582" i="1"/>
  <c r="E1583" i="1"/>
  <c r="E1584" i="1"/>
  <c r="E1585" i="1"/>
  <c r="E1586" i="1"/>
  <c r="E1587" i="1"/>
  <c r="E1588" i="1"/>
  <c r="E1589" i="1"/>
  <c r="E1590" i="1"/>
  <c r="E1591" i="1"/>
  <c r="E1592" i="1"/>
  <c r="E1593" i="1"/>
  <c r="E1594" i="1"/>
  <c r="E1595" i="1"/>
  <c r="E1596" i="1"/>
  <c r="E1597" i="1"/>
  <c r="E1598" i="1"/>
  <c r="E1599" i="1"/>
  <c r="E1600" i="1"/>
  <c r="E1601" i="1"/>
  <c r="E1602" i="1"/>
  <c r="E1603" i="1"/>
  <c r="E1604" i="1"/>
  <c r="E1605" i="1"/>
  <c r="E1606" i="1"/>
  <c r="E1607" i="1"/>
  <c r="E1608" i="1"/>
  <c r="E1609" i="1"/>
  <c r="E1610" i="1"/>
  <c r="E1611" i="1"/>
  <c r="E1612" i="1"/>
  <c r="E1613" i="1"/>
  <c r="E1614" i="1"/>
  <c r="E1615" i="1"/>
  <c r="E1616" i="1"/>
  <c r="E1617" i="1"/>
  <c r="E1618" i="1"/>
  <c r="E1619" i="1"/>
  <c r="E1620" i="1"/>
  <c r="E1621" i="1"/>
  <c r="E1622" i="1"/>
  <c r="E1623" i="1"/>
  <c r="E1624" i="1"/>
  <c r="E1625" i="1"/>
  <c r="E1626" i="1"/>
  <c r="E1627" i="1"/>
  <c r="E1628" i="1"/>
  <c r="E1629" i="1"/>
  <c r="E1630" i="1"/>
  <c r="E1631" i="1"/>
  <c r="E1632" i="1"/>
  <c r="E1633" i="1"/>
  <c r="E1634" i="1"/>
  <c r="E1635" i="1"/>
  <c r="E1636" i="1"/>
  <c r="E1637" i="1"/>
  <c r="E1638" i="1"/>
  <c r="E1639" i="1"/>
  <c r="E1640" i="1"/>
  <c r="E1641" i="1"/>
  <c r="E1642" i="1"/>
  <c r="E1643" i="1"/>
  <c r="E1644" i="1"/>
  <c r="E1645" i="1"/>
  <c r="E1646" i="1"/>
  <c r="E1647" i="1"/>
  <c r="E1648" i="1"/>
  <c r="E1649" i="1"/>
  <c r="E1650" i="1"/>
  <c r="E1651" i="1"/>
  <c r="E1652" i="1"/>
  <c r="E1653" i="1"/>
  <c r="E1654" i="1"/>
  <c r="E1655" i="1"/>
  <c r="E1656" i="1"/>
  <c r="E1657" i="1"/>
  <c r="E1658" i="1"/>
  <c r="E1659" i="1"/>
  <c r="E1660" i="1"/>
  <c r="E1661" i="1"/>
  <c r="E1662" i="1"/>
  <c r="E1663" i="1"/>
  <c r="E1664" i="1"/>
  <c r="E1665" i="1"/>
  <c r="E1666" i="1"/>
  <c r="E1667" i="1"/>
  <c r="E1668" i="1"/>
  <c r="E1669" i="1"/>
  <c r="E1670" i="1"/>
  <c r="E1671" i="1"/>
  <c r="E1672" i="1"/>
  <c r="E1673" i="1"/>
  <c r="E1674" i="1"/>
  <c r="E1675" i="1"/>
  <c r="E1676" i="1"/>
  <c r="E1677" i="1"/>
  <c r="E1678" i="1"/>
  <c r="E1679" i="1"/>
  <c r="E1680" i="1"/>
  <c r="E1681" i="1"/>
  <c r="E1682" i="1"/>
  <c r="E1683" i="1"/>
  <c r="E1684" i="1"/>
  <c r="E1685" i="1"/>
  <c r="E1686" i="1"/>
  <c r="E1687" i="1"/>
  <c r="E1688" i="1"/>
  <c r="E1689" i="1"/>
  <c r="E1690" i="1"/>
  <c r="E1691" i="1"/>
  <c r="E1692" i="1"/>
  <c r="E1693" i="1"/>
  <c r="E1694" i="1"/>
  <c r="E1695" i="1"/>
  <c r="E1696" i="1"/>
  <c r="E1697" i="1"/>
  <c r="E1698" i="1"/>
  <c r="E1699" i="1"/>
  <c r="E1700" i="1"/>
  <c r="E1701" i="1"/>
  <c r="E1702" i="1"/>
  <c r="E1703" i="1"/>
  <c r="E1704" i="1"/>
  <c r="E1705" i="1"/>
  <c r="E1706" i="1"/>
  <c r="E1707" i="1"/>
  <c r="E1708" i="1"/>
  <c r="E1709" i="1"/>
  <c r="E1710" i="1"/>
  <c r="E1711" i="1"/>
  <c r="E1712" i="1"/>
  <c r="E1713" i="1"/>
  <c r="E1714" i="1"/>
  <c r="E1715" i="1"/>
  <c r="E1716" i="1"/>
  <c r="E1717" i="1"/>
  <c r="E1718" i="1"/>
  <c r="E1719" i="1"/>
  <c r="E1720" i="1"/>
  <c r="E1721" i="1"/>
  <c r="E1722" i="1"/>
  <c r="E1723" i="1"/>
  <c r="E1724" i="1"/>
  <c r="E1725" i="1"/>
  <c r="E1726" i="1"/>
  <c r="E1727" i="1"/>
  <c r="E1728" i="1"/>
  <c r="E1729" i="1"/>
  <c r="E1730" i="1"/>
  <c r="E1731" i="1"/>
  <c r="E1732" i="1"/>
  <c r="E1733" i="1"/>
  <c r="E1734" i="1"/>
  <c r="E1735" i="1"/>
  <c r="E1736" i="1"/>
  <c r="E1737" i="1"/>
  <c r="E1738" i="1"/>
  <c r="E1739" i="1"/>
  <c r="E1740" i="1"/>
  <c r="E1741" i="1"/>
  <c r="E1742" i="1"/>
  <c r="E1743" i="1"/>
  <c r="E1744" i="1"/>
  <c r="E1745" i="1"/>
  <c r="E1746" i="1"/>
  <c r="E1747" i="1"/>
  <c r="E1748" i="1"/>
  <c r="E1749" i="1"/>
  <c r="E1750" i="1"/>
  <c r="E1751" i="1"/>
  <c r="E1752" i="1"/>
  <c r="E1753" i="1"/>
  <c r="E1754" i="1"/>
  <c r="E1755" i="1"/>
  <c r="E1756" i="1"/>
  <c r="E1757" i="1"/>
  <c r="E1758" i="1"/>
  <c r="E1759" i="1"/>
  <c r="E1760" i="1"/>
  <c r="E1761" i="1"/>
  <c r="E1762" i="1"/>
  <c r="E1763" i="1"/>
  <c r="E1764" i="1"/>
  <c r="E1765" i="1"/>
  <c r="E1766" i="1"/>
  <c r="E1767" i="1"/>
  <c r="E1768" i="1"/>
  <c r="E1769" i="1"/>
  <c r="E1770" i="1"/>
  <c r="E1771" i="1"/>
  <c r="E1772" i="1"/>
  <c r="E1773" i="1"/>
  <c r="E1774" i="1"/>
  <c r="E1775" i="1"/>
  <c r="E1776" i="1"/>
  <c r="E1777" i="1"/>
  <c r="E1778" i="1"/>
  <c r="E1779" i="1"/>
  <c r="E1780" i="1"/>
  <c r="E1781" i="1"/>
  <c r="E1782" i="1"/>
  <c r="E1783" i="1"/>
  <c r="E1784" i="1"/>
  <c r="E1785" i="1"/>
  <c r="E1786" i="1"/>
  <c r="E1787" i="1"/>
  <c r="E1788" i="1"/>
  <c r="E1789" i="1"/>
  <c r="E1790" i="1"/>
  <c r="E1791" i="1"/>
  <c r="E1792" i="1"/>
  <c r="E1793" i="1"/>
  <c r="E1794" i="1"/>
  <c r="E1795" i="1"/>
  <c r="E1796" i="1"/>
  <c r="E1797" i="1"/>
  <c r="E1798" i="1"/>
  <c r="E1799" i="1"/>
  <c r="E1800" i="1"/>
  <c r="E1801" i="1"/>
  <c r="E1802" i="1"/>
  <c r="E1803" i="1"/>
  <c r="E1804" i="1"/>
  <c r="E1805" i="1"/>
  <c r="E1806" i="1"/>
  <c r="E1807" i="1"/>
  <c r="E1808" i="1"/>
  <c r="E1809" i="1"/>
  <c r="E1810" i="1"/>
  <c r="E1811" i="1"/>
  <c r="E1812" i="1"/>
  <c r="E1813" i="1"/>
  <c r="E1814" i="1"/>
  <c r="E1815" i="1"/>
  <c r="E1816" i="1"/>
  <c r="E1817" i="1"/>
  <c r="E1818" i="1"/>
  <c r="E1819" i="1"/>
  <c r="E1820" i="1"/>
  <c r="E1821" i="1"/>
  <c r="E1822" i="1"/>
  <c r="E1823" i="1"/>
  <c r="E1824" i="1"/>
  <c r="E1825" i="1"/>
  <c r="E1826" i="1"/>
  <c r="E1827" i="1"/>
  <c r="E1828" i="1"/>
  <c r="E1829" i="1"/>
  <c r="E1830" i="1"/>
  <c r="E1831" i="1"/>
  <c r="E1832" i="1"/>
  <c r="E1833" i="1"/>
  <c r="E1834" i="1"/>
  <c r="E1835" i="1"/>
  <c r="E1836" i="1"/>
  <c r="E1837" i="1"/>
  <c r="E1838" i="1"/>
  <c r="E1839" i="1"/>
  <c r="E1840" i="1"/>
  <c r="E1841" i="1"/>
  <c r="E1842" i="1"/>
  <c r="E1843" i="1"/>
  <c r="E1844" i="1"/>
  <c r="E1845" i="1"/>
  <c r="E1846" i="1"/>
  <c r="E1847" i="1"/>
  <c r="E1848" i="1"/>
  <c r="E1849" i="1"/>
  <c r="E1850" i="1"/>
  <c r="E1851" i="1"/>
  <c r="E1852" i="1"/>
  <c r="E1853" i="1"/>
  <c r="E1854" i="1"/>
  <c r="E1855" i="1"/>
  <c r="E1856" i="1"/>
  <c r="E1857" i="1"/>
  <c r="E1858" i="1"/>
  <c r="E1859" i="1"/>
  <c r="H1423" i="1"/>
  <c r="J1423" i="1" s="1"/>
  <c r="H1424" i="1"/>
  <c r="J1424" i="1" s="1"/>
  <c r="H1425" i="1"/>
  <c r="J1425" i="1" s="1"/>
  <c r="H1426" i="1"/>
  <c r="J1426" i="1" s="1"/>
  <c r="H1427" i="1"/>
  <c r="J1427" i="1" s="1"/>
  <c r="H1428" i="1"/>
  <c r="J1428" i="1" s="1"/>
  <c r="H1429" i="1"/>
  <c r="J1429" i="1" s="1"/>
  <c r="H1430" i="1"/>
  <c r="J1430" i="1" s="1"/>
  <c r="H1431" i="1"/>
  <c r="J1431" i="1" s="1"/>
  <c r="H1432" i="1"/>
  <c r="J1432" i="1" s="1"/>
  <c r="H1433" i="1"/>
  <c r="J1433" i="1" s="1"/>
  <c r="H1434" i="1"/>
  <c r="J1434" i="1" s="1"/>
  <c r="H1435" i="1"/>
  <c r="J1435" i="1" s="1"/>
  <c r="H1436" i="1"/>
  <c r="J1436" i="1" s="1"/>
  <c r="H1437" i="1"/>
  <c r="J1437" i="1" s="1"/>
  <c r="H1438" i="1"/>
  <c r="J1438" i="1" s="1"/>
  <c r="H1439" i="1"/>
  <c r="J1439" i="1" s="1"/>
  <c r="H1440" i="1"/>
  <c r="J1440" i="1" s="1"/>
  <c r="H1441" i="1"/>
  <c r="J1441" i="1" s="1"/>
  <c r="H1442" i="1"/>
  <c r="J1442" i="1" s="1"/>
  <c r="H1443" i="1"/>
  <c r="J1443" i="1" s="1"/>
  <c r="H1444" i="1"/>
  <c r="J1444" i="1" s="1"/>
  <c r="H1445" i="1"/>
  <c r="J1445" i="1" s="1"/>
  <c r="H1446" i="1"/>
  <c r="J1446" i="1" s="1"/>
  <c r="H1447" i="1"/>
  <c r="J1447" i="1" s="1"/>
  <c r="H1448" i="1"/>
  <c r="J1448" i="1" s="1"/>
  <c r="H1449" i="1"/>
  <c r="J1449" i="1" s="1"/>
  <c r="H1450" i="1"/>
  <c r="J1450" i="1" s="1"/>
  <c r="H1451" i="1"/>
  <c r="J1451" i="1" s="1"/>
  <c r="H1452" i="1"/>
  <c r="J1452" i="1" s="1"/>
  <c r="H1453" i="1"/>
  <c r="J1453" i="1" s="1"/>
  <c r="H1454" i="1"/>
  <c r="J1454" i="1" s="1"/>
  <c r="H1455" i="1"/>
  <c r="J1455" i="1" s="1"/>
  <c r="H1456" i="1"/>
  <c r="J1456" i="1" s="1"/>
  <c r="H1457" i="1"/>
  <c r="J1457" i="1" s="1"/>
  <c r="H1458" i="1"/>
  <c r="J1458" i="1" s="1"/>
  <c r="H1459" i="1"/>
  <c r="J1459" i="1" s="1"/>
  <c r="H1460" i="1"/>
  <c r="J1460" i="1" s="1"/>
  <c r="H1461" i="1"/>
  <c r="J1461" i="1" s="1"/>
  <c r="H1462" i="1"/>
  <c r="J1462" i="1" s="1"/>
  <c r="H1463" i="1"/>
  <c r="J1463" i="1" s="1"/>
  <c r="H1464" i="1"/>
  <c r="J1464" i="1" s="1"/>
  <c r="H1465" i="1"/>
  <c r="J1465" i="1" s="1"/>
  <c r="H1466" i="1"/>
  <c r="J1466" i="1" s="1"/>
  <c r="H1467" i="1"/>
  <c r="J1467" i="1" s="1"/>
  <c r="H1468" i="1"/>
  <c r="J1468" i="1" s="1"/>
  <c r="H1469" i="1"/>
  <c r="J1469" i="1" s="1"/>
  <c r="H1470" i="1"/>
  <c r="J1470" i="1" s="1"/>
  <c r="H1471" i="1"/>
  <c r="J1471" i="1" s="1"/>
  <c r="H1472" i="1"/>
  <c r="J1472" i="1" s="1"/>
  <c r="H1473" i="1"/>
  <c r="J1473" i="1" s="1"/>
  <c r="H1474" i="1"/>
  <c r="J1474" i="1" s="1"/>
  <c r="H1475" i="1"/>
  <c r="J1475" i="1" s="1"/>
  <c r="H1476" i="1"/>
  <c r="J1476" i="1" s="1"/>
  <c r="H1477" i="1"/>
  <c r="J1477" i="1" s="1"/>
  <c r="H1478" i="1"/>
  <c r="J1478" i="1" s="1"/>
  <c r="H1479" i="1"/>
  <c r="J1479" i="1" s="1"/>
  <c r="H1480" i="1"/>
  <c r="J1480" i="1" s="1"/>
  <c r="H1481" i="1"/>
  <c r="J1481" i="1" s="1"/>
  <c r="H1482" i="1"/>
  <c r="J1482" i="1" s="1"/>
  <c r="H1483" i="1"/>
  <c r="J1483" i="1" s="1"/>
  <c r="H1484" i="1"/>
  <c r="J1484" i="1" s="1"/>
  <c r="H1485" i="1"/>
  <c r="J1485" i="1" s="1"/>
  <c r="H1486" i="1"/>
  <c r="J1486" i="1" s="1"/>
  <c r="H1487" i="1"/>
  <c r="J1487" i="1" s="1"/>
  <c r="H1488" i="1"/>
  <c r="J1488" i="1" s="1"/>
  <c r="H1489" i="1"/>
  <c r="J1489" i="1" s="1"/>
  <c r="H1490" i="1"/>
  <c r="J1490" i="1" s="1"/>
  <c r="H1491" i="1"/>
  <c r="J1491" i="1" s="1"/>
  <c r="H1492" i="1"/>
  <c r="J1492" i="1" s="1"/>
  <c r="H1493" i="1"/>
  <c r="J1493" i="1" s="1"/>
  <c r="H1494" i="1"/>
  <c r="J1494" i="1" s="1"/>
  <c r="H1495" i="1"/>
  <c r="J1495" i="1" s="1"/>
  <c r="H1496" i="1"/>
  <c r="J1496" i="1" s="1"/>
  <c r="H1497" i="1"/>
  <c r="J1497" i="1" s="1"/>
  <c r="H1498" i="1"/>
  <c r="J1498" i="1" s="1"/>
  <c r="H1499" i="1"/>
  <c r="J1499" i="1" s="1"/>
  <c r="H1500" i="1"/>
  <c r="J1500" i="1" s="1"/>
  <c r="H1501" i="1"/>
  <c r="J1501" i="1" s="1"/>
  <c r="H1502" i="1"/>
  <c r="J1502" i="1" s="1"/>
  <c r="H1503" i="1"/>
  <c r="J1503" i="1" s="1"/>
  <c r="H1504" i="1"/>
  <c r="J1504" i="1" s="1"/>
  <c r="H1505" i="1"/>
  <c r="J1505" i="1" s="1"/>
  <c r="H1506" i="1"/>
  <c r="J1506" i="1" s="1"/>
  <c r="H1507" i="1"/>
  <c r="J1507" i="1" s="1"/>
  <c r="H1508" i="1"/>
  <c r="J1508" i="1" s="1"/>
  <c r="H1509" i="1"/>
  <c r="J1509" i="1" s="1"/>
  <c r="H1510" i="1"/>
  <c r="J1510" i="1" s="1"/>
  <c r="H1511" i="1"/>
  <c r="J1511" i="1" s="1"/>
  <c r="H1512" i="1"/>
  <c r="J1512" i="1" s="1"/>
  <c r="H1513" i="1"/>
  <c r="J1513" i="1" s="1"/>
  <c r="H1514" i="1"/>
  <c r="J1514" i="1" s="1"/>
  <c r="H1515" i="1"/>
  <c r="J1515" i="1" s="1"/>
  <c r="H1516" i="1"/>
  <c r="J1516" i="1" s="1"/>
  <c r="H1517" i="1"/>
  <c r="J1517" i="1" s="1"/>
  <c r="H1518" i="1"/>
  <c r="J1518" i="1" s="1"/>
  <c r="H1519" i="1"/>
  <c r="J1519" i="1" s="1"/>
  <c r="H1520" i="1"/>
  <c r="J1520" i="1" s="1"/>
  <c r="H1521" i="1"/>
  <c r="J1521" i="1" s="1"/>
  <c r="H1522" i="1"/>
  <c r="J1522" i="1" s="1"/>
  <c r="H1523" i="1"/>
  <c r="J1523" i="1" s="1"/>
  <c r="H1524" i="1"/>
  <c r="J1524" i="1" s="1"/>
  <c r="H1525" i="1"/>
  <c r="J1525" i="1" s="1"/>
  <c r="H1526" i="1"/>
  <c r="J1526" i="1" s="1"/>
  <c r="H1527" i="1"/>
  <c r="J1527" i="1" s="1"/>
  <c r="H1528" i="1"/>
  <c r="J1528" i="1" s="1"/>
  <c r="H1529" i="1"/>
  <c r="J1529" i="1" s="1"/>
  <c r="H1530" i="1"/>
  <c r="J1530" i="1" s="1"/>
  <c r="H1531" i="1"/>
  <c r="J1531" i="1" s="1"/>
  <c r="H1532" i="1"/>
  <c r="J1532" i="1" s="1"/>
  <c r="H1533" i="1"/>
  <c r="J1533" i="1" s="1"/>
  <c r="H1534" i="1"/>
  <c r="J1534" i="1" s="1"/>
  <c r="H1535" i="1"/>
  <c r="J1535" i="1" s="1"/>
  <c r="H1536" i="1"/>
  <c r="J1536" i="1" s="1"/>
  <c r="H1537" i="1"/>
  <c r="J1537" i="1" s="1"/>
  <c r="H1538" i="1"/>
  <c r="J1538" i="1" s="1"/>
  <c r="H1539" i="1"/>
  <c r="J1539" i="1" s="1"/>
  <c r="H1540" i="1"/>
  <c r="J1540" i="1" s="1"/>
  <c r="H1541" i="1"/>
  <c r="J1541" i="1" s="1"/>
  <c r="H1542" i="1"/>
  <c r="J1542" i="1" s="1"/>
  <c r="H1543" i="1"/>
  <c r="J1543" i="1" s="1"/>
  <c r="H1544" i="1"/>
  <c r="J1544" i="1" s="1"/>
  <c r="H1545" i="1"/>
  <c r="J1545" i="1" s="1"/>
  <c r="H1546" i="1"/>
  <c r="J1546" i="1" s="1"/>
  <c r="H1547" i="1"/>
  <c r="J1547" i="1" s="1"/>
  <c r="H1548" i="1"/>
  <c r="J1548" i="1" s="1"/>
  <c r="H1549" i="1"/>
  <c r="J1549" i="1" s="1"/>
  <c r="H1550" i="1"/>
  <c r="J1550" i="1" s="1"/>
  <c r="H1551" i="1"/>
  <c r="J1551" i="1" s="1"/>
  <c r="H1552" i="1"/>
  <c r="J1552" i="1" s="1"/>
  <c r="H1553" i="1"/>
  <c r="J1553" i="1" s="1"/>
  <c r="H1554" i="1"/>
  <c r="J1554" i="1" s="1"/>
  <c r="H1555" i="1"/>
  <c r="J1555" i="1" s="1"/>
  <c r="H1556" i="1"/>
  <c r="J1556" i="1" s="1"/>
  <c r="H1557" i="1"/>
  <c r="J1557" i="1" s="1"/>
  <c r="H1558" i="1"/>
  <c r="J1558" i="1" s="1"/>
  <c r="H1559" i="1"/>
  <c r="J1559" i="1" s="1"/>
  <c r="H1560" i="1"/>
  <c r="J1560" i="1" s="1"/>
  <c r="H1561" i="1"/>
  <c r="J1561" i="1" s="1"/>
  <c r="H1562" i="1"/>
  <c r="J1562" i="1" s="1"/>
  <c r="H1563" i="1"/>
  <c r="J1563" i="1" s="1"/>
  <c r="H1564" i="1"/>
  <c r="J1564" i="1" s="1"/>
  <c r="H1565" i="1"/>
  <c r="J1565" i="1" s="1"/>
  <c r="H1566" i="1"/>
  <c r="J1566" i="1" s="1"/>
  <c r="H1567" i="1"/>
  <c r="J1567" i="1" s="1"/>
  <c r="H1568" i="1"/>
  <c r="J1568" i="1" s="1"/>
  <c r="H1569" i="1"/>
  <c r="J1569" i="1" s="1"/>
  <c r="H1570" i="1"/>
  <c r="J1570" i="1" s="1"/>
  <c r="H1571" i="1"/>
  <c r="J1571" i="1" s="1"/>
  <c r="H1572" i="1"/>
  <c r="J1572" i="1" s="1"/>
  <c r="H1573" i="1"/>
  <c r="J1573" i="1" s="1"/>
  <c r="H1574" i="1"/>
  <c r="J1574" i="1" s="1"/>
  <c r="H1575" i="1"/>
  <c r="J1575" i="1" s="1"/>
  <c r="H1576" i="1"/>
  <c r="J1576" i="1" s="1"/>
  <c r="H1577" i="1"/>
  <c r="J1577" i="1" s="1"/>
  <c r="H1578" i="1"/>
  <c r="J1578" i="1" s="1"/>
  <c r="H1579" i="1"/>
  <c r="J1579" i="1" s="1"/>
  <c r="H1580" i="1"/>
  <c r="J1580" i="1" s="1"/>
  <c r="H1581" i="1"/>
  <c r="J1581" i="1" s="1"/>
  <c r="H1582" i="1"/>
  <c r="J1582" i="1" s="1"/>
  <c r="H1583" i="1"/>
  <c r="J1583" i="1" s="1"/>
  <c r="H1584" i="1"/>
  <c r="J1584" i="1" s="1"/>
  <c r="H1585" i="1"/>
  <c r="J1585" i="1" s="1"/>
  <c r="H1586" i="1"/>
  <c r="J1586" i="1" s="1"/>
  <c r="H1587" i="1"/>
  <c r="J1587" i="1" s="1"/>
  <c r="H1588" i="1"/>
  <c r="J1588" i="1" s="1"/>
  <c r="H1589" i="1"/>
  <c r="J1589" i="1" s="1"/>
  <c r="H1590" i="1"/>
  <c r="J1590" i="1" s="1"/>
  <c r="H1591" i="1"/>
  <c r="J1591" i="1" s="1"/>
  <c r="H1592" i="1"/>
  <c r="J1592" i="1" s="1"/>
  <c r="H1593" i="1"/>
  <c r="J1593" i="1" s="1"/>
  <c r="H1594" i="1"/>
  <c r="J1594" i="1" s="1"/>
  <c r="H1595" i="1"/>
  <c r="J1595" i="1" s="1"/>
  <c r="H1596" i="1"/>
  <c r="J1596" i="1" s="1"/>
  <c r="H1597" i="1"/>
  <c r="J1597" i="1" s="1"/>
  <c r="H1598" i="1"/>
  <c r="J1598" i="1" s="1"/>
  <c r="H1599" i="1"/>
  <c r="J1599" i="1" s="1"/>
  <c r="H1600" i="1"/>
  <c r="J1600" i="1" s="1"/>
  <c r="H1601" i="1"/>
  <c r="J1601" i="1" s="1"/>
  <c r="H1602" i="1"/>
  <c r="J1602" i="1" s="1"/>
  <c r="H1603" i="1"/>
  <c r="J1603" i="1" s="1"/>
  <c r="H1604" i="1"/>
  <c r="J1604" i="1" s="1"/>
  <c r="H1605" i="1"/>
  <c r="J1605" i="1" s="1"/>
  <c r="H1606" i="1"/>
  <c r="J1606" i="1" s="1"/>
  <c r="H1607" i="1"/>
  <c r="J1607" i="1" s="1"/>
  <c r="H1608" i="1"/>
  <c r="J1608" i="1" s="1"/>
  <c r="H1609" i="1"/>
  <c r="J1609" i="1" s="1"/>
  <c r="H1610" i="1"/>
  <c r="J1610" i="1" s="1"/>
  <c r="H1611" i="1"/>
  <c r="J1611" i="1" s="1"/>
  <c r="H1612" i="1"/>
  <c r="J1612" i="1" s="1"/>
  <c r="H1613" i="1"/>
  <c r="J1613" i="1" s="1"/>
  <c r="H1614" i="1"/>
  <c r="J1614" i="1" s="1"/>
  <c r="H1615" i="1"/>
  <c r="J1615" i="1" s="1"/>
  <c r="H1616" i="1"/>
  <c r="J1616" i="1" s="1"/>
  <c r="H1617" i="1"/>
  <c r="J1617" i="1" s="1"/>
  <c r="H1618" i="1"/>
  <c r="J1618" i="1" s="1"/>
  <c r="H1619" i="1"/>
  <c r="J1619" i="1" s="1"/>
  <c r="H1620" i="1"/>
  <c r="J1620" i="1" s="1"/>
  <c r="H1621" i="1"/>
  <c r="J1621" i="1" s="1"/>
  <c r="H1622" i="1"/>
  <c r="J1622" i="1" s="1"/>
  <c r="H1623" i="1"/>
  <c r="J1623" i="1" s="1"/>
  <c r="H1624" i="1"/>
  <c r="J1624" i="1" s="1"/>
  <c r="H1625" i="1"/>
  <c r="J1625" i="1" s="1"/>
  <c r="H1626" i="1"/>
  <c r="J1626" i="1" s="1"/>
  <c r="H1627" i="1"/>
  <c r="J1627" i="1" s="1"/>
  <c r="H1628" i="1"/>
  <c r="J1628" i="1" s="1"/>
  <c r="H1629" i="1"/>
  <c r="J1629" i="1" s="1"/>
  <c r="H1630" i="1"/>
  <c r="J1630" i="1" s="1"/>
  <c r="H1631" i="1"/>
  <c r="J1631" i="1" s="1"/>
  <c r="H1632" i="1"/>
  <c r="J1632" i="1" s="1"/>
  <c r="H1633" i="1"/>
  <c r="J1633" i="1" s="1"/>
  <c r="H1634" i="1"/>
  <c r="J1634" i="1" s="1"/>
  <c r="H1635" i="1"/>
  <c r="J1635" i="1" s="1"/>
  <c r="H1636" i="1"/>
  <c r="J1636" i="1" s="1"/>
  <c r="H1637" i="1"/>
  <c r="J1637" i="1" s="1"/>
  <c r="H1638" i="1"/>
  <c r="J1638" i="1" s="1"/>
  <c r="H1639" i="1"/>
  <c r="J1639" i="1" s="1"/>
  <c r="H1640" i="1"/>
  <c r="J1640" i="1" s="1"/>
  <c r="H1641" i="1"/>
  <c r="J1641" i="1" s="1"/>
  <c r="H1642" i="1"/>
  <c r="J1642" i="1" s="1"/>
  <c r="H1643" i="1"/>
  <c r="J1643" i="1" s="1"/>
  <c r="H1644" i="1"/>
  <c r="J1644" i="1" s="1"/>
  <c r="H1645" i="1"/>
  <c r="J1645" i="1" s="1"/>
  <c r="H1646" i="1"/>
  <c r="J1646" i="1" s="1"/>
  <c r="H1647" i="1"/>
  <c r="J1647" i="1" s="1"/>
  <c r="H1648" i="1"/>
  <c r="J1648" i="1" s="1"/>
  <c r="H1649" i="1"/>
  <c r="J1649" i="1" s="1"/>
  <c r="H1650" i="1"/>
  <c r="J1650" i="1" s="1"/>
  <c r="H1651" i="1"/>
  <c r="J1651" i="1" s="1"/>
  <c r="H1652" i="1"/>
  <c r="J1652" i="1" s="1"/>
  <c r="H1653" i="1"/>
  <c r="J1653" i="1" s="1"/>
  <c r="H1654" i="1"/>
  <c r="J1654" i="1" s="1"/>
  <c r="H1655" i="1"/>
  <c r="J1655" i="1" s="1"/>
  <c r="H1656" i="1"/>
  <c r="J1656" i="1" s="1"/>
  <c r="H1657" i="1"/>
  <c r="J1657" i="1" s="1"/>
  <c r="H1658" i="1"/>
  <c r="J1658" i="1" s="1"/>
  <c r="H1659" i="1"/>
  <c r="J1659" i="1" s="1"/>
  <c r="H1660" i="1"/>
  <c r="J1660" i="1" s="1"/>
  <c r="H1661" i="1"/>
  <c r="J1661" i="1" s="1"/>
  <c r="H1662" i="1"/>
  <c r="J1662" i="1" s="1"/>
  <c r="H1663" i="1"/>
  <c r="J1663" i="1" s="1"/>
  <c r="H1664" i="1"/>
  <c r="J1664" i="1" s="1"/>
  <c r="H1665" i="1"/>
  <c r="J1665" i="1" s="1"/>
  <c r="H1666" i="1"/>
  <c r="J1666" i="1" s="1"/>
  <c r="H1667" i="1"/>
  <c r="J1667" i="1" s="1"/>
  <c r="H1668" i="1"/>
  <c r="J1668" i="1" s="1"/>
  <c r="H1669" i="1"/>
  <c r="J1669" i="1" s="1"/>
  <c r="H1670" i="1"/>
  <c r="J1670" i="1" s="1"/>
  <c r="H1671" i="1"/>
  <c r="J1671" i="1" s="1"/>
  <c r="H1672" i="1"/>
  <c r="J1672" i="1" s="1"/>
  <c r="H1673" i="1"/>
  <c r="J1673" i="1" s="1"/>
  <c r="H1674" i="1"/>
  <c r="J1674" i="1" s="1"/>
  <c r="H1675" i="1"/>
  <c r="J1675" i="1" s="1"/>
  <c r="H1676" i="1"/>
  <c r="J1676" i="1" s="1"/>
  <c r="H1677" i="1"/>
  <c r="J1677" i="1" s="1"/>
  <c r="H1678" i="1"/>
  <c r="J1678" i="1" s="1"/>
  <c r="H1679" i="1"/>
  <c r="J1679" i="1" s="1"/>
  <c r="H1680" i="1"/>
  <c r="J1680" i="1" s="1"/>
  <c r="H1681" i="1"/>
  <c r="J1681" i="1" s="1"/>
  <c r="H1682" i="1"/>
  <c r="J1682" i="1" s="1"/>
  <c r="H1683" i="1"/>
  <c r="J1683" i="1" s="1"/>
  <c r="H1684" i="1"/>
  <c r="J1684" i="1" s="1"/>
  <c r="H1685" i="1"/>
  <c r="J1685" i="1" s="1"/>
  <c r="H1686" i="1"/>
  <c r="J1686" i="1" s="1"/>
  <c r="H1687" i="1"/>
  <c r="J1687" i="1" s="1"/>
  <c r="H1688" i="1"/>
  <c r="J1688" i="1" s="1"/>
  <c r="H1689" i="1"/>
  <c r="J1689" i="1" s="1"/>
  <c r="H1690" i="1"/>
  <c r="J1690" i="1" s="1"/>
  <c r="H1691" i="1"/>
  <c r="J1691" i="1" s="1"/>
  <c r="H1692" i="1"/>
  <c r="J1692" i="1" s="1"/>
  <c r="H1693" i="1"/>
  <c r="J1693" i="1" s="1"/>
  <c r="H1694" i="1"/>
  <c r="J1694" i="1" s="1"/>
  <c r="H1695" i="1"/>
  <c r="J1695" i="1" s="1"/>
  <c r="H1696" i="1"/>
  <c r="J1696" i="1" s="1"/>
  <c r="H1697" i="1"/>
  <c r="J1697" i="1" s="1"/>
  <c r="H1698" i="1"/>
  <c r="J1698" i="1" s="1"/>
  <c r="H1699" i="1"/>
  <c r="J1699" i="1" s="1"/>
  <c r="H1700" i="1"/>
  <c r="J1700" i="1" s="1"/>
  <c r="H1701" i="1"/>
  <c r="J1701" i="1" s="1"/>
  <c r="H1702" i="1"/>
  <c r="J1702" i="1" s="1"/>
  <c r="H1703" i="1"/>
  <c r="J1703" i="1" s="1"/>
  <c r="H1704" i="1"/>
  <c r="J1704" i="1" s="1"/>
  <c r="H1705" i="1"/>
  <c r="J1705" i="1" s="1"/>
  <c r="H1706" i="1"/>
  <c r="J1706" i="1" s="1"/>
  <c r="H1707" i="1"/>
  <c r="J1707" i="1" s="1"/>
  <c r="H1708" i="1"/>
  <c r="J1708" i="1" s="1"/>
  <c r="H1709" i="1"/>
  <c r="J1709" i="1" s="1"/>
  <c r="H1710" i="1"/>
  <c r="J1710" i="1" s="1"/>
  <c r="H1711" i="1"/>
  <c r="J1711" i="1" s="1"/>
  <c r="H1712" i="1"/>
  <c r="J1712" i="1" s="1"/>
  <c r="H1713" i="1"/>
  <c r="J1713" i="1" s="1"/>
  <c r="H1714" i="1"/>
  <c r="J1714" i="1" s="1"/>
  <c r="H1715" i="1"/>
  <c r="J1715" i="1" s="1"/>
  <c r="H1716" i="1"/>
  <c r="J1716" i="1" s="1"/>
  <c r="H1717" i="1"/>
  <c r="J1717" i="1" s="1"/>
  <c r="H1718" i="1"/>
  <c r="J1718" i="1" s="1"/>
  <c r="H1719" i="1"/>
  <c r="J1719" i="1" s="1"/>
  <c r="H1720" i="1"/>
  <c r="J1720" i="1" s="1"/>
  <c r="H1721" i="1"/>
  <c r="J1721" i="1" s="1"/>
  <c r="H1722" i="1"/>
  <c r="J1722" i="1" s="1"/>
  <c r="H1723" i="1"/>
  <c r="J1723" i="1" s="1"/>
  <c r="H1724" i="1"/>
  <c r="J1724" i="1" s="1"/>
  <c r="H1725" i="1"/>
  <c r="J1725" i="1" s="1"/>
  <c r="H1726" i="1"/>
  <c r="J1726" i="1" s="1"/>
  <c r="H1727" i="1"/>
  <c r="J1727" i="1" s="1"/>
  <c r="H1728" i="1"/>
  <c r="J1728" i="1" s="1"/>
  <c r="H1729" i="1"/>
  <c r="J1729" i="1" s="1"/>
  <c r="H1730" i="1"/>
  <c r="J1730" i="1" s="1"/>
  <c r="H1731" i="1"/>
  <c r="J1731" i="1" s="1"/>
  <c r="H1732" i="1"/>
  <c r="J1732" i="1" s="1"/>
  <c r="H1733" i="1"/>
  <c r="J1733" i="1" s="1"/>
  <c r="H1734" i="1"/>
  <c r="J1734" i="1" s="1"/>
  <c r="H1735" i="1"/>
  <c r="J1735" i="1" s="1"/>
  <c r="H1736" i="1"/>
  <c r="J1736" i="1" s="1"/>
  <c r="H1737" i="1"/>
  <c r="J1737" i="1" s="1"/>
  <c r="H1738" i="1"/>
  <c r="J1738" i="1" s="1"/>
  <c r="H1739" i="1"/>
  <c r="J1739" i="1" s="1"/>
  <c r="H1740" i="1"/>
  <c r="J1740" i="1" s="1"/>
  <c r="H1741" i="1"/>
  <c r="J1741" i="1" s="1"/>
  <c r="H1742" i="1"/>
  <c r="J1742" i="1" s="1"/>
  <c r="H1743" i="1"/>
  <c r="J1743" i="1" s="1"/>
  <c r="H1744" i="1"/>
  <c r="J1744" i="1" s="1"/>
  <c r="H1745" i="1"/>
  <c r="J1745" i="1" s="1"/>
  <c r="H1746" i="1"/>
  <c r="J1746" i="1" s="1"/>
  <c r="H1747" i="1"/>
  <c r="J1747" i="1" s="1"/>
  <c r="H1748" i="1"/>
  <c r="J1748" i="1" s="1"/>
  <c r="H1749" i="1"/>
  <c r="J1749" i="1" s="1"/>
  <c r="H1750" i="1"/>
  <c r="J1750" i="1" s="1"/>
  <c r="H1751" i="1"/>
  <c r="J1751" i="1" s="1"/>
  <c r="H1752" i="1"/>
  <c r="J1752" i="1" s="1"/>
  <c r="H1753" i="1"/>
  <c r="J1753" i="1" s="1"/>
  <c r="H1754" i="1"/>
  <c r="J1754" i="1" s="1"/>
  <c r="H1755" i="1"/>
  <c r="J1755" i="1" s="1"/>
  <c r="H1756" i="1"/>
  <c r="J1756" i="1" s="1"/>
  <c r="H1757" i="1"/>
  <c r="J1757" i="1" s="1"/>
  <c r="H1758" i="1"/>
  <c r="J1758" i="1" s="1"/>
  <c r="H1759" i="1"/>
  <c r="J1759" i="1" s="1"/>
  <c r="H1760" i="1"/>
  <c r="J1760" i="1" s="1"/>
  <c r="H1761" i="1"/>
  <c r="J1761" i="1" s="1"/>
  <c r="H1762" i="1"/>
  <c r="J1762" i="1" s="1"/>
  <c r="H1763" i="1"/>
  <c r="J1763" i="1" s="1"/>
  <c r="H1764" i="1"/>
  <c r="J1764" i="1" s="1"/>
  <c r="H1765" i="1"/>
  <c r="J1765" i="1" s="1"/>
  <c r="H1766" i="1"/>
  <c r="J1766" i="1" s="1"/>
  <c r="H1767" i="1"/>
  <c r="J1767" i="1" s="1"/>
  <c r="H1768" i="1"/>
  <c r="J1768" i="1" s="1"/>
  <c r="H1769" i="1"/>
  <c r="J1769" i="1" s="1"/>
  <c r="H1770" i="1"/>
  <c r="J1770" i="1" s="1"/>
  <c r="H1771" i="1"/>
  <c r="J1771" i="1" s="1"/>
  <c r="H1772" i="1"/>
  <c r="J1772" i="1" s="1"/>
  <c r="H1773" i="1"/>
  <c r="J1773" i="1" s="1"/>
  <c r="H1774" i="1"/>
  <c r="J1774" i="1" s="1"/>
  <c r="H1775" i="1"/>
  <c r="J1775" i="1" s="1"/>
  <c r="H1776" i="1"/>
  <c r="J1776" i="1" s="1"/>
  <c r="H1777" i="1"/>
  <c r="J1777" i="1" s="1"/>
  <c r="H1778" i="1"/>
  <c r="J1778" i="1" s="1"/>
  <c r="H1779" i="1"/>
  <c r="J1779" i="1" s="1"/>
  <c r="H1780" i="1"/>
  <c r="J1780" i="1" s="1"/>
  <c r="H1781" i="1"/>
  <c r="J1781" i="1" s="1"/>
  <c r="H1782" i="1"/>
  <c r="J1782" i="1" s="1"/>
  <c r="H1783" i="1"/>
  <c r="J1783" i="1" s="1"/>
  <c r="H1784" i="1"/>
  <c r="J1784" i="1" s="1"/>
  <c r="H1785" i="1"/>
  <c r="J1785" i="1" s="1"/>
  <c r="H1786" i="1"/>
  <c r="J1786" i="1" s="1"/>
  <c r="H1787" i="1"/>
  <c r="J1787" i="1" s="1"/>
  <c r="H1788" i="1"/>
  <c r="J1788" i="1" s="1"/>
  <c r="H1789" i="1"/>
  <c r="J1789" i="1" s="1"/>
  <c r="H1790" i="1"/>
  <c r="J1790" i="1" s="1"/>
  <c r="H1791" i="1"/>
  <c r="J1791" i="1" s="1"/>
  <c r="H1792" i="1"/>
  <c r="J1792" i="1" s="1"/>
  <c r="H1793" i="1"/>
  <c r="J1793" i="1" s="1"/>
  <c r="H1794" i="1"/>
  <c r="J1794" i="1" s="1"/>
  <c r="H1795" i="1"/>
  <c r="J1795" i="1" s="1"/>
  <c r="H1796" i="1"/>
  <c r="J1796" i="1" s="1"/>
  <c r="H1797" i="1"/>
  <c r="J1797" i="1" s="1"/>
  <c r="H1798" i="1"/>
  <c r="J1798" i="1" s="1"/>
  <c r="H1799" i="1"/>
  <c r="J1799" i="1" s="1"/>
  <c r="H1800" i="1"/>
  <c r="J1800" i="1" s="1"/>
  <c r="H1801" i="1"/>
  <c r="J1801" i="1" s="1"/>
  <c r="H1802" i="1"/>
  <c r="J1802" i="1" s="1"/>
  <c r="H1803" i="1"/>
  <c r="J1803" i="1" s="1"/>
  <c r="H1804" i="1"/>
  <c r="J1804" i="1" s="1"/>
  <c r="H1805" i="1"/>
  <c r="J1805" i="1" s="1"/>
  <c r="H1806" i="1"/>
  <c r="J1806" i="1" s="1"/>
  <c r="H1807" i="1"/>
  <c r="J1807" i="1" s="1"/>
  <c r="H1808" i="1"/>
  <c r="J1808" i="1" s="1"/>
  <c r="H1809" i="1"/>
  <c r="J1809" i="1" s="1"/>
  <c r="H1810" i="1"/>
  <c r="J1810" i="1" s="1"/>
  <c r="H1811" i="1"/>
  <c r="J1811" i="1" s="1"/>
  <c r="H1812" i="1"/>
  <c r="J1812" i="1" s="1"/>
  <c r="H1813" i="1"/>
  <c r="J1813" i="1" s="1"/>
  <c r="H1814" i="1"/>
  <c r="J1814" i="1" s="1"/>
  <c r="H1815" i="1"/>
  <c r="J1815" i="1" s="1"/>
  <c r="H1816" i="1"/>
  <c r="J1816" i="1" s="1"/>
  <c r="H1817" i="1"/>
  <c r="J1817" i="1" s="1"/>
  <c r="H1818" i="1"/>
  <c r="J1818" i="1" s="1"/>
  <c r="H1819" i="1"/>
  <c r="J1819" i="1" s="1"/>
  <c r="H1820" i="1"/>
  <c r="J1820" i="1" s="1"/>
  <c r="H1821" i="1"/>
  <c r="J1821" i="1" s="1"/>
  <c r="H1822" i="1"/>
  <c r="J1822" i="1" s="1"/>
  <c r="H1823" i="1"/>
  <c r="J1823" i="1" s="1"/>
  <c r="H1824" i="1"/>
  <c r="J1824" i="1" s="1"/>
  <c r="H1825" i="1"/>
  <c r="J1825" i="1" s="1"/>
  <c r="H1826" i="1"/>
  <c r="J1826" i="1" s="1"/>
  <c r="H1827" i="1"/>
  <c r="J1827" i="1" s="1"/>
  <c r="H1828" i="1"/>
  <c r="J1828" i="1" s="1"/>
  <c r="H1829" i="1"/>
  <c r="J1829" i="1" s="1"/>
  <c r="H1830" i="1"/>
  <c r="J1830" i="1" s="1"/>
  <c r="H1831" i="1"/>
  <c r="J1831" i="1" s="1"/>
  <c r="H1832" i="1"/>
  <c r="J1832" i="1" s="1"/>
  <c r="H1833" i="1"/>
  <c r="J1833" i="1" s="1"/>
  <c r="H1834" i="1"/>
  <c r="J1834" i="1" s="1"/>
  <c r="H1835" i="1"/>
  <c r="J1835" i="1" s="1"/>
  <c r="H1836" i="1"/>
  <c r="J1836" i="1" s="1"/>
  <c r="H1837" i="1"/>
  <c r="J1837" i="1" s="1"/>
  <c r="H1838" i="1"/>
  <c r="J1838" i="1" s="1"/>
  <c r="H1839" i="1"/>
  <c r="J1839" i="1" s="1"/>
  <c r="H1840" i="1"/>
  <c r="J1840" i="1" s="1"/>
  <c r="H1841" i="1"/>
  <c r="J1841" i="1" s="1"/>
  <c r="H1842" i="1"/>
  <c r="J1842" i="1" s="1"/>
  <c r="H1843" i="1"/>
  <c r="J1843" i="1" s="1"/>
  <c r="H1844" i="1"/>
  <c r="J1844" i="1" s="1"/>
  <c r="H1845" i="1"/>
  <c r="J1845" i="1" s="1"/>
  <c r="H1846" i="1"/>
  <c r="J1846" i="1" s="1"/>
  <c r="H1847" i="1"/>
  <c r="J1847" i="1" s="1"/>
  <c r="H1848" i="1"/>
  <c r="J1848" i="1" s="1"/>
  <c r="H1849" i="1"/>
  <c r="J1849" i="1" s="1"/>
  <c r="H1850" i="1"/>
  <c r="J1850" i="1" s="1"/>
  <c r="H1851" i="1"/>
  <c r="J1851" i="1" s="1"/>
  <c r="H1852" i="1"/>
  <c r="J1852" i="1" s="1"/>
  <c r="H1853" i="1"/>
  <c r="J1853" i="1" s="1"/>
  <c r="H1854" i="1"/>
  <c r="J1854" i="1" s="1"/>
  <c r="H1855" i="1"/>
  <c r="J1855" i="1" s="1"/>
  <c r="H1856" i="1"/>
  <c r="J1856" i="1" s="1"/>
  <c r="H1857" i="1"/>
  <c r="J1857" i="1" s="1"/>
  <c r="H1858" i="1"/>
  <c r="J1858" i="1" s="1"/>
  <c r="H1859" i="1"/>
  <c r="J1859" i="1" s="1"/>
  <c r="H1422" i="1"/>
  <c r="J1422" i="1" s="1"/>
  <c r="O26" i="30" l="1"/>
  <c r="O19" i="19"/>
  <c r="O27" i="30" s="1"/>
  <c r="N41" i="30"/>
  <c r="N53" i="20"/>
  <c r="N42" i="30" s="1"/>
  <c r="G130" i="30"/>
  <c r="E100" i="30"/>
  <c r="D85" i="30"/>
  <c r="F85" i="30"/>
  <c r="F70" i="30"/>
  <c r="D55" i="30"/>
  <c r="H10" i="30"/>
  <c r="H115" i="30"/>
  <c r="D100" i="30"/>
  <c r="E130" i="30"/>
  <c r="H40" i="30"/>
  <c r="F25" i="30"/>
  <c r="E25" i="30"/>
  <c r="H70" i="30"/>
  <c r="G55" i="30"/>
  <c r="E40" i="30"/>
  <c r="G85" i="30"/>
  <c r="G70" i="30"/>
  <c r="F55" i="30"/>
  <c r="G25" i="30"/>
  <c r="E10" i="30"/>
  <c r="D10" i="30"/>
  <c r="E115" i="30"/>
  <c r="H100" i="30"/>
  <c r="D40" i="30"/>
  <c r="H25" i="30"/>
  <c r="G10" i="30"/>
  <c r="G115" i="30"/>
  <c r="G100" i="30"/>
  <c r="D130" i="30"/>
  <c r="F130" i="30"/>
  <c r="G40" i="30"/>
  <c r="H130" i="30"/>
  <c r="F10" i="30"/>
  <c r="D115" i="30"/>
  <c r="F115" i="30"/>
  <c r="F100" i="30"/>
  <c r="E85" i="30"/>
  <c r="E70" i="30"/>
  <c r="H85" i="30"/>
  <c r="D25" i="30"/>
  <c r="H1371" i="1"/>
  <c r="J1371" i="1" s="1"/>
  <c r="H1372" i="1"/>
  <c r="J1372" i="1" s="1"/>
  <c r="H1367" i="1"/>
  <c r="J1367" i="1" s="1"/>
  <c r="H1366" i="1"/>
  <c r="J1366" i="1" s="1"/>
  <c r="H1374" i="1"/>
  <c r="J1374" i="1" s="1"/>
  <c r="H1369" i="1"/>
  <c r="J1369" i="1" s="1"/>
  <c r="H1368" i="1"/>
  <c r="J1368" i="1" s="1"/>
  <c r="H1370" i="1"/>
  <c r="J1370" i="1" s="1"/>
  <c r="H1376" i="1"/>
  <c r="J1376" i="1" s="1"/>
  <c r="H1375" i="1"/>
  <c r="J1375" i="1" s="1"/>
  <c r="H1377" i="1"/>
  <c r="J1377" i="1" s="1"/>
  <c r="H1380" i="1"/>
  <c r="J1380" i="1" s="1"/>
  <c r="H1378" i="1"/>
  <c r="J1378" i="1" s="1"/>
  <c r="H1379" i="1"/>
  <c r="J1379" i="1" s="1"/>
  <c r="H1383" i="1"/>
  <c r="J1383" i="1" s="1"/>
  <c r="H1381" i="1"/>
  <c r="J1381" i="1" s="1"/>
  <c r="H1382" i="1"/>
  <c r="J1382" i="1" s="1"/>
  <c r="H1386" i="1"/>
  <c r="J1386" i="1" s="1"/>
  <c r="H1385" i="1"/>
  <c r="J1385" i="1" s="1"/>
  <c r="H1384" i="1"/>
  <c r="J1384" i="1" s="1"/>
  <c r="H1387" i="1"/>
  <c r="J1387" i="1" s="1"/>
  <c r="H1388" i="1"/>
  <c r="J1388" i="1" s="1"/>
  <c r="H1389" i="1"/>
  <c r="J1389" i="1" s="1"/>
  <c r="H1390" i="1"/>
  <c r="J1390" i="1" s="1"/>
  <c r="H1394" i="1"/>
  <c r="J1394" i="1" s="1"/>
  <c r="H1392" i="1"/>
  <c r="J1392" i="1" s="1"/>
  <c r="H1393" i="1"/>
  <c r="J1393" i="1" s="1"/>
  <c r="H1391" i="1"/>
  <c r="J1391" i="1" s="1"/>
  <c r="H1404" i="1"/>
  <c r="J1404" i="1" s="1"/>
  <c r="H1403" i="1"/>
  <c r="J1403" i="1" s="1"/>
  <c r="H1398" i="1"/>
  <c r="J1398" i="1" s="1"/>
  <c r="H1400" i="1"/>
  <c r="J1400" i="1" s="1"/>
  <c r="H1397" i="1"/>
  <c r="J1397" i="1" s="1"/>
  <c r="H1401" i="1"/>
  <c r="J1401" i="1" s="1"/>
  <c r="H1395" i="1"/>
  <c r="J1395" i="1" s="1"/>
  <c r="H1402" i="1"/>
  <c r="J1402" i="1" s="1"/>
  <c r="H1396" i="1"/>
  <c r="J1396" i="1" s="1"/>
  <c r="H1399" i="1"/>
  <c r="J1399" i="1" s="1"/>
  <c r="H1373" i="1"/>
  <c r="J1373" i="1" s="1"/>
  <c r="H36" i="30" l="1"/>
  <c r="H35" i="30"/>
  <c r="I125" i="30"/>
  <c r="I126" i="30"/>
  <c r="E126" i="30"/>
  <c r="E125" i="30"/>
  <c r="H126" i="30"/>
  <c r="H125" i="30"/>
  <c r="F125" i="30"/>
  <c r="F126" i="30"/>
  <c r="D125" i="30"/>
  <c r="D126" i="30"/>
  <c r="H65" i="30"/>
  <c r="H66" i="30"/>
  <c r="I36" i="30"/>
  <c r="I35" i="30"/>
  <c r="G36" i="30"/>
  <c r="G35" i="30"/>
  <c r="G66" i="30"/>
  <c r="G65" i="30"/>
  <c r="G125" i="30"/>
  <c r="G126" i="30"/>
  <c r="E65" i="30"/>
  <c r="E66" i="30"/>
  <c r="F65" i="30"/>
  <c r="F66" i="30"/>
  <c r="F96" i="30"/>
  <c r="F95" i="30"/>
  <c r="I110" i="30"/>
  <c r="I111" i="30"/>
  <c r="I66" i="30"/>
  <c r="I65" i="30"/>
  <c r="E95" i="30"/>
  <c r="E96" i="30"/>
  <c r="H95" i="30"/>
  <c r="H96" i="30"/>
  <c r="G120" i="30"/>
  <c r="G122" i="30"/>
  <c r="G96" i="30"/>
  <c r="G95" i="30"/>
  <c r="I96" i="30"/>
  <c r="I95" i="30"/>
  <c r="H47" i="30"/>
  <c r="H45" i="30"/>
  <c r="G77" i="30"/>
  <c r="G75" i="30"/>
  <c r="G110" i="30"/>
  <c r="G111" i="30"/>
  <c r="F122" i="30"/>
  <c r="F120" i="30"/>
  <c r="I105" i="30"/>
  <c r="I107" i="30"/>
  <c r="F75" i="30"/>
  <c r="F77" i="30"/>
  <c r="I47" i="30"/>
  <c r="I45" i="30"/>
  <c r="E137" i="30"/>
  <c r="E135" i="30"/>
  <c r="E77" i="30"/>
  <c r="E75" i="30"/>
  <c r="G47" i="30"/>
  <c r="G45" i="30"/>
  <c r="D135" i="30"/>
  <c r="D137" i="30"/>
  <c r="E110" i="30"/>
  <c r="E111" i="30"/>
  <c r="G135" i="30"/>
  <c r="G137" i="30"/>
  <c r="E120" i="30"/>
  <c r="E122" i="30"/>
  <c r="E107" i="30"/>
  <c r="E105" i="30"/>
  <c r="G107" i="30"/>
  <c r="G105" i="30"/>
  <c r="I120" i="30"/>
  <c r="I122" i="30"/>
  <c r="I75" i="30"/>
  <c r="I77" i="30"/>
  <c r="F135" i="30"/>
  <c r="F137" i="30"/>
  <c r="F110" i="30"/>
  <c r="F111" i="30"/>
  <c r="H122" i="30"/>
  <c r="H120" i="30"/>
  <c r="F107" i="30"/>
  <c r="F105" i="30"/>
  <c r="H77" i="30"/>
  <c r="H75" i="30"/>
  <c r="H105" i="30"/>
  <c r="H107" i="30"/>
  <c r="I135" i="30"/>
  <c r="I137" i="30"/>
  <c r="H135" i="30"/>
  <c r="H137" i="30"/>
  <c r="H110" i="30"/>
  <c r="H111" i="30"/>
  <c r="I97" i="30" l="1"/>
  <c r="F112" i="30"/>
  <c r="G127" i="30"/>
  <c r="H112" i="30"/>
  <c r="G112" i="30"/>
  <c r="H97" i="30"/>
  <c r="F97" i="30"/>
  <c r="E67" i="30"/>
  <c r="F127" i="30"/>
  <c r="H127" i="30"/>
  <c r="E127" i="30"/>
  <c r="I67" i="30"/>
  <c r="F67" i="30"/>
  <c r="G67" i="30"/>
  <c r="G37" i="30"/>
  <c r="H67" i="30"/>
  <c r="E112" i="30"/>
  <c r="G97" i="30"/>
  <c r="E97" i="30"/>
  <c r="D127" i="30"/>
  <c r="H37" i="30"/>
  <c r="I112" i="30" l="1"/>
  <c r="G98" i="30"/>
  <c r="E113" i="30"/>
  <c r="H68" i="30"/>
  <c r="G38" i="30"/>
  <c r="G68" i="30"/>
  <c r="F68" i="30"/>
  <c r="H38" i="30"/>
  <c r="E98" i="30"/>
  <c r="H128" i="30"/>
  <c r="F98" i="30"/>
  <c r="D128" i="30"/>
  <c r="I113" i="30"/>
  <c r="I127" i="30"/>
  <c r="E68" i="30"/>
  <c r="I37" i="30"/>
  <c r="H98" i="30"/>
  <c r="H113" i="30"/>
  <c r="G128" i="30"/>
  <c r="I68" i="30"/>
  <c r="E128" i="30"/>
  <c r="F128" i="30"/>
  <c r="G113" i="30"/>
  <c r="F113" i="30"/>
  <c r="I98" i="30" l="1"/>
  <c r="F131" i="30"/>
  <c r="F132" i="30"/>
  <c r="G132" i="30"/>
  <c r="G131" i="30"/>
  <c r="D132" i="30"/>
  <c r="D131" i="30"/>
  <c r="G117" i="30"/>
  <c r="G116" i="30"/>
  <c r="I116" i="30"/>
  <c r="I117" i="30"/>
  <c r="F102" i="30"/>
  <c r="F101" i="30"/>
  <c r="G72" i="30"/>
  <c r="G71" i="30"/>
  <c r="E102" i="30"/>
  <c r="E101" i="30"/>
  <c r="G42" i="30"/>
  <c r="G41" i="30"/>
  <c r="E117" i="30"/>
  <c r="E116" i="30"/>
  <c r="H132" i="30"/>
  <c r="H131" i="30"/>
  <c r="F72" i="30"/>
  <c r="F71" i="30"/>
  <c r="G102" i="30"/>
  <c r="G101" i="30"/>
  <c r="F117" i="30"/>
  <c r="F116" i="30"/>
  <c r="I38" i="30"/>
  <c r="I72" i="30"/>
  <c r="I71" i="30"/>
  <c r="H102" i="30"/>
  <c r="H101" i="30"/>
  <c r="H42" i="30"/>
  <c r="H41" i="30"/>
  <c r="H72" i="30"/>
  <c r="H71" i="30"/>
  <c r="H117" i="30"/>
  <c r="H116" i="30"/>
  <c r="E71" i="30"/>
  <c r="E72" i="30"/>
  <c r="I128" i="30"/>
  <c r="E132" i="30"/>
  <c r="E131" i="30"/>
  <c r="I102" i="30"/>
  <c r="I101" i="30"/>
  <c r="E56" i="20"/>
  <c r="E23" i="21"/>
  <c r="O30" i="28"/>
  <c r="F32" i="23"/>
  <c r="C37" i="27"/>
  <c r="K30" i="28"/>
  <c r="G22" i="19"/>
  <c r="E30" i="28"/>
  <c r="F22" i="19"/>
  <c r="I22" i="19"/>
  <c r="D23" i="21"/>
  <c r="E22" i="19"/>
  <c r="F30" i="28"/>
  <c r="D30" i="28"/>
  <c r="L30" i="28"/>
  <c r="C67" i="13"/>
  <c r="I67" i="13"/>
  <c r="C22" i="19"/>
  <c r="D36" i="25"/>
  <c r="C26" i="22"/>
  <c r="C56" i="20"/>
  <c r="D56" i="20"/>
  <c r="C32" i="23"/>
  <c r="G23" i="21"/>
  <c r="D32" i="23"/>
  <c r="E67" i="13"/>
  <c r="C23" i="21"/>
  <c r="G67" i="13"/>
  <c r="H22" i="19"/>
  <c r="C36" i="25"/>
  <c r="H23" i="21"/>
  <c r="I30" i="28"/>
  <c r="H30" i="28"/>
  <c r="F56" i="20"/>
  <c r="D67" i="13"/>
  <c r="C30" i="28"/>
  <c r="G32" i="23"/>
  <c r="D22" i="19"/>
  <c r="D23" i="24"/>
  <c r="F67" i="13"/>
  <c r="D26" i="22"/>
  <c r="E32" i="23"/>
  <c r="G30" i="28"/>
  <c r="C23" i="24"/>
  <c r="H67" i="13"/>
  <c r="I32" i="23"/>
  <c r="N30" i="28"/>
  <c r="H32" i="23"/>
  <c r="F23" i="21"/>
  <c r="D15" i="30" l="1"/>
  <c r="D69" i="13"/>
  <c r="D17" i="30" s="1"/>
  <c r="D90" i="30"/>
  <c r="D34" i="23"/>
  <c r="D92" i="30" s="1"/>
  <c r="G150" i="30"/>
  <c r="G32" i="28"/>
  <c r="G152" i="30" s="1"/>
  <c r="E34" i="23"/>
  <c r="E92" i="30" s="1"/>
  <c r="E90" i="30"/>
  <c r="C32" i="28"/>
  <c r="C152" i="30" s="1"/>
  <c r="C150" i="30"/>
  <c r="C25" i="24"/>
  <c r="C107" i="30" s="1"/>
  <c r="C105" i="30"/>
  <c r="F45" i="30"/>
  <c r="F58" i="20"/>
  <c r="F47" i="30" s="1"/>
  <c r="D25" i="24"/>
  <c r="D107" i="30" s="1"/>
  <c r="D105" i="30"/>
  <c r="N150" i="30"/>
  <c r="N32" i="28"/>
  <c r="N152" i="30" s="1"/>
  <c r="C34" i="23"/>
  <c r="C92" i="30" s="1"/>
  <c r="C90" i="30"/>
  <c r="H25" i="21"/>
  <c r="H62" i="30" s="1"/>
  <c r="H60" i="30"/>
  <c r="C120" i="30"/>
  <c r="C38" i="25"/>
  <c r="C122" i="30" s="1"/>
  <c r="H69" i="13"/>
  <c r="H17" i="30" s="1"/>
  <c r="H15" i="30"/>
  <c r="I150" i="30"/>
  <c r="I32" i="28"/>
  <c r="I152" i="30" s="1"/>
  <c r="C75" i="30"/>
  <c r="C28" i="22"/>
  <c r="C77" i="30" s="1"/>
  <c r="D120" i="30"/>
  <c r="D38" i="25"/>
  <c r="D122" i="30" s="1"/>
  <c r="G25" i="21"/>
  <c r="G62" i="30" s="1"/>
  <c r="G60" i="30"/>
  <c r="C45" i="30"/>
  <c r="C58" i="20"/>
  <c r="C47" i="30" s="1"/>
  <c r="C69" i="13"/>
  <c r="C17" i="30" s="1"/>
  <c r="C15" i="30"/>
  <c r="L32" i="28"/>
  <c r="L152" i="30" s="1"/>
  <c r="L150" i="30"/>
  <c r="H32" i="28"/>
  <c r="H152" i="30" s="1"/>
  <c r="H150" i="30"/>
  <c r="I69" i="13"/>
  <c r="I17" i="30" s="1"/>
  <c r="I15" i="30"/>
  <c r="C135" i="30"/>
  <c r="C39" i="27"/>
  <c r="C137" i="30" s="1"/>
  <c r="H24" i="19"/>
  <c r="H32" i="30" s="1"/>
  <c r="H30" i="30"/>
  <c r="D45" i="30"/>
  <c r="D58" i="20"/>
  <c r="D47" i="30" s="1"/>
  <c r="F60" i="30"/>
  <c r="F25" i="21"/>
  <c r="F62" i="30" s="1"/>
  <c r="D75" i="30"/>
  <c r="D28" i="22"/>
  <c r="D77" i="30" s="1"/>
  <c r="C25" i="21"/>
  <c r="C62" i="30" s="1"/>
  <c r="C60" i="30"/>
  <c r="C24" i="19"/>
  <c r="C32" i="30" s="1"/>
  <c r="C30" i="30"/>
  <c r="F34" i="23"/>
  <c r="F92" i="30" s="1"/>
  <c r="F90" i="30"/>
  <c r="G34" i="23"/>
  <c r="G92" i="30" s="1"/>
  <c r="G90" i="30"/>
  <c r="D32" i="28"/>
  <c r="D152" i="30" s="1"/>
  <c r="D150" i="30"/>
  <c r="D24" i="19"/>
  <c r="D32" i="30" s="1"/>
  <c r="D30" i="30"/>
  <c r="E15" i="30"/>
  <c r="E69" i="13"/>
  <c r="E17" i="30" s="1"/>
  <c r="D60" i="30"/>
  <c r="D25" i="21"/>
  <c r="D62" i="30" s="1"/>
  <c r="I24" i="19"/>
  <c r="I32" i="30" s="1"/>
  <c r="I30" i="30"/>
  <c r="G15" i="30"/>
  <c r="G69" i="13"/>
  <c r="G17" i="30" s="1"/>
  <c r="E30" i="30"/>
  <c r="E24" i="19"/>
  <c r="E32" i="30" s="1"/>
  <c r="G30" i="30"/>
  <c r="G24" i="19"/>
  <c r="G32" i="30" s="1"/>
  <c r="K32" i="28"/>
  <c r="K152" i="30" s="1"/>
  <c r="K150" i="30"/>
  <c r="H90" i="30"/>
  <c r="H34" i="23"/>
  <c r="H92" i="30" s="1"/>
  <c r="E150" i="30"/>
  <c r="E32" i="28"/>
  <c r="E152" i="30" s="1"/>
  <c r="E60" i="30"/>
  <c r="E25" i="21"/>
  <c r="E62" i="30" s="1"/>
  <c r="E58" i="20"/>
  <c r="E47" i="30" s="1"/>
  <c r="E45" i="30"/>
  <c r="F150" i="30"/>
  <c r="F32" i="28"/>
  <c r="F152" i="30" s="1"/>
  <c r="O150" i="30"/>
  <c r="O32" i="28"/>
  <c r="O152" i="30" s="1"/>
  <c r="F15" i="30"/>
  <c r="F69" i="13"/>
  <c r="F17" i="30" s="1"/>
  <c r="I90" i="30"/>
  <c r="I34" i="23"/>
  <c r="I92" i="30" s="1"/>
  <c r="F30" i="30"/>
  <c r="F24" i="19"/>
  <c r="F32" i="30" s="1"/>
  <c r="I132" i="30"/>
  <c r="I131" i="30"/>
  <c r="I41" i="30"/>
  <c r="I42" i="30"/>
  <c r="D8" i="23" l="1"/>
  <c r="C10" i="22"/>
  <c r="E21" i="13"/>
  <c r="E44" i="13"/>
  <c r="D17" i="23"/>
  <c r="E15" i="28"/>
  <c r="C17" i="28"/>
  <c r="C11" i="22"/>
  <c r="C54" i="13"/>
  <c r="D41" i="13"/>
  <c r="H7" i="13"/>
  <c r="E13" i="23"/>
  <c r="E3" i="28"/>
  <c r="F23" i="20"/>
  <c r="I7" i="23"/>
  <c r="F7" i="13"/>
  <c r="F3" i="13"/>
  <c r="E6" i="13"/>
  <c r="D23" i="25"/>
  <c r="G2" i="13"/>
  <c r="E4" i="21"/>
  <c r="D8" i="22"/>
  <c r="E3" i="20"/>
  <c r="D3" i="28"/>
  <c r="G8" i="28"/>
  <c r="D42" i="20"/>
  <c r="O6" i="28"/>
  <c r="C33" i="20"/>
  <c r="E32" i="20"/>
  <c r="H14" i="28"/>
  <c r="D13" i="13"/>
  <c r="F32" i="13"/>
  <c r="G2" i="21"/>
  <c r="I20" i="13"/>
  <c r="I13" i="13"/>
  <c r="I2" i="13"/>
  <c r="C7" i="24"/>
  <c r="E13" i="13"/>
  <c r="K13" i="28"/>
  <c r="E10" i="28"/>
  <c r="D7" i="21"/>
  <c r="E2" i="28"/>
  <c r="E40" i="20"/>
  <c r="K16" i="28"/>
  <c r="H42" i="13"/>
  <c r="C37" i="20"/>
  <c r="O16" i="28"/>
  <c r="D2" i="25"/>
  <c r="C6" i="24"/>
  <c r="I53" i="13"/>
  <c r="C9" i="22"/>
  <c r="H49" i="13"/>
  <c r="F4" i="21"/>
  <c r="C35" i="13"/>
  <c r="G40" i="13"/>
  <c r="D51" i="13"/>
  <c r="F17" i="13"/>
  <c r="D11" i="28"/>
  <c r="F28" i="13"/>
  <c r="D19" i="20"/>
  <c r="E7" i="19"/>
  <c r="F41" i="13"/>
  <c r="G35" i="13"/>
  <c r="E43" i="20"/>
  <c r="G21" i="13"/>
  <c r="D2" i="23"/>
  <c r="F2" i="23"/>
  <c r="G13" i="23"/>
  <c r="D16" i="23"/>
  <c r="G24" i="13"/>
  <c r="D10" i="22"/>
  <c r="I17" i="23"/>
  <c r="E37" i="13"/>
  <c r="G33" i="13"/>
  <c r="F47" i="13"/>
  <c r="O4" i="28"/>
  <c r="G45" i="13"/>
  <c r="H17" i="13"/>
  <c r="H10" i="28"/>
  <c r="C23" i="27"/>
  <c r="C38" i="20"/>
  <c r="G8" i="21"/>
  <c r="F21" i="20"/>
  <c r="G9" i="13"/>
  <c r="L13" i="28"/>
  <c r="C12" i="28"/>
  <c r="C22" i="13"/>
  <c r="E25" i="20"/>
  <c r="H51" i="13"/>
  <c r="D10" i="20"/>
  <c r="F39" i="20"/>
  <c r="D31" i="13"/>
  <c r="C18" i="13"/>
  <c r="G3" i="28"/>
  <c r="H6" i="21"/>
  <c r="L12" i="28"/>
  <c r="N11" i="28"/>
  <c r="G11" i="23"/>
  <c r="F29" i="20"/>
  <c r="K5" i="28"/>
  <c r="F12" i="20"/>
  <c r="E45" i="13"/>
  <c r="C14" i="13"/>
  <c r="E35" i="13"/>
  <c r="D9" i="20"/>
  <c r="E7" i="28"/>
  <c r="F42" i="13"/>
  <c r="F30" i="13"/>
  <c r="H3" i="21"/>
  <c r="O9" i="28"/>
  <c r="E14" i="28"/>
  <c r="F16" i="20"/>
  <c r="H15" i="28"/>
  <c r="E30" i="20"/>
  <c r="F31" i="20"/>
  <c r="F35" i="13"/>
  <c r="D10" i="24"/>
  <c r="E12" i="23"/>
  <c r="I17" i="13"/>
  <c r="C34" i="13"/>
  <c r="G36" i="13"/>
  <c r="I6" i="28"/>
  <c r="I4" i="13"/>
  <c r="I14" i="13"/>
  <c r="E39" i="13"/>
  <c r="H4" i="23"/>
  <c r="I45" i="13"/>
  <c r="D26" i="20"/>
  <c r="C3" i="24"/>
  <c r="C20" i="25"/>
  <c r="F6" i="13"/>
  <c r="I14" i="28"/>
  <c r="K4" i="28"/>
  <c r="H2" i="23"/>
  <c r="C5" i="22"/>
  <c r="E10" i="13"/>
  <c r="E11" i="23"/>
  <c r="E4" i="28"/>
  <c r="D17" i="25"/>
  <c r="D35" i="13"/>
  <c r="D5" i="28"/>
  <c r="H3" i="28"/>
  <c r="F54" i="13"/>
  <c r="C29" i="20"/>
  <c r="G7" i="23"/>
  <c r="F10" i="23"/>
  <c r="I10" i="23"/>
  <c r="C15" i="25"/>
  <c r="O8" i="28"/>
  <c r="F24" i="13"/>
  <c r="D46" i="13"/>
  <c r="D6" i="25"/>
  <c r="L14" i="28"/>
  <c r="G13" i="28"/>
  <c r="D10" i="21"/>
  <c r="C16" i="25"/>
  <c r="C3" i="23"/>
  <c r="D4" i="28"/>
  <c r="H11" i="13"/>
  <c r="E3" i="13"/>
  <c r="H16" i="13"/>
  <c r="D8" i="28"/>
  <c r="G6" i="13"/>
  <c r="I32" i="13"/>
  <c r="D14" i="28"/>
  <c r="E34" i="13"/>
  <c r="D6" i="19"/>
  <c r="E14" i="13"/>
  <c r="D18" i="23"/>
  <c r="E20" i="13"/>
  <c r="O11" i="28"/>
  <c r="C46" i="13"/>
  <c r="D12" i="22"/>
  <c r="E6" i="23"/>
  <c r="F50" i="13"/>
  <c r="E33" i="13"/>
  <c r="I11" i="23"/>
  <c r="C10" i="13"/>
  <c r="F11" i="13"/>
  <c r="H39" i="13"/>
  <c r="G7" i="21"/>
  <c r="I4" i="28"/>
  <c r="F13" i="28"/>
  <c r="D2" i="24"/>
  <c r="F4" i="13"/>
  <c r="G39" i="13"/>
  <c r="D3" i="24"/>
  <c r="G28" i="13"/>
  <c r="D14" i="20"/>
  <c r="C15" i="13"/>
  <c r="D25" i="20"/>
  <c r="F19" i="23"/>
  <c r="D2" i="28"/>
  <c r="C4" i="28"/>
  <c r="L4" i="28"/>
  <c r="D7" i="20"/>
  <c r="H18" i="23"/>
  <c r="C5" i="24"/>
  <c r="G18" i="13"/>
  <c r="H15" i="13"/>
  <c r="D38" i="13"/>
  <c r="G12" i="23"/>
  <c r="F52" i="13"/>
  <c r="D49" i="13"/>
  <c r="D34" i="13"/>
  <c r="E5" i="23"/>
  <c r="F27" i="13"/>
  <c r="D26" i="13"/>
  <c r="F6" i="23"/>
  <c r="I5" i="23"/>
  <c r="C7" i="28"/>
  <c r="D25" i="13"/>
  <c r="F25" i="13"/>
  <c r="D16" i="25"/>
  <c r="D29" i="20"/>
  <c r="D35" i="20"/>
  <c r="C40" i="20"/>
  <c r="G5" i="23"/>
  <c r="C8" i="21"/>
  <c r="C30" i="13"/>
  <c r="C11" i="28"/>
  <c r="G11" i="28"/>
  <c r="C4" i="23"/>
  <c r="C7" i="27"/>
  <c r="O5" i="28"/>
  <c r="N8" i="28"/>
  <c r="K2" i="28"/>
  <c r="F51" i="13"/>
  <c r="H5" i="23"/>
  <c r="E16" i="23"/>
  <c r="C4" i="22"/>
  <c r="C18" i="27"/>
  <c r="C2" i="25"/>
  <c r="E7" i="20"/>
  <c r="E20" i="20"/>
  <c r="G32" i="13"/>
  <c r="C41" i="20"/>
  <c r="C8" i="25"/>
  <c r="G20" i="13"/>
  <c r="I6" i="13"/>
  <c r="C5" i="28"/>
  <c r="G51" i="13"/>
  <c r="G9" i="19"/>
  <c r="F5" i="20"/>
  <c r="H3" i="19"/>
  <c r="C27" i="13"/>
  <c r="F6" i="20"/>
  <c r="G25" i="13"/>
  <c r="F29" i="13"/>
  <c r="C24" i="20"/>
  <c r="D12" i="20"/>
  <c r="C12" i="27"/>
  <c r="C29" i="13"/>
  <c r="F8" i="21"/>
  <c r="E15" i="13"/>
  <c r="F3" i="21"/>
  <c r="E50" i="13"/>
  <c r="C39" i="20"/>
  <c r="E2" i="20"/>
  <c r="H14" i="23"/>
  <c r="H37" i="13"/>
  <c r="H28" i="13"/>
  <c r="G5" i="28"/>
  <c r="E12" i="20"/>
  <c r="D11" i="25"/>
  <c r="C24" i="13"/>
  <c r="I44" i="13"/>
  <c r="D3" i="25"/>
  <c r="G10" i="23"/>
  <c r="I42" i="13"/>
  <c r="D17" i="20"/>
  <c r="G11" i="13"/>
  <c r="C31" i="20"/>
  <c r="D10" i="25"/>
  <c r="C13" i="13"/>
  <c r="D28" i="20"/>
  <c r="F4" i="23"/>
  <c r="E3" i="21"/>
  <c r="D13" i="23"/>
  <c r="D9" i="13"/>
  <c r="E2" i="23"/>
  <c r="C32" i="20"/>
  <c r="I19" i="23"/>
  <c r="E8" i="21"/>
  <c r="L5" i="28"/>
  <c r="I15" i="13"/>
  <c r="F14" i="28"/>
  <c r="E36" i="20"/>
  <c r="F15" i="13"/>
  <c r="C18" i="23"/>
  <c r="G6" i="21"/>
  <c r="F2" i="19"/>
  <c r="K9" i="28"/>
  <c r="D5" i="13"/>
  <c r="F53" i="13"/>
  <c r="I21" i="13"/>
  <c r="K8" i="28"/>
  <c r="F14" i="20"/>
  <c r="D9" i="28"/>
  <c r="G49" i="13"/>
  <c r="D6" i="28"/>
  <c r="E28" i="13"/>
  <c r="I34" i="13"/>
  <c r="G19" i="23"/>
  <c r="C14" i="28"/>
  <c r="E11" i="20"/>
  <c r="E21" i="20"/>
  <c r="G47" i="13"/>
  <c r="L16" i="28"/>
  <c r="H2" i="19"/>
  <c r="I2" i="19"/>
  <c r="F5" i="23"/>
  <c r="F10" i="20"/>
  <c r="D4" i="21"/>
  <c r="C13" i="28"/>
  <c r="D27" i="20"/>
  <c r="E26" i="20"/>
  <c r="D29" i="13"/>
  <c r="O7" i="28"/>
  <c r="F33" i="13"/>
  <c r="H17" i="28"/>
  <c r="C21" i="13"/>
  <c r="G54" i="13"/>
  <c r="D39" i="20"/>
  <c r="I3" i="19"/>
  <c r="F42" i="20"/>
  <c r="G52" i="13"/>
  <c r="F2" i="21"/>
  <c r="E23" i="20"/>
  <c r="G38" i="13"/>
  <c r="C4" i="24"/>
  <c r="D21" i="13"/>
  <c r="C7" i="22"/>
  <c r="C48" i="13"/>
  <c r="G31" i="13"/>
  <c r="F7" i="28"/>
  <c r="F33" i="20"/>
  <c r="H33" i="13"/>
  <c r="I24" i="13"/>
  <c r="C15" i="20"/>
  <c r="K7" i="28"/>
  <c r="I13" i="28"/>
  <c r="D33" i="20"/>
  <c r="G4" i="21"/>
  <c r="H24" i="13"/>
  <c r="N7" i="28"/>
  <c r="C10" i="25"/>
  <c r="D4" i="25"/>
  <c r="D3" i="20"/>
  <c r="G2" i="28"/>
  <c r="I9" i="13"/>
  <c r="F26" i="20"/>
  <c r="G8" i="23"/>
  <c r="I33" i="13"/>
  <c r="H19" i="13"/>
  <c r="C2" i="23"/>
  <c r="C53" i="13"/>
  <c r="E31" i="20"/>
  <c r="E5" i="21"/>
  <c r="E38" i="13"/>
  <c r="E9" i="21"/>
  <c r="E8" i="28"/>
  <c r="H12" i="23"/>
  <c r="H18" i="13"/>
  <c r="C14" i="25"/>
  <c r="H3" i="13"/>
  <c r="I37" i="13"/>
  <c r="D43" i="13"/>
  <c r="F43" i="20"/>
  <c r="I43" i="13"/>
  <c r="G3" i="13"/>
  <c r="C16" i="20"/>
  <c r="D6" i="24"/>
  <c r="I14" i="23"/>
  <c r="E18" i="23"/>
  <c r="E8" i="23"/>
  <c r="G16" i="28"/>
  <c r="F3" i="20"/>
  <c r="D13" i="25"/>
  <c r="F8" i="20"/>
  <c r="H9" i="21"/>
  <c r="C13" i="20"/>
  <c r="F15" i="20"/>
  <c r="D15" i="23"/>
  <c r="E27" i="20"/>
  <c r="C3" i="21"/>
  <c r="F35" i="20"/>
  <c r="E49" i="13"/>
  <c r="D18" i="20"/>
  <c r="D15" i="28"/>
  <c r="F13" i="23"/>
  <c r="L8" i="28"/>
  <c r="D20" i="13"/>
  <c r="C9" i="28"/>
  <c r="E36" i="13"/>
  <c r="I3" i="28"/>
  <c r="C9" i="25"/>
  <c r="F37" i="13"/>
  <c r="G44" i="13"/>
  <c r="C2" i="28"/>
  <c r="C2" i="27"/>
  <c r="E16" i="28"/>
  <c r="F45" i="13"/>
  <c r="K10" i="28"/>
  <c r="F21" i="13"/>
  <c r="E9" i="19"/>
  <c r="F17" i="20"/>
  <c r="F15" i="28"/>
  <c r="K11" i="28"/>
  <c r="N5" i="28"/>
  <c r="C28" i="13"/>
  <c r="E42" i="20"/>
  <c r="I31" i="13"/>
  <c r="N10" i="28"/>
  <c r="E29" i="13"/>
  <c r="E41" i="13"/>
  <c r="H48" i="13"/>
  <c r="H45" i="13"/>
  <c r="E52" i="13"/>
  <c r="E15" i="20"/>
  <c r="D3" i="23"/>
  <c r="H8" i="13"/>
  <c r="H34" i="13"/>
  <c r="D7" i="22"/>
  <c r="H17" i="23"/>
  <c r="E27" i="13"/>
  <c r="I36" i="13"/>
  <c r="H4" i="28"/>
  <c r="F5" i="21"/>
  <c r="E17" i="28"/>
  <c r="C9" i="20"/>
  <c r="I12" i="28"/>
  <c r="D8" i="25"/>
  <c r="F48" i="13"/>
  <c r="C11" i="27"/>
  <c r="E31" i="13"/>
  <c r="C19" i="27"/>
  <c r="I12" i="23"/>
  <c r="E5" i="28"/>
  <c r="D14" i="25"/>
  <c r="L15" i="28"/>
  <c r="C8" i="22"/>
  <c r="D12" i="13"/>
  <c r="H5" i="13"/>
  <c r="H30" i="13"/>
  <c r="H52" i="13"/>
  <c r="C9" i="23"/>
  <c r="I39" i="13"/>
  <c r="F18" i="13"/>
  <c r="F7" i="21"/>
  <c r="C4" i="21"/>
  <c r="C19" i="23"/>
  <c r="I13" i="23"/>
  <c r="G8" i="13"/>
  <c r="D20" i="20"/>
  <c r="C32" i="13"/>
  <c r="I47" i="13"/>
  <c r="F16" i="13"/>
  <c r="D20" i="25"/>
  <c r="D6" i="20"/>
  <c r="H13" i="23"/>
  <c r="F32" i="20"/>
  <c r="E4" i="13"/>
  <c r="D9" i="19"/>
  <c r="H29" i="13"/>
  <c r="F17" i="28"/>
  <c r="D2" i="19"/>
  <c r="O12" i="28"/>
  <c r="F40" i="20"/>
  <c r="G5" i="21"/>
  <c r="C21" i="25"/>
  <c r="O17" i="28"/>
  <c r="H7" i="23"/>
  <c r="C2" i="22"/>
  <c r="L7" i="28"/>
  <c r="E11" i="13"/>
  <c r="D5" i="22"/>
  <c r="H5" i="21"/>
  <c r="E10" i="23"/>
  <c r="D47" i="13"/>
  <c r="D3" i="13"/>
  <c r="F6" i="21"/>
  <c r="F20" i="20"/>
  <c r="D2" i="22"/>
  <c r="C20" i="13"/>
  <c r="F11" i="28"/>
  <c r="D37" i="13"/>
  <c r="F11" i="23"/>
  <c r="D16" i="13"/>
  <c r="F34" i="13"/>
  <c r="I10" i="13"/>
  <c r="H7" i="19"/>
  <c r="E8" i="20"/>
  <c r="C12" i="25"/>
  <c r="C6" i="27"/>
  <c r="C2" i="24"/>
  <c r="G7" i="28"/>
  <c r="F30" i="20"/>
  <c r="C10" i="20"/>
  <c r="D3" i="19"/>
  <c r="D36" i="20"/>
  <c r="H11" i="28"/>
  <c r="D5" i="24"/>
  <c r="H2" i="21"/>
  <c r="C7" i="23"/>
  <c r="N16" i="28"/>
  <c r="F9" i="19"/>
  <c r="O15" i="28"/>
  <c r="C18" i="20"/>
  <c r="O14" i="28"/>
  <c r="E4" i="23"/>
  <c r="F9" i="13"/>
  <c r="F22" i="13"/>
  <c r="D8" i="13"/>
  <c r="E41" i="20"/>
  <c r="G17" i="13"/>
  <c r="C8" i="28"/>
  <c r="H53" i="13"/>
  <c r="F31" i="13"/>
  <c r="C6" i="20"/>
  <c r="D2" i="20"/>
  <c r="N6" i="28"/>
  <c r="F37" i="20"/>
  <c r="I28" i="13"/>
  <c r="C5" i="27"/>
  <c r="C27" i="20"/>
  <c r="H38" i="13"/>
  <c r="F12" i="23"/>
  <c r="F39" i="13"/>
  <c r="H47" i="13"/>
  <c r="D43" i="20"/>
  <c r="I25" i="13"/>
  <c r="C7" i="20"/>
  <c r="F15" i="23"/>
  <c r="G42" i="13"/>
  <c r="E2" i="19"/>
  <c r="F22" i="20"/>
  <c r="I16" i="23"/>
  <c r="D7" i="24"/>
  <c r="F3" i="28"/>
  <c r="C23" i="25"/>
  <c r="C52" i="13"/>
  <c r="I49" i="13"/>
  <c r="F26" i="13"/>
  <c r="D22" i="20"/>
  <c r="H5" i="28"/>
  <c r="C36" i="13"/>
  <c r="E26" i="13"/>
  <c r="C23" i="20"/>
  <c r="C16" i="27"/>
  <c r="D37" i="20"/>
  <c r="H4" i="21"/>
  <c r="D34" i="20"/>
  <c r="G16" i="13"/>
  <c r="E12" i="28"/>
  <c r="C2" i="19"/>
  <c r="I7" i="13"/>
  <c r="D2" i="21"/>
  <c r="I8" i="23"/>
  <c r="H13" i="13"/>
  <c r="E19" i="20"/>
  <c r="D22" i="25"/>
  <c r="E2" i="21"/>
  <c r="F12" i="28"/>
  <c r="C3" i="19"/>
  <c r="H7" i="28"/>
  <c r="C6" i="22"/>
  <c r="C3" i="28"/>
  <c r="D9" i="21"/>
  <c r="C19" i="13"/>
  <c r="G3" i="21"/>
  <c r="D10" i="23"/>
  <c r="E9" i="28"/>
  <c r="E3" i="23"/>
  <c r="D53" i="13"/>
  <c r="F6" i="19"/>
  <c r="D21" i="20"/>
  <c r="N4" i="28"/>
  <c r="C3" i="13"/>
  <c r="D17" i="13"/>
  <c r="C20" i="27"/>
  <c r="G37" i="13"/>
  <c r="D10" i="28"/>
  <c r="F5" i="28"/>
  <c r="C15" i="27"/>
  <c r="E17" i="13"/>
  <c r="C23" i="13"/>
  <c r="D13" i="28"/>
  <c r="D40" i="20"/>
  <c r="H10" i="13"/>
  <c r="H2" i="28"/>
  <c r="E35" i="20"/>
  <c r="H6" i="19"/>
  <c r="I18" i="13"/>
  <c r="C8" i="20"/>
  <c r="D14" i="13"/>
  <c r="C13" i="22"/>
  <c r="F12" i="13"/>
  <c r="E6" i="20"/>
  <c r="G6" i="19"/>
  <c r="C37" i="13"/>
  <c r="E14" i="20"/>
  <c r="F16" i="23"/>
  <c r="D3" i="22"/>
  <c r="I15" i="28"/>
  <c r="G15" i="23"/>
  <c r="I6" i="23"/>
  <c r="F18" i="23"/>
  <c r="E48" i="13"/>
  <c r="F28" i="20"/>
  <c r="E7" i="21"/>
  <c r="H6" i="23"/>
  <c r="E53" i="13"/>
  <c r="C40" i="13"/>
  <c r="C6" i="28"/>
  <c r="C43" i="13"/>
  <c r="E38" i="20"/>
  <c r="L10" i="28"/>
  <c r="D9" i="23"/>
  <c r="H10" i="23"/>
  <c r="C50" i="13"/>
  <c r="C17" i="13"/>
  <c r="D13" i="22"/>
  <c r="G13" i="13"/>
  <c r="E7" i="23"/>
  <c r="C10" i="27"/>
  <c r="E9" i="23"/>
  <c r="I26" i="13"/>
  <c r="E12" i="13"/>
  <c r="F7" i="23"/>
  <c r="C14" i="20"/>
  <c r="E46" i="13"/>
  <c r="D15" i="13"/>
  <c r="I2" i="28"/>
  <c r="E6" i="21"/>
  <c r="C10" i="23"/>
  <c r="E19" i="13"/>
  <c r="E19" i="23"/>
  <c r="G7" i="13"/>
  <c r="K6" i="28"/>
  <c r="C8" i="23"/>
  <c r="G10" i="21"/>
  <c r="F9" i="28"/>
  <c r="C19" i="20"/>
  <c r="C14" i="27"/>
  <c r="H8" i="28"/>
  <c r="C6" i="21"/>
  <c r="C36" i="20"/>
  <c r="N2" i="28"/>
  <c r="G48" i="13"/>
  <c r="E9" i="20"/>
  <c r="C41" i="13"/>
  <c r="D8" i="21"/>
  <c r="F8" i="23"/>
  <c r="C3" i="25"/>
  <c r="N13" i="28"/>
  <c r="D22" i="13"/>
  <c r="D6" i="13"/>
  <c r="F2" i="28"/>
  <c r="N14" i="28"/>
  <c r="H40" i="13"/>
  <c r="G2" i="23"/>
  <c r="D33" i="13"/>
  <c r="E6" i="28"/>
  <c r="C6" i="19"/>
  <c r="K14" i="28"/>
  <c r="D4" i="13"/>
  <c r="D30" i="13"/>
  <c r="E3" i="19"/>
  <c r="D6" i="22"/>
  <c r="C31" i="13"/>
  <c r="I9" i="23"/>
  <c r="K15" i="28"/>
  <c r="F11" i="20"/>
  <c r="G34" i="13"/>
  <c r="H22" i="13"/>
  <c r="C15" i="28"/>
  <c r="C42" i="20"/>
  <c r="C9" i="24"/>
  <c r="C45" i="13"/>
  <c r="C9" i="27"/>
  <c r="G9" i="28"/>
  <c r="D45" i="13"/>
  <c r="F9" i="21"/>
  <c r="E11" i="28"/>
  <c r="G46" i="13"/>
  <c r="D32" i="20"/>
  <c r="C28" i="20"/>
  <c r="F4" i="28"/>
  <c r="D13" i="20"/>
  <c r="E18" i="13"/>
  <c r="I11" i="28"/>
  <c r="E47" i="13"/>
  <c r="C3" i="22"/>
  <c r="F38" i="13"/>
  <c r="I19" i="13"/>
  <c r="F8" i="28"/>
  <c r="I6" i="19"/>
  <c r="O2" i="28"/>
  <c r="I54" i="13"/>
  <c r="G15" i="13"/>
  <c r="C16" i="13"/>
  <c r="I8" i="13"/>
  <c r="G15" i="28"/>
  <c r="I17" i="28"/>
  <c r="G4" i="13"/>
  <c r="E16" i="13"/>
  <c r="L9" i="28"/>
  <c r="D38" i="20"/>
  <c r="F7" i="19"/>
  <c r="D52" i="13"/>
  <c r="G3" i="19"/>
  <c r="E22" i="20"/>
  <c r="H2" i="13"/>
  <c r="C6" i="23"/>
  <c r="F25" i="20"/>
  <c r="H21" i="13"/>
  <c r="C12" i="22"/>
  <c r="C5" i="23"/>
  <c r="C2" i="13"/>
  <c r="F3" i="23"/>
  <c r="D19" i="13"/>
  <c r="E16" i="20"/>
  <c r="D36" i="13"/>
  <c r="G12" i="28"/>
  <c r="C5" i="21"/>
  <c r="G16" i="23"/>
  <c r="G12" i="13"/>
  <c r="D7" i="19"/>
  <c r="C2" i="20"/>
  <c r="E28" i="20"/>
  <c r="F13" i="13"/>
  <c r="E13" i="20"/>
  <c r="C24" i="27"/>
  <c r="I2" i="23"/>
  <c r="K12" i="28"/>
  <c r="D9" i="22"/>
  <c r="C9" i="21"/>
  <c r="D7" i="25"/>
  <c r="H32" i="13"/>
  <c r="I23" i="13"/>
  <c r="G2" i="19"/>
  <c r="F36" i="13"/>
  <c r="E8" i="13"/>
  <c r="C34" i="20"/>
  <c r="H9" i="19"/>
  <c r="D24" i="13"/>
  <c r="I9" i="19"/>
  <c r="C42" i="13"/>
  <c r="F38" i="20"/>
  <c r="L11" i="28"/>
  <c r="H10" i="21"/>
  <c r="F19" i="20"/>
  <c r="C25" i="20"/>
  <c r="H23" i="13"/>
  <c r="L3" i="28"/>
  <c r="C11" i="23"/>
  <c r="C22" i="27"/>
  <c r="C3" i="20"/>
  <c r="D4" i="20"/>
  <c r="E30" i="13"/>
  <c r="F40" i="13"/>
  <c r="C22" i="25"/>
  <c r="C13" i="23"/>
  <c r="G43" i="13"/>
  <c r="G6" i="23"/>
  <c r="H43" i="13"/>
  <c r="H15" i="23"/>
  <c r="C30" i="20"/>
  <c r="D27" i="13"/>
  <c r="C39" i="13"/>
  <c r="I3" i="13"/>
  <c r="C11" i="13"/>
  <c r="D14" i="23"/>
  <c r="F36" i="20"/>
  <c r="F9" i="20"/>
  <c r="C17" i="25"/>
  <c r="G18" i="23"/>
  <c r="G7" i="19"/>
  <c r="C43" i="20"/>
  <c r="C17" i="23"/>
  <c r="I3" i="23"/>
  <c r="F3" i="19"/>
  <c r="D11" i="20"/>
  <c r="F16" i="28"/>
  <c r="C4" i="27"/>
  <c r="F49" i="13"/>
  <c r="H54" i="13"/>
  <c r="C7" i="21"/>
  <c r="F2" i="20"/>
  <c r="F17" i="23"/>
  <c r="D11" i="23"/>
  <c r="C8" i="24"/>
  <c r="O13" i="28"/>
  <c r="E33" i="20"/>
  <c r="H9" i="23"/>
  <c r="L17" i="28"/>
  <c r="I27" i="13"/>
  <c r="G10" i="13"/>
  <c r="C26" i="13"/>
  <c r="F10" i="28"/>
  <c r="G17" i="23"/>
  <c r="H31" i="13"/>
  <c r="F5" i="13"/>
  <c r="F8" i="13"/>
  <c r="G30" i="13"/>
  <c r="I52" i="13"/>
  <c r="D12" i="28"/>
  <c r="N3" i="28"/>
  <c r="D16" i="20"/>
  <c r="D19" i="25"/>
  <c r="H11" i="23"/>
  <c r="H8" i="21"/>
  <c r="C21" i="27"/>
  <c r="I7" i="19"/>
  <c r="C26" i="20"/>
  <c r="G10" i="28"/>
  <c r="I29" i="13"/>
  <c r="C6" i="13"/>
  <c r="E42" i="13"/>
  <c r="F9" i="23"/>
  <c r="D4" i="23"/>
  <c r="D48" i="13"/>
  <c r="H46" i="13"/>
  <c r="C22" i="20"/>
  <c r="I40" i="13"/>
  <c r="C51" i="13"/>
  <c r="C44" i="13"/>
  <c r="F41" i="20"/>
  <c r="C4" i="13"/>
  <c r="O3" i="28"/>
  <c r="I12" i="13"/>
  <c r="C10" i="21"/>
  <c r="F19" i="13"/>
  <c r="I16" i="28"/>
  <c r="G22" i="13"/>
  <c r="H14" i="13"/>
  <c r="G9" i="23"/>
  <c r="I4" i="23"/>
  <c r="G14" i="23"/>
  <c r="E13" i="28"/>
  <c r="E37" i="20"/>
  <c r="H20" i="13"/>
  <c r="K3" i="28"/>
  <c r="G14" i="28"/>
  <c r="C49" i="13"/>
  <c r="C47" i="13"/>
  <c r="E6" i="19"/>
  <c r="I35" i="13"/>
  <c r="D30" i="20"/>
  <c r="F23" i="13"/>
  <c r="C8" i="27"/>
  <c r="E17" i="20"/>
  <c r="C18" i="25"/>
  <c r="F34" i="20"/>
  <c r="F18" i="20"/>
  <c r="I38" i="13"/>
  <c r="C9" i="13"/>
  <c r="H27" i="13"/>
  <c r="F2" i="13"/>
  <c r="C12" i="20"/>
  <c r="D3" i="21"/>
  <c r="G26" i="13"/>
  <c r="C17" i="20"/>
  <c r="C33" i="13"/>
  <c r="C14" i="23"/>
  <c r="E10" i="20"/>
  <c r="D4" i="24"/>
  <c r="G3" i="23"/>
  <c r="D40" i="13"/>
  <c r="O10" i="28"/>
  <c r="H13" i="28"/>
  <c r="I50" i="13"/>
  <c r="I18" i="23"/>
  <c r="G53" i="13"/>
  <c r="F24" i="20"/>
  <c r="G41" i="13"/>
  <c r="D2" i="13"/>
  <c r="C7" i="19"/>
  <c r="I11" i="13"/>
  <c r="I48" i="13"/>
  <c r="E15" i="23"/>
  <c r="F14" i="23"/>
  <c r="C12" i="23"/>
  <c r="D5" i="21"/>
  <c r="C3" i="27"/>
  <c r="E29" i="20"/>
  <c r="D41" i="20"/>
  <c r="N15" i="28"/>
  <c r="E17" i="23"/>
  <c r="C9" i="19"/>
  <c r="D10" i="13"/>
  <c r="D7" i="23"/>
  <c r="D18" i="13"/>
  <c r="F14" i="13"/>
  <c r="H36" i="13"/>
  <c r="F4" i="20"/>
  <c r="C21" i="20"/>
  <c r="G50" i="13"/>
  <c r="E9" i="13"/>
  <c r="C16" i="28"/>
  <c r="D8" i="20"/>
  <c r="E24" i="13"/>
  <c r="D54" i="13"/>
  <c r="C5" i="13"/>
  <c r="I8" i="28"/>
  <c r="E32" i="13"/>
  <c r="H9" i="28"/>
  <c r="F27" i="20"/>
  <c r="E25" i="13"/>
  <c r="E43" i="13"/>
  <c r="C35" i="20"/>
  <c r="H12" i="28"/>
  <c r="E7" i="13"/>
  <c r="D44" i="13"/>
  <c r="H35" i="13"/>
  <c r="C7" i="25"/>
  <c r="D21" i="25"/>
  <c r="D12" i="23"/>
  <c r="C38" i="13"/>
  <c r="D50" i="13"/>
  <c r="E23" i="13"/>
  <c r="D19" i="23"/>
  <c r="G6" i="28"/>
  <c r="E14" i="23"/>
  <c r="I30" i="13"/>
  <c r="G17" i="28"/>
  <c r="D16" i="28"/>
  <c r="H50" i="13"/>
  <c r="C16" i="23"/>
  <c r="E34" i="20"/>
  <c r="F20" i="13"/>
  <c r="N17" i="28"/>
  <c r="E18" i="20"/>
  <c r="E22" i="13"/>
  <c r="H9" i="13"/>
  <c r="C13" i="25"/>
  <c r="C2" i="21"/>
  <c r="D15" i="25"/>
  <c r="K17" i="28"/>
  <c r="I10" i="28"/>
  <c r="C11" i="20"/>
  <c r="C7" i="13"/>
  <c r="D17" i="28"/>
  <c r="H8" i="23"/>
  <c r="C25" i="13"/>
  <c r="H16" i="23"/>
  <c r="C17" i="27"/>
  <c r="I22" i="13"/>
  <c r="D39" i="13"/>
  <c r="H41" i="13"/>
  <c r="N12" i="28"/>
  <c r="H3" i="23"/>
  <c r="I7" i="28"/>
  <c r="D42" i="13"/>
  <c r="C10" i="28"/>
  <c r="E10" i="21"/>
  <c r="D32" i="13"/>
  <c r="D7" i="13"/>
  <c r="F44" i="13"/>
  <c r="F10" i="13"/>
  <c r="L2" i="28"/>
  <c r="G4" i="23"/>
  <c r="I9" i="28"/>
  <c r="C6" i="25"/>
  <c r="F6" i="28"/>
  <c r="I16" i="13"/>
  <c r="G29" i="13"/>
  <c r="E51" i="13"/>
  <c r="I5" i="13"/>
  <c r="I5" i="28"/>
  <c r="F10" i="21"/>
  <c r="H6" i="13"/>
  <c r="D18" i="25"/>
  <c r="E24" i="20"/>
  <c r="H12" i="13"/>
  <c r="I41" i="13"/>
  <c r="H25" i="13"/>
  <c r="D7" i="28"/>
  <c r="C10" i="24"/>
  <c r="D23" i="20"/>
  <c r="C5" i="20"/>
  <c r="C13" i="27"/>
  <c r="G27" i="13"/>
  <c r="H19" i="23"/>
  <c r="E40" i="13"/>
  <c r="D6" i="23"/>
  <c r="L6" i="28"/>
  <c r="D4" i="22"/>
  <c r="H7" i="21"/>
  <c r="D23" i="13"/>
  <c r="I46" i="13"/>
  <c r="C4" i="20"/>
  <c r="D6" i="21"/>
  <c r="E5" i="13"/>
  <c r="N9" i="28"/>
  <c r="F43" i="13"/>
  <c r="D28" i="13"/>
  <c r="D31" i="20"/>
  <c r="G5" i="13"/>
  <c r="G23" i="13"/>
  <c r="C19" i="25"/>
  <c r="C11" i="25"/>
  <c r="G19" i="13"/>
  <c r="D24" i="20"/>
  <c r="D5" i="20"/>
  <c r="D9" i="24"/>
  <c r="D15" i="20"/>
  <c r="H26" i="13"/>
  <c r="D12" i="25"/>
  <c r="C8" i="13"/>
  <c r="C12" i="13"/>
  <c r="E4" i="20"/>
  <c r="F7" i="20"/>
  <c r="E54" i="13"/>
  <c r="F46" i="13"/>
  <c r="G4" i="28"/>
  <c r="I15" i="23"/>
  <c r="E2" i="13"/>
  <c r="I51" i="13"/>
  <c r="F13" i="20"/>
  <c r="D9" i="25"/>
  <c r="E39" i="20"/>
  <c r="H44" i="13"/>
  <c r="E5" i="20"/>
  <c r="H4" i="13"/>
  <c r="D11" i="22"/>
  <c r="D11" i="13"/>
  <c r="C20" i="20"/>
  <c r="D8" i="24"/>
  <c r="C4" i="25"/>
  <c r="G14" i="13"/>
  <c r="H6" i="28"/>
  <c r="G9" i="21"/>
  <c r="D5" i="23"/>
  <c r="C15" i="23"/>
  <c r="H16" i="28"/>
  <c r="E59" i="13" l="1"/>
  <c r="E57" i="13"/>
  <c r="E5" i="30" s="1"/>
  <c r="E58" i="13"/>
  <c r="E6" i="30" s="1"/>
  <c r="L21" i="28"/>
  <c r="L141" i="30" s="1"/>
  <c r="L20" i="28"/>
  <c r="L140" i="30" s="1"/>
  <c r="L22" i="28"/>
  <c r="C14" i="21"/>
  <c r="C51" i="30" s="1"/>
  <c r="C13" i="21"/>
  <c r="C50" i="30" s="1"/>
  <c r="C15" i="21"/>
  <c r="D59" i="13"/>
  <c r="D57" i="13"/>
  <c r="D5" i="30" s="1"/>
  <c r="D58" i="13"/>
  <c r="D6" i="30" s="1"/>
  <c r="F58" i="13"/>
  <c r="F6" i="30" s="1"/>
  <c r="F59" i="13"/>
  <c r="F57" i="13"/>
  <c r="F5" i="30" s="1"/>
  <c r="F47" i="20"/>
  <c r="F36" i="30" s="1"/>
  <c r="F46" i="20"/>
  <c r="F35" i="30" s="1"/>
  <c r="F48" i="20"/>
  <c r="G13" i="19"/>
  <c r="G21" i="30" s="1"/>
  <c r="G14" i="19"/>
  <c r="G12" i="19"/>
  <c r="G20" i="30" s="1"/>
  <c r="I23" i="23"/>
  <c r="I81" i="30" s="1"/>
  <c r="I22" i="23"/>
  <c r="I80" i="30" s="1"/>
  <c r="I24" i="23"/>
  <c r="C46" i="20"/>
  <c r="C35" i="30" s="1"/>
  <c r="C47" i="20"/>
  <c r="C36" i="30" s="1"/>
  <c r="C58" i="13"/>
  <c r="C6" i="30" s="1"/>
  <c r="C57" i="13"/>
  <c r="C5" i="30" s="1"/>
  <c r="C59" i="13"/>
  <c r="H57" i="13"/>
  <c r="H5" i="30" s="1"/>
  <c r="H58" i="13"/>
  <c r="H6" i="30" s="1"/>
  <c r="H59" i="13"/>
  <c r="O20" i="28"/>
  <c r="O140" i="30" s="1"/>
  <c r="O21" i="28"/>
  <c r="O141" i="30" s="1"/>
  <c r="O22" i="28"/>
  <c r="G24" i="23"/>
  <c r="G22" i="23"/>
  <c r="G80" i="30" s="1"/>
  <c r="G23" i="23"/>
  <c r="G81" i="30" s="1"/>
  <c r="F20" i="28"/>
  <c r="F140" i="30" s="1"/>
  <c r="F22" i="28"/>
  <c r="F21" i="28"/>
  <c r="F141" i="30" s="1"/>
  <c r="N20" i="28"/>
  <c r="N140" i="30" s="1"/>
  <c r="N21" i="28"/>
  <c r="N141" i="30" s="1"/>
  <c r="N22" i="28"/>
  <c r="I22" i="28"/>
  <c r="I20" i="28"/>
  <c r="I140" i="30" s="1"/>
  <c r="I21" i="28"/>
  <c r="I141" i="30" s="1"/>
  <c r="H22" i="28"/>
  <c r="H20" i="28"/>
  <c r="H140" i="30" s="1"/>
  <c r="H21" i="28"/>
  <c r="H141" i="30" s="1"/>
  <c r="E14" i="21"/>
  <c r="E51" i="30" s="1"/>
  <c r="E13" i="21"/>
  <c r="E50" i="30" s="1"/>
  <c r="D14" i="21"/>
  <c r="D51" i="30" s="1"/>
  <c r="D15" i="21"/>
  <c r="D13" i="21"/>
  <c r="D50" i="30" s="1"/>
  <c r="C13" i="19"/>
  <c r="C21" i="30" s="1"/>
  <c r="C12" i="19"/>
  <c r="C20" i="30" s="1"/>
  <c r="C14" i="19"/>
  <c r="E13" i="19"/>
  <c r="E21" i="30" s="1"/>
  <c r="E14" i="19"/>
  <c r="E12" i="19"/>
  <c r="E20" i="30" s="1"/>
  <c r="D47" i="20"/>
  <c r="D36" i="30" s="1"/>
  <c r="D48" i="20"/>
  <c r="D46" i="20"/>
  <c r="D35" i="30" s="1"/>
  <c r="H13" i="21"/>
  <c r="H50" i="30" s="1"/>
  <c r="H14" i="21"/>
  <c r="H51" i="30" s="1"/>
  <c r="H15" i="21"/>
  <c r="C13" i="24"/>
  <c r="C95" i="30" s="1"/>
  <c r="C15" i="24"/>
  <c r="C14" i="24"/>
  <c r="C96" i="30" s="1"/>
  <c r="D17" i="22"/>
  <c r="D66" i="30" s="1"/>
  <c r="D16" i="22"/>
  <c r="D65" i="30" s="1"/>
  <c r="C17" i="22"/>
  <c r="C66" i="30" s="1"/>
  <c r="C16" i="22"/>
  <c r="C65" i="30" s="1"/>
  <c r="C18" i="22"/>
  <c r="D13" i="19"/>
  <c r="D21" i="30" s="1"/>
  <c r="D14" i="19"/>
  <c r="D12" i="19"/>
  <c r="D20" i="30" s="1"/>
  <c r="C27" i="27"/>
  <c r="C125" i="30" s="1"/>
  <c r="C28" i="27"/>
  <c r="C126" i="30" s="1"/>
  <c r="C29" i="27"/>
  <c r="C20" i="28"/>
  <c r="C140" i="30" s="1"/>
  <c r="C21" i="28"/>
  <c r="C141" i="30" s="1"/>
  <c r="C23" i="23"/>
  <c r="C81" i="30" s="1"/>
  <c r="C24" i="23"/>
  <c r="C22" i="23"/>
  <c r="C80" i="30" s="1"/>
  <c r="G21" i="28"/>
  <c r="G141" i="30" s="1"/>
  <c r="G20" i="28"/>
  <c r="G140" i="30" s="1"/>
  <c r="G22" i="28"/>
  <c r="F14" i="21"/>
  <c r="F51" i="30" s="1"/>
  <c r="F15" i="21"/>
  <c r="F13" i="21"/>
  <c r="F50" i="30" s="1"/>
  <c r="I13" i="19"/>
  <c r="I21" i="30" s="1"/>
  <c r="I12" i="19"/>
  <c r="I20" i="30" s="1"/>
  <c r="I14" i="19"/>
  <c r="H12" i="19"/>
  <c r="H20" i="30" s="1"/>
  <c r="H13" i="19"/>
  <c r="H21" i="30" s="1"/>
  <c r="H14" i="19"/>
  <c r="F13" i="19"/>
  <c r="F21" i="30" s="1"/>
  <c r="F12" i="19"/>
  <c r="F20" i="30" s="1"/>
  <c r="F14" i="19"/>
  <c r="E24" i="23"/>
  <c r="E22" i="23"/>
  <c r="E80" i="30" s="1"/>
  <c r="E23" i="23"/>
  <c r="E81" i="30" s="1"/>
  <c r="E48" i="20"/>
  <c r="E46" i="20"/>
  <c r="E35" i="30" s="1"/>
  <c r="E47" i="20"/>
  <c r="E36" i="30" s="1"/>
  <c r="C28" i="25"/>
  <c r="C27" i="25"/>
  <c r="C111" i="30" s="1"/>
  <c r="C26" i="25"/>
  <c r="C110" i="30" s="1"/>
  <c r="K20" i="28"/>
  <c r="K140" i="30" s="1"/>
  <c r="K21" i="28"/>
  <c r="K141" i="30" s="1"/>
  <c r="K22" i="28"/>
  <c r="D21" i="28"/>
  <c r="D141" i="30" s="1"/>
  <c r="D22" i="28"/>
  <c r="D20" i="28"/>
  <c r="D140" i="30" s="1"/>
  <c r="D13" i="24"/>
  <c r="D95" i="30" s="1"/>
  <c r="D14" i="24"/>
  <c r="D96" i="30" s="1"/>
  <c r="H24" i="23"/>
  <c r="H23" i="23"/>
  <c r="H81" i="30" s="1"/>
  <c r="H22" i="23"/>
  <c r="H80" i="30" s="1"/>
  <c r="F24" i="23"/>
  <c r="F22" i="23"/>
  <c r="F80" i="30" s="1"/>
  <c r="F23" i="23"/>
  <c r="F81" i="30" s="1"/>
  <c r="D22" i="23"/>
  <c r="D80" i="30" s="1"/>
  <c r="D23" i="23"/>
  <c r="D81" i="30" s="1"/>
  <c r="D24" i="23"/>
  <c r="D26" i="25"/>
  <c r="D110" i="30" s="1"/>
  <c r="D27" i="25"/>
  <c r="D111" i="30" s="1"/>
  <c r="E22" i="28"/>
  <c r="E20" i="28"/>
  <c r="E140" i="30" s="1"/>
  <c r="E21" i="28"/>
  <c r="E141" i="30" s="1"/>
  <c r="I58" i="13"/>
  <c r="I6" i="30" s="1"/>
  <c r="I57" i="13"/>
  <c r="I5" i="30" s="1"/>
  <c r="I59" i="13"/>
  <c r="G14" i="21"/>
  <c r="G51" i="30" s="1"/>
  <c r="G15" i="21"/>
  <c r="G13" i="21"/>
  <c r="G50" i="30" s="1"/>
  <c r="G57" i="13"/>
  <c r="G5" i="30" s="1"/>
  <c r="G58" i="13"/>
  <c r="G6" i="30" s="1"/>
  <c r="G59" i="13"/>
  <c r="C15" i="19" l="1"/>
  <c r="C22" i="30"/>
  <c r="E82" i="30"/>
  <c r="E25" i="23"/>
  <c r="I23" i="28"/>
  <c r="I142" i="30"/>
  <c r="D7" i="30"/>
  <c r="D60" i="13"/>
  <c r="N23" i="28"/>
  <c r="N142" i="30"/>
  <c r="H60" i="13"/>
  <c r="H7" i="30"/>
  <c r="C16" i="21"/>
  <c r="C52" i="30"/>
  <c r="D22" i="30"/>
  <c r="D15" i="19"/>
  <c r="D52" i="30"/>
  <c r="D16" i="21"/>
  <c r="G22" i="30"/>
  <c r="G15" i="19"/>
  <c r="F82" i="30"/>
  <c r="F25" i="23"/>
  <c r="G142" i="30"/>
  <c r="G23" i="28"/>
  <c r="D25" i="23"/>
  <c r="D82" i="30"/>
  <c r="D23" i="28"/>
  <c r="D142" i="30"/>
  <c r="F15" i="19"/>
  <c r="F22" i="30"/>
  <c r="C127" i="30"/>
  <c r="C30" i="27"/>
  <c r="H16" i="21"/>
  <c r="H52" i="30"/>
  <c r="H22" i="30"/>
  <c r="H15" i="19"/>
  <c r="L142" i="30"/>
  <c r="L23" i="28"/>
  <c r="C25" i="23"/>
  <c r="C82" i="30"/>
  <c r="D49" i="20"/>
  <c r="D37" i="30"/>
  <c r="F142" i="30"/>
  <c r="F23" i="28"/>
  <c r="E142" i="30"/>
  <c r="E23" i="28"/>
  <c r="H82" i="30"/>
  <c r="H25" i="23"/>
  <c r="C112" i="30"/>
  <c r="C29" i="25"/>
  <c r="E15" i="21"/>
  <c r="I25" i="23"/>
  <c r="I82" i="30"/>
  <c r="C16" i="24"/>
  <c r="C97" i="30"/>
  <c r="F49" i="20"/>
  <c r="F37" i="30"/>
  <c r="G7" i="30"/>
  <c r="G60" i="13"/>
  <c r="D28" i="25"/>
  <c r="D15" i="24"/>
  <c r="I22" i="30"/>
  <c r="I15" i="19"/>
  <c r="C22" i="28"/>
  <c r="D18" i="22"/>
  <c r="C48" i="20"/>
  <c r="O142" i="30"/>
  <c r="O23" i="28"/>
  <c r="G52" i="30"/>
  <c r="G16" i="21"/>
  <c r="F52" i="30"/>
  <c r="F16" i="21"/>
  <c r="C67" i="30"/>
  <c r="C19" i="22"/>
  <c r="E22" i="30"/>
  <c r="E15" i="19"/>
  <c r="F7" i="30"/>
  <c r="F60" i="13"/>
  <c r="I60" i="13"/>
  <c r="I7" i="30"/>
  <c r="K142" i="30"/>
  <c r="K23" i="28"/>
  <c r="C60" i="13"/>
  <c r="C7" i="30"/>
  <c r="E37" i="30"/>
  <c r="E49" i="20"/>
  <c r="H23" i="28"/>
  <c r="H142" i="30"/>
  <c r="G25" i="23"/>
  <c r="G82" i="30"/>
  <c r="E60" i="13"/>
  <c r="E7" i="30"/>
  <c r="F19" i="21" l="1"/>
  <c r="F53" i="30"/>
  <c r="D29" i="25"/>
  <c r="D112" i="30"/>
  <c r="H28" i="23"/>
  <c r="H83" i="30"/>
  <c r="H23" i="30"/>
  <c r="H18" i="19"/>
  <c r="G143" i="30"/>
  <c r="G26" i="28"/>
  <c r="C8" i="30"/>
  <c r="C63" i="13"/>
  <c r="G63" i="13"/>
  <c r="G8" i="30"/>
  <c r="H63" i="13"/>
  <c r="H8" i="30"/>
  <c r="K143" i="30"/>
  <c r="K26" i="28"/>
  <c r="G53" i="30"/>
  <c r="G19" i="21"/>
  <c r="E26" i="28"/>
  <c r="E143" i="30"/>
  <c r="F83" i="30"/>
  <c r="F28" i="23"/>
  <c r="H19" i="21"/>
  <c r="H53" i="30"/>
  <c r="N143" i="30"/>
  <c r="N26" i="28"/>
  <c r="O143" i="30"/>
  <c r="O26" i="28"/>
  <c r="F38" i="30"/>
  <c r="F52" i="20"/>
  <c r="F143" i="30"/>
  <c r="F26" i="28"/>
  <c r="C33" i="27"/>
  <c r="C128" i="30"/>
  <c r="G18" i="19"/>
  <c r="G23" i="30"/>
  <c r="D8" i="30"/>
  <c r="D63" i="13"/>
  <c r="E8" i="30"/>
  <c r="E63" i="13"/>
  <c r="I63" i="13"/>
  <c r="I8" i="30"/>
  <c r="F63" i="13"/>
  <c r="F8" i="30"/>
  <c r="C49" i="20"/>
  <c r="C37" i="30"/>
  <c r="C98" i="30"/>
  <c r="C19" i="24"/>
  <c r="D19" i="21"/>
  <c r="D53" i="30"/>
  <c r="G28" i="23"/>
  <c r="G83" i="30"/>
  <c r="D52" i="20"/>
  <c r="D38" i="30"/>
  <c r="E18" i="19"/>
  <c r="E23" i="30"/>
  <c r="I83" i="30"/>
  <c r="I28" i="23"/>
  <c r="C142" i="30"/>
  <c r="C23" i="28"/>
  <c r="D23" i="30"/>
  <c r="D18" i="19"/>
  <c r="E28" i="23"/>
  <c r="E83" i="30"/>
  <c r="H143" i="30"/>
  <c r="H26" i="28"/>
  <c r="I23" i="30"/>
  <c r="I18" i="19"/>
  <c r="D26" i="28"/>
  <c r="D143" i="30"/>
  <c r="D19" i="22"/>
  <c r="D67" i="30"/>
  <c r="F18" i="19"/>
  <c r="F23" i="30"/>
  <c r="I26" i="28"/>
  <c r="I143" i="30"/>
  <c r="E16" i="21"/>
  <c r="E52" i="30"/>
  <c r="C83" i="30"/>
  <c r="C28" i="23"/>
  <c r="E52" i="20"/>
  <c r="E38" i="30"/>
  <c r="C68" i="30"/>
  <c r="C22" i="22"/>
  <c r="C32" i="25"/>
  <c r="C113" i="30"/>
  <c r="L26" i="28"/>
  <c r="L143" i="30"/>
  <c r="D97" i="30"/>
  <c r="D16" i="24"/>
  <c r="D28" i="23"/>
  <c r="D83" i="30"/>
  <c r="C53" i="30"/>
  <c r="C19" i="21"/>
  <c r="C18" i="19"/>
  <c r="C23" i="30"/>
  <c r="D22" i="22" l="1"/>
  <c r="D68" i="30"/>
  <c r="C20" i="21"/>
  <c r="C57" i="30" s="1"/>
  <c r="C56" i="30"/>
  <c r="D27" i="28"/>
  <c r="D147" i="30" s="1"/>
  <c r="D146" i="30"/>
  <c r="I26" i="30"/>
  <c r="I19" i="19"/>
  <c r="I27" i="30" s="1"/>
  <c r="F146" i="30"/>
  <c r="F27" i="28"/>
  <c r="F147" i="30" s="1"/>
  <c r="G27" i="28"/>
  <c r="G147" i="30" s="1"/>
  <c r="G146" i="30"/>
  <c r="G26" i="30"/>
  <c r="G19" i="19"/>
  <c r="G27" i="30" s="1"/>
  <c r="G64" i="13"/>
  <c r="G12" i="30" s="1"/>
  <c r="G11" i="30"/>
  <c r="F29" i="23"/>
  <c r="F87" i="30" s="1"/>
  <c r="F86" i="30"/>
  <c r="C86" i="30"/>
  <c r="C29" i="23"/>
  <c r="C87" i="30" s="1"/>
  <c r="D86" i="30"/>
  <c r="D29" i="23"/>
  <c r="D87" i="30" s="1"/>
  <c r="E26" i="30"/>
  <c r="E19" i="19"/>
  <c r="E27" i="30" s="1"/>
  <c r="F11" i="30"/>
  <c r="F64" i="13"/>
  <c r="F12" i="30" s="1"/>
  <c r="E146" i="30"/>
  <c r="E27" i="28"/>
  <c r="E147" i="30" s="1"/>
  <c r="D98" i="30"/>
  <c r="D19" i="24"/>
  <c r="H27" i="28"/>
  <c r="H147" i="30" s="1"/>
  <c r="H146" i="30"/>
  <c r="F41" i="30"/>
  <c r="F53" i="20"/>
  <c r="F42" i="30" s="1"/>
  <c r="G20" i="21"/>
  <c r="G57" i="30" s="1"/>
  <c r="G56" i="30"/>
  <c r="H19" i="19"/>
  <c r="H27" i="30" s="1"/>
  <c r="H26" i="30"/>
  <c r="E19" i="21"/>
  <c r="E53" i="30"/>
  <c r="D41" i="30"/>
  <c r="D53" i="20"/>
  <c r="D42" i="30" s="1"/>
  <c r="I11" i="30"/>
  <c r="I64" i="13"/>
  <c r="I12" i="30" s="1"/>
  <c r="F20" i="21"/>
  <c r="F57" i="30" s="1"/>
  <c r="F56" i="30"/>
  <c r="C38" i="30"/>
  <c r="C52" i="20"/>
  <c r="L27" i="28"/>
  <c r="L147" i="30" s="1"/>
  <c r="L146" i="30"/>
  <c r="H86" i="30"/>
  <c r="H29" i="23"/>
  <c r="H87" i="30" s="1"/>
  <c r="C11" i="30"/>
  <c r="C64" i="13"/>
  <c r="C12" i="30" s="1"/>
  <c r="K27" i="28"/>
  <c r="K147" i="30" s="1"/>
  <c r="K146" i="30"/>
  <c r="G86" i="30"/>
  <c r="G29" i="23"/>
  <c r="G87" i="30" s="1"/>
  <c r="H11" i="30"/>
  <c r="H64" i="13"/>
  <c r="H12" i="30" s="1"/>
  <c r="D113" i="30"/>
  <c r="D32" i="25"/>
  <c r="C26" i="30"/>
  <c r="C19" i="19"/>
  <c r="C27" i="30" s="1"/>
  <c r="H56" i="30"/>
  <c r="H20" i="21"/>
  <c r="H57" i="30" s="1"/>
  <c r="I86" i="30"/>
  <c r="I29" i="23"/>
  <c r="I87" i="30" s="1"/>
  <c r="E53" i="20"/>
  <c r="E42" i="30" s="1"/>
  <c r="E41" i="30"/>
  <c r="C131" i="30"/>
  <c r="C34" i="27"/>
  <c r="C132" i="30" s="1"/>
  <c r="E11" i="30"/>
  <c r="E64" i="13"/>
  <c r="E12" i="30" s="1"/>
  <c r="O146" i="30"/>
  <c r="O27" i="28"/>
  <c r="O147" i="30" s="1"/>
  <c r="I146" i="30"/>
  <c r="I27" i="28"/>
  <c r="I147" i="30" s="1"/>
  <c r="E86" i="30"/>
  <c r="E29" i="23"/>
  <c r="E87" i="30" s="1"/>
  <c r="D26" i="30"/>
  <c r="D19" i="19"/>
  <c r="D27" i="30" s="1"/>
  <c r="D64" i="13"/>
  <c r="D12" i="30" s="1"/>
  <c r="D11" i="30"/>
  <c r="N27" i="28"/>
  <c r="N147" i="30" s="1"/>
  <c r="N146" i="30"/>
  <c r="C116" i="30"/>
  <c r="C33" i="25"/>
  <c r="C117" i="30" s="1"/>
  <c r="F26" i="30"/>
  <c r="F19" i="19"/>
  <c r="F27" i="30" s="1"/>
  <c r="D20" i="21"/>
  <c r="D57" i="30" s="1"/>
  <c r="D56" i="30"/>
  <c r="C71" i="30"/>
  <c r="C23" i="22"/>
  <c r="C72" i="30" s="1"/>
  <c r="C26" i="28"/>
  <c r="C143" i="30"/>
  <c r="C101" i="30"/>
  <c r="C20" i="24"/>
  <c r="C102" i="30" s="1"/>
  <c r="D71" i="30" l="1"/>
  <c r="D23" i="22"/>
  <c r="D72" i="30" s="1"/>
  <c r="C146" i="30"/>
  <c r="C27" i="28"/>
  <c r="C147" i="30" s="1"/>
  <c r="E56" i="30"/>
  <c r="E20" i="21"/>
  <c r="E57" i="30" s="1"/>
  <c r="C41" i="30"/>
  <c r="C53" i="20"/>
  <c r="C42" i="30" s="1"/>
  <c r="D101" i="30"/>
  <c r="D20" i="24"/>
  <c r="D102" i="30" s="1"/>
  <c r="D33" i="25"/>
  <c r="D117" i="30" s="1"/>
  <c r="D116" i="30"/>
</calcChain>
</file>

<file path=xl/comments1.xml><?xml version="1.0" encoding="utf-8"?>
<comments xmlns="http://schemas.openxmlformats.org/spreadsheetml/2006/main" xmlns:mc="http://schemas.openxmlformats.org/markup-compatibility/2006" xmlns:xr="http://schemas.microsoft.com/office/spreadsheetml/2014/revision" mc:Ignorable="xr">
  <authors>
    <author>tc={A412DD5D-0154-4DBC-A5D8-0C393291BB37}</author>
  </authors>
  <commentList>
    <comment ref="H15" authorId="0" shapeId="0" xr:uid="{A412DD5D-0154-4DBC-A5D8-0C393291BB37}">
      <text>
        <t>[Threaded comment]
Your version of Excel allows you to read this threaded comment; however, any edits to it will get removed if the file is opened in a newer version of Excel. Learn more: https://go.microsoft.com/fwlink/?linkid=870924
Comment:
    The error shouldn't influence goal attainment, especially when 30% of the goal is error.</t>
      </text>
    </comment>
  </commentList>
</comments>
</file>

<file path=xl/sharedStrings.xml><?xml version="1.0" encoding="utf-8"?>
<sst xmlns="http://schemas.openxmlformats.org/spreadsheetml/2006/main" count="8559" uniqueCount="307">
  <si>
    <t>Transect</t>
  </si>
  <si>
    <t>Species</t>
  </si>
  <si>
    <t>SPAI</t>
  </si>
  <si>
    <t>ATTO</t>
  </si>
  <si>
    <t>ROPS</t>
  </si>
  <si>
    <t>ATCO</t>
  </si>
  <si>
    <t>ATPO</t>
  </si>
  <si>
    <t>Site</t>
  </si>
  <si>
    <t>Hits</t>
  </si>
  <si>
    <t>BGP160</t>
  </si>
  <si>
    <t>SATR12</t>
  </si>
  <si>
    <t>ERNA10</t>
  </si>
  <si>
    <t>ATCA2</t>
  </si>
  <si>
    <t>HECU3</t>
  </si>
  <si>
    <t>SAVE4</t>
  </si>
  <si>
    <t>KRLA2</t>
  </si>
  <si>
    <t>Length (m)</t>
  </si>
  <si>
    <t>Year</t>
  </si>
  <si>
    <t>BIS097</t>
  </si>
  <si>
    <t>IND105</t>
  </si>
  <si>
    <t>BAHY</t>
  </si>
  <si>
    <t>TIN054</t>
  </si>
  <si>
    <t>BROMU</t>
  </si>
  <si>
    <t>DISP</t>
  </si>
  <si>
    <t>BLK016E</t>
  </si>
  <si>
    <t>STEPH</t>
  </si>
  <si>
    <t>Comment</t>
  </si>
  <si>
    <t>Recorded as desc</t>
  </si>
  <si>
    <t>Points</t>
  </si>
  <si>
    <t>IVAX</t>
  </si>
  <si>
    <t>ATRIP</t>
  </si>
  <si>
    <t>ARTR2</t>
  </si>
  <si>
    <t>MALE3</t>
  </si>
  <si>
    <t>ATSE2</t>
  </si>
  <si>
    <t>MEAL12</t>
  </si>
  <si>
    <t>IND123</t>
  </si>
  <si>
    <t>Transect Original</t>
  </si>
  <si>
    <t>1.1-1.2</t>
  </si>
  <si>
    <t>1.2-1.3</t>
  </si>
  <si>
    <t>1.4-1.5</t>
  </si>
  <si>
    <t>1.5-1.6</t>
  </si>
  <si>
    <t>1.6-1.7</t>
  </si>
  <si>
    <t>1.7-1.0</t>
  </si>
  <si>
    <t>2.1-2.2</t>
  </si>
  <si>
    <t>2.2-2.3</t>
  </si>
  <si>
    <t>2.3-2.4</t>
  </si>
  <si>
    <t>2.4-2.5</t>
  </si>
  <si>
    <t>2.5-2.6</t>
  </si>
  <si>
    <t>2.6-2.7</t>
  </si>
  <si>
    <t>2.7-2.0</t>
  </si>
  <si>
    <t>3.1-3.2</t>
  </si>
  <si>
    <t>3.2-3.3</t>
  </si>
  <si>
    <t>3.3-3.4</t>
  </si>
  <si>
    <t>3.6-3.7</t>
  </si>
  <si>
    <t>3.7-3.0</t>
  </si>
  <si>
    <t>4.1-4.2</t>
  </si>
  <si>
    <t>4.2-4.3</t>
  </si>
  <si>
    <t>4.3-4.4</t>
  </si>
  <si>
    <t>4.4-4.5</t>
  </si>
  <si>
    <t>4.5-4.6</t>
  </si>
  <si>
    <t>4.6-4.7</t>
  </si>
  <si>
    <t>4.7-4.0</t>
  </si>
  <si>
    <t>5.1-5.2</t>
  </si>
  <si>
    <t>5.2-5.3</t>
  </si>
  <si>
    <t>5.3-5.4</t>
  </si>
  <si>
    <t>5.5-5.6</t>
  </si>
  <si>
    <t>5.7-5.0</t>
  </si>
  <si>
    <t>6.1-6.2</t>
  </si>
  <si>
    <t>6.3-6.4</t>
  </si>
  <si>
    <t>6.5-6.6</t>
  </si>
  <si>
    <t>6.7-6.0</t>
  </si>
  <si>
    <t>7.1-7.2</t>
  </si>
  <si>
    <t>7.2-7.3</t>
  </si>
  <si>
    <t>7.3-7.4</t>
  </si>
  <si>
    <t>7.5-7.6</t>
  </si>
  <si>
    <t>7.6-7.7</t>
  </si>
  <si>
    <t>7.7-7.0</t>
  </si>
  <si>
    <t>8.1-8.2</t>
  </si>
  <si>
    <t>8.2-8.3</t>
  </si>
  <si>
    <t>8.3-8.4</t>
  </si>
  <si>
    <t>8.4-8.5</t>
  </si>
  <si>
    <t>8.5-8.0</t>
  </si>
  <si>
    <t>1.1-1.0</t>
  </si>
  <si>
    <t>1.3-1.4</t>
  </si>
  <si>
    <t>1.5-1.0</t>
  </si>
  <si>
    <t>2.8-2.0</t>
  </si>
  <si>
    <t>5.4-5.5</t>
  </si>
  <si>
    <t>5.6-5.0</t>
  </si>
  <si>
    <t>6.2-6.3</t>
  </si>
  <si>
    <t>6.4-6.5</t>
  </si>
  <si>
    <t>7.4-7.0</t>
  </si>
  <si>
    <t>1.3-1.0</t>
  </si>
  <si>
    <t>2.4-2.0</t>
  </si>
  <si>
    <t>3.4-3.0</t>
  </si>
  <si>
    <t>4.3-4.0</t>
  </si>
  <si>
    <t>5.3-5.0</t>
  </si>
  <si>
    <t>6.1-6.0</t>
  </si>
  <si>
    <t>ROWOU</t>
  </si>
  <si>
    <t>FOPU2</t>
  </si>
  <si>
    <t>IND131N</t>
  </si>
  <si>
    <t>1.6-1.0</t>
  </si>
  <si>
    <t>3.4-3.5</t>
  </si>
  <si>
    <t>3.5-3.6</t>
  </si>
  <si>
    <t>4.2-4.0</t>
  </si>
  <si>
    <t>5.1-5.0</t>
  </si>
  <si>
    <t>IND131S</t>
  </si>
  <si>
    <t>CLEOM</t>
  </si>
  <si>
    <t>PSARM</t>
  </si>
  <si>
    <t>1.2-1.0</t>
  </si>
  <si>
    <t>2.1-2.0</t>
  </si>
  <si>
    <t>2.2-2.0</t>
  </si>
  <si>
    <t>3.1-3.0</t>
  </si>
  <si>
    <t>3.2-3.0</t>
  </si>
  <si>
    <t>4.1-4.0</t>
  </si>
  <si>
    <t>5.2-5.0</t>
  </si>
  <si>
    <t>6.2-6.0</t>
  </si>
  <si>
    <t>LEFR2</t>
  </si>
  <si>
    <t>7.2-7.0</t>
  </si>
  <si>
    <t>8.2-8.0</t>
  </si>
  <si>
    <t>9.1-9.2</t>
  </si>
  <si>
    <t>9.2-9.0</t>
  </si>
  <si>
    <t>10.1-10.2</t>
  </si>
  <si>
    <t>10.2-10.0</t>
  </si>
  <si>
    <t>A.1-A.2</t>
  </si>
  <si>
    <t>A.2-A.0</t>
  </si>
  <si>
    <t>2.7-2.8</t>
  </si>
  <si>
    <t>6.5-6.0</t>
  </si>
  <si>
    <t>NONE</t>
  </si>
  <si>
    <t>5.6-5.7</t>
  </si>
  <si>
    <t>6.6-6.7</t>
  </si>
  <si>
    <t>7.4-7.5</t>
  </si>
  <si>
    <t>3.2-3.2</t>
  </si>
  <si>
    <t>DESCU</t>
  </si>
  <si>
    <t>3.3-3.0</t>
  </si>
  <si>
    <t>LETR5</t>
  </si>
  <si>
    <t>CLLU2</t>
  </si>
  <si>
    <t>ERDE6</t>
  </si>
  <si>
    <t>7.1-7.0</t>
  </si>
  <si>
    <t>LAW118</t>
  </si>
  <si>
    <t>STPA4</t>
  </si>
  <si>
    <t>A1-A2</t>
  </si>
  <si>
    <t>A1</t>
  </si>
  <si>
    <t>A1.2-A1.0</t>
  </si>
  <si>
    <t>A1.2</t>
  </si>
  <si>
    <t>A2-A0</t>
  </si>
  <si>
    <t>A2</t>
  </si>
  <si>
    <t>A2.2-A2.0</t>
  </si>
  <si>
    <t>A2.2</t>
  </si>
  <si>
    <t>A3.2-A3.0</t>
  </si>
  <si>
    <t>A3.2</t>
  </si>
  <si>
    <t>ACHY</t>
  </si>
  <si>
    <t>8.1-8.0</t>
  </si>
  <si>
    <t>9.1-9.0</t>
  </si>
  <si>
    <t>10.1-10.0</t>
  </si>
  <si>
    <t>11.1-11.0</t>
  </si>
  <si>
    <t>12.1-12.0</t>
  </si>
  <si>
    <t>13.1-13.0</t>
  </si>
  <si>
    <t>14.1-14.0</t>
  </si>
  <si>
    <t>15.0-15.0</t>
  </si>
  <si>
    <t>16.1-16.0</t>
  </si>
  <si>
    <t>Recorded as ERCU</t>
  </si>
  <si>
    <t>BGP160W</t>
  </si>
  <si>
    <t>1.0-1.1</t>
  </si>
  <si>
    <t>2.0-2.1</t>
  </si>
  <si>
    <t>3.0-3.1</t>
  </si>
  <si>
    <t>4.0-4.1</t>
  </si>
  <si>
    <t>1.0</t>
  </si>
  <si>
    <t>2.0</t>
  </si>
  <si>
    <t>3.0</t>
  </si>
  <si>
    <t>4.0</t>
  </si>
  <si>
    <t>ULPU</t>
  </si>
  <si>
    <t>LACO13</t>
  </si>
  <si>
    <t>PSPO</t>
  </si>
  <si>
    <t>CYDA</t>
  </si>
  <si>
    <t>MUAS</t>
  </si>
  <si>
    <t>ASFA</t>
  </si>
  <si>
    <t>COAR4</t>
  </si>
  <si>
    <t>5.0-5.1</t>
  </si>
  <si>
    <t>6.0-6.1</t>
  </si>
  <si>
    <t>7.0-7.1</t>
  </si>
  <si>
    <t>8.0-8.1</t>
  </si>
  <si>
    <t>10.0-10.1</t>
  </si>
  <si>
    <t>9.0-9.1</t>
  </si>
  <si>
    <t>12.0-12.1</t>
  </si>
  <si>
    <t>11.0-11.1</t>
  </si>
  <si>
    <t>13.0-13.1</t>
  </si>
  <si>
    <t>14.0-14.1</t>
  </si>
  <si>
    <t>15.0-15.1</t>
  </si>
  <si>
    <t>16.0-16.1</t>
  </si>
  <si>
    <t>COCO</t>
  </si>
  <si>
    <t>LOCA5</t>
  </si>
  <si>
    <t>LASE</t>
  </si>
  <si>
    <t>GNPA</t>
  </si>
  <si>
    <t>PACA6</t>
  </si>
  <si>
    <t>CIIN</t>
  </si>
  <si>
    <t>CIAR4</t>
  </si>
  <si>
    <t>ERAGR</t>
  </si>
  <si>
    <t>HEAN3</t>
  </si>
  <si>
    <t>POFR2</t>
  </si>
  <si>
    <t>COCA5</t>
  </si>
  <si>
    <t>MEAL6</t>
  </si>
  <si>
    <t>LEPID</t>
  </si>
  <si>
    <t>PLANT</t>
  </si>
  <si>
    <t>ERIGE2</t>
  </si>
  <si>
    <t>ECCR</t>
  </si>
  <si>
    <t>SEVI4</t>
  </si>
  <si>
    <t>MESA</t>
  </si>
  <si>
    <t>HOJU</t>
  </si>
  <si>
    <t>POFE</t>
  </si>
  <si>
    <t>ERIGER</t>
  </si>
  <si>
    <t>ERIOG</t>
  </si>
  <si>
    <t>CHBR</t>
  </si>
  <si>
    <t>OENOT</t>
  </si>
  <si>
    <t>CHLE4</t>
  </si>
  <si>
    <t>AMDU2</t>
  </si>
  <si>
    <t>Duplicate</t>
  </si>
  <si>
    <t>Difference in length is 3m from 2016 (24m).</t>
  </si>
  <si>
    <t>Difference in length is 5m from 2016 (21m).</t>
  </si>
  <si>
    <t>Length from 2016 (18.5m) is used as length was not recorded in 2017.</t>
  </si>
  <si>
    <t>Column Labels</t>
  </si>
  <si>
    <t>Recorded as STPA</t>
  </si>
  <si>
    <t>Recorded as UNKF1</t>
  </si>
  <si>
    <t>Line</t>
  </si>
  <si>
    <t>Cover</t>
  </si>
  <si>
    <t>Code</t>
  </si>
  <si>
    <t>Longevity</t>
  </si>
  <si>
    <t>Subshrub, Shrub</t>
  </si>
  <si>
    <t>Perennial</t>
  </si>
  <si>
    <t>Forb/Herb</t>
  </si>
  <si>
    <t>Annual</t>
  </si>
  <si>
    <t>ATPA3</t>
  </si>
  <si>
    <t>Shrub</t>
  </si>
  <si>
    <t>Graminoid</t>
  </si>
  <si>
    <t>Annual/Biennial/Perennial</t>
  </si>
  <si>
    <t>Shrub, Tree</t>
  </si>
  <si>
    <t>Subshrub, Forb/Herb</t>
  </si>
  <si>
    <t>Forb/Herb, Vine</t>
  </si>
  <si>
    <t>2FORB</t>
  </si>
  <si>
    <t>Tree</t>
  </si>
  <si>
    <t>ACSP12</t>
  </si>
  <si>
    <t>Unknown</t>
  </si>
  <si>
    <t>Annual/Biennial</t>
  </si>
  <si>
    <t>ELEL5</t>
  </si>
  <si>
    <t>ENFR</t>
  </si>
  <si>
    <t>EPNE</t>
  </si>
  <si>
    <t>ERCO23</t>
  </si>
  <si>
    <t>ERFA2</t>
  </si>
  <si>
    <t>ERTE18</t>
  </si>
  <si>
    <t>GRSP</t>
  </si>
  <si>
    <t>HYSA</t>
  </si>
  <si>
    <t>LECI4</t>
  </si>
  <si>
    <t>LYAN</t>
  </si>
  <si>
    <t>MESP2</t>
  </si>
  <si>
    <t>PIDE4</t>
  </si>
  <si>
    <t>SUMO</t>
  </si>
  <si>
    <t>TEAX</t>
  </si>
  <si>
    <t>TEGL</t>
  </si>
  <si>
    <t>Growth Habit</t>
  </si>
  <si>
    <t>Growth Habit Code</t>
  </si>
  <si>
    <t>Recorded as MASA</t>
  </si>
  <si>
    <t>NA</t>
  </si>
  <si>
    <t>Logevity</t>
  </si>
  <si>
    <t>Sum of Cover</t>
  </si>
  <si>
    <t>Row Labels</t>
  </si>
  <si>
    <t>(Multiple Items)</t>
  </si>
  <si>
    <t>Native perennial cover</t>
  </si>
  <si>
    <t>Number of species</t>
  </si>
  <si>
    <t>MIAL5</t>
  </si>
  <si>
    <t>XYTO2</t>
  </si>
  <si>
    <t>Concatenate</t>
  </si>
  <si>
    <t>Target Cover</t>
  </si>
  <si>
    <t>Target Spp Richness</t>
  </si>
  <si>
    <t>Helper_SPP</t>
  </si>
  <si>
    <t>Helper_Tran</t>
  </si>
  <si>
    <t>Average</t>
  </si>
  <si>
    <t>Stdev</t>
  </si>
  <si>
    <t>CI80</t>
  </si>
  <si>
    <t>Upper CI80</t>
  </si>
  <si>
    <t>Sum of Helper_SPP</t>
  </si>
  <si>
    <t>Target Cover  met?</t>
  </si>
  <si>
    <t>Species Richness</t>
  </si>
  <si>
    <t>Target SR</t>
  </si>
  <si>
    <t>Target SR met?</t>
  </si>
  <si>
    <t>Below Target</t>
  </si>
  <si>
    <t>Criteria</t>
  </si>
  <si>
    <t/>
  </si>
  <si>
    <t>Sum of Hits</t>
  </si>
  <si>
    <t>Sum of Target Cover</t>
  </si>
  <si>
    <t>50 HITS/TRANSECT</t>
  </si>
  <si>
    <t>2018 false</t>
  </si>
  <si>
    <t>ERMA</t>
  </si>
  <si>
    <t>HinesSouth</t>
  </si>
  <si>
    <t>1.2-1.1</t>
  </si>
  <si>
    <t>2.2-2.1</t>
  </si>
  <si>
    <t>3.2-3.1</t>
  </si>
  <si>
    <t>4.2-4.1</t>
  </si>
  <si>
    <t>MEOF</t>
  </si>
  <si>
    <t>10.2A</t>
  </si>
  <si>
    <t>TRIFO</t>
  </si>
  <si>
    <t>TAOFC</t>
  </si>
  <si>
    <t>ERDI4</t>
  </si>
  <si>
    <t>ELEOC</t>
  </si>
  <si>
    <t>10.2B</t>
  </si>
  <si>
    <t>EUOC4</t>
  </si>
  <si>
    <t>ULPA</t>
  </si>
  <si>
    <t>3.3-3.2</t>
  </si>
  <si>
    <t>Average of Cover</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</si>
</sst>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164" formatCode="0.0"/>
  </numFmts>
  <fonts count="10" x14ac:knownFonts="1">
    <font>
      <sz val="11"/>
      <color theme="1"/>
      <name val="Calibri"/>
      <family val="2"/>
      <scheme val="minor"/>
    </font>
    <font>
      <sz val="11"/>
      <color rgb="FFFF0000"/>
      <name val="Calibri"/>
      <family val="2"/>
      <scheme val="minor"/>
    </font>
    <font>
      <sz val="11"/>
      <name val="Calibri"/>
      <family val="2"/>
      <scheme val="minor"/>
    </font>
    <font>
      <b/>
      <sz val="11"/>
      <color rgb="FFFF0000"/>
      <name val="Calibri"/>
      <family val="2"/>
      <scheme val="minor"/>
    </font>
    <font>
      <b/>
      <sz val="11"/>
      <color rgb="FF00B050"/>
      <name val="Calibri"/>
      <family val="2"/>
      <scheme val="minor"/>
    </font>
    <font>
      <b/>
      <sz val="11"/>
      <name val="Calibri"/>
      <family val="2"/>
      <scheme val="minor"/>
    </font>
    <font>
      <sz val="12"/>
      <color theme="1"/>
      <name val="Calibri"/>
      <family val="2"/>
      <scheme val="minor"/>
    </font>
    <font>
      <sz val="14"/>
      <color theme="1"/>
      <name val="Calibri"/>
      <family val="2"/>
      <scheme val="minor"/>
    </font>
    <font>
      <sz val="11"/>
      <color rgb="FF0A0101"/>
      <name val="Calibri"/>
      <family val="2"/>
      <scheme val="minor"/>
    </font>
    <font>
      <b/>
      <sz val="14"/>
      <color theme="1"/>
      <name val="Calibri"/>
      <family val="2"/>
      <scheme val="minor"/>
    </font>
  </fonts>
  <fills count="3">
    <fill>
      <patternFill patternType="none"/>
    </fill>
    <fill>
      <patternFill patternType="gray125"/>
    </fill>
    <fill>
      <patternFill patternType="solid">
        <fgColor rgb="FFFFFF00"/>
        <bgColor indexed="64"/>
      </patternFill>
    </fill>
  </fills>
  <borders count="12">
    <border>
      <left/>
      <right/>
      <top/>
      <bottom/>
      <diagonal/>
    </border>
    <border>
      <left/>
      <right/>
      <top/>
      <bottom style="thin">
        <color theme="4" tint="0.39997558519241921"/>
      </bottom>
      <diagonal/>
    </border>
    <border>
      <left/>
      <right/>
      <top/>
      <bottom style="medium">
        <color indexed="64"/>
      </bottom>
      <diagonal/>
    </border>
    <border>
      <left/>
      <right/>
      <top/>
      <bottom style="thin">
        <color indexed="64"/>
      </bottom>
      <diagonal/>
    </border>
    <border>
      <left/>
      <right/>
      <top/>
      <bottom style="dashed">
        <color indexed="64"/>
      </bottom>
      <diagonal/>
    </border>
    <border>
      <left style="thin">
        <color indexed="64"/>
      </left>
      <right style="thin">
        <color indexed="64"/>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bottom/>
      <diagonal/>
    </border>
    <border>
      <left style="thin">
        <color indexed="64"/>
      </left>
      <right style="thin">
        <color indexed="64"/>
      </right>
      <top/>
      <bottom style="thin">
        <color indexed="64"/>
      </bottom>
      <diagonal/>
    </border>
    <border>
      <left style="medium">
        <color indexed="64"/>
      </left>
      <right style="medium">
        <color indexed="64"/>
      </right>
      <top style="medium">
        <color indexed="64"/>
      </top>
      <bottom/>
      <diagonal/>
    </border>
    <border>
      <left style="medium">
        <color indexed="64"/>
      </left>
      <right style="medium">
        <color indexed="64"/>
      </right>
      <top/>
      <bottom/>
      <diagonal/>
    </border>
    <border>
      <left style="medium">
        <color indexed="64"/>
      </left>
      <right style="medium">
        <color indexed="64"/>
      </right>
      <top/>
      <bottom style="medium">
        <color indexed="64"/>
      </bottom>
      <diagonal/>
    </border>
  </borders>
  <cellStyleXfs count="1">
    <xf numFmtId="0" fontId="0" fillId="0" borderId="0"/>
  </cellStyleXfs>
  <cellXfs count="44">
    <xf numFmtId="0" fontId="0" fillId="0" borderId="0" xfId="0"/>
    <xf numFmtId="0" fontId="0" fillId="0" borderId="0" xfId="0" applyAlignment="1">
      <alignment horizontal="left"/>
    </xf>
    <xf numFmtId="0" fontId="2" fillId="0" borderId="0" xfId="0" applyFont="1" applyAlignment="1">
      <alignment horizontal="left"/>
    </xf>
    <xf numFmtId="0" fontId="1" fillId="0" borderId="0" xfId="0" applyFont="1" applyAlignment="1">
      <alignment horizontal="left"/>
    </xf>
    <xf numFmtId="0" fontId="2" fillId="0" borderId="0" xfId="0" applyFont="1"/>
    <xf numFmtId="0" fontId="2" fillId="0" borderId="0" xfId="0" applyFont="1" applyAlignment="1">
      <alignment horizontal="right"/>
    </xf>
    <xf numFmtId="0" fontId="0" fillId="0" borderId="0" xfId="0" applyAlignment="1">
      <alignment horizontal="right"/>
    </xf>
    <xf numFmtId="49" fontId="0" fillId="0" borderId="0" xfId="0" applyNumberFormat="1" applyAlignment="1">
      <alignment horizontal="right"/>
    </xf>
    <xf numFmtId="0" fontId="1" fillId="0" borderId="0" xfId="0" applyFont="1"/>
    <xf numFmtId="0" fontId="4" fillId="0" borderId="0" xfId="0" applyFont="1"/>
    <xf numFmtId="0" fontId="3" fillId="0" borderId="0" xfId="0" applyFont="1"/>
    <xf numFmtId="0" fontId="0" fillId="0" borderId="0" xfId="0" pivotButton="1"/>
    <xf numFmtId="0" fontId="5" fillId="0" borderId="0" xfId="0" applyFont="1"/>
    <xf numFmtId="0" fontId="0" fillId="0" borderId="1" xfId="0" applyBorder="1"/>
    <xf numFmtId="0" fontId="0" fillId="0" borderId="0" xfId="0" applyAlignment="1">
      <alignment horizontal="left" indent="1"/>
    </xf>
    <xf numFmtId="0" fontId="8" fillId="0" borderId="0" xfId="0" applyFont="1"/>
    <xf numFmtId="2" fontId="0" fillId="0" borderId="0" xfId="0" applyNumberFormat="1"/>
    <xf numFmtId="164" fontId="0" fillId="0" borderId="0" xfId="0" applyNumberFormat="1"/>
    <xf numFmtId="1" fontId="0" fillId="0" borderId="0" xfId="0" applyNumberFormat="1"/>
    <xf numFmtId="0" fontId="0" fillId="0" borderId="2" xfId="0" applyBorder="1"/>
    <xf numFmtId="0" fontId="0" fillId="0" borderId="3" xfId="0" applyBorder="1"/>
    <xf numFmtId="0" fontId="0" fillId="0" borderId="0" xfId="0" applyAlignment="1">
      <alignment horizontal="center"/>
    </xf>
    <xf numFmtId="164" fontId="0" fillId="0" borderId="0" xfId="0" applyNumberFormat="1" applyAlignment="1">
      <alignment horizontal="center"/>
    </xf>
    <xf numFmtId="0" fontId="0" fillId="0" borderId="4" xfId="0" applyBorder="1"/>
    <xf numFmtId="0" fontId="0" fillId="0" borderId="4" xfId="0" applyBorder="1" applyAlignment="1">
      <alignment horizontal="center"/>
    </xf>
    <xf numFmtId="0" fontId="0" fillId="0" borderId="3" xfId="0" applyBorder="1" applyAlignment="1">
      <alignment horizontal="center"/>
    </xf>
    <xf numFmtId="0" fontId="6" fillId="0" borderId="0" xfId="0" applyFont="1"/>
    <xf numFmtId="0" fontId="7" fillId="0" borderId="0" xfId="0" applyFont="1"/>
    <xf numFmtId="0" fontId="7" fillId="0" borderId="0" xfId="0" applyFont="1" applyAlignment="1">
      <alignment horizontal="center"/>
    </xf>
    <xf numFmtId="0" fontId="6" fillId="0" borderId="3" xfId="0" applyFont="1" applyBorder="1"/>
    <xf numFmtId="0" fontId="6" fillId="0" borderId="2" xfId="0" applyFont="1" applyBorder="1"/>
    <xf numFmtId="0" fontId="0" fillId="0" borderId="2" xfId="0" applyBorder="1" applyAlignment="1">
      <alignment horizontal="center"/>
    </xf>
    <xf numFmtId="0" fontId="7" fillId="0" borderId="5" xfId="0" applyFont="1" applyBorder="1"/>
    <xf numFmtId="0" fontId="0" fillId="0" borderId="7" xfId="0" applyBorder="1"/>
    <xf numFmtId="0" fontId="0" fillId="0" borderId="8" xfId="0" applyBorder="1"/>
    <xf numFmtId="164" fontId="0" fillId="0" borderId="2" xfId="0" applyNumberFormat="1" applyBorder="1"/>
    <xf numFmtId="0" fontId="9" fillId="0" borderId="6" xfId="0" applyFont="1" applyBorder="1"/>
    <xf numFmtId="0" fontId="0" fillId="0" borderId="0" xfId="0" applyAlignment="1">
      <alignment horizontal="left" indent="2"/>
    </xf>
    <xf numFmtId="0" fontId="0" fillId="0" borderId="9" xfId="0" applyBorder="1"/>
    <xf numFmtId="0" fontId="0" fillId="0" borderId="10" xfId="0" applyBorder="1"/>
    <xf numFmtId="0" fontId="0" fillId="0" borderId="11" xfId="0" applyBorder="1"/>
    <xf numFmtId="0" fontId="0" fillId="2" borderId="0" xfId="0" applyFill="1"/>
    <xf numFmtId="164" fontId="0" fillId="2" borderId="0" xfId="0" applyNumberFormat="1" applyFill="1"/>
    <xf numFmtId="2" fontId="0" fillId="2" borderId="0" xfId="0" applyNumberFormat="1" applyFill="1"/>
  </cellXfs>
  <cellStyles count="1">
    <cellStyle name="Normal" xfId="0" builtinId="0"/>
  </cellStyles>
  <dxfs count="92">
    <dxf>
      <font>
        <color rgb="FF0A0101"/>
      </font>
      <numFmt numFmtId="0" formatCode="General"/>
      <alignment horizontal="general" vertical="bottom" textRotation="0" wrapText="0" indent="0" justifyLastLine="0" shrinkToFit="0" readingOrder="0"/>
    </dxf>
    <dxf>
      <font>
        <color rgb="FF0A0101"/>
      </font>
      <numFmt numFmtId="0" formatCode="General"/>
      <alignment horizontal="general" vertical="bottom" textRotation="0" wrapText="0" indent="0" justifyLastLine="0" shrinkToFit="0" readingOrder="0"/>
    </dxf>
    <dxf>
      <fill>
        <patternFill patternType="none">
          <fgColor indexed="64"/>
          <bgColor indexed="65"/>
        </patternFill>
      </fill>
    </dxf>
    <dxf>
      <numFmt numFmtId="0" formatCode="General"/>
      <alignment horizontal="general" vertical="bottom" textRotation="0" wrapText="0" indent="0" justifyLastLine="0" shrinkToFit="0" readingOrder="0"/>
    </dxf>
    <dxf>
      <numFmt numFmtId="0" formatCode="General"/>
      <fill>
        <patternFill patternType="none">
          <fgColor indexed="64"/>
          <bgColor indexed="65"/>
        </patternFill>
      </fill>
      <alignment horizontal="general" vertical="bottom" textRotation="0" wrapText="0" indent="0" justifyLastLine="0" shrinkToFit="0" readingOrder="0"/>
    </dxf>
    <dxf>
      <numFmt numFmtId="0" formatCode="General"/>
      <fill>
        <patternFill patternType="none">
          <fgColor indexed="64"/>
          <bgColor indexed="65"/>
        </patternFill>
      </fill>
      <alignment horizontal="general" vertical="bottom" textRotation="0" wrapText="0" indent="0" justifyLastLine="0" shrinkToFit="0" readingOrder="0"/>
    </dxf>
    <dxf>
      <numFmt numFmtId="0" formatCode="General"/>
      <fill>
        <patternFill patternType="none">
          <fgColor indexed="64"/>
          <bgColor indexed="65"/>
        </patternFill>
      </fill>
      <alignment horizontal="general" vertical="bottom" textRotation="0" wrapText="0" indent="0" justifyLastLine="0" shrinkToFit="0" readingOrder="0"/>
    </dxf>
    <dxf>
      <fill>
        <patternFill patternType="none">
          <fgColor indexed="64"/>
          <bgColor indexed="65"/>
        </patternFill>
      </fill>
      <alignment horizontal="general" vertical="bottom" textRotation="0" wrapText="0" indent="0" justifyLastLine="0" shrinkToFit="0" readingOrder="0"/>
    </dxf>
    <dxf>
      <fill>
        <patternFill patternType="none">
          <fgColor indexed="64"/>
          <bgColor indexed="65"/>
        </patternFill>
      </fill>
      <alignment horizontal="general" vertical="bottom" textRotation="0" wrapText="0" indent="0" justifyLastLine="0" shrinkToFit="0" readingOrder="0"/>
    </dxf>
    <dxf>
      <fill>
        <patternFill patternType="none">
          <fgColor indexed="64"/>
          <bgColor indexed="65"/>
        </patternFill>
      </fill>
      <alignment horizontal="left" vertical="bottom" textRotation="0" wrapText="0" indent="0" justifyLastLine="0" shrinkToFit="0" readingOrder="0"/>
    </dxf>
    <dxf>
      <numFmt numFmtId="0" formatCode="General"/>
      <fill>
        <patternFill patternType="none">
          <fgColor indexed="64"/>
          <bgColor indexed="65"/>
        </patternFill>
      </fill>
      <alignment horizontal="right" vertical="bottom" textRotation="0" wrapText="0" indent="0" justifyLastLine="0" shrinkToFit="0" readingOrder="0"/>
    </dxf>
    <dxf>
      <fill>
        <patternFill patternType="none">
          <fgColor indexed="64"/>
          <bgColor indexed="65"/>
        </patternFill>
      </fill>
      <alignment horizontal="right" vertical="bottom" textRotation="0" wrapText="0" indent="0" justifyLastLine="0" shrinkToFit="0" readingOrder="0"/>
    </dxf>
    <dxf>
      <fill>
        <patternFill patternType="none">
          <fgColor indexed="64"/>
          <bgColor indexed="65"/>
        </patternFill>
      </fill>
    </dxf>
    <dxf>
      <fill>
        <patternFill patternType="none">
          <fgColor indexed="64"/>
          <bgColor indexed="65"/>
        </patternFill>
      </fill>
      <alignment horizontal="general" vertical="bottom" textRotation="0" wrapText="0" indent="0" justifyLastLine="0" shrinkToFit="0" readingOrder="0"/>
    </dxf>
    <dxf>
      <numFmt numFmtId="2" formatCode="0.00"/>
    </dxf>
    <dxf>
      <numFmt numFmtId="2" formatCode="0.00"/>
    </dxf>
    <dxf>
      <font>
        <color rgb="FF9C0006"/>
      </font>
      <fill>
        <patternFill patternType="none">
          <bgColor auto="1"/>
        </patternFill>
      </fill>
    </dxf>
    <dxf>
      <font>
        <b val="0"/>
        <i val="0"/>
        <color theme="3" tint="-0.24994659260841701"/>
      </font>
      <fill>
        <patternFill>
          <bgColor theme="4" tint="0.79998168889431442"/>
        </patternFill>
      </fill>
    </dxf>
    <dxf>
      <font>
        <color rgb="FF9C0006"/>
      </font>
      <fill>
        <patternFill patternType="none">
          <bgColor auto="1"/>
        </patternFill>
      </fill>
    </dxf>
    <dxf>
      <font>
        <b val="0"/>
        <i val="0"/>
        <color theme="3" tint="-0.24994659260841701"/>
      </font>
      <fill>
        <patternFill>
          <bgColor theme="4" tint="0.79998168889431442"/>
        </patternFill>
      </fill>
    </dxf>
    <dxf>
      <font>
        <color rgb="FF9C0006"/>
      </font>
      <fill>
        <patternFill patternType="none">
          <bgColor auto="1"/>
        </patternFill>
      </fill>
    </dxf>
    <dxf>
      <font>
        <b val="0"/>
        <i val="0"/>
        <color theme="3" tint="-0.24994659260841701"/>
      </font>
      <fill>
        <patternFill>
          <bgColor theme="4" tint="0.79998168889431442"/>
        </patternFill>
      </fill>
    </dxf>
    <dxf>
      <font>
        <color rgb="FF9C0006"/>
      </font>
      <fill>
        <patternFill patternType="none">
          <bgColor auto="1"/>
        </patternFill>
      </fill>
    </dxf>
    <dxf>
      <font>
        <b val="0"/>
        <i val="0"/>
        <color theme="3" tint="-0.24994659260841701"/>
      </font>
      <fill>
        <patternFill>
          <bgColor theme="4" tint="0.79998168889431442"/>
        </patternFill>
      </fill>
    </dxf>
    <dxf>
      <font>
        <color rgb="FF9C0006"/>
      </font>
      <fill>
        <patternFill patternType="none">
          <bgColor auto="1"/>
        </patternFill>
      </fill>
    </dxf>
    <dxf>
      <font>
        <b val="0"/>
        <i val="0"/>
        <color theme="3" tint="-0.24994659260841701"/>
      </font>
      <fill>
        <patternFill>
          <bgColor theme="4" tint="0.79998168889431442"/>
        </patternFill>
      </fill>
    </dxf>
    <dxf>
      <font>
        <color rgb="FF9C0006"/>
      </font>
      <fill>
        <patternFill patternType="none">
          <bgColor auto="1"/>
        </patternFill>
      </fill>
    </dxf>
    <dxf>
      <font>
        <b val="0"/>
        <i val="0"/>
        <color theme="3" tint="-0.24994659260841701"/>
      </font>
      <fill>
        <patternFill>
          <bgColor theme="4" tint="0.79998168889431442"/>
        </patternFill>
      </fill>
    </dxf>
    <dxf>
      <font>
        <color rgb="FF9C0006"/>
      </font>
      <fill>
        <patternFill patternType="none">
          <bgColor auto="1"/>
        </patternFill>
      </fill>
    </dxf>
    <dxf>
      <font>
        <b val="0"/>
        <i val="0"/>
        <color theme="3" tint="-0.24994659260841701"/>
      </font>
      <fill>
        <patternFill>
          <bgColor theme="4" tint="0.79998168889431442"/>
        </patternFill>
      </fill>
    </dxf>
    <dxf>
      <font>
        <color rgb="FF9C0006"/>
      </font>
      <fill>
        <patternFill patternType="none">
          <bgColor auto="1"/>
        </patternFill>
      </fill>
    </dxf>
    <dxf>
      <font>
        <b val="0"/>
        <i val="0"/>
        <color theme="3" tint="-0.24994659260841701"/>
      </font>
      <fill>
        <patternFill>
          <bgColor theme="4" tint="0.79998168889431442"/>
        </patternFill>
      </fill>
    </dxf>
    <dxf>
      <font>
        <color rgb="FF9C0006"/>
      </font>
      <fill>
        <patternFill patternType="none">
          <bgColor auto="1"/>
        </patternFill>
      </fill>
    </dxf>
    <dxf>
      <font>
        <b val="0"/>
        <i val="0"/>
        <color theme="3" tint="-0.24994659260841701"/>
      </font>
      <fill>
        <patternFill>
          <bgColor theme="4" tint="0.79998168889431442"/>
        </patternFill>
      </fill>
    </dxf>
    <dxf>
      <font>
        <color rgb="FF9C0006"/>
      </font>
      <fill>
        <patternFill patternType="none">
          <bgColor auto="1"/>
        </patternFill>
      </fill>
    </dxf>
    <dxf>
      <font>
        <b val="0"/>
        <i val="0"/>
        <color theme="3" tint="-0.24994659260841701"/>
      </font>
      <fill>
        <patternFill>
          <bgColor theme="4" tint="0.79998168889431442"/>
        </patternFill>
      </fill>
    </dxf>
    <dxf>
      <font>
        <color rgb="FF9C0006"/>
      </font>
      <fill>
        <patternFill patternType="none">
          <bgColor auto="1"/>
        </patternFill>
      </fill>
    </dxf>
    <dxf>
      <font>
        <b val="0"/>
        <i val="0"/>
        <color theme="3" tint="-0.24994659260841701"/>
      </font>
      <fill>
        <patternFill>
          <bgColor theme="4" tint="0.79998168889431442"/>
        </patternFill>
      </fill>
    </dxf>
    <dxf>
      <font>
        <color rgb="FF9C0006"/>
      </font>
      <fill>
        <patternFill patternType="none">
          <bgColor auto="1"/>
        </patternFill>
      </fill>
    </dxf>
    <dxf>
      <font>
        <b val="0"/>
        <i val="0"/>
        <color theme="3" tint="-0.24994659260841701"/>
      </font>
      <fill>
        <patternFill>
          <bgColor theme="4" tint="0.79998168889431442"/>
        </patternFill>
      </fill>
    </dxf>
    <dxf>
      <font>
        <color rgb="FF9C0006"/>
      </font>
      <fill>
        <patternFill patternType="none">
          <bgColor auto="1"/>
        </patternFill>
      </fill>
    </dxf>
    <dxf>
      <font>
        <b val="0"/>
        <i val="0"/>
        <color theme="3" tint="-0.24994659260841701"/>
      </font>
      <fill>
        <patternFill>
          <bgColor theme="4" tint="0.79998168889431442"/>
        </patternFill>
      </fill>
    </dxf>
    <dxf>
      <font>
        <color rgb="FF9C0006"/>
      </font>
      <fill>
        <patternFill patternType="none">
          <bgColor auto="1"/>
        </patternFill>
      </fill>
    </dxf>
    <dxf>
      <font>
        <b val="0"/>
        <i val="0"/>
        <color theme="3" tint="-0.24994659260841701"/>
      </font>
      <fill>
        <patternFill>
          <bgColor theme="4" tint="0.79998168889431442"/>
        </patternFill>
      </fill>
    </dxf>
    <dxf>
      <font>
        <color rgb="FF9C0006"/>
      </font>
      <fill>
        <patternFill patternType="solid">
          <bgColor theme="5" tint="0.79998168889431442"/>
        </patternFill>
      </fill>
    </dxf>
    <dxf>
      <font>
        <b val="0"/>
        <i val="0"/>
        <color theme="3" tint="-0.24994659260841701"/>
      </font>
      <fill>
        <patternFill>
          <bgColor theme="4" tint="0.79998168889431442"/>
        </patternFill>
      </fill>
    </dxf>
    <dxf>
      <font>
        <color rgb="FF9C0006"/>
      </font>
      <fill>
        <patternFill patternType="solid">
          <bgColor theme="5" tint="0.79998168889431442"/>
        </patternFill>
      </fill>
    </dxf>
    <dxf>
      <font>
        <b val="0"/>
        <i val="0"/>
        <color theme="3" tint="-0.24994659260841701"/>
      </font>
      <fill>
        <patternFill>
          <bgColor theme="4" tint="0.79998168889431442"/>
        </patternFill>
      </fill>
    </dxf>
    <dxf>
      <font>
        <color rgb="FF9C0006"/>
      </font>
      <fill>
        <patternFill patternType="solid">
          <bgColor theme="5" tint="0.79998168889431442"/>
        </patternFill>
      </fill>
    </dxf>
    <dxf>
      <font>
        <b val="0"/>
        <i val="0"/>
        <color theme="3" tint="-0.24994659260841701"/>
      </font>
      <fill>
        <patternFill>
          <bgColor theme="4" tint="0.79998168889431442"/>
        </patternFill>
      </fill>
    </dxf>
    <dxf>
      <font>
        <color rgb="FF9C0006"/>
      </font>
      <fill>
        <patternFill patternType="solid">
          <bgColor theme="5" tint="0.79998168889431442"/>
        </patternFill>
      </fill>
    </dxf>
    <dxf>
      <font>
        <b val="0"/>
        <i val="0"/>
        <color theme="3" tint="-0.24994659260841701"/>
      </font>
      <fill>
        <patternFill>
          <bgColor theme="4" tint="0.79998168889431442"/>
        </patternFill>
      </fill>
    </dxf>
    <dxf>
      <font>
        <color rgb="FF9C0006"/>
      </font>
      <fill>
        <patternFill patternType="solid">
          <bgColor theme="5" tint="0.79998168889431442"/>
        </patternFill>
      </fill>
    </dxf>
    <dxf>
      <font>
        <b val="0"/>
        <i val="0"/>
        <color theme="3" tint="-0.24994659260841701"/>
      </font>
      <fill>
        <patternFill>
          <bgColor theme="4" tint="0.79998168889431442"/>
        </patternFill>
      </fill>
    </dxf>
    <dxf>
      <font>
        <color rgb="FF9C0006"/>
      </font>
      <fill>
        <patternFill patternType="solid">
          <bgColor theme="5" tint="0.79998168889431442"/>
        </patternFill>
      </fill>
    </dxf>
    <dxf>
      <font>
        <b val="0"/>
        <i val="0"/>
        <color theme="3" tint="-0.24994659260841701"/>
      </font>
      <fill>
        <patternFill>
          <bgColor theme="4" tint="0.79998168889431442"/>
        </patternFill>
      </fill>
    </dxf>
    <dxf>
      <font>
        <color rgb="FF9C0006"/>
      </font>
      <fill>
        <patternFill patternType="solid">
          <bgColor theme="5" tint="0.79998168889431442"/>
        </patternFill>
      </fill>
    </dxf>
    <dxf>
      <font>
        <b val="0"/>
        <i val="0"/>
        <color theme="3" tint="-0.24994659260841701"/>
      </font>
      <fill>
        <patternFill>
          <bgColor theme="4" tint="0.79998168889431442"/>
        </patternFill>
      </fill>
    </dxf>
    <dxf>
      <font>
        <color rgb="FF9C0006"/>
      </font>
      <fill>
        <patternFill patternType="solid">
          <bgColor theme="5" tint="0.79998168889431442"/>
        </patternFill>
      </fill>
    </dxf>
    <dxf>
      <font>
        <b val="0"/>
        <i val="0"/>
        <color theme="3" tint="-0.24994659260841701"/>
      </font>
      <fill>
        <patternFill>
          <bgColor theme="4" tint="0.79998168889431442"/>
        </patternFill>
      </fill>
    </dxf>
    <dxf>
      <font>
        <color rgb="FF9C0006"/>
      </font>
      <fill>
        <patternFill patternType="solid">
          <bgColor theme="5" tint="0.79998168889431442"/>
        </patternFill>
      </fill>
    </dxf>
    <dxf>
      <font>
        <b val="0"/>
        <i val="0"/>
        <color theme="3" tint="-0.24994659260841701"/>
      </font>
      <fill>
        <patternFill>
          <bgColor theme="4" tint="0.79998168889431442"/>
        </patternFill>
      </fill>
    </dxf>
    <dxf>
      <font>
        <color rgb="FF9C0006"/>
      </font>
      <fill>
        <patternFill patternType="solid">
          <bgColor theme="5" tint="0.79998168889431442"/>
        </patternFill>
      </fill>
    </dxf>
    <dxf>
      <font>
        <b val="0"/>
        <i val="0"/>
        <color theme="3" tint="-0.24994659260841701"/>
      </font>
      <fill>
        <patternFill>
          <bgColor theme="4" tint="0.79998168889431442"/>
        </patternFill>
      </fill>
    </dxf>
    <dxf>
      <font>
        <color rgb="FF9C0006"/>
      </font>
      <fill>
        <patternFill patternType="solid">
          <bgColor theme="5" tint="0.79998168889431442"/>
        </patternFill>
      </fill>
    </dxf>
    <dxf>
      <font>
        <b val="0"/>
        <i val="0"/>
        <color theme="3" tint="-0.24994659260841701"/>
      </font>
      <fill>
        <patternFill>
          <bgColor theme="4" tint="0.79998168889431442"/>
        </patternFill>
      </fill>
    </dxf>
    <dxf>
      <font>
        <color rgb="FF9C0006"/>
      </font>
      <fill>
        <patternFill patternType="solid">
          <bgColor theme="5" tint="0.79998168889431442"/>
        </patternFill>
      </fill>
    </dxf>
    <dxf>
      <font>
        <b val="0"/>
        <i val="0"/>
        <color theme="3" tint="-0.24994659260841701"/>
      </font>
      <fill>
        <patternFill>
          <bgColor theme="4" tint="0.79998168889431442"/>
        </patternFill>
      </fill>
    </dxf>
    <dxf>
      <font>
        <color rgb="FF9C0006"/>
      </font>
      <fill>
        <patternFill patternType="solid">
          <bgColor theme="5" tint="0.79998168889431442"/>
        </patternFill>
      </fill>
    </dxf>
    <dxf>
      <font>
        <b val="0"/>
        <i val="0"/>
        <color theme="3" tint="-0.24994659260841701"/>
      </font>
      <fill>
        <patternFill>
          <bgColor theme="4" tint="0.79998168889431442"/>
        </patternFill>
      </fill>
    </dxf>
    <dxf>
      <font>
        <color rgb="FF9C0006"/>
      </font>
      <fill>
        <patternFill patternType="solid">
          <bgColor theme="5" tint="0.79998168889431442"/>
        </patternFill>
      </fill>
    </dxf>
    <dxf>
      <font>
        <b val="0"/>
        <i val="0"/>
        <color theme="3" tint="-0.24994659260841701"/>
      </font>
      <fill>
        <patternFill>
          <bgColor theme="4" tint="0.79998168889431442"/>
        </patternFill>
      </fill>
    </dxf>
    <dxf>
      <font>
        <color rgb="FF9C0006"/>
      </font>
      <fill>
        <patternFill patternType="solid">
          <bgColor theme="5" tint="0.79998168889431442"/>
        </patternFill>
      </fill>
    </dxf>
    <dxf>
      <font>
        <b val="0"/>
        <i val="0"/>
        <color theme="3" tint="-0.24994659260841701"/>
      </font>
      <fill>
        <patternFill>
          <bgColor theme="4" tint="0.79998168889431442"/>
        </patternFill>
      </fill>
    </dxf>
    <dxf>
      <font>
        <color rgb="FF9C0006"/>
      </font>
      <fill>
        <patternFill patternType="solid">
          <bgColor theme="5" tint="0.79998168889431442"/>
        </patternFill>
      </fill>
    </dxf>
    <dxf>
      <font>
        <b val="0"/>
        <i val="0"/>
        <color theme="3" tint="-0.24994659260841701"/>
      </font>
      <fill>
        <patternFill>
          <bgColor theme="4" tint="0.79998168889431442"/>
        </patternFill>
      </fill>
    </dxf>
    <dxf>
      <font>
        <color rgb="FF9C0006"/>
      </font>
      <fill>
        <patternFill patternType="solid">
          <bgColor theme="5" tint="0.79998168889431442"/>
        </patternFill>
      </fill>
    </dxf>
    <dxf>
      <font>
        <b val="0"/>
        <i val="0"/>
        <color theme="3" tint="-0.24994659260841701"/>
      </font>
      <fill>
        <patternFill>
          <bgColor theme="4" tint="0.79998168889431442"/>
        </patternFill>
      </fill>
    </dxf>
    <dxf>
      <font>
        <color rgb="FF9C0006"/>
      </font>
      <fill>
        <patternFill patternType="solid">
          <bgColor theme="5" tint="0.79998168889431442"/>
        </patternFill>
      </fill>
    </dxf>
    <dxf>
      <font>
        <b val="0"/>
        <i val="0"/>
        <color theme="3" tint="-0.24994659260841701"/>
      </font>
      <fill>
        <patternFill>
          <bgColor theme="4" tint="0.79998168889431442"/>
        </patternFill>
      </fill>
    </dxf>
    <dxf>
      <font>
        <color rgb="FF9C0006"/>
      </font>
      <fill>
        <patternFill patternType="solid">
          <bgColor theme="5" tint="0.79998168889431442"/>
        </patternFill>
      </fill>
    </dxf>
    <dxf>
      <font>
        <b val="0"/>
        <i val="0"/>
        <color theme="3" tint="-0.24994659260841701"/>
      </font>
      <fill>
        <patternFill>
          <bgColor theme="4" tint="0.79998168889431442"/>
        </patternFill>
      </fill>
    </dxf>
    <dxf>
      <font>
        <color rgb="FF9C0006"/>
      </font>
      <fill>
        <patternFill patternType="solid">
          <bgColor theme="5" tint="0.79998168889431442"/>
        </patternFill>
      </fill>
    </dxf>
    <dxf>
      <font>
        <b val="0"/>
        <i val="0"/>
        <color theme="3" tint="-0.24994659260841701"/>
      </font>
      <fill>
        <patternFill>
          <bgColor theme="4" tint="0.79998168889431442"/>
        </patternFill>
      </fill>
    </dxf>
    <dxf>
      <font>
        <color rgb="FF9C0006"/>
      </font>
      <fill>
        <patternFill patternType="solid">
          <bgColor theme="5" tint="0.79998168889431442"/>
        </patternFill>
      </fill>
    </dxf>
    <dxf>
      <font>
        <b val="0"/>
        <i val="0"/>
        <color theme="3" tint="-0.24994659260841701"/>
      </font>
      <fill>
        <patternFill>
          <bgColor theme="4" tint="0.79998168889431442"/>
        </patternFill>
      </fill>
    </dxf>
    <dxf>
      <font>
        <color rgb="FF9C0006"/>
      </font>
      <fill>
        <patternFill patternType="solid">
          <bgColor theme="5" tint="0.79998168889431442"/>
        </patternFill>
      </fill>
    </dxf>
    <dxf>
      <font>
        <b val="0"/>
        <i val="0"/>
        <color theme="3" tint="-0.24994659260841701"/>
      </font>
      <fill>
        <patternFill>
          <bgColor theme="4" tint="0.79998168889431442"/>
        </patternFill>
      </fill>
    </dxf>
    <dxf>
      <font>
        <color rgb="FF9C0006"/>
      </font>
      <fill>
        <patternFill patternType="solid">
          <bgColor theme="5" tint="0.79998168889431442"/>
        </patternFill>
      </fill>
    </dxf>
    <dxf>
      <font>
        <b val="0"/>
        <i val="0"/>
        <color theme="3" tint="-0.24994659260841701"/>
      </font>
      <fill>
        <patternFill>
          <bgColor theme="4" tint="0.79998168889431442"/>
        </patternFill>
      </fill>
    </dxf>
    <dxf>
      <font>
        <color rgb="FF9C0006"/>
      </font>
      <fill>
        <patternFill patternType="solid">
          <bgColor theme="5" tint="0.79998168889431442"/>
        </patternFill>
      </fill>
    </dxf>
    <dxf>
      <font>
        <b val="0"/>
        <i val="0"/>
        <color theme="3" tint="-0.24994659260841701"/>
      </font>
      <fill>
        <patternFill>
          <bgColor theme="4" tint="0.79998168889431442"/>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theme" Target="theme/theme1.xml"/><Relationship Id="rId3" Type="http://schemas.openxmlformats.org/officeDocument/2006/relationships/worksheet" Target="worksheets/sheet3.xml"/><Relationship Id="rId21" Type="http://schemas.openxmlformats.org/officeDocument/2006/relationships/pivotCacheDefinition" Target="pivotCache/pivotCacheDefinition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microsoft.com/office/2007/relationships/slicerCache" Target="slicerCaches/slicerCache3.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microsoft.com/office/2017/10/relationships/person" Target="persons/person.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microsoft.com/office/2007/relationships/slicerCache" Target="slicerCaches/slicerCache2.xml"/><Relationship Id="rId5" Type="http://schemas.openxmlformats.org/officeDocument/2006/relationships/worksheet" Target="worksheets/sheet5.xml"/><Relationship Id="rId15" Type="http://schemas.openxmlformats.org/officeDocument/2006/relationships/worksheet" Target="worksheets/sheet15.xml"/><Relationship Id="rId23" Type="http://schemas.microsoft.com/office/2007/relationships/slicerCache" Target="slicerCaches/slicerCache1.xml"/><Relationship Id="rId28" Type="http://schemas.openxmlformats.org/officeDocument/2006/relationships/sharedStrings" Target="sharedStrings.xml"/><Relationship Id="rId10" Type="http://schemas.openxmlformats.org/officeDocument/2006/relationships/worksheet" Target="worksheets/sheet10.xml"/><Relationship Id="rId19" Type="http://schemas.openxmlformats.org/officeDocument/2006/relationships/worksheet" Target="worksheets/sheet19.xml"/><Relationship Id="rId31"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pivotCacheDefinition" Target="pivotCache/pivotCacheDefinition2.xml"/><Relationship Id="rId27" Type="http://schemas.openxmlformats.org/officeDocument/2006/relationships/styles" Target="styles.xml"/><Relationship Id="rId30" Type="http://schemas.openxmlformats.org/officeDocument/2006/relationships/calcChain" Target="calcChain.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activeX1.xml><?xml version="1.0" encoding="utf-8"?>
<ax:ocx xmlns:ax="http://schemas.microsoft.com/office/2006/activeX" xmlns:r="http://schemas.openxmlformats.org/officeDocument/2006/relationships" ax:classid="{D7053240-CE69-11CD-A777-00DD01143C57}" ax:persistence="persistStreamInit" r:id="rId1"/>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'Summary Figure'!$A$2</c:f>
          <c:strCache>
            <c:ptCount val="1"/>
            <c:pt idx="0">
              <c:v>BGP160W</c:v>
            </c:pt>
          </c:strCache>
        </c:strRef>
      </c:tx>
      <c:overlay val="0"/>
      <c:txPr>
        <a:bodyPr/>
        <a:lstStyle/>
        <a:p>
          <a:pPr>
            <a:defRPr sz="1400"/>
          </a:pPr>
          <a:endParaRPr lang="en-US"/>
        </a:p>
      </c:txPr>
    </c:title>
    <c:autoTitleDeleted val="0"/>
    <c:plotArea>
      <c:layout/>
      <c:scatterChart>
        <c:scatterStyle val="lineMarker"/>
        <c:varyColors val="0"/>
        <c:ser>
          <c:idx val="0"/>
          <c:order val="0"/>
          <c:tx>
            <c:v>Average Cover</c:v>
          </c:tx>
          <c:spPr>
            <a:ln w="28575">
              <a:noFill/>
            </a:ln>
          </c:spPr>
          <c:xVal>
            <c:numRef>
              <c:f>'Summary Figure'!$B$30:$N$30</c:f>
              <c:numCache>
                <c:formatCode>General</c:formatCode>
                <c:ptCount val="13"/>
                <c:pt idx="0">
                  <c:v>1999</c:v>
                </c:pt>
                <c:pt idx="1">
                  <c:v>2001</c:v>
                </c:pt>
                <c:pt idx="2">
                  <c:v>2002</c:v>
                </c:pt>
                <c:pt idx="3">
                  <c:v>2003</c:v>
                </c:pt>
                <c:pt idx="4">
                  <c:v>2004</c:v>
                </c:pt>
                <c:pt idx="5">
                  <c:v>2005</c:v>
                </c:pt>
                <c:pt idx="6">
                  <c:v>2006</c:v>
                </c:pt>
                <c:pt idx="7">
                  <c:v>2007</c:v>
                </c:pt>
                <c:pt idx="8">
                  <c:v>2010</c:v>
                </c:pt>
                <c:pt idx="9">
                  <c:v>2012</c:v>
                </c:pt>
                <c:pt idx="10">
                  <c:v>2013</c:v>
                </c:pt>
                <c:pt idx="11">
                  <c:v>2016</c:v>
                </c:pt>
                <c:pt idx="12">
                  <c:v>2017</c:v>
                </c:pt>
              </c:numCache>
            </c:numRef>
          </c:xVal>
          <c:yVal>
            <c:numRef>
              <c:f>'Summary Figure'!$B$31:$N$31</c:f>
              <c:numCache>
                <c:formatCode>0.0</c:formatCode>
                <c:ptCount val="13"/>
                <c:pt idx="0">
                  <c:v>#N/A</c:v>
                </c:pt>
                <c:pt idx="1">
                  <c:v>#N/A</c:v>
                </c:pt>
                <c:pt idx="2">
                  <c:v>#N/A</c:v>
                </c:pt>
                <c:pt idx="3">
                  <c:v>#N/A</c:v>
                </c:pt>
                <c:pt idx="4">
                  <c:v>#N/A</c:v>
                </c:pt>
                <c:pt idx="5">
                  <c:v>#N/A</c:v>
                </c:pt>
                <c:pt idx="6">
                  <c:v>#N/A</c:v>
                </c:pt>
                <c:pt idx="7">
                  <c:v>#N/A</c:v>
                </c:pt>
                <c:pt idx="8">
                  <c:v>#N/A</c:v>
                </c:pt>
                <c:pt idx="9">
                  <c:v>#N/A</c:v>
                </c:pt>
                <c:pt idx="10">
                  <c:v>1.7591349739000748</c:v>
                </c:pt>
                <c:pt idx="11">
                  <c:v>2.2645041014168532</c:v>
                </c:pt>
                <c:pt idx="12">
                  <c:v>4.1578672632363904</c:v>
                </c:pt>
              </c:numCache>
            </c:numRef>
          </c:yVal>
          <c:smooth val="0"/>
          <c:extLst>
            <c:ext xmlns:c16="http://schemas.microsoft.com/office/drawing/2014/chart" uri="{C3380CC4-5D6E-409C-BE32-E72D297353CC}">
              <c16:uniqueId val="{00000000-DD9B-4D6B-BE85-2967D99897C4}"/>
            </c:ext>
          </c:extLst>
        </c:ser>
        <c:ser>
          <c:idx val="1"/>
          <c:order val="1"/>
          <c:tx>
            <c:v>Target Cover</c:v>
          </c:tx>
          <c:marker>
            <c:symbol val="none"/>
          </c:marker>
          <c:xVal>
            <c:numRef>
              <c:f>'Summary Figure'!$B$30:$N$30</c:f>
              <c:numCache>
                <c:formatCode>General</c:formatCode>
                <c:ptCount val="13"/>
                <c:pt idx="0">
                  <c:v>1999</c:v>
                </c:pt>
                <c:pt idx="1">
                  <c:v>2001</c:v>
                </c:pt>
                <c:pt idx="2">
                  <c:v>2002</c:v>
                </c:pt>
                <c:pt idx="3">
                  <c:v>2003</c:v>
                </c:pt>
                <c:pt idx="4">
                  <c:v>2004</c:v>
                </c:pt>
                <c:pt idx="5">
                  <c:v>2005</c:v>
                </c:pt>
                <c:pt idx="6">
                  <c:v>2006</c:v>
                </c:pt>
                <c:pt idx="7">
                  <c:v>2007</c:v>
                </c:pt>
                <c:pt idx="8">
                  <c:v>2010</c:v>
                </c:pt>
                <c:pt idx="9">
                  <c:v>2012</c:v>
                </c:pt>
                <c:pt idx="10">
                  <c:v>2013</c:v>
                </c:pt>
                <c:pt idx="11">
                  <c:v>2016</c:v>
                </c:pt>
                <c:pt idx="12">
                  <c:v>2017</c:v>
                </c:pt>
              </c:numCache>
            </c:numRef>
          </c:xVal>
          <c:yVal>
            <c:numRef>
              <c:f>'Summary Figure'!$B$36:$N$36</c:f>
              <c:numCache>
                <c:formatCode>0.0</c:formatCode>
                <c:ptCount val="13"/>
                <c:pt idx="0">
                  <c:v>15.93</c:v>
                </c:pt>
                <c:pt idx="1">
                  <c:v>15.93</c:v>
                </c:pt>
                <c:pt idx="2">
                  <c:v>15.93</c:v>
                </c:pt>
                <c:pt idx="3">
                  <c:v>15.93</c:v>
                </c:pt>
                <c:pt idx="4">
                  <c:v>15.93</c:v>
                </c:pt>
                <c:pt idx="5">
                  <c:v>15.93</c:v>
                </c:pt>
                <c:pt idx="6">
                  <c:v>15.93</c:v>
                </c:pt>
                <c:pt idx="7">
                  <c:v>15.93</c:v>
                </c:pt>
                <c:pt idx="8">
                  <c:v>15.93</c:v>
                </c:pt>
                <c:pt idx="9">
                  <c:v>15.93</c:v>
                </c:pt>
                <c:pt idx="10">
                  <c:v>15.93</c:v>
                </c:pt>
                <c:pt idx="11">
                  <c:v>15.93</c:v>
                </c:pt>
                <c:pt idx="12">
                  <c:v>15.93</c:v>
                </c:pt>
              </c:numCache>
            </c:numRef>
          </c:yVal>
          <c:smooth val="0"/>
          <c:extLst>
            <c:ext xmlns:c16="http://schemas.microsoft.com/office/drawing/2014/chart" uri="{C3380CC4-5D6E-409C-BE32-E72D297353CC}">
              <c16:uniqueId val="{00000001-DD9B-4D6B-BE85-2967D99897C4}"/>
            </c:ext>
          </c:extLst>
        </c:ser>
        <c:ser>
          <c:idx val="2"/>
          <c:order val="2"/>
          <c:spPr>
            <a:ln w="28575">
              <a:noFill/>
            </a:ln>
          </c:spPr>
          <c:marker>
            <c:symbol val="dash"/>
            <c:size val="7"/>
            <c:spPr>
              <a:solidFill>
                <a:schemeClr val="accent1"/>
              </a:solidFill>
              <a:ln>
                <a:solidFill>
                  <a:schemeClr val="accent1"/>
                </a:solidFill>
              </a:ln>
            </c:spPr>
          </c:marker>
          <c:xVal>
            <c:numRef>
              <c:f>'Summary Figure'!$B$30:$N$30</c:f>
              <c:numCache>
                <c:formatCode>General</c:formatCode>
                <c:ptCount val="13"/>
                <c:pt idx="0">
                  <c:v>1999</c:v>
                </c:pt>
                <c:pt idx="1">
                  <c:v>2001</c:v>
                </c:pt>
                <c:pt idx="2">
                  <c:v>2002</c:v>
                </c:pt>
                <c:pt idx="3">
                  <c:v>2003</c:v>
                </c:pt>
                <c:pt idx="4">
                  <c:v>2004</c:v>
                </c:pt>
                <c:pt idx="5">
                  <c:v>2005</c:v>
                </c:pt>
                <c:pt idx="6">
                  <c:v>2006</c:v>
                </c:pt>
                <c:pt idx="7">
                  <c:v>2007</c:v>
                </c:pt>
                <c:pt idx="8">
                  <c:v>2010</c:v>
                </c:pt>
                <c:pt idx="9">
                  <c:v>2012</c:v>
                </c:pt>
                <c:pt idx="10">
                  <c:v>2013</c:v>
                </c:pt>
                <c:pt idx="11">
                  <c:v>2016</c:v>
                </c:pt>
                <c:pt idx="12">
                  <c:v>2017</c:v>
                </c:pt>
              </c:numCache>
            </c:numRef>
          </c:xVal>
          <c:yVal>
            <c:numRef>
              <c:f>'Summary Figure'!$B$34:$N$34</c:f>
              <c:numCache>
                <c:formatCode>0.0</c:formatCode>
                <c:ptCount val="13"/>
                <c:pt idx="0">
                  <c:v>#N/A</c:v>
                </c:pt>
                <c:pt idx="1">
                  <c:v>#N/A</c:v>
                </c:pt>
                <c:pt idx="2">
                  <c:v>#N/A</c:v>
                </c:pt>
                <c:pt idx="3">
                  <c:v>#N/A</c:v>
                </c:pt>
                <c:pt idx="4">
                  <c:v>#N/A</c:v>
                </c:pt>
                <c:pt idx="5">
                  <c:v>#N/A</c:v>
                </c:pt>
                <c:pt idx="6">
                  <c:v>#N/A</c:v>
                </c:pt>
                <c:pt idx="7">
                  <c:v>#N/A</c:v>
                </c:pt>
                <c:pt idx="8">
                  <c:v>#N/A</c:v>
                </c:pt>
                <c:pt idx="9">
                  <c:v>#N/A</c:v>
                </c:pt>
                <c:pt idx="10">
                  <c:v>3.2123958127898042</c:v>
                </c:pt>
                <c:pt idx="11">
                  <c:v>4.0749762986137847</c:v>
                </c:pt>
                <c:pt idx="12">
                  <c:v>6.8155766765493055</c:v>
                </c:pt>
              </c:numCache>
            </c:numRef>
          </c:yVal>
          <c:smooth val="0"/>
          <c:extLst>
            <c:ext xmlns:c16="http://schemas.microsoft.com/office/drawing/2014/chart" uri="{C3380CC4-5D6E-409C-BE32-E72D297353CC}">
              <c16:uniqueId val="{00000002-DD9B-4D6B-BE85-2967D99897C4}"/>
            </c:ext>
          </c:extLst>
        </c:ser>
        <c:dLbls>
          <c:showLegendKey val="0"/>
          <c:showVal val="0"/>
          <c:showCatName val="0"/>
          <c:showSerName val="0"/>
          <c:showPercent val="0"/>
          <c:showBubbleSize val="0"/>
        </c:dLbls>
        <c:axId val="193857792"/>
        <c:axId val="207196544"/>
      </c:scatterChart>
      <c:valAx>
        <c:axId val="193857792"/>
        <c:scaling>
          <c:orientation val="minMax"/>
        </c:scaling>
        <c:delete val="0"/>
        <c:axPos val="b"/>
        <c:title>
          <c:tx>
            <c:rich>
              <a:bodyPr/>
              <a:lstStyle/>
              <a:p>
                <a:pPr>
                  <a:defRPr sz="1200"/>
                </a:pPr>
                <a:r>
                  <a:rPr lang="en-US" sz="1200"/>
                  <a:t>Year</a:t>
                </a:r>
              </a:p>
            </c:rich>
          </c:tx>
          <c:overlay val="0"/>
        </c:title>
        <c:numFmt formatCode="General" sourceLinked="1"/>
        <c:majorTickMark val="out"/>
        <c:minorTickMark val="none"/>
        <c:tickLblPos val="nextTo"/>
        <c:crossAx val="207196544"/>
        <c:crosses val="autoZero"/>
        <c:crossBetween val="midCat"/>
      </c:valAx>
      <c:valAx>
        <c:axId val="207196544"/>
        <c:scaling>
          <c:orientation val="minMax"/>
        </c:scaling>
        <c:delete val="0"/>
        <c:axPos val="l"/>
        <c:majorGridlines/>
        <c:title>
          <c:tx>
            <c:rich>
              <a:bodyPr rot="-5400000" vert="horz"/>
              <a:lstStyle/>
              <a:p>
                <a:pPr>
                  <a:defRPr sz="1200"/>
                </a:pPr>
                <a:r>
                  <a:rPr lang="en-US" sz="1200"/>
                  <a:t>Cover (%)</a:t>
                </a:r>
              </a:p>
            </c:rich>
          </c:tx>
          <c:overlay val="0"/>
        </c:title>
        <c:numFmt formatCode="0" sourceLinked="0"/>
        <c:majorTickMark val="out"/>
        <c:minorTickMark val="none"/>
        <c:tickLblPos val="nextTo"/>
        <c:crossAx val="193857792"/>
        <c:crosses val="autoZero"/>
        <c:crossBetween val="midCat"/>
      </c:valAx>
    </c:plotArea>
    <c:legend>
      <c:legendPos val="b"/>
      <c:legendEntry>
        <c:idx val="2"/>
        <c:delete val="1"/>
      </c:legendEntry>
      <c:overlay val="0"/>
    </c:legend>
    <c:plotVisOnly val="1"/>
    <c:dispBlanksAs val="span"/>
    <c:showDLblsOverMax val="0"/>
  </c:chart>
  <c:txPr>
    <a:bodyPr/>
    <a:lstStyle/>
    <a:p>
      <a:pPr>
        <a:defRPr sz="1100">
          <a:latin typeface="Arial" panose="020B0604020202020204" pitchFamily="34" charset="0"/>
          <a:cs typeface="Arial" panose="020B0604020202020204" pitchFamily="34" charset="0"/>
        </a:defRPr>
      </a:pPr>
      <a:endParaRPr lang="en-US"/>
    </a:p>
  </c:txPr>
  <c:printSettings>
    <c:headerFooter/>
    <c:pageMargins b="0.75" l="0.7" r="0.7" t="0.75" header="0.3" footer="0.3"/>
    <c:pageSetup/>
  </c:printSettings>
</c:chartSpace>
</file>

<file path=xl/drawings/_rels/drawing1.xml.rels><?xml version="1.0" encoding="UTF-8" standalone="yes"?>
<Relationships xmlns="http://schemas.openxmlformats.org/package/2006/relationships"><Relationship Id="rId1" Type="http://schemas.openxmlformats.org/officeDocument/2006/relationships/chart" Target="../charts/chart1.xml"/></Relationships>
</file>

<file path=xl/drawings/_rels/vmlDrawing1.vml.rels><?xml version="1.0" encoding="UTF-8" standalone="yes"?>
<Relationships xmlns="http://schemas.openxmlformats.org/package/2006/relationships"><Relationship Id="rId1" Type="http://schemas.openxmlformats.org/officeDocument/2006/relationships/image" Target="../media/image1.emf"/></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69850</xdr:colOff>
          <xdr:row>2</xdr:row>
          <xdr:rowOff>63500</xdr:rowOff>
        </xdr:from>
        <xdr:to>
          <xdr:col>0</xdr:col>
          <xdr:colOff>1066800</xdr:colOff>
          <xdr:row>4</xdr:row>
          <xdr:rowOff>69850</xdr:rowOff>
        </xdr:to>
        <xdr:sp macro="" textlink="">
          <xdr:nvSpPr>
            <xdr:cNvPr id="2049" name="CommandButton1" hidden="1">
              <a:extLst>
                <a:ext uri="{63B3BB69-23CF-44E3-9099-C40C66FF867C}">
                  <a14:compatExt spid="_x0000_s2049"/>
                </a:ext>
                <a:ext uri="{FF2B5EF4-FFF2-40B4-BE49-F238E27FC236}">
                  <a16:creationId xmlns:a16="http://schemas.microsoft.com/office/drawing/2014/main" id="{00000000-0008-0000-0100-0000010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2</xdr:col>
      <xdr:colOff>0</xdr:colOff>
      <xdr:row>0</xdr:row>
      <xdr:rowOff>0</xdr:rowOff>
    </xdr:from>
    <xdr:to>
      <xdr:col>14</xdr:col>
      <xdr:colOff>0</xdr:colOff>
      <xdr:row>25</xdr:row>
      <xdr:rowOff>0</xdr:rowOff>
    </xdr:to>
    <xdr:graphicFrame macro="">
      <xdr:nvGraphicFramePr>
        <xdr:cNvPr id="4" name="Chart 3">
          <a:extLst>
            <a:ext uri="{FF2B5EF4-FFF2-40B4-BE49-F238E27FC236}">
              <a16:creationId xmlns:a16="http://schemas.microsoft.com/office/drawing/2014/main" id="{00000000-0008-0000-01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2.xml><?xml version="1.0" encoding="utf-8"?>
<xdr:wsDr xmlns:xdr="http://schemas.openxmlformats.org/drawingml/2006/spreadsheetDrawing" xmlns:a="http://schemas.openxmlformats.org/drawingml/2006/main">
  <xdr:twoCellAnchor editAs="oneCell">
    <xdr:from>
      <xdr:col>19</xdr:col>
      <xdr:colOff>0</xdr:colOff>
      <xdr:row>5</xdr:row>
      <xdr:rowOff>0</xdr:rowOff>
    </xdr:from>
    <xdr:to>
      <xdr:col>22</xdr:col>
      <xdr:colOff>0</xdr:colOff>
      <xdr:row>19</xdr:row>
      <xdr:rowOff>28575</xdr:rowOff>
    </xdr:to>
    <mc:AlternateContent xmlns:mc="http://schemas.openxmlformats.org/markup-compatibility/2006" xmlns:a14="http://schemas.microsoft.com/office/drawing/2010/main">
      <mc:Choice Requires="a14">
        <xdr:graphicFrame macro="">
          <xdr:nvGraphicFramePr>
            <xdr:cNvPr id="2" name="Comment">
              <a:extLst>
                <a:ext uri="{FF2B5EF4-FFF2-40B4-BE49-F238E27FC236}">
                  <a16:creationId xmlns:a16="http://schemas.microsoft.com/office/drawing/2014/main" id="{00000000-0008-0000-0200-000002000000}"/>
                </a:ext>
              </a:extLst>
            </xdr:cNvPr>
            <xdr:cNvGraphicFramePr/>
          </xdr:nvGraphicFramePr>
          <xdr:xfrm>
            <a:off x="0" y="0"/>
            <a:ext cx="0" cy="0"/>
          </xdr:xfrm>
          <a:graphic>
            <a:graphicData uri="http://schemas.microsoft.com/office/drawing/2010/slicer">
              <sle:slicer xmlns:sle="http://schemas.microsoft.com/office/drawing/2010/slicer" name="Comment"/>
            </a:graphicData>
          </a:graphic>
        </xdr:graphicFrame>
      </mc:Choice>
      <mc:Fallback xmlns="">
        <xdr:sp macro="" textlink="">
          <xdr:nvSpPr>
            <xdr:cNvPr id="0" name=""/>
            <xdr:cNvSpPr>
              <a:spLocks noTextEdit="1"/>
            </xdr:cNvSpPr>
          </xdr:nvSpPr>
          <xdr:spPr>
            <a:xfrm>
              <a:off x="11020425" y="1038225"/>
              <a:ext cx="1828800" cy="2524125"/>
            </a:xfrm>
            <a:prstGeom prst="rect">
              <a:avLst/>
            </a:prstGeom>
            <a:solidFill>
              <a:prstClr val="white"/>
            </a:solidFill>
            <a:ln w="1">
              <a:solidFill>
                <a:prstClr val="green"/>
              </a:solidFill>
            </a:ln>
          </xdr:spPr>
          <xdr:txBody>
            <a:bodyPr vertOverflow="clip" horzOverflow="clip"/>
            <a:lstStyle/>
            <a:p>
              <a:r>
                <a:rPr lang="en-US" sz="1100"/>
                <a:t>This shape represents a slicer. Slicers can be used in at least Excel 2010.
If the shape was modified in an earlier version of Excel, or if the workbook was saved in Excel 2003 or earlier, the slicer cannot be used.</a:t>
              </a:r>
            </a:p>
          </xdr:txBody>
        </xdr:sp>
      </mc:Fallback>
    </mc:AlternateContent>
    <xdr:clientData/>
  </xdr:twoCellAnchor>
  <xdr:twoCellAnchor editAs="oneCell">
    <xdr:from>
      <xdr:col>16</xdr:col>
      <xdr:colOff>0</xdr:colOff>
      <xdr:row>5</xdr:row>
      <xdr:rowOff>0</xdr:rowOff>
    </xdr:from>
    <xdr:to>
      <xdr:col>19</xdr:col>
      <xdr:colOff>0</xdr:colOff>
      <xdr:row>19</xdr:row>
      <xdr:rowOff>28575</xdr:rowOff>
    </xdr:to>
    <mc:AlternateContent xmlns:mc="http://schemas.openxmlformats.org/markup-compatibility/2006" xmlns:a14="http://schemas.microsoft.com/office/drawing/2010/main">
      <mc:Choice Requires="a14">
        <xdr:graphicFrame macro="">
          <xdr:nvGraphicFramePr>
            <xdr:cNvPr id="5" name="Logevity">
              <a:extLst>
                <a:ext uri="{FF2B5EF4-FFF2-40B4-BE49-F238E27FC236}">
                  <a16:creationId xmlns:a16="http://schemas.microsoft.com/office/drawing/2014/main" id="{00000000-0008-0000-0200-000005000000}"/>
                </a:ext>
              </a:extLst>
            </xdr:cNvPr>
            <xdr:cNvGraphicFramePr/>
          </xdr:nvGraphicFramePr>
          <xdr:xfrm>
            <a:off x="0" y="0"/>
            <a:ext cx="0" cy="0"/>
          </xdr:xfrm>
          <a:graphic>
            <a:graphicData uri="http://schemas.microsoft.com/office/drawing/2010/slicer">
              <sle:slicer xmlns:sle="http://schemas.microsoft.com/office/drawing/2010/slicer" name="Logevity"/>
            </a:graphicData>
          </a:graphic>
        </xdr:graphicFrame>
      </mc:Choice>
      <mc:Fallback xmlns="">
        <xdr:sp macro="" textlink="">
          <xdr:nvSpPr>
            <xdr:cNvPr id="0" name=""/>
            <xdr:cNvSpPr>
              <a:spLocks noTextEdit="1"/>
            </xdr:cNvSpPr>
          </xdr:nvSpPr>
          <xdr:spPr>
            <a:xfrm>
              <a:off x="9191625" y="1038225"/>
              <a:ext cx="1828800" cy="2524125"/>
            </a:xfrm>
            <a:prstGeom prst="rect">
              <a:avLst/>
            </a:prstGeom>
            <a:solidFill>
              <a:prstClr val="white"/>
            </a:solidFill>
            <a:ln w="1">
              <a:solidFill>
                <a:prstClr val="green"/>
              </a:solidFill>
            </a:ln>
          </xdr:spPr>
          <xdr:txBody>
            <a:bodyPr vertOverflow="clip" horzOverflow="clip"/>
            <a:lstStyle/>
            <a:p>
              <a:r>
                <a:rPr lang="en-US" sz="1100"/>
                <a:t>This shape represents a slicer. Slicers can be used in at least Excel 2010.
If the shape was modified in an earlier version of Excel, or if the workbook was saved in Excel 2003 or earlier, the slicer cannot be used.</a:t>
              </a:r>
            </a:p>
          </xdr:txBody>
        </xdr:sp>
      </mc:Fallback>
    </mc:AlternateContent>
    <xdr:clientData/>
  </xdr:twoCellAnchor>
</xdr:wsDr>
</file>

<file path=xl/drawings/drawing3.xml><?xml version="1.0" encoding="utf-8"?>
<xdr:wsDr xmlns:xdr="http://schemas.openxmlformats.org/drawingml/2006/spreadsheetDrawing" xmlns:a="http://schemas.openxmlformats.org/drawingml/2006/main">
  <xdr:twoCellAnchor editAs="absolute">
    <xdr:from>
      <xdr:col>13</xdr:col>
      <xdr:colOff>617220</xdr:colOff>
      <xdr:row>2</xdr:row>
      <xdr:rowOff>167640</xdr:rowOff>
    </xdr:from>
    <xdr:to>
      <xdr:col>13</xdr:col>
      <xdr:colOff>2446020</xdr:colOff>
      <xdr:row>35</xdr:row>
      <xdr:rowOff>74295</xdr:rowOff>
    </xdr:to>
    <mc:AlternateContent xmlns:mc="http://schemas.openxmlformats.org/markup-compatibility/2006" xmlns:sle15="http://schemas.microsoft.com/office/drawing/2012/slicer">
      <mc:Choice Requires="sle15">
        <xdr:graphicFrame macro="">
          <xdr:nvGraphicFramePr>
            <xdr:cNvPr id="2" name="Site">
              <a:extLst>
                <a:ext uri="{FF2B5EF4-FFF2-40B4-BE49-F238E27FC236}">
                  <a16:creationId xmlns:a16="http://schemas.microsoft.com/office/drawing/2014/main" id="{00000000-0008-0000-0F00-000002000000}"/>
                </a:ext>
              </a:extLst>
            </xdr:cNvPr>
            <xdr:cNvGraphicFramePr/>
          </xdr:nvGraphicFramePr>
          <xdr:xfrm>
            <a:off x="0" y="0"/>
            <a:ext cx="0" cy="0"/>
          </xdr:xfrm>
          <a:graphic>
            <a:graphicData uri="http://schemas.microsoft.com/office/drawing/2010/slicer">
              <sle:slicer xmlns:sle="http://schemas.microsoft.com/office/drawing/2010/slicer" name="Site"/>
            </a:graphicData>
          </a:graphic>
        </xdr:graphicFrame>
      </mc:Choice>
      <mc:Fallback xmlns="">
        <xdr:sp macro="" textlink="">
          <xdr:nvSpPr>
            <xdr:cNvPr id="0" name=""/>
            <xdr:cNvSpPr>
              <a:spLocks noTextEdit="1"/>
            </xdr:cNvSpPr>
          </xdr:nvSpPr>
          <xdr:spPr>
            <a:xfrm>
              <a:off x="11490960" y="350520"/>
              <a:ext cx="1828800" cy="2466975"/>
            </a:xfrm>
            <a:prstGeom prst="rect">
              <a:avLst/>
            </a:prstGeom>
            <a:solidFill>
              <a:prstClr val="white"/>
            </a:solidFill>
            <a:ln w="1">
              <a:solidFill>
                <a:prstClr val="green"/>
              </a:solidFill>
            </a:ln>
          </xdr:spPr>
          <xdr:txBody>
            <a:bodyPr vertOverflow="clip" horzOverflow="clip"/>
            <a:lstStyle/>
            <a:p>
              <a:r>
                <a:rPr lang="en-US" sz="1100"/>
                <a:t>This shape represents a table slicer. Table slicers are not supported in this version of Excel.
If the shape was modified in an earlier version of Excel, or if the workbook was saved in Excel 2007 or earlier, the slicer can't be used.</a:t>
              </a:r>
            </a:p>
          </xdr:txBody>
        </xdr:sp>
      </mc:Fallback>
    </mc:AlternateContent>
    <xdr:clientData/>
  </xdr:twoCellAnchor>
</xdr:wsDr>
</file>

<file path=xl/persons/person.xml><?xml version="1.0" encoding="utf-8"?>
<personList xmlns="http://schemas.microsoft.com/office/spreadsheetml/2018/threadedcomments" xmlns:x="http://schemas.openxmlformats.org/spreadsheetml/2006/main">
  <person displayName="Zach Nelson" id="{EBCB44A1-0573-438B-8340-FED5C29C9884}" userId="S::znelson@inyocounty.us::3f66df1d-d306-45a1-b42d-124f546db229" providerId="AD"/>
</personList>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_rels/pivotCacheDefinition2.xml.rels><?xml version="1.0" encoding="UTF-8" standalone="yes"?>
<Relationships xmlns="http://schemas.openxmlformats.org/package/2006/relationships"><Relationship Id="rId1" Type="http://schemas.openxmlformats.org/officeDocument/2006/relationships/pivotCacheRecords" Target="pivotCacheRecords2.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Zach Nelson" refreshedDate="44490.603591435189" createdVersion="4" refreshedVersion="4" minRefreshableVersion="3" recordCount="2320" xr:uid="{00000000-000A-0000-FFFF-FFFF1A000000}">
  <cacheSource type="worksheet">
    <worksheetSource name="Table2"/>
  </cacheSource>
  <cacheFields count="16">
    <cacheField name="Site" numFmtId="0">
      <sharedItems count="12">
        <s v="BGP160"/>
        <s v="BIS097"/>
        <s v="BLK016E"/>
        <s v="IND105"/>
        <s v="IND123"/>
        <s v="IND131N"/>
        <s v="IND131S"/>
        <s v="LAW118"/>
        <s v="TIN054"/>
        <s v="BGP160W"/>
        <s v="HinesSouth"/>
        <s v="INTAKE" u="1"/>
      </sharedItems>
    </cacheField>
    <cacheField name="Year" numFmtId="0">
      <sharedItems containsSemiMixedTypes="0" containsString="0" containsNumber="1" containsInteger="1" minValue="1999" maxValue="2019" count="14">
        <n v="1999"/>
        <n v="2006"/>
        <n v="2012"/>
        <n v="2003"/>
        <n v="2007"/>
        <n v="2002"/>
        <n v="2005"/>
        <n v="2010"/>
        <n v="2001"/>
        <n v="2004"/>
        <n v="2013"/>
        <n v="2016"/>
        <n v="2017"/>
        <n v="2019"/>
      </sharedItems>
    </cacheField>
    <cacheField name="Transect Original" numFmtId="0">
      <sharedItems containsBlank="1"/>
    </cacheField>
    <cacheField name="Transect" numFmtId="0">
      <sharedItems containsMixedTypes="1" containsNumber="1" minValue="1" maxValue="16.100000000000001" count="92">
        <n v="1.1000000000000001"/>
        <n v="1.2"/>
        <n v="1.3"/>
        <n v="1.4"/>
        <n v="1.5"/>
        <n v="1.6"/>
        <n v="1.7"/>
        <n v="2.1"/>
        <n v="2.2000000000000002"/>
        <n v="2.2999999999999998"/>
        <n v="2.4"/>
        <n v="2.5"/>
        <n v="2.6"/>
        <n v="2.7"/>
        <n v="3.1"/>
        <n v="3.2"/>
        <n v="3.3"/>
        <n v="3.4"/>
        <n v="3.5"/>
        <n v="3.6"/>
        <n v="3.7"/>
        <n v="4.0999999999999996"/>
        <n v="4.2"/>
        <n v="4.3"/>
        <n v="4.4000000000000004"/>
        <n v="4.5"/>
        <n v="4.5999999999999996"/>
        <n v="4.7"/>
        <n v="5.0999999999999996"/>
        <n v="5.2"/>
        <n v="5.3"/>
        <n v="5.4"/>
        <n v="5.5"/>
        <n v="5.6"/>
        <n v="5.7"/>
        <n v="6.1"/>
        <n v="6.2"/>
        <n v="6.3"/>
        <n v="6.4"/>
        <n v="6.5"/>
        <n v="6.6"/>
        <n v="6.7"/>
        <n v="7.1"/>
        <n v="7.2"/>
        <n v="7.3"/>
        <n v="7.4"/>
        <n v="7.5"/>
        <n v="7.6"/>
        <n v="7.7"/>
        <n v="8.1"/>
        <n v="8.1999999999999993"/>
        <n v="8.3000000000000007"/>
        <n v="8.4"/>
        <n v="8.5"/>
        <n v="2.8"/>
        <n v="9.1"/>
        <n v="9.1999999999999993"/>
        <n v="10.1"/>
        <n v="10.199999999999999"/>
        <s v="A1"/>
        <s v="A2"/>
        <s v="A1.2"/>
        <s v="A2.2"/>
        <s v="A3.2"/>
        <n v="11.1"/>
        <n v="12.1"/>
        <n v="13.1"/>
        <n v="14.1"/>
        <n v="15.1"/>
        <n v="16.100000000000001"/>
        <s v="1.0"/>
        <s v="2.0"/>
        <s v="3.0"/>
        <s v="4.0"/>
        <s v="10.2A"/>
        <s v="10.2B"/>
        <n v="13" u="1"/>
        <n v="5" u="1"/>
        <n v="14" u="1"/>
        <n v="15" u="1"/>
        <n v="2" u="1"/>
        <n v="6" u="1"/>
        <n v="16" u="1"/>
        <n v="7" u="1"/>
        <n v="1" u="1"/>
        <n v="3" u="1"/>
        <n v="8" u="1"/>
        <n v="9" u="1"/>
        <n v="10" u="1"/>
        <n v="11" u="1"/>
        <n v="4" u="1"/>
        <n v="12" u="1"/>
      </sharedItems>
    </cacheField>
    <cacheField name="Line" numFmtId="0">
      <sharedItems containsMixedTypes="1" containsNumber="1" containsInteger="1" minValue="1" maxValue="16"/>
    </cacheField>
    <cacheField name="Species" numFmtId="0">
      <sharedItems count="74">
        <s v="SATR12"/>
        <s v="ERNA10"/>
        <s v="ATCA2"/>
        <s v="SPAI"/>
        <s v="ATTO"/>
        <s v="ROPS"/>
        <s v="ARTR2"/>
        <s v="SAVE4"/>
        <s v="HECU3"/>
        <s v="ATCO"/>
        <s v="ATPO"/>
        <s v="KRLA2"/>
        <s v="NONE"/>
        <s v="ATSE2"/>
        <s v="BAHY"/>
        <s v="MEAL12"/>
        <s v="ULPU"/>
        <s v="BROMU"/>
        <s v="2FORB"/>
        <s v="DISP"/>
        <s v="MALE3"/>
        <s v="DESCU"/>
        <s v="STEPH"/>
        <s v="CLEOM"/>
        <s v="PSARM"/>
        <s v="LETR5"/>
        <s v="CLLU2"/>
        <s v="ERDE6"/>
        <s v="STPA4"/>
        <s v="ROWOU"/>
        <s v="FOPU2"/>
        <s v="IVAX"/>
        <s v="LEFR2"/>
        <s v="ACHY"/>
        <s v="LACO13"/>
        <s v="PSPO"/>
        <s v="ASFA"/>
        <s v="COAR4"/>
        <s v="CYDA"/>
        <s v="MUAS"/>
        <s v="COCO"/>
        <s v="LOCA5"/>
        <s v="LASE"/>
        <s v="GNPA"/>
        <s v="PACA6"/>
        <s v="CIIN"/>
        <s v="CIAR4"/>
        <s v="ERAGR"/>
        <s v="HEAN3"/>
        <s v="POFR2"/>
        <s v="COCA5"/>
        <s v="MEAL6"/>
        <s v="LEPID"/>
        <s v="PLANT"/>
        <s v="ERIGE2"/>
        <s v="ECCR"/>
        <s v="SEVI4"/>
        <s v="MESA"/>
        <s v="HOJU"/>
        <s v="POFE"/>
        <s v="ERIGER"/>
        <s v="ERIOG"/>
        <s v="CHBR"/>
        <s v="OENOT"/>
        <s v="CHLE4"/>
        <s v="AMDU2"/>
        <s v="ERMA"/>
        <s v="MEOF"/>
        <s v="TRIFO"/>
        <s v="TAOFC"/>
        <s v="ERDI4"/>
        <s v="ELEOC"/>
        <s v="EUOC4"/>
        <s v="ULPA"/>
      </sharedItems>
    </cacheField>
    <cacheField name="Hits" numFmtId="0">
      <sharedItems containsSemiMixedTypes="0" containsString="0" containsNumber="1" containsInteger="1" minValue="0" maxValue="160"/>
    </cacheField>
    <cacheField name="Points" numFmtId="0">
      <sharedItems containsSemiMixedTypes="0" containsString="0" containsNumber="1" containsInteger="1" minValue="13" maxValue="220"/>
    </cacheField>
    <cacheField name="Length (m)" numFmtId="0">
      <sharedItems containsString="0" containsBlank="1" containsNumber="1" minValue="6.5" maxValue="110"/>
    </cacheField>
    <cacheField name="Cover" numFmtId="0">
      <sharedItems containsSemiMixedTypes="0" containsString="0" containsNumber="1" minValue="0" maxValue="80"/>
    </cacheField>
    <cacheField name="Target Cover" numFmtId="0">
      <sharedItems containsMixedTypes="1" containsNumber="1" minValue="11.5" maxValue="34"/>
    </cacheField>
    <cacheField name="Target Spp Richness" numFmtId="0">
      <sharedItems containsMixedTypes="1" containsNumber="1" containsInteger="1" minValue="3" maxValue="12"/>
    </cacheField>
    <cacheField name="Logevity" numFmtId="0">
      <sharedItems count="7">
        <s v="Annual"/>
        <s v="Perennial"/>
        <s v="NA"/>
        <s v="Annual/Biennial/Perennial"/>
        <s v="Unknown"/>
        <s v="Annual/Biennial"/>
        <e v="#N/A"/>
      </sharedItems>
    </cacheField>
    <cacheField name="Comment" numFmtId="0">
      <sharedItems containsBlank="1" count="10">
        <m/>
        <s v="Recorded as desc"/>
        <s v="Recorded as ERCU"/>
        <s v="Recorded as UNKF1"/>
        <s v="Recorded as MASA"/>
        <s v="Difference in length is 3m from 2016 (24m)."/>
        <s v="Difference in length is 5m from 2016 (21m)."/>
        <s v="Length from 2016 (18.5m) is used as length was not recorded in 2017."/>
        <s v="Recorded as STPA"/>
        <s v="Duplicate"/>
      </sharedItems>
    </cacheField>
    <cacheField name="Helper_SPP" numFmtId="0">
      <sharedItems containsSemiMixedTypes="0" containsString="0" containsNumber="1" containsInteger="1" minValue="0" maxValue="1"/>
    </cacheField>
    <cacheField name="Helper_Tran" numFmtId="0">
      <sharedItems containsSemiMixedTypes="0" containsString="0" containsNumber="1" containsInteger="1" minValue="0" maxValue="1"/>
    </cacheField>
  </cacheFields>
  <extLst>
    <ext xmlns:x14="http://schemas.microsoft.com/office/spreadsheetml/2009/9/main" uri="{725AE2AE-9491-48be-B2B4-4EB974FC3084}">
      <x14:pivotCacheDefinition pivotCacheId="1"/>
    </ext>
  </extLst>
</pivotCacheDefinition>
</file>

<file path=xl/pivotCache/pivotCacheDefinition2.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Zach Nelson" refreshedDate="45147.709358680557" createdVersion="8" refreshedVersion="8" minRefreshableVersion="3" recordCount="103" xr:uid="{A0C715D8-F50F-414D-9C87-31A1FC69099C}">
  <cacheSource type="worksheet">
    <worksheetSource ref="A1:P1048576" sheet="Sheet1"/>
  </cacheSource>
  <cacheFields count="16">
    <cacheField name="Site" numFmtId="0">
      <sharedItems containsBlank="1"/>
    </cacheField>
    <cacheField name="Year" numFmtId="0">
      <sharedItems containsString="0" containsBlank="1" containsNumber="1" containsInteger="1" minValue="1999" maxValue="2010" count="5">
        <n v="1999"/>
        <n v="2002"/>
        <n v="2005"/>
        <n v="2010"/>
        <m/>
      </sharedItems>
    </cacheField>
    <cacheField name="Transect Original" numFmtId="0">
      <sharedItems containsBlank="1"/>
    </cacheField>
    <cacheField name="Transect" numFmtId="0">
      <sharedItems containsString="0" containsBlank="1" containsNumber="1" minValue="1.1000000000000001" maxValue="7.1" count="10">
        <n v="1.1000000000000001"/>
        <n v="2.1"/>
        <n v="2.2000000000000002"/>
        <n v="3.1"/>
        <n v="3.2"/>
        <n v="4.0999999999999996"/>
        <n v="5.0999999999999996"/>
        <n v="6.1"/>
        <n v="7.1"/>
        <m/>
      </sharedItems>
    </cacheField>
    <cacheField name="Line" numFmtId="0">
      <sharedItems containsString="0" containsBlank="1" containsNumber="1" containsInteger="1" minValue="1" maxValue="7"/>
    </cacheField>
    <cacheField name="Species" numFmtId="0">
      <sharedItems containsBlank="1" count="13">
        <s v="MALE3"/>
        <s v="DISP"/>
        <s v="ATTO"/>
        <s v="SPAI"/>
        <s v="ATCA2"/>
        <s v="SAVE4"/>
        <s v="ARTR2"/>
        <s v="HECU3"/>
        <s v="PSARM"/>
        <s v="LETR5"/>
        <s v="ERNA10"/>
        <s v="STPA4"/>
        <m/>
      </sharedItems>
    </cacheField>
    <cacheField name="Hits" numFmtId="0">
      <sharedItems containsString="0" containsBlank="1" containsNumber="1" containsInteger="1" minValue="1" maxValue="37"/>
    </cacheField>
    <cacheField name="Points" numFmtId="0">
      <sharedItems containsString="0" containsBlank="1" containsNumber="1" containsInteger="1" minValue="35" maxValue="197"/>
    </cacheField>
    <cacheField name="Length (m)" numFmtId="0">
      <sharedItems containsString="0" containsBlank="1" containsNumber="1" minValue="18" maxValue="98.5"/>
    </cacheField>
    <cacheField name="Cover" numFmtId="0">
      <sharedItems containsString="0" containsBlank="1" containsNumber="1" minValue="0.50761421319796951" maxValue="72.222222222222214"/>
    </cacheField>
    <cacheField name="Target Cover" numFmtId="0">
      <sharedItems containsString="0" containsBlank="1" containsNumber="1" containsInteger="1" minValue="34" maxValue="34"/>
    </cacheField>
    <cacheField name="Target Spp Richness" numFmtId="0">
      <sharedItems containsString="0" containsBlank="1" containsNumber="1" containsInteger="1" minValue="6" maxValue="6"/>
    </cacheField>
    <cacheField name="Logevity" numFmtId="0">
      <sharedItems containsBlank="1" count="2">
        <s v="Perennial"/>
        <m/>
      </sharedItems>
    </cacheField>
    <cacheField name="Comment" numFmtId="0">
      <sharedItems containsNonDate="0" containsString="0" containsBlank="1"/>
    </cacheField>
    <cacheField name="Helper_SPP" numFmtId="0">
      <sharedItems containsString="0" containsBlank="1" containsNumber="1" containsInteger="1" minValue="0" maxValue="1"/>
    </cacheField>
    <cacheField name="Helper_Tran" numFmtId="0">
      <sharedItems containsString="0" containsBlank="1" containsNumber="1" containsInteger="1" minValue="0" maxValue="1"/>
    </cacheField>
  </cacheFields>
  <extLst>
    <ext xmlns:x14="http://schemas.microsoft.com/office/spreadsheetml/2009/9/main" uri="{725AE2AE-9491-48be-B2B4-4EB974FC3084}">
      <x14:pivotCacheDefinition/>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2320">
  <r>
    <x v="0"/>
    <x v="0"/>
    <m/>
    <x v="0"/>
    <n v="1"/>
    <x v="0"/>
    <n v="10"/>
    <n v="200"/>
    <m/>
    <n v="5"/>
    <n v="17.7"/>
    <n v="10"/>
    <x v="0"/>
    <x v="0"/>
    <n v="1"/>
    <n v="1"/>
  </r>
  <r>
    <x v="0"/>
    <x v="0"/>
    <m/>
    <x v="0"/>
    <n v="1"/>
    <x v="1"/>
    <n v="6"/>
    <n v="200"/>
    <m/>
    <n v="3"/>
    <n v="17.7"/>
    <n v="10"/>
    <x v="1"/>
    <x v="0"/>
    <n v="1"/>
    <n v="0"/>
  </r>
  <r>
    <x v="0"/>
    <x v="0"/>
    <m/>
    <x v="0"/>
    <n v="1"/>
    <x v="2"/>
    <n v="2"/>
    <n v="200"/>
    <m/>
    <n v="1"/>
    <n v="17.7"/>
    <n v="10"/>
    <x v="1"/>
    <x v="0"/>
    <n v="1"/>
    <n v="0"/>
  </r>
  <r>
    <x v="0"/>
    <x v="0"/>
    <m/>
    <x v="1"/>
    <n v="1"/>
    <x v="0"/>
    <n v="11"/>
    <n v="200"/>
    <m/>
    <n v="5.5"/>
    <n v="17.7"/>
    <n v="10"/>
    <x v="0"/>
    <x v="0"/>
    <n v="0"/>
    <n v="1"/>
  </r>
  <r>
    <x v="0"/>
    <x v="0"/>
    <m/>
    <x v="1"/>
    <n v="1"/>
    <x v="1"/>
    <n v="1"/>
    <n v="200"/>
    <m/>
    <n v="0.5"/>
    <n v="17.7"/>
    <n v="10"/>
    <x v="1"/>
    <x v="0"/>
    <n v="0"/>
    <n v="0"/>
  </r>
  <r>
    <x v="0"/>
    <x v="0"/>
    <m/>
    <x v="2"/>
    <n v="1"/>
    <x v="0"/>
    <n v="11"/>
    <n v="200"/>
    <m/>
    <n v="5.5"/>
    <n v="17.7"/>
    <n v="10"/>
    <x v="0"/>
    <x v="0"/>
    <n v="0"/>
    <n v="1"/>
  </r>
  <r>
    <x v="0"/>
    <x v="0"/>
    <m/>
    <x v="2"/>
    <n v="1"/>
    <x v="1"/>
    <n v="1"/>
    <n v="200"/>
    <m/>
    <n v="0.5"/>
    <n v="17.7"/>
    <n v="10"/>
    <x v="1"/>
    <x v="0"/>
    <n v="0"/>
    <n v="0"/>
  </r>
  <r>
    <x v="0"/>
    <x v="0"/>
    <m/>
    <x v="3"/>
    <n v="1"/>
    <x v="0"/>
    <n v="21"/>
    <n v="200"/>
    <m/>
    <n v="10.5"/>
    <n v="17.7"/>
    <n v="10"/>
    <x v="0"/>
    <x v="0"/>
    <n v="0"/>
    <n v="1"/>
  </r>
  <r>
    <x v="0"/>
    <x v="0"/>
    <m/>
    <x v="4"/>
    <n v="1"/>
    <x v="0"/>
    <n v="12"/>
    <n v="200"/>
    <m/>
    <n v="6"/>
    <n v="17.7"/>
    <n v="10"/>
    <x v="0"/>
    <x v="0"/>
    <n v="0"/>
    <n v="1"/>
  </r>
  <r>
    <x v="0"/>
    <x v="0"/>
    <m/>
    <x v="4"/>
    <n v="1"/>
    <x v="3"/>
    <n v="2"/>
    <n v="200"/>
    <m/>
    <n v="1"/>
    <n v="17.7"/>
    <n v="10"/>
    <x v="1"/>
    <x v="0"/>
    <n v="1"/>
    <n v="0"/>
  </r>
  <r>
    <x v="0"/>
    <x v="0"/>
    <m/>
    <x v="5"/>
    <n v="1"/>
    <x v="0"/>
    <n v="3"/>
    <n v="200"/>
    <m/>
    <n v="1.5"/>
    <n v="17.7"/>
    <n v="10"/>
    <x v="0"/>
    <x v="0"/>
    <n v="0"/>
    <n v="1"/>
  </r>
  <r>
    <x v="0"/>
    <x v="0"/>
    <m/>
    <x v="5"/>
    <n v="1"/>
    <x v="3"/>
    <n v="1"/>
    <n v="200"/>
    <m/>
    <n v="0.5"/>
    <n v="17.7"/>
    <n v="10"/>
    <x v="1"/>
    <x v="0"/>
    <n v="0"/>
    <n v="0"/>
  </r>
  <r>
    <x v="0"/>
    <x v="0"/>
    <m/>
    <x v="6"/>
    <n v="1"/>
    <x v="0"/>
    <n v="1"/>
    <n v="200"/>
    <m/>
    <n v="0.5"/>
    <n v="17.7"/>
    <n v="10"/>
    <x v="0"/>
    <x v="0"/>
    <n v="0"/>
    <n v="1"/>
  </r>
  <r>
    <x v="0"/>
    <x v="0"/>
    <m/>
    <x v="6"/>
    <n v="1"/>
    <x v="1"/>
    <n v="7"/>
    <n v="200"/>
    <m/>
    <n v="3.5000000000000004"/>
    <n v="17.7"/>
    <n v="10"/>
    <x v="1"/>
    <x v="0"/>
    <n v="0"/>
    <n v="0"/>
  </r>
  <r>
    <x v="0"/>
    <x v="0"/>
    <m/>
    <x v="7"/>
    <n v="2"/>
    <x v="0"/>
    <n v="11"/>
    <n v="200"/>
    <m/>
    <n v="5.5"/>
    <n v="17.7"/>
    <n v="10"/>
    <x v="0"/>
    <x v="0"/>
    <n v="0"/>
    <n v="1"/>
  </r>
  <r>
    <x v="0"/>
    <x v="0"/>
    <m/>
    <x v="7"/>
    <n v="2"/>
    <x v="1"/>
    <n v="4"/>
    <n v="200"/>
    <m/>
    <n v="2"/>
    <n v="17.7"/>
    <n v="10"/>
    <x v="1"/>
    <x v="0"/>
    <n v="0"/>
    <n v="0"/>
  </r>
  <r>
    <x v="0"/>
    <x v="0"/>
    <m/>
    <x v="7"/>
    <n v="2"/>
    <x v="4"/>
    <n v="7"/>
    <n v="200"/>
    <m/>
    <n v="3.5000000000000004"/>
    <n v="17.7"/>
    <n v="10"/>
    <x v="1"/>
    <x v="0"/>
    <n v="1"/>
    <n v="0"/>
  </r>
  <r>
    <x v="0"/>
    <x v="0"/>
    <m/>
    <x v="7"/>
    <n v="2"/>
    <x v="3"/>
    <n v="1"/>
    <n v="200"/>
    <m/>
    <n v="0.5"/>
    <n v="17.7"/>
    <n v="10"/>
    <x v="1"/>
    <x v="0"/>
    <n v="0"/>
    <n v="0"/>
  </r>
  <r>
    <x v="0"/>
    <x v="0"/>
    <m/>
    <x v="8"/>
    <n v="2"/>
    <x v="0"/>
    <n v="40"/>
    <n v="200"/>
    <m/>
    <n v="20"/>
    <n v="17.7"/>
    <n v="10"/>
    <x v="0"/>
    <x v="0"/>
    <n v="0"/>
    <n v="1"/>
  </r>
  <r>
    <x v="0"/>
    <x v="0"/>
    <m/>
    <x v="8"/>
    <n v="2"/>
    <x v="3"/>
    <n v="1"/>
    <n v="200"/>
    <m/>
    <n v="0.5"/>
    <n v="17.7"/>
    <n v="10"/>
    <x v="1"/>
    <x v="0"/>
    <n v="0"/>
    <n v="0"/>
  </r>
  <r>
    <x v="0"/>
    <x v="0"/>
    <m/>
    <x v="9"/>
    <n v="2"/>
    <x v="0"/>
    <n v="38"/>
    <n v="200"/>
    <m/>
    <n v="19"/>
    <n v="17.7"/>
    <n v="10"/>
    <x v="0"/>
    <x v="0"/>
    <n v="0"/>
    <n v="1"/>
  </r>
  <r>
    <x v="0"/>
    <x v="0"/>
    <m/>
    <x v="9"/>
    <n v="2"/>
    <x v="1"/>
    <n v="2"/>
    <n v="200"/>
    <m/>
    <n v="1"/>
    <n v="17.7"/>
    <n v="10"/>
    <x v="1"/>
    <x v="0"/>
    <n v="0"/>
    <n v="0"/>
  </r>
  <r>
    <x v="0"/>
    <x v="0"/>
    <m/>
    <x v="10"/>
    <n v="2"/>
    <x v="0"/>
    <n v="40"/>
    <n v="200"/>
    <m/>
    <n v="20"/>
    <n v="17.7"/>
    <n v="10"/>
    <x v="0"/>
    <x v="0"/>
    <n v="0"/>
    <n v="1"/>
  </r>
  <r>
    <x v="0"/>
    <x v="0"/>
    <m/>
    <x v="11"/>
    <n v="2"/>
    <x v="0"/>
    <n v="9"/>
    <n v="200"/>
    <m/>
    <n v="4.5"/>
    <n v="17.7"/>
    <n v="10"/>
    <x v="0"/>
    <x v="0"/>
    <n v="0"/>
    <n v="1"/>
  </r>
  <r>
    <x v="0"/>
    <x v="0"/>
    <m/>
    <x v="12"/>
    <n v="2"/>
    <x v="0"/>
    <n v="20"/>
    <n v="200"/>
    <m/>
    <n v="10"/>
    <n v="17.7"/>
    <n v="10"/>
    <x v="0"/>
    <x v="0"/>
    <n v="0"/>
    <n v="1"/>
  </r>
  <r>
    <x v="0"/>
    <x v="0"/>
    <m/>
    <x v="12"/>
    <n v="2"/>
    <x v="1"/>
    <n v="3"/>
    <n v="200"/>
    <m/>
    <n v="1.5"/>
    <n v="17.7"/>
    <n v="10"/>
    <x v="1"/>
    <x v="0"/>
    <n v="0"/>
    <n v="0"/>
  </r>
  <r>
    <x v="0"/>
    <x v="0"/>
    <m/>
    <x v="13"/>
    <n v="2"/>
    <x v="0"/>
    <n v="40"/>
    <n v="200"/>
    <m/>
    <n v="20"/>
    <n v="17.7"/>
    <n v="10"/>
    <x v="0"/>
    <x v="0"/>
    <n v="0"/>
    <n v="1"/>
  </r>
  <r>
    <x v="0"/>
    <x v="0"/>
    <m/>
    <x v="13"/>
    <n v="2"/>
    <x v="1"/>
    <n v="1"/>
    <n v="200"/>
    <m/>
    <n v="0.5"/>
    <n v="17.7"/>
    <n v="10"/>
    <x v="1"/>
    <x v="0"/>
    <n v="0"/>
    <n v="0"/>
  </r>
  <r>
    <x v="0"/>
    <x v="0"/>
    <m/>
    <x v="14"/>
    <n v="3"/>
    <x v="0"/>
    <n v="4"/>
    <n v="200"/>
    <m/>
    <n v="2"/>
    <n v="17.7"/>
    <n v="10"/>
    <x v="0"/>
    <x v="0"/>
    <n v="0"/>
    <n v="1"/>
  </r>
  <r>
    <x v="0"/>
    <x v="0"/>
    <m/>
    <x v="15"/>
    <n v="3"/>
    <x v="0"/>
    <n v="40"/>
    <n v="200"/>
    <m/>
    <n v="20"/>
    <n v="17.7"/>
    <n v="10"/>
    <x v="0"/>
    <x v="0"/>
    <n v="0"/>
    <n v="1"/>
  </r>
  <r>
    <x v="0"/>
    <x v="0"/>
    <m/>
    <x v="16"/>
    <n v="3"/>
    <x v="0"/>
    <n v="80"/>
    <n v="200"/>
    <m/>
    <n v="40"/>
    <n v="17.7"/>
    <n v="10"/>
    <x v="0"/>
    <x v="0"/>
    <n v="0"/>
    <n v="1"/>
  </r>
  <r>
    <x v="0"/>
    <x v="0"/>
    <m/>
    <x v="17"/>
    <n v="3"/>
    <x v="0"/>
    <n v="80"/>
    <n v="200"/>
    <m/>
    <n v="40"/>
    <n v="17.7"/>
    <n v="10"/>
    <x v="0"/>
    <x v="0"/>
    <n v="0"/>
    <n v="1"/>
  </r>
  <r>
    <x v="0"/>
    <x v="0"/>
    <m/>
    <x v="18"/>
    <n v="3"/>
    <x v="0"/>
    <n v="120"/>
    <n v="200"/>
    <m/>
    <n v="60"/>
    <n v="17.7"/>
    <n v="10"/>
    <x v="0"/>
    <x v="0"/>
    <n v="0"/>
    <n v="1"/>
  </r>
  <r>
    <x v="0"/>
    <x v="0"/>
    <m/>
    <x v="19"/>
    <n v="3"/>
    <x v="0"/>
    <n v="10"/>
    <n v="200"/>
    <m/>
    <n v="5"/>
    <n v="17.7"/>
    <n v="10"/>
    <x v="0"/>
    <x v="0"/>
    <n v="0"/>
    <n v="1"/>
  </r>
  <r>
    <x v="0"/>
    <x v="0"/>
    <m/>
    <x v="19"/>
    <n v="3"/>
    <x v="5"/>
    <n v="7"/>
    <n v="200"/>
    <m/>
    <n v="3.5000000000000004"/>
    <n v="17.7"/>
    <n v="10"/>
    <x v="1"/>
    <x v="0"/>
    <n v="1"/>
    <n v="0"/>
  </r>
  <r>
    <x v="0"/>
    <x v="0"/>
    <m/>
    <x v="20"/>
    <n v="3"/>
    <x v="0"/>
    <n v="16"/>
    <n v="200"/>
    <m/>
    <n v="8"/>
    <n v="17.7"/>
    <n v="10"/>
    <x v="0"/>
    <x v="0"/>
    <n v="0"/>
    <n v="1"/>
  </r>
  <r>
    <x v="0"/>
    <x v="0"/>
    <m/>
    <x v="20"/>
    <n v="3"/>
    <x v="1"/>
    <n v="8"/>
    <n v="200"/>
    <m/>
    <n v="4"/>
    <n v="17.7"/>
    <n v="10"/>
    <x v="1"/>
    <x v="0"/>
    <n v="0"/>
    <n v="0"/>
  </r>
  <r>
    <x v="0"/>
    <x v="0"/>
    <m/>
    <x v="21"/>
    <n v="4"/>
    <x v="0"/>
    <n v="20"/>
    <n v="200"/>
    <m/>
    <n v="10"/>
    <n v="17.7"/>
    <n v="10"/>
    <x v="0"/>
    <x v="0"/>
    <n v="0"/>
    <n v="1"/>
  </r>
  <r>
    <x v="0"/>
    <x v="0"/>
    <m/>
    <x v="21"/>
    <n v="4"/>
    <x v="1"/>
    <n v="16"/>
    <n v="200"/>
    <m/>
    <n v="8"/>
    <n v="17.7"/>
    <n v="10"/>
    <x v="1"/>
    <x v="0"/>
    <n v="0"/>
    <n v="0"/>
  </r>
  <r>
    <x v="0"/>
    <x v="0"/>
    <m/>
    <x v="22"/>
    <n v="4"/>
    <x v="0"/>
    <n v="100"/>
    <n v="200"/>
    <m/>
    <n v="50"/>
    <n v="17.7"/>
    <n v="10"/>
    <x v="0"/>
    <x v="0"/>
    <n v="0"/>
    <n v="1"/>
  </r>
  <r>
    <x v="0"/>
    <x v="0"/>
    <m/>
    <x v="22"/>
    <n v="4"/>
    <x v="1"/>
    <n v="1"/>
    <n v="200"/>
    <m/>
    <n v="0.5"/>
    <n v="17.7"/>
    <n v="10"/>
    <x v="1"/>
    <x v="0"/>
    <n v="0"/>
    <n v="0"/>
  </r>
  <r>
    <x v="0"/>
    <x v="0"/>
    <m/>
    <x v="23"/>
    <n v="4"/>
    <x v="0"/>
    <n v="70"/>
    <n v="200"/>
    <m/>
    <n v="35"/>
    <n v="17.7"/>
    <n v="10"/>
    <x v="0"/>
    <x v="0"/>
    <n v="0"/>
    <n v="1"/>
  </r>
  <r>
    <x v="0"/>
    <x v="0"/>
    <m/>
    <x v="23"/>
    <n v="4"/>
    <x v="1"/>
    <n v="2"/>
    <n v="200"/>
    <m/>
    <n v="1"/>
    <n v="17.7"/>
    <n v="10"/>
    <x v="1"/>
    <x v="0"/>
    <n v="0"/>
    <n v="0"/>
  </r>
  <r>
    <x v="0"/>
    <x v="0"/>
    <m/>
    <x v="24"/>
    <n v="4"/>
    <x v="0"/>
    <n v="100"/>
    <n v="200"/>
    <m/>
    <n v="50"/>
    <n v="17.7"/>
    <n v="10"/>
    <x v="0"/>
    <x v="0"/>
    <n v="0"/>
    <n v="1"/>
  </r>
  <r>
    <x v="0"/>
    <x v="0"/>
    <m/>
    <x v="25"/>
    <n v="4"/>
    <x v="0"/>
    <n v="100"/>
    <n v="200"/>
    <m/>
    <n v="50"/>
    <n v="17.7"/>
    <n v="10"/>
    <x v="0"/>
    <x v="0"/>
    <n v="0"/>
    <n v="1"/>
  </r>
  <r>
    <x v="0"/>
    <x v="0"/>
    <m/>
    <x v="25"/>
    <n v="4"/>
    <x v="1"/>
    <n v="3"/>
    <n v="200"/>
    <m/>
    <n v="1.5"/>
    <n v="17.7"/>
    <n v="10"/>
    <x v="1"/>
    <x v="0"/>
    <n v="0"/>
    <n v="0"/>
  </r>
  <r>
    <x v="0"/>
    <x v="0"/>
    <m/>
    <x v="26"/>
    <n v="4"/>
    <x v="0"/>
    <n v="30"/>
    <n v="200"/>
    <m/>
    <n v="15"/>
    <n v="17.7"/>
    <n v="10"/>
    <x v="0"/>
    <x v="0"/>
    <n v="0"/>
    <n v="1"/>
  </r>
  <r>
    <x v="0"/>
    <x v="0"/>
    <m/>
    <x v="26"/>
    <n v="4"/>
    <x v="6"/>
    <n v="5"/>
    <n v="200"/>
    <m/>
    <n v="2.5"/>
    <n v="17.7"/>
    <n v="10"/>
    <x v="1"/>
    <x v="0"/>
    <n v="1"/>
    <n v="0"/>
  </r>
  <r>
    <x v="0"/>
    <x v="0"/>
    <m/>
    <x v="27"/>
    <n v="4"/>
    <x v="0"/>
    <n v="30"/>
    <n v="200"/>
    <m/>
    <n v="15"/>
    <n v="17.7"/>
    <n v="10"/>
    <x v="0"/>
    <x v="0"/>
    <n v="0"/>
    <n v="1"/>
  </r>
  <r>
    <x v="0"/>
    <x v="0"/>
    <m/>
    <x v="28"/>
    <n v="5"/>
    <x v="0"/>
    <n v="1"/>
    <n v="200"/>
    <m/>
    <n v="0.5"/>
    <n v="17.7"/>
    <n v="10"/>
    <x v="0"/>
    <x v="0"/>
    <n v="0"/>
    <n v="1"/>
  </r>
  <r>
    <x v="0"/>
    <x v="0"/>
    <m/>
    <x v="28"/>
    <n v="5"/>
    <x v="4"/>
    <n v="9"/>
    <n v="200"/>
    <m/>
    <n v="4.5"/>
    <n v="17.7"/>
    <n v="10"/>
    <x v="1"/>
    <x v="0"/>
    <n v="0"/>
    <n v="0"/>
  </r>
  <r>
    <x v="0"/>
    <x v="0"/>
    <m/>
    <x v="28"/>
    <n v="5"/>
    <x v="7"/>
    <n v="6"/>
    <n v="200"/>
    <m/>
    <n v="3"/>
    <n v="17.7"/>
    <n v="10"/>
    <x v="1"/>
    <x v="0"/>
    <n v="1"/>
    <n v="0"/>
  </r>
  <r>
    <x v="0"/>
    <x v="0"/>
    <m/>
    <x v="29"/>
    <n v="5"/>
    <x v="0"/>
    <n v="27"/>
    <n v="200"/>
    <m/>
    <n v="13.5"/>
    <n v="17.7"/>
    <n v="10"/>
    <x v="0"/>
    <x v="0"/>
    <n v="0"/>
    <n v="1"/>
  </r>
  <r>
    <x v="0"/>
    <x v="0"/>
    <m/>
    <x v="29"/>
    <n v="5"/>
    <x v="1"/>
    <n v="3"/>
    <n v="200"/>
    <m/>
    <n v="1.5"/>
    <n v="17.7"/>
    <n v="10"/>
    <x v="1"/>
    <x v="0"/>
    <n v="0"/>
    <n v="0"/>
  </r>
  <r>
    <x v="0"/>
    <x v="0"/>
    <m/>
    <x v="30"/>
    <n v="5"/>
    <x v="0"/>
    <n v="24"/>
    <n v="200"/>
    <m/>
    <n v="12"/>
    <n v="17.7"/>
    <n v="10"/>
    <x v="0"/>
    <x v="0"/>
    <n v="0"/>
    <n v="1"/>
  </r>
  <r>
    <x v="0"/>
    <x v="0"/>
    <m/>
    <x v="30"/>
    <n v="5"/>
    <x v="1"/>
    <n v="9"/>
    <n v="200"/>
    <m/>
    <n v="4.5"/>
    <n v="17.7"/>
    <n v="10"/>
    <x v="1"/>
    <x v="0"/>
    <n v="0"/>
    <n v="0"/>
  </r>
  <r>
    <x v="0"/>
    <x v="0"/>
    <m/>
    <x v="31"/>
    <n v="5"/>
    <x v="0"/>
    <n v="80"/>
    <n v="200"/>
    <m/>
    <n v="40"/>
    <n v="17.7"/>
    <n v="10"/>
    <x v="0"/>
    <x v="0"/>
    <n v="0"/>
    <n v="1"/>
  </r>
  <r>
    <x v="0"/>
    <x v="0"/>
    <m/>
    <x v="32"/>
    <n v="5"/>
    <x v="0"/>
    <n v="80"/>
    <n v="200"/>
    <m/>
    <n v="40"/>
    <n v="17.7"/>
    <n v="10"/>
    <x v="0"/>
    <x v="0"/>
    <n v="0"/>
    <n v="1"/>
  </r>
  <r>
    <x v="0"/>
    <x v="0"/>
    <m/>
    <x v="32"/>
    <n v="5"/>
    <x v="1"/>
    <n v="4"/>
    <n v="200"/>
    <m/>
    <n v="2"/>
    <n v="17.7"/>
    <n v="10"/>
    <x v="1"/>
    <x v="0"/>
    <n v="0"/>
    <n v="0"/>
  </r>
  <r>
    <x v="0"/>
    <x v="0"/>
    <m/>
    <x v="33"/>
    <n v="5"/>
    <x v="0"/>
    <n v="70"/>
    <n v="200"/>
    <m/>
    <n v="35"/>
    <n v="17.7"/>
    <n v="10"/>
    <x v="0"/>
    <x v="0"/>
    <n v="0"/>
    <n v="1"/>
  </r>
  <r>
    <x v="0"/>
    <x v="0"/>
    <m/>
    <x v="34"/>
    <n v="5"/>
    <x v="0"/>
    <n v="20"/>
    <n v="200"/>
    <m/>
    <n v="10"/>
    <n v="17.7"/>
    <n v="10"/>
    <x v="0"/>
    <x v="0"/>
    <n v="0"/>
    <n v="1"/>
  </r>
  <r>
    <x v="0"/>
    <x v="0"/>
    <m/>
    <x v="34"/>
    <n v="5"/>
    <x v="1"/>
    <n v="5"/>
    <n v="200"/>
    <m/>
    <n v="2.5"/>
    <n v="17.7"/>
    <n v="10"/>
    <x v="1"/>
    <x v="0"/>
    <n v="0"/>
    <n v="0"/>
  </r>
  <r>
    <x v="0"/>
    <x v="0"/>
    <m/>
    <x v="35"/>
    <n v="6"/>
    <x v="0"/>
    <n v="50"/>
    <n v="200"/>
    <m/>
    <n v="25"/>
    <n v="17.7"/>
    <n v="10"/>
    <x v="0"/>
    <x v="0"/>
    <n v="0"/>
    <n v="1"/>
  </r>
  <r>
    <x v="0"/>
    <x v="0"/>
    <m/>
    <x v="35"/>
    <n v="6"/>
    <x v="1"/>
    <n v="4"/>
    <n v="200"/>
    <m/>
    <n v="2"/>
    <n v="17.7"/>
    <n v="10"/>
    <x v="1"/>
    <x v="0"/>
    <n v="0"/>
    <n v="0"/>
  </r>
  <r>
    <x v="0"/>
    <x v="0"/>
    <m/>
    <x v="36"/>
    <n v="6"/>
    <x v="0"/>
    <n v="110"/>
    <n v="200"/>
    <m/>
    <n v="55.000000000000007"/>
    <n v="17.7"/>
    <n v="10"/>
    <x v="0"/>
    <x v="0"/>
    <n v="0"/>
    <n v="1"/>
  </r>
  <r>
    <x v="0"/>
    <x v="0"/>
    <m/>
    <x v="36"/>
    <n v="6"/>
    <x v="1"/>
    <n v="1"/>
    <n v="200"/>
    <m/>
    <n v="0.5"/>
    <n v="17.7"/>
    <n v="10"/>
    <x v="1"/>
    <x v="0"/>
    <n v="0"/>
    <n v="0"/>
  </r>
  <r>
    <x v="0"/>
    <x v="0"/>
    <m/>
    <x v="37"/>
    <n v="6"/>
    <x v="0"/>
    <n v="80"/>
    <n v="200"/>
    <m/>
    <n v="40"/>
    <n v="17.7"/>
    <n v="10"/>
    <x v="0"/>
    <x v="0"/>
    <n v="0"/>
    <n v="1"/>
  </r>
  <r>
    <x v="0"/>
    <x v="0"/>
    <m/>
    <x v="37"/>
    <n v="6"/>
    <x v="1"/>
    <n v="3"/>
    <n v="200"/>
    <m/>
    <n v="1.5"/>
    <n v="17.7"/>
    <n v="10"/>
    <x v="1"/>
    <x v="0"/>
    <n v="0"/>
    <n v="0"/>
  </r>
  <r>
    <x v="0"/>
    <x v="0"/>
    <m/>
    <x v="38"/>
    <n v="6"/>
    <x v="0"/>
    <n v="120"/>
    <n v="200"/>
    <m/>
    <n v="60"/>
    <n v="17.7"/>
    <n v="10"/>
    <x v="0"/>
    <x v="0"/>
    <n v="0"/>
    <n v="1"/>
  </r>
  <r>
    <x v="0"/>
    <x v="0"/>
    <m/>
    <x v="39"/>
    <n v="6"/>
    <x v="0"/>
    <n v="60"/>
    <n v="200"/>
    <m/>
    <n v="30"/>
    <n v="17.7"/>
    <n v="10"/>
    <x v="0"/>
    <x v="0"/>
    <n v="0"/>
    <n v="1"/>
  </r>
  <r>
    <x v="0"/>
    <x v="0"/>
    <m/>
    <x v="39"/>
    <n v="6"/>
    <x v="1"/>
    <n v="2"/>
    <n v="200"/>
    <m/>
    <n v="1"/>
    <n v="17.7"/>
    <n v="10"/>
    <x v="1"/>
    <x v="0"/>
    <n v="0"/>
    <n v="0"/>
  </r>
  <r>
    <x v="0"/>
    <x v="0"/>
    <m/>
    <x v="40"/>
    <n v="6"/>
    <x v="0"/>
    <n v="80"/>
    <n v="200"/>
    <m/>
    <n v="40"/>
    <n v="17.7"/>
    <n v="10"/>
    <x v="0"/>
    <x v="0"/>
    <n v="0"/>
    <n v="1"/>
  </r>
  <r>
    <x v="0"/>
    <x v="0"/>
    <m/>
    <x v="41"/>
    <n v="6"/>
    <x v="0"/>
    <n v="10"/>
    <n v="200"/>
    <m/>
    <n v="5"/>
    <n v="17.7"/>
    <n v="10"/>
    <x v="0"/>
    <x v="0"/>
    <n v="0"/>
    <n v="1"/>
  </r>
  <r>
    <x v="0"/>
    <x v="0"/>
    <m/>
    <x v="41"/>
    <n v="6"/>
    <x v="1"/>
    <n v="1"/>
    <n v="200"/>
    <m/>
    <n v="0.5"/>
    <n v="17.7"/>
    <n v="10"/>
    <x v="1"/>
    <x v="0"/>
    <n v="0"/>
    <n v="0"/>
  </r>
  <r>
    <x v="0"/>
    <x v="0"/>
    <m/>
    <x v="42"/>
    <n v="7"/>
    <x v="0"/>
    <n v="10"/>
    <n v="200"/>
    <m/>
    <n v="5"/>
    <n v="17.7"/>
    <n v="10"/>
    <x v="0"/>
    <x v="0"/>
    <n v="0"/>
    <n v="1"/>
  </r>
  <r>
    <x v="0"/>
    <x v="0"/>
    <m/>
    <x v="42"/>
    <n v="7"/>
    <x v="1"/>
    <n v="1"/>
    <n v="200"/>
    <m/>
    <n v="0.5"/>
    <n v="17.7"/>
    <n v="10"/>
    <x v="1"/>
    <x v="0"/>
    <n v="0"/>
    <n v="0"/>
  </r>
  <r>
    <x v="0"/>
    <x v="0"/>
    <m/>
    <x v="43"/>
    <n v="7"/>
    <x v="0"/>
    <n v="8"/>
    <n v="200"/>
    <m/>
    <n v="4"/>
    <n v="17.7"/>
    <n v="10"/>
    <x v="0"/>
    <x v="0"/>
    <n v="0"/>
    <n v="1"/>
  </r>
  <r>
    <x v="0"/>
    <x v="0"/>
    <m/>
    <x v="43"/>
    <n v="7"/>
    <x v="1"/>
    <n v="4"/>
    <n v="200"/>
    <m/>
    <n v="2"/>
    <n v="17.7"/>
    <n v="10"/>
    <x v="1"/>
    <x v="0"/>
    <n v="0"/>
    <n v="0"/>
  </r>
  <r>
    <x v="0"/>
    <x v="0"/>
    <m/>
    <x v="43"/>
    <n v="7"/>
    <x v="8"/>
    <n v="2"/>
    <n v="200"/>
    <m/>
    <n v="1"/>
    <n v="17.7"/>
    <n v="10"/>
    <x v="1"/>
    <x v="0"/>
    <n v="1"/>
    <n v="0"/>
  </r>
  <r>
    <x v="0"/>
    <x v="0"/>
    <m/>
    <x v="44"/>
    <n v="7"/>
    <x v="0"/>
    <n v="10"/>
    <n v="200"/>
    <m/>
    <n v="5"/>
    <n v="17.7"/>
    <n v="10"/>
    <x v="0"/>
    <x v="0"/>
    <n v="0"/>
    <n v="1"/>
  </r>
  <r>
    <x v="0"/>
    <x v="0"/>
    <m/>
    <x v="44"/>
    <n v="7"/>
    <x v="1"/>
    <n v="3"/>
    <n v="200"/>
    <m/>
    <n v="1.5"/>
    <n v="17.7"/>
    <n v="10"/>
    <x v="1"/>
    <x v="0"/>
    <n v="0"/>
    <n v="0"/>
  </r>
  <r>
    <x v="0"/>
    <x v="0"/>
    <m/>
    <x v="44"/>
    <n v="7"/>
    <x v="4"/>
    <n v="2"/>
    <n v="200"/>
    <m/>
    <n v="1"/>
    <n v="17.7"/>
    <n v="10"/>
    <x v="1"/>
    <x v="0"/>
    <n v="0"/>
    <n v="0"/>
  </r>
  <r>
    <x v="0"/>
    <x v="0"/>
    <m/>
    <x v="45"/>
    <n v="7"/>
    <x v="0"/>
    <n v="70"/>
    <n v="200"/>
    <m/>
    <n v="35"/>
    <n v="17.7"/>
    <n v="10"/>
    <x v="0"/>
    <x v="0"/>
    <n v="0"/>
    <n v="1"/>
  </r>
  <r>
    <x v="0"/>
    <x v="0"/>
    <m/>
    <x v="46"/>
    <n v="7"/>
    <x v="0"/>
    <n v="60"/>
    <n v="200"/>
    <m/>
    <n v="30"/>
    <n v="17.7"/>
    <n v="10"/>
    <x v="0"/>
    <x v="0"/>
    <n v="0"/>
    <n v="1"/>
  </r>
  <r>
    <x v="0"/>
    <x v="0"/>
    <m/>
    <x v="46"/>
    <n v="7"/>
    <x v="1"/>
    <n v="9"/>
    <n v="200"/>
    <m/>
    <n v="4.5"/>
    <n v="17.7"/>
    <n v="10"/>
    <x v="1"/>
    <x v="0"/>
    <n v="0"/>
    <n v="0"/>
  </r>
  <r>
    <x v="0"/>
    <x v="0"/>
    <m/>
    <x v="46"/>
    <n v="7"/>
    <x v="6"/>
    <n v="1"/>
    <n v="200"/>
    <m/>
    <n v="0.5"/>
    <n v="17.7"/>
    <n v="10"/>
    <x v="1"/>
    <x v="0"/>
    <n v="0"/>
    <n v="0"/>
  </r>
  <r>
    <x v="0"/>
    <x v="0"/>
    <m/>
    <x v="46"/>
    <n v="7"/>
    <x v="3"/>
    <n v="1"/>
    <n v="200"/>
    <m/>
    <n v="0.5"/>
    <n v="17.7"/>
    <n v="10"/>
    <x v="1"/>
    <x v="0"/>
    <n v="0"/>
    <n v="0"/>
  </r>
  <r>
    <x v="0"/>
    <x v="0"/>
    <m/>
    <x v="47"/>
    <n v="7"/>
    <x v="0"/>
    <n v="40"/>
    <n v="200"/>
    <m/>
    <n v="20"/>
    <n v="17.7"/>
    <n v="10"/>
    <x v="0"/>
    <x v="0"/>
    <n v="0"/>
    <n v="1"/>
  </r>
  <r>
    <x v="0"/>
    <x v="0"/>
    <m/>
    <x v="47"/>
    <n v="7"/>
    <x v="1"/>
    <n v="1"/>
    <n v="200"/>
    <m/>
    <n v="0.5"/>
    <n v="17.7"/>
    <n v="10"/>
    <x v="1"/>
    <x v="0"/>
    <n v="0"/>
    <n v="0"/>
  </r>
  <r>
    <x v="0"/>
    <x v="0"/>
    <m/>
    <x v="48"/>
    <n v="7"/>
    <x v="1"/>
    <n v="2"/>
    <n v="200"/>
    <m/>
    <n v="1"/>
    <n v="17.7"/>
    <n v="10"/>
    <x v="1"/>
    <x v="0"/>
    <n v="0"/>
    <n v="1"/>
  </r>
  <r>
    <x v="0"/>
    <x v="0"/>
    <m/>
    <x v="48"/>
    <n v="7"/>
    <x v="4"/>
    <n v="45"/>
    <n v="200"/>
    <m/>
    <n v="22.5"/>
    <n v="17.7"/>
    <n v="10"/>
    <x v="1"/>
    <x v="0"/>
    <n v="0"/>
    <n v="0"/>
  </r>
  <r>
    <x v="0"/>
    <x v="0"/>
    <m/>
    <x v="49"/>
    <n v="8"/>
    <x v="4"/>
    <n v="1"/>
    <n v="200"/>
    <m/>
    <n v="0.5"/>
    <n v="17.7"/>
    <n v="10"/>
    <x v="1"/>
    <x v="0"/>
    <n v="0"/>
    <n v="1"/>
  </r>
  <r>
    <x v="0"/>
    <x v="0"/>
    <m/>
    <x v="49"/>
    <n v="8"/>
    <x v="9"/>
    <n v="2"/>
    <n v="200"/>
    <m/>
    <n v="1"/>
    <n v="17.7"/>
    <n v="10"/>
    <x v="1"/>
    <x v="0"/>
    <n v="1"/>
    <n v="0"/>
  </r>
  <r>
    <x v="0"/>
    <x v="0"/>
    <m/>
    <x v="49"/>
    <n v="8"/>
    <x v="7"/>
    <n v="9"/>
    <n v="200"/>
    <m/>
    <n v="4.5"/>
    <n v="17.7"/>
    <n v="10"/>
    <x v="1"/>
    <x v="0"/>
    <n v="0"/>
    <n v="0"/>
  </r>
  <r>
    <x v="0"/>
    <x v="0"/>
    <m/>
    <x v="50"/>
    <n v="8"/>
    <x v="0"/>
    <n v="12"/>
    <n v="200"/>
    <m/>
    <n v="6"/>
    <n v="17.7"/>
    <n v="10"/>
    <x v="0"/>
    <x v="0"/>
    <n v="0"/>
    <n v="1"/>
  </r>
  <r>
    <x v="0"/>
    <x v="0"/>
    <m/>
    <x v="50"/>
    <n v="8"/>
    <x v="4"/>
    <n v="5"/>
    <n v="200"/>
    <m/>
    <n v="2.5"/>
    <n v="17.7"/>
    <n v="10"/>
    <x v="1"/>
    <x v="0"/>
    <n v="0"/>
    <n v="0"/>
  </r>
  <r>
    <x v="0"/>
    <x v="0"/>
    <m/>
    <x v="50"/>
    <n v="8"/>
    <x v="3"/>
    <n v="1"/>
    <n v="200"/>
    <m/>
    <n v="0.5"/>
    <n v="17.7"/>
    <n v="10"/>
    <x v="1"/>
    <x v="0"/>
    <n v="0"/>
    <n v="0"/>
  </r>
  <r>
    <x v="0"/>
    <x v="0"/>
    <m/>
    <x v="51"/>
    <n v="8"/>
    <x v="0"/>
    <n v="3"/>
    <n v="200"/>
    <m/>
    <n v="1.5"/>
    <n v="17.7"/>
    <n v="10"/>
    <x v="0"/>
    <x v="0"/>
    <n v="0"/>
    <n v="1"/>
  </r>
  <r>
    <x v="0"/>
    <x v="0"/>
    <m/>
    <x v="51"/>
    <n v="8"/>
    <x v="1"/>
    <n v="1"/>
    <n v="200"/>
    <m/>
    <n v="0.5"/>
    <n v="17.7"/>
    <n v="10"/>
    <x v="1"/>
    <x v="0"/>
    <n v="0"/>
    <n v="0"/>
  </r>
  <r>
    <x v="0"/>
    <x v="0"/>
    <m/>
    <x v="51"/>
    <n v="8"/>
    <x v="4"/>
    <n v="10"/>
    <n v="200"/>
    <m/>
    <n v="5"/>
    <n v="17.7"/>
    <n v="10"/>
    <x v="1"/>
    <x v="0"/>
    <n v="0"/>
    <n v="0"/>
  </r>
  <r>
    <x v="0"/>
    <x v="0"/>
    <m/>
    <x v="52"/>
    <n v="8"/>
    <x v="4"/>
    <n v="7"/>
    <n v="200"/>
    <m/>
    <n v="3.5000000000000004"/>
    <n v="17.7"/>
    <n v="10"/>
    <x v="1"/>
    <x v="0"/>
    <n v="0"/>
    <n v="1"/>
  </r>
  <r>
    <x v="0"/>
    <x v="0"/>
    <m/>
    <x v="52"/>
    <n v="8"/>
    <x v="10"/>
    <n v="5"/>
    <n v="200"/>
    <m/>
    <n v="2.5"/>
    <n v="17.7"/>
    <n v="10"/>
    <x v="1"/>
    <x v="0"/>
    <n v="1"/>
    <n v="0"/>
  </r>
  <r>
    <x v="0"/>
    <x v="0"/>
    <m/>
    <x v="53"/>
    <n v="8"/>
    <x v="4"/>
    <n v="15"/>
    <n v="200"/>
    <m/>
    <n v="7.5"/>
    <n v="17.7"/>
    <n v="10"/>
    <x v="1"/>
    <x v="0"/>
    <n v="0"/>
    <n v="1"/>
  </r>
  <r>
    <x v="0"/>
    <x v="0"/>
    <m/>
    <x v="53"/>
    <n v="8"/>
    <x v="11"/>
    <n v="1"/>
    <n v="200"/>
    <m/>
    <n v="0.5"/>
    <n v="17.7"/>
    <n v="10"/>
    <x v="1"/>
    <x v="0"/>
    <n v="1"/>
    <n v="0"/>
  </r>
  <r>
    <x v="0"/>
    <x v="1"/>
    <m/>
    <x v="0"/>
    <n v="1"/>
    <x v="1"/>
    <n v="16"/>
    <n v="200"/>
    <m/>
    <n v="8"/>
    <n v="17.7"/>
    <n v="10"/>
    <x v="1"/>
    <x v="0"/>
    <n v="1"/>
    <n v="1"/>
  </r>
  <r>
    <x v="0"/>
    <x v="1"/>
    <m/>
    <x v="0"/>
    <n v="1"/>
    <x v="0"/>
    <n v="3"/>
    <n v="200"/>
    <m/>
    <n v="1.5"/>
    <n v="17.7"/>
    <n v="10"/>
    <x v="0"/>
    <x v="0"/>
    <n v="1"/>
    <n v="0"/>
  </r>
  <r>
    <x v="0"/>
    <x v="1"/>
    <m/>
    <x v="0"/>
    <n v="1"/>
    <x v="2"/>
    <n v="4"/>
    <n v="200"/>
    <m/>
    <n v="2"/>
    <n v="17.7"/>
    <n v="10"/>
    <x v="1"/>
    <x v="0"/>
    <n v="1"/>
    <n v="0"/>
  </r>
  <r>
    <x v="0"/>
    <x v="1"/>
    <m/>
    <x v="1"/>
    <n v="1"/>
    <x v="1"/>
    <n v="5"/>
    <n v="200"/>
    <m/>
    <n v="2.5"/>
    <n v="17.7"/>
    <n v="10"/>
    <x v="1"/>
    <x v="0"/>
    <n v="0"/>
    <n v="1"/>
  </r>
  <r>
    <x v="0"/>
    <x v="1"/>
    <m/>
    <x v="2"/>
    <n v="1"/>
    <x v="12"/>
    <n v="0"/>
    <n v="200"/>
    <m/>
    <n v="0"/>
    <n v="17.7"/>
    <n v="10"/>
    <x v="2"/>
    <x v="0"/>
    <n v="1"/>
    <n v="1"/>
  </r>
  <r>
    <x v="0"/>
    <x v="1"/>
    <m/>
    <x v="3"/>
    <n v="1"/>
    <x v="0"/>
    <n v="8"/>
    <n v="200"/>
    <m/>
    <n v="4"/>
    <n v="17.7"/>
    <n v="10"/>
    <x v="0"/>
    <x v="0"/>
    <n v="0"/>
    <n v="1"/>
  </r>
  <r>
    <x v="0"/>
    <x v="1"/>
    <m/>
    <x v="4"/>
    <n v="1"/>
    <x v="0"/>
    <n v="1"/>
    <n v="200"/>
    <m/>
    <n v="0.5"/>
    <n v="17.7"/>
    <n v="10"/>
    <x v="0"/>
    <x v="0"/>
    <n v="0"/>
    <n v="1"/>
  </r>
  <r>
    <x v="0"/>
    <x v="1"/>
    <m/>
    <x v="4"/>
    <n v="1"/>
    <x v="13"/>
    <n v="2"/>
    <n v="200"/>
    <m/>
    <n v="1"/>
    <n v="17.7"/>
    <n v="10"/>
    <x v="0"/>
    <x v="0"/>
    <n v="1"/>
    <n v="0"/>
  </r>
  <r>
    <x v="0"/>
    <x v="1"/>
    <m/>
    <x v="5"/>
    <n v="1"/>
    <x v="0"/>
    <n v="13"/>
    <n v="200"/>
    <m/>
    <n v="6.5"/>
    <n v="17.7"/>
    <n v="10"/>
    <x v="0"/>
    <x v="0"/>
    <n v="0"/>
    <n v="1"/>
  </r>
  <r>
    <x v="0"/>
    <x v="1"/>
    <m/>
    <x v="6"/>
    <n v="1"/>
    <x v="1"/>
    <n v="4"/>
    <n v="200"/>
    <m/>
    <n v="2"/>
    <n v="17.7"/>
    <n v="10"/>
    <x v="1"/>
    <x v="0"/>
    <n v="0"/>
    <n v="1"/>
  </r>
  <r>
    <x v="0"/>
    <x v="1"/>
    <m/>
    <x v="6"/>
    <n v="1"/>
    <x v="0"/>
    <n v="9"/>
    <n v="200"/>
    <m/>
    <n v="4.5"/>
    <n v="17.7"/>
    <n v="10"/>
    <x v="0"/>
    <x v="0"/>
    <n v="0"/>
    <n v="0"/>
  </r>
  <r>
    <x v="0"/>
    <x v="1"/>
    <m/>
    <x v="7"/>
    <n v="2"/>
    <x v="1"/>
    <n v="2"/>
    <n v="200"/>
    <m/>
    <n v="1"/>
    <n v="17.7"/>
    <n v="10"/>
    <x v="1"/>
    <x v="0"/>
    <n v="0"/>
    <n v="1"/>
  </r>
  <r>
    <x v="0"/>
    <x v="1"/>
    <m/>
    <x v="7"/>
    <n v="2"/>
    <x v="0"/>
    <n v="32"/>
    <n v="200"/>
    <m/>
    <n v="16"/>
    <n v="17.7"/>
    <n v="10"/>
    <x v="0"/>
    <x v="0"/>
    <n v="0"/>
    <n v="0"/>
  </r>
  <r>
    <x v="0"/>
    <x v="1"/>
    <m/>
    <x v="7"/>
    <n v="2"/>
    <x v="4"/>
    <n v="9"/>
    <n v="200"/>
    <m/>
    <n v="4.5"/>
    <n v="17.7"/>
    <n v="10"/>
    <x v="1"/>
    <x v="0"/>
    <n v="1"/>
    <n v="0"/>
  </r>
  <r>
    <x v="0"/>
    <x v="1"/>
    <m/>
    <x v="8"/>
    <n v="2"/>
    <x v="1"/>
    <n v="3"/>
    <n v="200"/>
    <m/>
    <n v="1.5"/>
    <n v="17.7"/>
    <n v="10"/>
    <x v="1"/>
    <x v="0"/>
    <n v="0"/>
    <n v="1"/>
  </r>
  <r>
    <x v="0"/>
    <x v="1"/>
    <m/>
    <x v="9"/>
    <n v="2"/>
    <x v="1"/>
    <n v="1"/>
    <n v="200"/>
    <m/>
    <n v="0.5"/>
    <n v="17.7"/>
    <n v="10"/>
    <x v="1"/>
    <x v="0"/>
    <n v="0"/>
    <n v="1"/>
  </r>
  <r>
    <x v="0"/>
    <x v="1"/>
    <m/>
    <x v="9"/>
    <n v="2"/>
    <x v="0"/>
    <n v="4"/>
    <n v="200"/>
    <m/>
    <n v="2"/>
    <n v="17.7"/>
    <n v="10"/>
    <x v="0"/>
    <x v="0"/>
    <n v="0"/>
    <n v="0"/>
  </r>
  <r>
    <x v="0"/>
    <x v="1"/>
    <m/>
    <x v="10"/>
    <n v="2"/>
    <x v="0"/>
    <n v="37"/>
    <n v="200"/>
    <m/>
    <n v="18.5"/>
    <n v="17.7"/>
    <n v="10"/>
    <x v="0"/>
    <x v="0"/>
    <n v="0"/>
    <n v="1"/>
  </r>
  <r>
    <x v="0"/>
    <x v="1"/>
    <m/>
    <x v="11"/>
    <n v="2"/>
    <x v="1"/>
    <n v="2"/>
    <n v="200"/>
    <m/>
    <n v="1"/>
    <n v="17.7"/>
    <n v="10"/>
    <x v="1"/>
    <x v="0"/>
    <n v="0"/>
    <n v="1"/>
  </r>
  <r>
    <x v="0"/>
    <x v="1"/>
    <m/>
    <x v="11"/>
    <n v="2"/>
    <x v="0"/>
    <n v="59"/>
    <n v="200"/>
    <m/>
    <n v="29.5"/>
    <n v="17.7"/>
    <n v="10"/>
    <x v="0"/>
    <x v="0"/>
    <n v="0"/>
    <n v="0"/>
  </r>
  <r>
    <x v="0"/>
    <x v="1"/>
    <m/>
    <x v="11"/>
    <n v="2"/>
    <x v="13"/>
    <n v="5"/>
    <n v="200"/>
    <m/>
    <n v="2.5"/>
    <n v="17.7"/>
    <n v="10"/>
    <x v="0"/>
    <x v="0"/>
    <n v="0"/>
    <n v="0"/>
  </r>
  <r>
    <x v="0"/>
    <x v="1"/>
    <m/>
    <x v="12"/>
    <n v="2"/>
    <x v="0"/>
    <n v="96"/>
    <n v="200"/>
    <m/>
    <n v="48"/>
    <n v="17.7"/>
    <n v="10"/>
    <x v="0"/>
    <x v="0"/>
    <n v="0"/>
    <n v="1"/>
  </r>
  <r>
    <x v="0"/>
    <x v="1"/>
    <m/>
    <x v="12"/>
    <n v="2"/>
    <x v="14"/>
    <n v="3"/>
    <n v="200"/>
    <m/>
    <n v="1.5"/>
    <n v="17.7"/>
    <n v="10"/>
    <x v="0"/>
    <x v="0"/>
    <n v="1"/>
    <n v="0"/>
  </r>
  <r>
    <x v="0"/>
    <x v="1"/>
    <m/>
    <x v="13"/>
    <n v="2"/>
    <x v="1"/>
    <n v="2"/>
    <n v="200"/>
    <m/>
    <n v="1"/>
    <n v="17.7"/>
    <n v="10"/>
    <x v="1"/>
    <x v="0"/>
    <n v="0"/>
    <n v="1"/>
  </r>
  <r>
    <x v="0"/>
    <x v="1"/>
    <m/>
    <x v="13"/>
    <n v="2"/>
    <x v="0"/>
    <n v="6"/>
    <n v="200"/>
    <m/>
    <n v="3"/>
    <n v="17.7"/>
    <n v="10"/>
    <x v="0"/>
    <x v="0"/>
    <n v="0"/>
    <n v="0"/>
  </r>
  <r>
    <x v="0"/>
    <x v="1"/>
    <m/>
    <x v="14"/>
    <n v="3"/>
    <x v="0"/>
    <n v="52"/>
    <n v="200"/>
    <m/>
    <n v="26"/>
    <n v="17.7"/>
    <n v="10"/>
    <x v="0"/>
    <x v="0"/>
    <n v="0"/>
    <n v="1"/>
  </r>
  <r>
    <x v="0"/>
    <x v="1"/>
    <m/>
    <x v="15"/>
    <n v="3"/>
    <x v="0"/>
    <n v="82"/>
    <n v="200"/>
    <m/>
    <n v="41"/>
    <n v="17.7"/>
    <n v="10"/>
    <x v="0"/>
    <x v="0"/>
    <n v="0"/>
    <n v="1"/>
  </r>
  <r>
    <x v="0"/>
    <x v="1"/>
    <m/>
    <x v="16"/>
    <n v="3"/>
    <x v="0"/>
    <n v="15"/>
    <n v="200"/>
    <m/>
    <n v="7.5"/>
    <n v="17.7"/>
    <n v="10"/>
    <x v="0"/>
    <x v="0"/>
    <n v="0"/>
    <n v="1"/>
  </r>
  <r>
    <x v="0"/>
    <x v="1"/>
    <m/>
    <x v="17"/>
    <n v="3"/>
    <x v="12"/>
    <n v="0"/>
    <n v="200"/>
    <m/>
    <n v="0"/>
    <n v="17.7"/>
    <n v="10"/>
    <x v="2"/>
    <x v="0"/>
    <n v="0"/>
    <n v="1"/>
  </r>
  <r>
    <x v="0"/>
    <x v="1"/>
    <m/>
    <x v="18"/>
    <n v="3"/>
    <x v="12"/>
    <n v="0"/>
    <n v="200"/>
    <m/>
    <n v="0"/>
    <n v="17.7"/>
    <n v="10"/>
    <x v="2"/>
    <x v="0"/>
    <n v="0"/>
    <n v="1"/>
  </r>
  <r>
    <x v="0"/>
    <x v="1"/>
    <m/>
    <x v="19"/>
    <n v="3"/>
    <x v="0"/>
    <n v="44"/>
    <n v="200"/>
    <m/>
    <n v="22"/>
    <n v="17.7"/>
    <n v="10"/>
    <x v="0"/>
    <x v="0"/>
    <n v="0"/>
    <n v="1"/>
  </r>
  <r>
    <x v="0"/>
    <x v="1"/>
    <m/>
    <x v="19"/>
    <n v="3"/>
    <x v="5"/>
    <n v="8"/>
    <n v="200"/>
    <m/>
    <n v="4"/>
    <n v="17.7"/>
    <n v="10"/>
    <x v="1"/>
    <x v="0"/>
    <n v="1"/>
    <n v="0"/>
  </r>
  <r>
    <x v="0"/>
    <x v="1"/>
    <m/>
    <x v="19"/>
    <n v="3"/>
    <x v="15"/>
    <n v="1"/>
    <n v="200"/>
    <m/>
    <n v="0.5"/>
    <n v="17.7"/>
    <n v="10"/>
    <x v="1"/>
    <x v="0"/>
    <n v="1"/>
    <n v="0"/>
  </r>
  <r>
    <x v="0"/>
    <x v="1"/>
    <m/>
    <x v="20"/>
    <n v="3"/>
    <x v="1"/>
    <n v="16"/>
    <n v="200"/>
    <m/>
    <n v="8"/>
    <n v="17.7"/>
    <n v="10"/>
    <x v="1"/>
    <x v="0"/>
    <n v="0"/>
    <n v="1"/>
  </r>
  <r>
    <x v="0"/>
    <x v="1"/>
    <m/>
    <x v="21"/>
    <n v="4"/>
    <x v="1"/>
    <n v="5"/>
    <n v="200"/>
    <m/>
    <n v="2.5"/>
    <n v="17.7"/>
    <n v="10"/>
    <x v="1"/>
    <x v="0"/>
    <n v="0"/>
    <n v="1"/>
  </r>
  <r>
    <x v="0"/>
    <x v="1"/>
    <m/>
    <x v="22"/>
    <n v="4"/>
    <x v="1"/>
    <n v="5"/>
    <n v="200"/>
    <m/>
    <n v="2.5"/>
    <n v="17.7"/>
    <n v="10"/>
    <x v="1"/>
    <x v="0"/>
    <n v="0"/>
    <n v="1"/>
  </r>
  <r>
    <x v="0"/>
    <x v="1"/>
    <m/>
    <x v="23"/>
    <n v="4"/>
    <x v="1"/>
    <n v="2"/>
    <n v="200"/>
    <m/>
    <n v="1"/>
    <n v="17.7"/>
    <n v="10"/>
    <x v="1"/>
    <x v="0"/>
    <n v="0"/>
    <n v="1"/>
  </r>
  <r>
    <x v="0"/>
    <x v="1"/>
    <m/>
    <x v="23"/>
    <n v="4"/>
    <x v="0"/>
    <n v="2"/>
    <n v="200"/>
    <m/>
    <n v="1"/>
    <n v="17.7"/>
    <n v="10"/>
    <x v="0"/>
    <x v="0"/>
    <n v="0"/>
    <n v="0"/>
  </r>
  <r>
    <x v="0"/>
    <x v="1"/>
    <m/>
    <x v="24"/>
    <n v="4"/>
    <x v="0"/>
    <n v="2"/>
    <n v="200"/>
    <m/>
    <n v="1"/>
    <n v="17.7"/>
    <n v="10"/>
    <x v="0"/>
    <x v="0"/>
    <n v="0"/>
    <n v="1"/>
  </r>
  <r>
    <x v="0"/>
    <x v="1"/>
    <m/>
    <x v="25"/>
    <n v="4"/>
    <x v="1"/>
    <n v="2"/>
    <n v="200"/>
    <m/>
    <n v="1"/>
    <n v="17.7"/>
    <n v="10"/>
    <x v="1"/>
    <x v="0"/>
    <n v="0"/>
    <n v="1"/>
  </r>
  <r>
    <x v="0"/>
    <x v="1"/>
    <m/>
    <x v="26"/>
    <n v="4"/>
    <x v="1"/>
    <n v="3"/>
    <n v="200"/>
    <m/>
    <n v="1.5"/>
    <n v="17.7"/>
    <n v="10"/>
    <x v="1"/>
    <x v="0"/>
    <n v="0"/>
    <n v="1"/>
  </r>
  <r>
    <x v="0"/>
    <x v="1"/>
    <m/>
    <x v="26"/>
    <n v="4"/>
    <x v="6"/>
    <n v="4"/>
    <n v="200"/>
    <m/>
    <n v="2"/>
    <n v="17.7"/>
    <n v="10"/>
    <x v="1"/>
    <x v="0"/>
    <n v="1"/>
    <n v="0"/>
  </r>
  <r>
    <x v="0"/>
    <x v="1"/>
    <m/>
    <x v="27"/>
    <n v="4"/>
    <x v="2"/>
    <n v="2"/>
    <n v="200"/>
    <m/>
    <n v="1"/>
    <n v="17.7"/>
    <n v="10"/>
    <x v="1"/>
    <x v="0"/>
    <n v="0"/>
    <n v="1"/>
  </r>
  <r>
    <x v="0"/>
    <x v="1"/>
    <m/>
    <x v="27"/>
    <n v="4"/>
    <x v="4"/>
    <n v="3"/>
    <n v="200"/>
    <m/>
    <n v="1.5"/>
    <n v="17.7"/>
    <n v="10"/>
    <x v="1"/>
    <x v="0"/>
    <n v="0"/>
    <n v="0"/>
  </r>
  <r>
    <x v="0"/>
    <x v="1"/>
    <m/>
    <x v="28"/>
    <n v="5"/>
    <x v="1"/>
    <n v="2"/>
    <n v="200"/>
    <m/>
    <n v="1"/>
    <n v="17.7"/>
    <n v="10"/>
    <x v="1"/>
    <x v="0"/>
    <n v="0"/>
    <n v="1"/>
  </r>
  <r>
    <x v="0"/>
    <x v="1"/>
    <m/>
    <x v="28"/>
    <n v="5"/>
    <x v="0"/>
    <n v="34"/>
    <n v="200"/>
    <m/>
    <n v="17"/>
    <n v="17.7"/>
    <n v="10"/>
    <x v="0"/>
    <x v="0"/>
    <n v="0"/>
    <n v="0"/>
  </r>
  <r>
    <x v="0"/>
    <x v="1"/>
    <m/>
    <x v="28"/>
    <n v="5"/>
    <x v="4"/>
    <n v="6"/>
    <n v="200"/>
    <m/>
    <n v="3"/>
    <n v="17.7"/>
    <n v="10"/>
    <x v="1"/>
    <x v="0"/>
    <n v="0"/>
    <n v="0"/>
  </r>
  <r>
    <x v="0"/>
    <x v="1"/>
    <m/>
    <x v="28"/>
    <n v="5"/>
    <x v="7"/>
    <n v="2"/>
    <n v="200"/>
    <m/>
    <n v="1"/>
    <n v="17.7"/>
    <n v="10"/>
    <x v="1"/>
    <x v="0"/>
    <n v="1"/>
    <n v="0"/>
  </r>
  <r>
    <x v="0"/>
    <x v="1"/>
    <m/>
    <x v="29"/>
    <n v="5"/>
    <x v="1"/>
    <n v="3"/>
    <n v="200"/>
    <m/>
    <n v="1.5"/>
    <n v="17.7"/>
    <n v="10"/>
    <x v="1"/>
    <x v="0"/>
    <n v="0"/>
    <n v="1"/>
  </r>
  <r>
    <x v="0"/>
    <x v="1"/>
    <m/>
    <x v="29"/>
    <n v="5"/>
    <x v="0"/>
    <n v="2"/>
    <n v="200"/>
    <m/>
    <n v="1"/>
    <n v="17.7"/>
    <n v="10"/>
    <x v="0"/>
    <x v="0"/>
    <n v="0"/>
    <n v="0"/>
  </r>
  <r>
    <x v="0"/>
    <x v="1"/>
    <m/>
    <x v="30"/>
    <n v="5"/>
    <x v="1"/>
    <n v="10"/>
    <n v="200"/>
    <m/>
    <n v="5"/>
    <n v="17.7"/>
    <n v="10"/>
    <x v="1"/>
    <x v="0"/>
    <n v="0"/>
    <n v="1"/>
  </r>
  <r>
    <x v="0"/>
    <x v="1"/>
    <m/>
    <x v="31"/>
    <n v="5"/>
    <x v="12"/>
    <n v="0"/>
    <n v="200"/>
    <m/>
    <n v="0"/>
    <n v="17.7"/>
    <n v="10"/>
    <x v="2"/>
    <x v="0"/>
    <n v="0"/>
    <n v="1"/>
  </r>
  <r>
    <x v="0"/>
    <x v="1"/>
    <m/>
    <x v="32"/>
    <n v="5"/>
    <x v="1"/>
    <n v="4"/>
    <n v="200"/>
    <m/>
    <n v="2"/>
    <n v="17.7"/>
    <n v="10"/>
    <x v="1"/>
    <x v="0"/>
    <n v="0"/>
    <n v="1"/>
  </r>
  <r>
    <x v="0"/>
    <x v="1"/>
    <m/>
    <x v="33"/>
    <n v="5"/>
    <x v="12"/>
    <n v="0"/>
    <n v="200"/>
    <m/>
    <n v="0"/>
    <n v="17.7"/>
    <n v="10"/>
    <x v="2"/>
    <x v="0"/>
    <n v="0"/>
    <n v="1"/>
  </r>
  <r>
    <x v="0"/>
    <x v="1"/>
    <m/>
    <x v="34"/>
    <n v="5"/>
    <x v="1"/>
    <n v="13"/>
    <n v="200"/>
    <m/>
    <n v="6.5"/>
    <n v="17.7"/>
    <n v="10"/>
    <x v="1"/>
    <x v="0"/>
    <n v="0"/>
    <n v="1"/>
  </r>
  <r>
    <x v="0"/>
    <x v="1"/>
    <m/>
    <x v="34"/>
    <n v="5"/>
    <x v="0"/>
    <n v="1"/>
    <n v="200"/>
    <m/>
    <n v="0.5"/>
    <n v="17.7"/>
    <n v="10"/>
    <x v="0"/>
    <x v="0"/>
    <n v="0"/>
    <n v="0"/>
  </r>
  <r>
    <x v="0"/>
    <x v="1"/>
    <m/>
    <x v="34"/>
    <n v="5"/>
    <x v="4"/>
    <n v="1"/>
    <n v="200"/>
    <m/>
    <n v="0.5"/>
    <n v="17.7"/>
    <n v="10"/>
    <x v="1"/>
    <x v="0"/>
    <n v="0"/>
    <n v="0"/>
  </r>
  <r>
    <x v="0"/>
    <x v="1"/>
    <m/>
    <x v="35"/>
    <n v="6"/>
    <x v="1"/>
    <n v="2"/>
    <n v="200"/>
    <m/>
    <n v="1"/>
    <n v="17.7"/>
    <n v="10"/>
    <x v="1"/>
    <x v="0"/>
    <n v="0"/>
    <n v="1"/>
  </r>
  <r>
    <x v="0"/>
    <x v="1"/>
    <m/>
    <x v="35"/>
    <n v="6"/>
    <x v="0"/>
    <n v="5"/>
    <n v="200"/>
    <m/>
    <n v="2.5"/>
    <n v="17.7"/>
    <n v="10"/>
    <x v="0"/>
    <x v="0"/>
    <n v="0"/>
    <n v="0"/>
  </r>
  <r>
    <x v="0"/>
    <x v="1"/>
    <m/>
    <x v="36"/>
    <n v="6"/>
    <x v="12"/>
    <n v="0"/>
    <n v="200"/>
    <m/>
    <n v="0"/>
    <n v="17.7"/>
    <n v="10"/>
    <x v="2"/>
    <x v="0"/>
    <n v="0"/>
    <n v="1"/>
  </r>
  <r>
    <x v="0"/>
    <x v="1"/>
    <m/>
    <x v="37"/>
    <n v="6"/>
    <x v="1"/>
    <n v="2"/>
    <n v="200"/>
    <m/>
    <n v="1"/>
    <n v="17.7"/>
    <n v="10"/>
    <x v="1"/>
    <x v="0"/>
    <n v="0"/>
    <n v="1"/>
  </r>
  <r>
    <x v="0"/>
    <x v="1"/>
    <m/>
    <x v="38"/>
    <n v="6"/>
    <x v="12"/>
    <n v="0"/>
    <n v="200"/>
    <m/>
    <n v="0"/>
    <n v="17.7"/>
    <n v="10"/>
    <x v="2"/>
    <x v="0"/>
    <n v="0"/>
    <n v="1"/>
  </r>
  <r>
    <x v="0"/>
    <x v="1"/>
    <m/>
    <x v="39"/>
    <n v="6"/>
    <x v="1"/>
    <n v="3"/>
    <n v="200"/>
    <m/>
    <n v="1.5"/>
    <n v="17.7"/>
    <n v="10"/>
    <x v="1"/>
    <x v="0"/>
    <n v="0"/>
    <n v="1"/>
  </r>
  <r>
    <x v="0"/>
    <x v="1"/>
    <m/>
    <x v="40"/>
    <n v="6"/>
    <x v="12"/>
    <n v="0"/>
    <n v="200"/>
    <m/>
    <n v="0"/>
    <n v="17.7"/>
    <n v="10"/>
    <x v="2"/>
    <x v="0"/>
    <n v="0"/>
    <n v="1"/>
  </r>
  <r>
    <x v="0"/>
    <x v="1"/>
    <m/>
    <x v="41"/>
    <n v="6"/>
    <x v="0"/>
    <n v="21"/>
    <n v="200"/>
    <m/>
    <n v="10.5"/>
    <n v="17.7"/>
    <n v="10"/>
    <x v="0"/>
    <x v="0"/>
    <n v="0"/>
    <n v="1"/>
  </r>
  <r>
    <x v="0"/>
    <x v="1"/>
    <m/>
    <x v="42"/>
    <n v="7"/>
    <x v="0"/>
    <n v="1"/>
    <n v="200"/>
    <m/>
    <n v="0.5"/>
    <n v="17.7"/>
    <n v="10"/>
    <x v="0"/>
    <x v="0"/>
    <n v="0"/>
    <n v="1"/>
  </r>
  <r>
    <x v="0"/>
    <x v="1"/>
    <m/>
    <x v="43"/>
    <n v="7"/>
    <x v="1"/>
    <n v="4"/>
    <n v="200"/>
    <m/>
    <n v="2"/>
    <n v="17.7"/>
    <n v="10"/>
    <x v="1"/>
    <x v="0"/>
    <n v="0"/>
    <n v="1"/>
  </r>
  <r>
    <x v="0"/>
    <x v="1"/>
    <m/>
    <x v="43"/>
    <n v="7"/>
    <x v="0"/>
    <n v="12"/>
    <n v="200"/>
    <m/>
    <n v="6"/>
    <n v="17.7"/>
    <n v="10"/>
    <x v="0"/>
    <x v="0"/>
    <n v="0"/>
    <n v="0"/>
  </r>
  <r>
    <x v="0"/>
    <x v="1"/>
    <m/>
    <x v="44"/>
    <n v="7"/>
    <x v="1"/>
    <n v="4"/>
    <n v="200"/>
    <m/>
    <n v="2"/>
    <n v="17.7"/>
    <n v="10"/>
    <x v="1"/>
    <x v="0"/>
    <n v="0"/>
    <n v="1"/>
  </r>
  <r>
    <x v="0"/>
    <x v="1"/>
    <m/>
    <x v="44"/>
    <n v="7"/>
    <x v="0"/>
    <n v="1"/>
    <n v="200"/>
    <m/>
    <n v="0.5"/>
    <n v="17.7"/>
    <n v="10"/>
    <x v="0"/>
    <x v="0"/>
    <n v="0"/>
    <n v="0"/>
  </r>
  <r>
    <x v="0"/>
    <x v="1"/>
    <m/>
    <x v="44"/>
    <n v="7"/>
    <x v="4"/>
    <n v="2"/>
    <n v="200"/>
    <m/>
    <n v="1"/>
    <n v="17.7"/>
    <n v="10"/>
    <x v="1"/>
    <x v="0"/>
    <n v="0"/>
    <n v="0"/>
  </r>
  <r>
    <x v="0"/>
    <x v="1"/>
    <m/>
    <x v="44"/>
    <n v="7"/>
    <x v="8"/>
    <n v="1"/>
    <n v="200"/>
    <m/>
    <n v="0.5"/>
    <n v="17.7"/>
    <n v="10"/>
    <x v="1"/>
    <x v="0"/>
    <n v="1"/>
    <n v="0"/>
  </r>
  <r>
    <x v="0"/>
    <x v="1"/>
    <m/>
    <x v="45"/>
    <n v="7"/>
    <x v="12"/>
    <n v="0"/>
    <n v="200"/>
    <m/>
    <n v="0"/>
    <n v="17.7"/>
    <n v="10"/>
    <x v="2"/>
    <x v="0"/>
    <n v="0"/>
    <n v="1"/>
  </r>
  <r>
    <x v="0"/>
    <x v="1"/>
    <m/>
    <x v="46"/>
    <n v="7"/>
    <x v="1"/>
    <n v="6"/>
    <n v="200"/>
    <m/>
    <n v="3"/>
    <n v="17.7"/>
    <n v="10"/>
    <x v="1"/>
    <x v="0"/>
    <n v="0"/>
    <n v="1"/>
  </r>
  <r>
    <x v="0"/>
    <x v="1"/>
    <m/>
    <x v="46"/>
    <n v="7"/>
    <x v="6"/>
    <n v="2"/>
    <n v="200"/>
    <m/>
    <n v="1"/>
    <n v="17.7"/>
    <n v="10"/>
    <x v="1"/>
    <x v="0"/>
    <n v="0"/>
    <n v="0"/>
  </r>
  <r>
    <x v="0"/>
    <x v="1"/>
    <m/>
    <x v="47"/>
    <n v="7"/>
    <x v="1"/>
    <n v="6"/>
    <n v="200"/>
    <m/>
    <n v="3"/>
    <n v="17.7"/>
    <n v="10"/>
    <x v="1"/>
    <x v="0"/>
    <n v="0"/>
    <n v="1"/>
  </r>
  <r>
    <x v="0"/>
    <x v="1"/>
    <m/>
    <x v="47"/>
    <n v="7"/>
    <x v="0"/>
    <n v="2"/>
    <n v="200"/>
    <m/>
    <n v="1"/>
    <n v="17.7"/>
    <n v="10"/>
    <x v="0"/>
    <x v="0"/>
    <n v="0"/>
    <n v="0"/>
  </r>
  <r>
    <x v="0"/>
    <x v="1"/>
    <m/>
    <x v="48"/>
    <n v="7"/>
    <x v="1"/>
    <n v="5"/>
    <n v="200"/>
    <m/>
    <n v="2.5"/>
    <n v="17.7"/>
    <n v="10"/>
    <x v="1"/>
    <x v="0"/>
    <n v="0"/>
    <n v="1"/>
  </r>
  <r>
    <x v="0"/>
    <x v="1"/>
    <m/>
    <x v="48"/>
    <n v="7"/>
    <x v="0"/>
    <n v="11"/>
    <n v="200"/>
    <m/>
    <n v="5.5"/>
    <n v="17.7"/>
    <n v="10"/>
    <x v="0"/>
    <x v="0"/>
    <n v="0"/>
    <n v="0"/>
  </r>
  <r>
    <x v="0"/>
    <x v="1"/>
    <m/>
    <x v="48"/>
    <n v="7"/>
    <x v="4"/>
    <n v="37"/>
    <n v="200"/>
    <m/>
    <n v="18.5"/>
    <n v="17.7"/>
    <n v="10"/>
    <x v="1"/>
    <x v="0"/>
    <n v="0"/>
    <n v="0"/>
  </r>
  <r>
    <x v="0"/>
    <x v="1"/>
    <m/>
    <x v="48"/>
    <n v="7"/>
    <x v="6"/>
    <n v="1"/>
    <n v="200"/>
    <m/>
    <n v="0.5"/>
    <n v="17.7"/>
    <n v="10"/>
    <x v="1"/>
    <x v="0"/>
    <n v="0"/>
    <n v="0"/>
  </r>
  <r>
    <x v="0"/>
    <x v="1"/>
    <m/>
    <x v="49"/>
    <n v="8"/>
    <x v="0"/>
    <n v="2"/>
    <n v="200"/>
    <m/>
    <n v="1"/>
    <n v="17.7"/>
    <n v="10"/>
    <x v="0"/>
    <x v="0"/>
    <n v="0"/>
    <n v="1"/>
  </r>
  <r>
    <x v="0"/>
    <x v="1"/>
    <m/>
    <x v="49"/>
    <n v="8"/>
    <x v="4"/>
    <n v="1"/>
    <n v="200"/>
    <m/>
    <n v="0.5"/>
    <n v="17.7"/>
    <n v="10"/>
    <x v="1"/>
    <x v="0"/>
    <n v="0"/>
    <n v="0"/>
  </r>
  <r>
    <x v="0"/>
    <x v="1"/>
    <m/>
    <x v="49"/>
    <n v="8"/>
    <x v="7"/>
    <n v="31"/>
    <n v="200"/>
    <m/>
    <n v="15.5"/>
    <n v="17.7"/>
    <n v="10"/>
    <x v="1"/>
    <x v="0"/>
    <n v="0"/>
    <n v="0"/>
  </r>
  <r>
    <x v="0"/>
    <x v="1"/>
    <m/>
    <x v="49"/>
    <n v="8"/>
    <x v="3"/>
    <n v="2"/>
    <n v="200"/>
    <m/>
    <n v="1"/>
    <n v="17.7"/>
    <n v="10"/>
    <x v="1"/>
    <x v="0"/>
    <n v="1"/>
    <n v="0"/>
  </r>
  <r>
    <x v="0"/>
    <x v="1"/>
    <m/>
    <x v="50"/>
    <n v="8"/>
    <x v="0"/>
    <n v="39"/>
    <n v="200"/>
    <m/>
    <n v="19.5"/>
    <n v="17.7"/>
    <n v="10"/>
    <x v="0"/>
    <x v="0"/>
    <n v="0"/>
    <n v="1"/>
  </r>
  <r>
    <x v="0"/>
    <x v="1"/>
    <m/>
    <x v="50"/>
    <n v="8"/>
    <x v="4"/>
    <n v="14"/>
    <n v="200"/>
    <m/>
    <n v="7.0000000000000009"/>
    <n v="17.7"/>
    <n v="10"/>
    <x v="1"/>
    <x v="0"/>
    <n v="0"/>
    <n v="0"/>
  </r>
  <r>
    <x v="0"/>
    <x v="1"/>
    <m/>
    <x v="50"/>
    <n v="8"/>
    <x v="3"/>
    <n v="5"/>
    <n v="200"/>
    <m/>
    <n v="2.5"/>
    <n v="17.7"/>
    <n v="10"/>
    <x v="1"/>
    <x v="0"/>
    <n v="0"/>
    <n v="0"/>
  </r>
  <r>
    <x v="0"/>
    <x v="1"/>
    <m/>
    <x v="51"/>
    <n v="8"/>
    <x v="0"/>
    <n v="54"/>
    <n v="200"/>
    <m/>
    <n v="27"/>
    <n v="17.7"/>
    <n v="10"/>
    <x v="0"/>
    <x v="0"/>
    <n v="0"/>
    <n v="1"/>
  </r>
  <r>
    <x v="0"/>
    <x v="1"/>
    <m/>
    <x v="51"/>
    <n v="8"/>
    <x v="4"/>
    <n v="25"/>
    <n v="200"/>
    <m/>
    <n v="12.5"/>
    <n v="17.7"/>
    <n v="10"/>
    <x v="1"/>
    <x v="0"/>
    <n v="0"/>
    <n v="0"/>
  </r>
  <r>
    <x v="0"/>
    <x v="1"/>
    <m/>
    <x v="52"/>
    <n v="8"/>
    <x v="0"/>
    <n v="11"/>
    <n v="200"/>
    <m/>
    <n v="5.5"/>
    <n v="17.7"/>
    <n v="10"/>
    <x v="0"/>
    <x v="0"/>
    <n v="0"/>
    <n v="1"/>
  </r>
  <r>
    <x v="0"/>
    <x v="1"/>
    <m/>
    <x v="52"/>
    <n v="8"/>
    <x v="4"/>
    <n v="10"/>
    <n v="200"/>
    <m/>
    <n v="5"/>
    <n v="17.7"/>
    <n v="10"/>
    <x v="1"/>
    <x v="0"/>
    <n v="0"/>
    <n v="0"/>
  </r>
  <r>
    <x v="0"/>
    <x v="1"/>
    <m/>
    <x v="52"/>
    <n v="8"/>
    <x v="10"/>
    <n v="18"/>
    <n v="200"/>
    <m/>
    <n v="9"/>
    <n v="17.7"/>
    <n v="10"/>
    <x v="1"/>
    <x v="0"/>
    <n v="1"/>
    <n v="0"/>
  </r>
  <r>
    <x v="0"/>
    <x v="1"/>
    <m/>
    <x v="53"/>
    <n v="8"/>
    <x v="4"/>
    <n v="12"/>
    <n v="200"/>
    <m/>
    <n v="6"/>
    <n v="17.7"/>
    <n v="10"/>
    <x v="1"/>
    <x v="0"/>
    <n v="0"/>
    <n v="1"/>
  </r>
  <r>
    <x v="0"/>
    <x v="1"/>
    <m/>
    <x v="53"/>
    <n v="8"/>
    <x v="10"/>
    <n v="11"/>
    <n v="200"/>
    <m/>
    <n v="5.5"/>
    <n v="17.7"/>
    <n v="10"/>
    <x v="1"/>
    <x v="0"/>
    <n v="0"/>
    <n v="0"/>
  </r>
  <r>
    <x v="0"/>
    <x v="1"/>
    <m/>
    <x v="53"/>
    <n v="8"/>
    <x v="11"/>
    <n v="1"/>
    <n v="200"/>
    <m/>
    <n v="0.5"/>
    <n v="17.7"/>
    <n v="10"/>
    <x v="1"/>
    <x v="0"/>
    <n v="1"/>
    <n v="0"/>
  </r>
  <r>
    <x v="0"/>
    <x v="2"/>
    <s v="1.1-1.2"/>
    <x v="0"/>
    <n v="1"/>
    <x v="1"/>
    <n v="17"/>
    <n v="200"/>
    <m/>
    <n v="8.5"/>
    <n v="17.7"/>
    <n v="10"/>
    <x v="1"/>
    <x v="0"/>
    <n v="1"/>
    <n v="1"/>
  </r>
  <r>
    <x v="0"/>
    <x v="2"/>
    <s v="1.1-1.2"/>
    <x v="0"/>
    <n v="1"/>
    <x v="2"/>
    <n v="5"/>
    <n v="200"/>
    <m/>
    <n v="2.5"/>
    <n v="17.7"/>
    <n v="10"/>
    <x v="1"/>
    <x v="0"/>
    <n v="1"/>
    <n v="0"/>
  </r>
  <r>
    <x v="0"/>
    <x v="2"/>
    <s v="1.2-1.3"/>
    <x v="1"/>
    <n v="1"/>
    <x v="1"/>
    <n v="8"/>
    <n v="200"/>
    <m/>
    <n v="4"/>
    <n v="17.7"/>
    <n v="10"/>
    <x v="1"/>
    <x v="0"/>
    <n v="0"/>
    <n v="1"/>
  </r>
  <r>
    <x v="0"/>
    <x v="2"/>
    <s v="1.3-1.4"/>
    <x v="2"/>
    <n v="1"/>
    <x v="12"/>
    <n v="0"/>
    <n v="200"/>
    <m/>
    <n v="0"/>
    <n v="17.7"/>
    <n v="10"/>
    <x v="2"/>
    <x v="0"/>
    <n v="1"/>
    <n v="1"/>
  </r>
  <r>
    <x v="0"/>
    <x v="2"/>
    <s v="1.4-1.5"/>
    <x v="3"/>
    <n v="1"/>
    <x v="1"/>
    <n v="4"/>
    <n v="200"/>
    <m/>
    <n v="2"/>
    <n v="17.7"/>
    <n v="10"/>
    <x v="1"/>
    <x v="0"/>
    <n v="0"/>
    <n v="1"/>
  </r>
  <r>
    <x v="0"/>
    <x v="2"/>
    <s v="1.5-1.6"/>
    <x v="4"/>
    <n v="1"/>
    <x v="1"/>
    <n v="1"/>
    <n v="200"/>
    <m/>
    <n v="0.5"/>
    <n v="17.7"/>
    <n v="10"/>
    <x v="1"/>
    <x v="0"/>
    <n v="0"/>
    <n v="1"/>
  </r>
  <r>
    <x v="0"/>
    <x v="2"/>
    <s v="1.5-1.6"/>
    <x v="4"/>
    <n v="1"/>
    <x v="0"/>
    <n v="2"/>
    <n v="200"/>
    <m/>
    <n v="1"/>
    <n v="17.7"/>
    <n v="10"/>
    <x v="0"/>
    <x v="0"/>
    <n v="1"/>
    <n v="0"/>
  </r>
  <r>
    <x v="0"/>
    <x v="2"/>
    <s v="1.6-1.7"/>
    <x v="5"/>
    <n v="1"/>
    <x v="1"/>
    <n v="2"/>
    <n v="200"/>
    <m/>
    <n v="1"/>
    <n v="17.7"/>
    <n v="10"/>
    <x v="1"/>
    <x v="0"/>
    <n v="0"/>
    <n v="1"/>
  </r>
  <r>
    <x v="0"/>
    <x v="2"/>
    <s v="1.7-1.0"/>
    <x v="6"/>
    <n v="1"/>
    <x v="1"/>
    <n v="13"/>
    <n v="200"/>
    <m/>
    <n v="6.5"/>
    <n v="17.7"/>
    <n v="10"/>
    <x v="1"/>
    <x v="0"/>
    <n v="0"/>
    <n v="1"/>
  </r>
  <r>
    <x v="0"/>
    <x v="2"/>
    <s v="2.1-2.2"/>
    <x v="7"/>
    <n v="2"/>
    <x v="4"/>
    <n v="9"/>
    <n v="200"/>
    <m/>
    <n v="4.5"/>
    <n v="17.7"/>
    <n v="10"/>
    <x v="1"/>
    <x v="0"/>
    <n v="1"/>
    <n v="1"/>
  </r>
  <r>
    <x v="0"/>
    <x v="2"/>
    <s v="2.1-2.2"/>
    <x v="7"/>
    <n v="2"/>
    <x v="0"/>
    <n v="1"/>
    <n v="200"/>
    <m/>
    <n v="0.5"/>
    <n v="17.7"/>
    <n v="10"/>
    <x v="0"/>
    <x v="0"/>
    <n v="0"/>
    <n v="0"/>
  </r>
  <r>
    <x v="0"/>
    <x v="2"/>
    <s v="2.2-2.3"/>
    <x v="8"/>
    <n v="2"/>
    <x v="1"/>
    <n v="5"/>
    <n v="200"/>
    <m/>
    <n v="2.5"/>
    <n v="17.7"/>
    <n v="10"/>
    <x v="1"/>
    <x v="0"/>
    <n v="0"/>
    <n v="1"/>
  </r>
  <r>
    <x v="0"/>
    <x v="2"/>
    <s v="2.2-2.3"/>
    <x v="8"/>
    <n v="2"/>
    <x v="3"/>
    <n v="1"/>
    <n v="200"/>
    <m/>
    <n v="0.5"/>
    <n v="17.7"/>
    <n v="10"/>
    <x v="1"/>
    <x v="0"/>
    <n v="1"/>
    <n v="0"/>
  </r>
  <r>
    <x v="0"/>
    <x v="2"/>
    <s v="2.3-2.4"/>
    <x v="9"/>
    <n v="2"/>
    <x v="1"/>
    <n v="1"/>
    <n v="200"/>
    <m/>
    <n v="0.5"/>
    <n v="17.7"/>
    <n v="10"/>
    <x v="1"/>
    <x v="0"/>
    <n v="0"/>
    <n v="1"/>
  </r>
  <r>
    <x v="0"/>
    <x v="2"/>
    <s v="2.4-2.5"/>
    <x v="10"/>
    <n v="2"/>
    <x v="12"/>
    <n v="0"/>
    <n v="200"/>
    <m/>
    <n v="0"/>
    <n v="17.7"/>
    <n v="10"/>
    <x v="2"/>
    <x v="0"/>
    <n v="0"/>
    <n v="1"/>
  </r>
  <r>
    <x v="0"/>
    <x v="2"/>
    <s v="2.5-2.6"/>
    <x v="11"/>
    <n v="2"/>
    <x v="1"/>
    <n v="2"/>
    <n v="200"/>
    <m/>
    <n v="1"/>
    <n v="17.7"/>
    <n v="10"/>
    <x v="1"/>
    <x v="0"/>
    <n v="0"/>
    <n v="1"/>
  </r>
  <r>
    <x v="0"/>
    <x v="2"/>
    <s v="2.5-2.6"/>
    <x v="11"/>
    <n v="2"/>
    <x v="0"/>
    <n v="1"/>
    <n v="200"/>
    <m/>
    <n v="0.5"/>
    <n v="17.7"/>
    <n v="10"/>
    <x v="0"/>
    <x v="0"/>
    <n v="0"/>
    <n v="0"/>
  </r>
  <r>
    <x v="0"/>
    <x v="2"/>
    <s v="2.6-2.7"/>
    <x v="12"/>
    <n v="2"/>
    <x v="0"/>
    <n v="1"/>
    <n v="200"/>
    <m/>
    <n v="0.5"/>
    <n v="17.7"/>
    <n v="10"/>
    <x v="0"/>
    <x v="0"/>
    <n v="0"/>
    <n v="1"/>
  </r>
  <r>
    <x v="0"/>
    <x v="2"/>
    <s v="2.7-2.0"/>
    <x v="13"/>
    <n v="2"/>
    <x v="1"/>
    <n v="6"/>
    <n v="200"/>
    <m/>
    <n v="3"/>
    <n v="17.7"/>
    <n v="10"/>
    <x v="1"/>
    <x v="0"/>
    <n v="0"/>
    <n v="1"/>
  </r>
  <r>
    <x v="0"/>
    <x v="2"/>
    <s v="3.1-3.2"/>
    <x v="14"/>
    <n v="3"/>
    <x v="12"/>
    <n v="0"/>
    <n v="200"/>
    <m/>
    <n v="0"/>
    <n v="17.7"/>
    <n v="10"/>
    <x v="2"/>
    <x v="0"/>
    <n v="0"/>
    <n v="1"/>
  </r>
  <r>
    <x v="0"/>
    <x v="2"/>
    <s v="3.2-3.3"/>
    <x v="15"/>
    <n v="3"/>
    <x v="0"/>
    <n v="2"/>
    <n v="200"/>
    <m/>
    <n v="1"/>
    <n v="17.7"/>
    <n v="10"/>
    <x v="0"/>
    <x v="0"/>
    <n v="0"/>
    <n v="1"/>
  </r>
  <r>
    <x v="0"/>
    <x v="2"/>
    <s v="3.3-3.4"/>
    <x v="16"/>
    <n v="3"/>
    <x v="12"/>
    <n v="0"/>
    <n v="200"/>
    <m/>
    <n v="0"/>
    <n v="17.7"/>
    <n v="10"/>
    <x v="2"/>
    <x v="0"/>
    <n v="0"/>
    <n v="1"/>
  </r>
  <r>
    <x v="0"/>
    <x v="2"/>
    <s v="3.4-3.5"/>
    <x v="17"/>
    <n v="3"/>
    <x v="12"/>
    <n v="0"/>
    <n v="200"/>
    <m/>
    <n v="0"/>
    <n v="17.7"/>
    <n v="10"/>
    <x v="2"/>
    <x v="0"/>
    <n v="0"/>
    <n v="1"/>
  </r>
  <r>
    <x v="0"/>
    <x v="2"/>
    <s v="3.5-3.6"/>
    <x v="18"/>
    <n v="3"/>
    <x v="12"/>
    <n v="0"/>
    <n v="200"/>
    <m/>
    <n v="0"/>
    <n v="17.7"/>
    <n v="10"/>
    <x v="2"/>
    <x v="0"/>
    <n v="0"/>
    <n v="1"/>
  </r>
  <r>
    <x v="0"/>
    <x v="2"/>
    <s v="3.6-3.7"/>
    <x v="19"/>
    <n v="3"/>
    <x v="4"/>
    <n v="3"/>
    <n v="200"/>
    <m/>
    <n v="1.5"/>
    <n v="17.7"/>
    <n v="10"/>
    <x v="1"/>
    <x v="0"/>
    <n v="0"/>
    <n v="1"/>
  </r>
  <r>
    <x v="0"/>
    <x v="2"/>
    <s v="3.6-3.7"/>
    <x v="19"/>
    <n v="3"/>
    <x v="6"/>
    <n v="2"/>
    <n v="200"/>
    <m/>
    <n v="1"/>
    <n v="17.7"/>
    <n v="10"/>
    <x v="1"/>
    <x v="0"/>
    <n v="1"/>
    <n v="0"/>
  </r>
  <r>
    <x v="0"/>
    <x v="2"/>
    <s v="3.6-3.7"/>
    <x v="19"/>
    <n v="3"/>
    <x v="5"/>
    <n v="1"/>
    <n v="200"/>
    <m/>
    <n v="0.5"/>
    <n v="17.7"/>
    <n v="10"/>
    <x v="1"/>
    <x v="0"/>
    <n v="1"/>
    <n v="0"/>
  </r>
  <r>
    <x v="0"/>
    <x v="2"/>
    <s v="3.7-3.0"/>
    <x v="20"/>
    <n v="3"/>
    <x v="1"/>
    <n v="2"/>
    <n v="200"/>
    <m/>
    <n v="1"/>
    <n v="17.7"/>
    <n v="10"/>
    <x v="1"/>
    <x v="0"/>
    <n v="0"/>
    <n v="1"/>
  </r>
  <r>
    <x v="0"/>
    <x v="2"/>
    <s v="4.1-4.2"/>
    <x v="21"/>
    <n v="4"/>
    <x v="1"/>
    <n v="2"/>
    <n v="200"/>
    <m/>
    <n v="1"/>
    <n v="17.7"/>
    <n v="10"/>
    <x v="1"/>
    <x v="0"/>
    <n v="0"/>
    <n v="1"/>
  </r>
  <r>
    <x v="0"/>
    <x v="2"/>
    <s v="4.2-4.3"/>
    <x v="22"/>
    <n v="4"/>
    <x v="1"/>
    <n v="6"/>
    <n v="200"/>
    <m/>
    <n v="3"/>
    <n v="17.7"/>
    <n v="10"/>
    <x v="1"/>
    <x v="0"/>
    <n v="0"/>
    <n v="1"/>
  </r>
  <r>
    <x v="0"/>
    <x v="2"/>
    <s v="4.3-4.4"/>
    <x v="23"/>
    <n v="4"/>
    <x v="1"/>
    <n v="3"/>
    <n v="200"/>
    <m/>
    <n v="1.5"/>
    <n v="17.7"/>
    <n v="10"/>
    <x v="1"/>
    <x v="0"/>
    <n v="0"/>
    <n v="1"/>
  </r>
  <r>
    <x v="0"/>
    <x v="2"/>
    <s v="4.4-4.5"/>
    <x v="24"/>
    <n v="4"/>
    <x v="12"/>
    <n v="0"/>
    <n v="200"/>
    <m/>
    <n v="0"/>
    <n v="17.7"/>
    <n v="10"/>
    <x v="2"/>
    <x v="0"/>
    <n v="0"/>
    <n v="1"/>
  </r>
  <r>
    <x v="0"/>
    <x v="2"/>
    <s v="4.5-4.6"/>
    <x v="25"/>
    <n v="4"/>
    <x v="12"/>
    <n v="0"/>
    <n v="200"/>
    <m/>
    <n v="0"/>
    <n v="17.7"/>
    <n v="10"/>
    <x v="2"/>
    <x v="0"/>
    <n v="0"/>
    <n v="1"/>
  </r>
  <r>
    <x v="0"/>
    <x v="2"/>
    <s v="4.6-4.7"/>
    <x v="26"/>
    <n v="4"/>
    <x v="6"/>
    <n v="12"/>
    <n v="200"/>
    <m/>
    <n v="6"/>
    <n v="17.7"/>
    <n v="10"/>
    <x v="1"/>
    <x v="0"/>
    <n v="0"/>
    <n v="1"/>
  </r>
  <r>
    <x v="0"/>
    <x v="2"/>
    <s v="4.7-4.0"/>
    <x v="27"/>
    <n v="4"/>
    <x v="4"/>
    <n v="5"/>
    <n v="200"/>
    <m/>
    <n v="2.5"/>
    <n v="17.7"/>
    <n v="10"/>
    <x v="1"/>
    <x v="0"/>
    <n v="0"/>
    <n v="1"/>
  </r>
  <r>
    <x v="0"/>
    <x v="2"/>
    <s v="4.7-4.0"/>
    <x v="27"/>
    <n v="4"/>
    <x v="2"/>
    <n v="4"/>
    <n v="200"/>
    <m/>
    <n v="2"/>
    <n v="17.7"/>
    <n v="10"/>
    <x v="1"/>
    <x v="0"/>
    <n v="0"/>
    <n v="0"/>
  </r>
  <r>
    <x v="0"/>
    <x v="2"/>
    <s v="5.1-5.2"/>
    <x v="28"/>
    <n v="5"/>
    <x v="4"/>
    <n v="21"/>
    <n v="193"/>
    <m/>
    <n v="10.880829015544041"/>
    <n v="17.7"/>
    <n v="10"/>
    <x v="1"/>
    <x v="0"/>
    <n v="0"/>
    <n v="1"/>
  </r>
  <r>
    <x v="0"/>
    <x v="2"/>
    <s v="5.1-5.2"/>
    <x v="28"/>
    <n v="5"/>
    <x v="7"/>
    <n v="2"/>
    <n v="193"/>
    <m/>
    <n v="1.0362694300518136"/>
    <n v="17.7"/>
    <n v="10"/>
    <x v="1"/>
    <x v="0"/>
    <n v="1"/>
    <n v="0"/>
  </r>
  <r>
    <x v="0"/>
    <x v="2"/>
    <s v="5.2-5.3"/>
    <x v="29"/>
    <n v="5"/>
    <x v="1"/>
    <n v="4"/>
    <n v="198"/>
    <m/>
    <n v="2.0202020202020203"/>
    <n v="17.7"/>
    <n v="10"/>
    <x v="1"/>
    <x v="0"/>
    <n v="0"/>
    <n v="1"/>
  </r>
  <r>
    <x v="0"/>
    <x v="2"/>
    <s v="5.3-5.4"/>
    <x v="30"/>
    <n v="5"/>
    <x v="1"/>
    <n v="10"/>
    <n v="198"/>
    <m/>
    <n v="5.0505050505050502"/>
    <n v="17.7"/>
    <n v="10"/>
    <x v="1"/>
    <x v="0"/>
    <n v="0"/>
    <n v="1"/>
  </r>
  <r>
    <x v="0"/>
    <x v="2"/>
    <s v="5.4-5.5"/>
    <x v="31"/>
    <n v="5"/>
    <x v="12"/>
    <n v="0"/>
    <n v="198"/>
    <m/>
    <n v="0"/>
    <n v="17.7"/>
    <n v="10"/>
    <x v="2"/>
    <x v="0"/>
    <n v="0"/>
    <n v="1"/>
  </r>
  <r>
    <x v="0"/>
    <x v="2"/>
    <s v="5.5-5.6"/>
    <x v="32"/>
    <n v="5"/>
    <x v="1"/>
    <n v="1"/>
    <n v="198"/>
    <m/>
    <n v="0.50505050505050508"/>
    <n v="17.7"/>
    <n v="10"/>
    <x v="1"/>
    <x v="0"/>
    <n v="0"/>
    <n v="1"/>
  </r>
  <r>
    <x v="0"/>
    <x v="2"/>
    <s v="5.6-5.7"/>
    <x v="33"/>
    <n v="5"/>
    <x v="1"/>
    <n v="5"/>
    <n v="200"/>
    <m/>
    <n v="2.5"/>
    <n v="17.7"/>
    <n v="10"/>
    <x v="1"/>
    <x v="0"/>
    <n v="0"/>
    <n v="1"/>
  </r>
  <r>
    <x v="0"/>
    <x v="2"/>
    <s v="5.7-5.0"/>
    <x v="34"/>
    <n v="5"/>
    <x v="1"/>
    <n v="13"/>
    <n v="198"/>
    <m/>
    <n v="6.5656565656565666"/>
    <n v="17.7"/>
    <n v="10"/>
    <x v="1"/>
    <x v="0"/>
    <n v="0"/>
    <n v="1"/>
  </r>
  <r>
    <x v="0"/>
    <x v="2"/>
    <s v="6.1-6.2"/>
    <x v="35"/>
    <n v="6"/>
    <x v="1"/>
    <n v="3"/>
    <n v="198"/>
    <m/>
    <n v="1.5151515151515151"/>
    <n v="17.7"/>
    <n v="10"/>
    <x v="1"/>
    <x v="0"/>
    <n v="0"/>
    <n v="1"/>
  </r>
  <r>
    <x v="0"/>
    <x v="2"/>
    <s v="6.1-6.2"/>
    <x v="35"/>
    <n v="6"/>
    <x v="0"/>
    <n v="1"/>
    <n v="198"/>
    <m/>
    <n v="0.50505050505050508"/>
    <n v="17.7"/>
    <n v="10"/>
    <x v="0"/>
    <x v="0"/>
    <n v="0"/>
    <n v="0"/>
  </r>
  <r>
    <x v="0"/>
    <x v="2"/>
    <s v="6.2-6.3"/>
    <x v="36"/>
    <n v="6"/>
    <x v="12"/>
    <n v="0"/>
    <n v="198"/>
    <m/>
    <n v="0"/>
    <n v="17.7"/>
    <n v="10"/>
    <x v="2"/>
    <x v="0"/>
    <n v="0"/>
    <n v="1"/>
  </r>
  <r>
    <x v="0"/>
    <x v="2"/>
    <s v="6.3-6.4"/>
    <x v="37"/>
    <n v="6"/>
    <x v="1"/>
    <n v="3"/>
    <n v="198"/>
    <m/>
    <n v="1.5151515151515151"/>
    <n v="17.7"/>
    <n v="10"/>
    <x v="1"/>
    <x v="0"/>
    <n v="0"/>
    <n v="1"/>
  </r>
  <r>
    <x v="0"/>
    <x v="2"/>
    <s v="6.4-6.5"/>
    <x v="38"/>
    <n v="6"/>
    <x v="1"/>
    <n v="3"/>
    <n v="198"/>
    <m/>
    <n v="1.5151515151515151"/>
    <n v="17.7"/>
    <n v="10"/>
    <x v="1"/>
    <x v="0"/>
    <n v="0"/>
    <n v="1"/>
  </r>
  <r>
    <x v="0"/>
    <x v="2"/>
    <s v="6.5-6.6"/>
    <x v="39"/>
    <n v="6"/>
    <x v="1"/>
    <n v="11"/>
    <n v="198"/>
    <m/>
    <n v="5.5555555555555554"/>
    <n v="17.7"/>
    <n v="10"/>
    <x v="1"/>
    <x v="0"/>
    <n v="0"/>
    <n v="1"/>
  </r>
  <r>
    <x v="0"/>
    <x v="2"/>
    <s v="6.6-6.7"/>
    <x v="40"/>
    <n v="6"/>
    <x v="12"/>
    <n v="0"/>
    <n v="198"/>
    <m/>
    <n v="0"/>
    <n v="17.7"/>
    <n v="10"/>
    <x v="2"/>
    <x v="0"/>
    <n v="0"/>
    <n v="1"/>
  </r>
  <r>
    <x v="0"/>
    <x v="2"/>
    <s v="6.7-6.0"/>
    <x v="41"/>
    <n v="6"/>
    <x v="1"/>
    <n v="2"/>
    <n v="198"/>
    <m/>
    <n v="1.0101010101010102"/>
    <n v="17.7"/>
    <n v="10"/>
    <x v="1"/>
    <x v="0"/>
    <n v="0"/>
    <n v="1"/>
  </r>
  <r>
    <x v="0"/>
    <x v="2"/>
    <s v="6.7-6.0"/>
    <x v="41"/>
    <n v="6"/>
    <x v="4"/>
    <n v="3"/>
    <n v="198"/>
    <m/>
    <n v="1.5151515151515151"/>
    <n v="17.7"/>
    <n v="10"/>
    <x v="1"/>
    <x v="0"/>
    <n v="0"/>
    <n v="0"/>
  </r>
  <r>
    <x v="0"/>
    <x v="2"/>
    <s v="7.1-7.2"/>
    <x v="42"/>
    <n v="7"/>
    <x v="12"/>
    <n v="0"/>
    <n v="200"/>
    <m/>
    <n v="0"/>
    <n v="17.7"/>
    <n v="10"/>
    <x v="2"/>
    <x v="0"/>
    <n v="0"/>
    <n v="1"/>
  </r>
  <r>
    <x v="0"/>
    <x v="2"/>
    <s v="7.2-7.3"/>
    <x v="43"/>
    <n v="7"/>
    <x v="1"/>
    <n v="2"/>
    <n v="200"/>
    <m/>
    <n v="1"/>
    <n v="17.7"/>
    <n v="10"/>
    <x v="1"/>
    <x v="0"/>
    <n v="0"/>
    <n v="1"/>
  </r>
  <r>
    <x v="0"/>
    <x v="2"/>
    <s v="7.2-7.3"/>
    <x v="43"/>
    <n v="7"/>
    <x v="8"/>
    <n v="1"/>
    <n v="200"/>
    <m/>
    <n v="0.5"/>
    <n v="17.7"/>
    <n v="10"/>
    <x v="1"/>
    <x v="0"/>
    <n v="1"/>
    <n v="0"/>
  </r>
  <r>
    <x v="0"/>
    <x v="2"/>
    <s v="7.3-7.4"/>
    <x v="44"/>
    <n v="7"/>
    <x v="1"/>
    <n v="2"/>
    <n v="200"/>
    <m/>
    <n v="1"/>
    <n v="17.7"/>
    <n v="10"/>
    <x v="1"/>
    <x v="0"/>
    <n v="0"/>
    <n v="1"/>
  </r>
  <r>
    <x v="0"/>
    <x v="2"/>
    <s v="7.3-7.4"/>
    <x v="44"/>
    <n v="7"/>
    <x v="4"/>
    <n v="1"/>
    <n v="200"/>
    <m/>
    <n v="0.5"/>
    <n v="17.7"/>
    <n v="10"/>
    <x v="1"/>
    <x v="0"/>
    <n v="0"/>
    <n v="0"/>
  </r>
  <r>
    <x v="0"/>
    <x v="2"/>
    <s v="7.3-7.4"/>
    <x v="44"/>
    <n v="7"/>
    <x v="0"/>
    <n v="1"/>
    <n v="200"/>
    <m/>
    <n v="0.5"/>
    <n v="17.7"/>
    <n v="10"/>
    <x v="0"/>
    <x v="0"/>
    <n v="0"/>
    <n v="0"/>
  </r>
  <r>
    <x v="0"/>
    <x v="2"/>
    <s v="7.4-7.5"/>
    <x v="45"/>
    <n v="7"/>
    <x v="4"/>
    <n v="1"/>
    <n v="200"/>
    <m/>
    <n v="0.5"/>
    <n v="17.7"/>
    <n v="10"/>
    <x v="1"/>
    <x v="0"/>
    <n v="0"/>
    <n v="1"/>
  </r>
  <r>
    <x v="0"/>
    <x v="2"/>
    <s v="7.5-7.6"/>
    <x v="46"/>
    <n v="7"/>
    <x v="1"/>
    <n v="8"/>
    <n v="200"/>
    <m/>
    <n v="4"/>
    <n v="17.7"/>
    <n v="10"/>
    <x v="1"/>
    <x v="0"/>
    <n v="0"/>
    <n v="1"/>
  </r>
  <r>
    <x v="0"/>
    <x v="2"/>
    <s v="7.5-7.6"/>
    <x v="46"/>
    <n v="7"/>
    <x v="6"/>
    <n v="3"/>
    <n v="200"/>
    <m/>
    <n v="1.5"/>
    <n v="17.7"/>
    <n v="10"/>
    <x v="1"/>
    <x v="0"/>
    <n v="0"/>
    <n v="0"/>
  </r>
  <r>
    <x v="0"/>
    <x v="2"/>
    <s v="7.6-7.7"/>
    <x v="47"/>
    <n v="7"/>
    <x v="1"/>
    <n v="4"/>
    <n v="200"/>
    <m/>
    <n v="2"/>
    <n v="17.7"/>
    <n v="10"/>
    <x v="1"/>
    <x v="0"/>
    <n v="0"/>
    <n v="1"/>
  </r>
  <r>
    <x v="0"/>
    <x v="2"/>
    <s v="7.7-7.0"/>
    <x v="48"/>
    <n v="7"/>
    <x v="1"/>
    <n v="4"/>
    <n v="200"/>
    <m/>
    <n v="2"/>
    <n v="17.7"/>
    <n v="10"/>
    <x v="1"/>
    <x v="0"/>
    <n v="0"/>
    <n v="1"/>
  </r>
  <r>
    <x v="0"/>
    <x v="2"/>
    <s v="7.7-7.0"/>
    <x v="48"/>
    <n v="7"/>
    <x v="4"/>
    <n v="27"/>
    <n v="200"/>
    <m/>
    <n v="13.5"/>
    <n v="17.7"/>
    <n v="10"/>
    <x v="1"/>
    <x v="0"/>
    <n v="0"/>
    <n v="0"/>
  </r>
  <r>
    <x v="0"/>
    <x v="2"/>
    <s v="7.7-7.0"/>
    <x v="48"/>
    <n v="7"/>
    <x v="7"/>
    <n v="7"/>
    <n v="200"/>
    <m/>
    <n v="3.5000000000000004"/>
    <n v="17.7"/>
    <n v="10"/>
    <x v="1"/>
    <x v="0"/>
    <n v="0"/>
    <n v="0"/>
  </r>
  <r>
    <x v="0"/>
    <x v="2"/>
    <s v="7.7-7.0"/>
    <x v="48"/>
    <n v="7"/>
    <x v="6"/>
    <n v="5"/>
    <n v="200"/>
    <m/>
    <n v="2.5"/>
    <n v="17.7"/>
    <n v="10"/>
    <x v="1"/>
    <x v="0"/>
    <n v="0"/>
    <n v="0"/>
  </r>
  <r>
    <x v="0"/>
    <x v="2"/>
    <s v="7.7-7.0"/>
    <x v="48"/>
    <n v="7"/>
    <x v="0"/>
    <n v="1"/>
    <n v="200"/>
    <m/>
    <n v="0.5"/>
    <n v="17.7"/>
    <n v="10"/>
    <x v="0"/>
    <x v="0"/>
    <n v="0"/>
    <n v="0"/>
  </r>
  <r>
    <x v="0"/>
    <x v="2"/>
    <s v="8.1-8.2"/>
    <x v="49"/>
    <n v="8"/>
    <x v="7"/>
    <n v="22"/>
    <n v="200"/>
    <m/>
    <n v="11"/>
    <n v="17.7"/>
    <n v="10"/>
    <x v="1"/>
    <x v="0"/>
    <n v="0"/>
    <n v="1"/>
  </r>
  <r>
    <x v="0"/>
    <x v="2"/>
    <s v="8.2-8.3"/>
    <x v="50"/>
    <n v="8"/>
    <x v="4"/>
    <n v="5"/>
    <n v="200"/>
    <m/>
    <n v="2.5"/>
    <n v="17.7"/>
    <n v="10"/>
    <x v="1"/>
    <x v="0"/>
    <n v="0"/>
    <n v="1"/>
  </r>
  <r>
    <x v="0"/>
    <x v="2"/>
    <s v="8.3-8.4"/>
    <x v="51"/>
    <n v="8"/>
    <x v="4"/>
    <n v="11"/>
    <n v="200"/>
    <m/>
    <n v="5.5"/>
    <n v="17.7"/>
    <n v="10"/>
    <x v="1"/>
    <x v="0"/>
    <n v="0"/>
    <n v="1"/>
  </r>
  <r>
    <x v="0"/>
    <x v="2"/>
    <s v="8.3-8.4"/>
    <x v="51"/>
    <n v="8"/>
    <x v="10"/>
    <n v="1"/>
    <n v="200"/>
    <m/>
    <n v="0.5"/>
    <n v="17.7"/>
    <n v="10"/>
    <x v="1"/>
    <x v="0"/>
    <n v="1"/>
    <n v="0"/>
  </r>
  <r>
    <x v="0"/>
    <x v="2"/>
    <s v="8.4-8.5"/>
    <x v="52"/>
    <n v="8"/>
    <x v="4"/>
    <n v="5"/>
    <n v="200"/>
    <m/>
    <n v="2.5"/>
    <n v="17.7"/>
    <n v="10"/>
    <x v="1"/>
    <x v="0"/>
    <n v="0"/>
    <n v="1"/>
  </r>
  <r>
    <x v="0"/>
    <x v="2"/>
    <s v="8.4-8.5"/>
    <x v="52"/>
    <n v="8"/>
    <x v="10"/>
    <n v="13"/>
    <n v="200"/>
    <m/>
    <n v="6.5"/>
    <n v="17.7"/>
    <n v="10"/>
    <x v="1"/>
    <x v="0"/>
    <n v="0"/>
    <n v="0"/>
  </r>
  <r>
    <x v="0"/>
    <x v="2"/>
    <s v="8.5-8.0"/>
    <x v="53"/>
    <n v="8"/>
    <x v="4"/>
    <n v="9"/>
    <n v="200"/>
    <m/>
    <n v="4.5"/>
    <n v="17.7"/>
    <n v="10"/>
    <x v="1"/>
    <x v="0"/>
    <n v="0"/>
    <n v="1"/>
  </r>
  <r>
    <x v="0"/>
    <x v="2"/>
    <s v="8.5-8.0"/>
    <x v="53"/>
    <n v="8"/>
    <x v="10"/>
    <n v="4"/>
    <n v="200"/>
    <m/>
    <n v="2"/>
    <n v="17.7"/>
    <n v="10"/>
    <x v="1"/>
    <x v="0"/>
    <n v="0"/>
    <n v="0"/>
  </r>
  <r>
    <x v="1"/>
    <x v="0"/>
    <m/>
    <x v="0"/>
    <n v="1"/>
    <x v="0"/>
    <n v="80"/>
    <n v="200"/>
    <m/>
    <n v="40"/>
    <n v="15"/>
    <n v="12"/>
    <x v="0"/>
    <x v="0"/>
    <n v="1"/>
    <n v="1"/>
  </r>
  <r>
    <x v="1"/>
    <x v="0"/>
    <m/>
    <x v="0"/>
    <n v="1"/>
    <x v="1"/>
    <n v="5"/>
    <n v="200"/>
    <m/>
    <n v="2.5"/>
    <n v="15"/>
    <n v="12"/>
    <x v="1"/>
    <x v="0"/>
    <n v="1"/>
    <n v="0"/>
  </r>
  <r>
    <x v="1"/>
    <x v="0"/>
    <m/>
    <x v="0"/>
    <n v="1"/>
    <x v="16"/>
    <n v="5"/>
    <n v="200"/>
    <m/>
    <n v="2.5"/>
    <n v="15"/>
    <n v="12"/>
    <x v="1"/>
    <x v="0"/>
    <n v="1"/>
    <n v="0"/>
  </r>
  <r>
    <x v="1"/>
    <x v="0"/>
    <m/>
    <x v="1"/>
    <n v="1"/>
    <x v="0"/>
    <n v="100"/>
    <n v="200"/>
    <m/>
    <n v="50"/>
    <n v="15"/>
    <n v="12"/>
    <x v="0"/>
    <x v="0"/>
    <n v="0"/>
    <n v="1"/>
  </r>
  <r>
    <x v="1"/>
    <x v="0"/>
    <m/>
    <x v="1"/>
    <n v="1"/>
    <x v="1"/>
    <n v="2"/>
    <n v="200"/>
    <m/>
    <n v="1"/>
    <n v="15"/>
    <n v="12"/>
    <x v="1"/>
    <x v="0"/>
    <n v="0"/>
    <n v="0"/>
  </r>
  <r>
    <x v="1"/>
    <x v="0"/>
    <m/>
    <x v="2"/>
    <n v="1"/>
    <x v="0"/>
    <n v="20"/>
    <n v="200"/>
    <m/>
    <n v="10"/>
    <n v="15"/>
    <n v="12"/>
    <x v="0"/>
    <x v="0"/>
    <n v="0"/>
    <n v="1"/>
  </r>
  <r>
    <x v="1"/>
    <x v="0"/>
    <m/>
    <x v="2"/>
    <n v="1"/>
    <x v="1"/>
    <n v="8"/>
    <n v="200"/>
    <m/>
    <n v="4"/>
    <n v="15"/>
    <n v="12"/>
    <x v="1"/>
    <x v="0"/>
    <n v="0"/>
    <n v="0"/>
  </r>
  <r>
    <x v="1"/>
    <x v="0"/>
    <m/>
    <x v="3"/>
    <n v="1"/>
    <x v="0"/>
    <n v="100"/>
    <n v="200"/>
    <m/>
    <n v="50"/>
    <n v="15"/>
    <n v="12"/>
    <x v="0"/>
    <x v="0"/>
    <n v="0"/>
    <n v="1"/>
  </r>
  <r>
    <x v="1"/>
    <x v="0"/>
    <m/>
    <x v="4"/>
    <n v="1"/>
    <x v="0"/>
    <n v="30"/>
    <n v="200"/>
    <m/>
    <n v="15"/>
    <n v="15"/>
    <n v="12"/>
    <x v="0"/>
    <x v="0"/>
    <n v="0"/>
    <n v="1"/>
  </r>
  <r>
    <x v="1"/>
    <x v="0"/>
    <m/>
    <x v="4"/>
    <n v="1"/>
    <x v="1"/>
    <n v="17"/>
    <n v="200"/>
    <m/>
    <n v="8.5"/>
    <n v="15"/>
    <n v="12"/>
    <x v="1"/>
    <x v="0"/>
    <n v="0"/>
    <n v="0"/>
  </r>
  <r>
    <x v="1"/>
    <x v="0"/>
    <m/>
    <x v="7"/>
    <n v="2"/>
    <x v="0"/>
    <n v="25"/>
    <n v="200"/>
    <m/>
    <n v="12.5"/>
    <n v="15"/>
    <n v="12"/>
    <x v="0"/>
    <x v="0"/>
    <n v="0"/>
    <n v="1"/>
  </r>
  <r>
    <x v="1"/>
    <x v="0"/>
    <m/>
    <x v="7"/>
    <n v="2"/>
    <x v="1"/>
    <n v="8"/>
    <n v="200"/>
    <m/>
    <n v="4"/>
    <n v="15"/>
    <n v="12"/>
    <x v="1"/>
    <x v="0"/>
    <n v="0"/>
    <n v="0"/>
  </r>
  <r>
    <x v="1"/>
    <x v="0"/>
    <m/>
    <x v="8"/>
    <n v="2"/>
    <x v="0"/>
    <n v="3"/>
    <n v="200"/>
    <m/>
    <n v="1.5"/>
    <n v="15"/>
    <n v="12"/>
    <x v="0"/>
    <x v="0"/>
    <n v="0"/>
    <n v="1"/>
  </r>
  <r>
    <x v="1"/>
    <x v="0"/>
    <m/>
    <x v="8"/>
    <n v="2"/>
    <x v="1"/>
    <n v="2"/>
    <n v="200"/>
    <m/>
    <n v="1"/>
    <n v="15"/>
    <n v="12"/>
    <x v="1"/>
    <x v="0"/>
    <n v="0"/>
    <n v="0"/>
  </r>
  <r>
    <x v="1"/>
    <x v="0"/>
    <m/>
    <x v="9"/>
    <n v="2"/>
    <x v="0"/>
    <n v="25"/>
    <n v="200"/>
    <m/>
    <n v="12.5"/>
    <n v="15"/>
    <n v="12"/>
    <x v="0"/>
    <x v="0"/>
    <n v="0"/>
    <n v="1"/>
  </r>
  <r>
    <x v="1"/>
    <x v="0"/>
    <m/>
    <x v="9"/>
    <n v="2"/>
    <x v="1"/>
    <n v="7"/>
    <n v="200"/>
    <m/>
    <n v="3.5000000000000004"/>
    <n v="15"/>
    <n v="12"/>
    <x v="1"/>
    <x v="0"/>
    <n v="0"/>
    <n v="0"/>
  </r>
  <r>
    <x v="1"/>
    <x v="0"/>
    <m/>
    <x v="10"/>
    <n v="2"/>
    <x v="0"/>
    <n v="160"/>
    <n v="200"/>
    <m/>
    <n v="80"/>
    <n v="15"/>
    <n v="12"/>
    <x v="0"/>
    <x v="0"/>
    <n v="0"/>
    <n v="1"/>
  </r>
  <r>
    <x v="1"/>
    <x v="0"/>
    <m/>
    <x v="11"/>
    <n v="2"/>
    <x v="0"/>
    <n v="160"/>
    <n v="200"/>
    <m/>
    <n v="80"/>
    <n v="15"/>
    <n v="12"/>
    <x v="0"/>
    <x v="0"/>
    <n v="0"/>
    <n v="1"/>
  </r>
  <r>
    <x v="1"/>
    <x v="0"/>
    <m/>
    <x v="12"/>
    <n v="2"/>
    <x v="0"/>
    <n v="160"/>
    <n v="200"/>
    <m/>
    <n v="80"/>
    <n v="15"/>
    <n v="12"/>
    <x v="0"/>
    <x v="0"/>
    <n v="0"/>
    <n v="1"/>
  </r>
  <r>
    <x v="1"/>
    <x v="0"/>
    <m/>
    <x v="13"/>
    <n v="2"/>
    <x v="0"/>
    <n v="140"/>
    <n v="200"/>
    <m/>
    <n v="70"/>
    <n v="15"/>
    <n v="12"/>
    <x v="0"/>
    <x v="0"/>
    <n v="0"/>
    <n v="1"/>
  </r>
  <r>
    <x v="1"/>
    <x v="0"/>
    <m/>
    <x v="54"/>
    <n v="2"/>
    <x v="0"/>
    <n v="40"/>
    <n v="199"/>
    <m/>
    <n v="20.100502512562816"/>
    <n v="15"/>
    <n v="12"/>
    <x v="0"/>
    <x v="0"/>
    <n v="0"/>
    <n v="1"/>
  </r>
  <r>
    <x v="1"/>
    <x v="0"/>
    <m/>
    <x v="54"/>
    <n v="2"/>
    <x v="1"/>
    <n v="9"/>
    <n v="199"/>
    <m/>
    <n v="4.5226130653266337"/>
    <n v="15"/>
    <n v="12"/>
    <x v="1"/>
    <x v="0"/>
    <n v="0"/>
    <n v="0"/>
  </r>
  <r>
    <x v="1"/>
    <x v="0"/>
    <m/>
    <x v="54"/>
    <n v="2"/>
    <x v="16"/>
    <n v="8"/>
    <n v="199"/>
    <m/>
    <n v="4.0201005025125625"/>
    <n v="15"/>
    <n v="12"/>
    <x v="1"/>
    <x v="0"/>
    <n v="0"/>
    <n v="0"/>
  </r>
  <r>
    <x v="1"/>
    <x v="0"/>
    <m/>
    <x v="14"/>
    <n v="3"/>
    <x v="0"/>
    <n v="100"/>
    <n v="200"/>
    <m/>
    <n v="50"/>
    <n v="15"/>
    <n v="12"/>
    <x v="0"/>
    <x v="0"/>
    <n v="0"/>
    <n v="1"/>
  </r>
  <r>
    <x v="1"/>
    <x v="0"/>
    <m/>
    <x v="15"/>
    <n v="3"/>
    <x v="0"/>
    <n v="90"/>
    <n v="200"/>
    <m/>
    <n v="45"/>
    <n v="15"/>
    <n v="12"/>
    <x v="0"/>
    <x v="0"/>
    <n v="0"/>
    <n v="1"/>
  </r>
  <r>
    <x v="1"/>
    <x v="0"/>
    <m/>
    <x v="16"/>
    <n v="3"/>
    <x v="0"/>
    <n v="60"/>
    <n v="200"/>
    <m/>
    <n v="30"/>
    <n v="15"/>
    <n v="12"/>
    <x v="0"/>
    <x v="0"/>
    <n v="0"/>
    <n v="1"/>
  </r>
  <r>
    <x v="1"/>
    <x v="0"/>
    <m/>
    <x v="16"/>
    <n v="3"/>
    <x v="1"/>
    <n v="1"/>
    <n v="200"/>
    <m/>
    <n v="0.5"/>
    <n v="15"/>
    <n v="12"/>
    <x v="1"/>
    <x v="0"/>
    <n v="0"/>
    <n v="0"/>
  </r>
  <r>
    <x v="1"/>
    <x v="0"/>
    <m/>
    <x v="17"/>
    <n v="3"/>
    <x v="0"/>
    <n v="60"/>
    <n v="200"/>
    <m/>
    <n v="30"/>
    <n v="15"/>
    <n v="12"/>
    <x v="0"/>
    <x v="0"/>
    <n v="0"/>
    <n v="1"/>
  </r>
  <r>
    <x v="1"/>
    <x v="0"/>
    <m/>
    <x v="18"/>
    <n v="3"/>
    <x v="0"/>
    <n v="20"/>
    <n v="200"/>
    <m/>
    <n v="10"/>
    <n v="15"/>
    <n v="12"/>
    <x v="0"/>
    <x v="0"/>
    <n v="0"/>
    <n v="1"/>
  </r>
  <r>
    <x v="1"/>
    <x v="0"/>
    <m/>
    <x v="19"/>
    <n v="3"/>
    <x v="0"/>
    <n v="30"/>
    <n v="200"/>
    <m/>
    <n v="15"/>
    <n v="15"/>
    <n v="12"/>
    <x v="0"/>
    <x v="0"/>
    <n v="0"/>
    <n v="1"/>
  </r>
  <r>
    <x v="1"/>
    <x v="0"/>
    <m/>
    <x v="19"/>
    <n v="3"/>
    <x v="1"/>
    <n v="2"/>
    <n v="200"/>
    <m/>
    <n v="1"/>
    <n v="15"/>
    <n v="12"/>
    <x v="1"/>
    <x v="0"/>
    <n v="0"/>
    <n v="0"/>
  </r>
  <r>
    <x v="1"/>
    <x v="0"/>
    <m/>
    <x v="20"/>
    <n v="3"/>
    <x v="0"/>
    <n v="20"/>
    <n v="199"/>
    <m/>
    <n v="10.050251256281408"/>
    <n v="15"/>
    <n v="12"/>
    <x v="0"/>
    <x v="0"/>
    <n v="0"/>
    <n v="1"/>
  </r>
  <r>
    <x v="1"/>
    <x v="0"/>
    <m/>
    <x v="20"/>
    <n v="3"/>
    <x v="17"/>
    <n v="5"/>
    <n v="199"/>
    <m/>
    <n v="2.512562814070352"/>
    <n v="15"/>
    <n v="12"/>
    <x v="3"/>
    <x v="0"/>
    <n v="1"/>
    <n v="0"/>
  </r>
  <r>
    <x v="1"/>
    <x v="0"/>
    <m/>
    <x v="20"/>
    <n v="3"/>
    <x v="1"/>
    <n v="7"/>
    <n v="199"/>
    <m/>
    <n v="3.5175879396984926"/>
    <n v="15"/>
    <n v="12"/>
    <x v="1"/>
    <x v="0"/>
    <n v="0"/>
    <n v="0"/>
  </r>
  <r>
    <x v="1"/>
    <x v="0"/>
    <m/>
    <x v="20"/>
    <n v="3"/>
    <x v="2"/>
    <n v="2"/>
    <n v="199"/>
    <m/>
    <n v="1.0050251256281406"/>
    <n v="15"/>
    <n v="12"/>
    <x v="1"/>
    <x v="0"/>
    <n v="1"/>
    <n v="0"/>
  </r>
  <r>
    <x v="1"/>
    <x v="0"/>
    <m/>
    <x v="21"/>
    <n v="4"/>
    <x v="0"/>
    <n v="40"/>
    <n v="200"/>
    <m/>
    <n v="20"/>
    <n v="15"/>
    <n v="12"/>
    <x v="0"/>
    <x v="0"/>
    <n v="0"/>
    <n v="1"/>
  </r>
  <r>
    <x v="1"/>
    <x v="0"/>
    <m/>
    <x v="21"/>
    <n v="4"/>
    <x v="1"/>
    <n v="3"/>
    <n v="200"/>
    <m/>
    <n v="1.5"/>
    <n v="15"/>
    <n v="12"/>
    <x v="1"/>
    <x v="0"/>
    <n v="0"/>
    <n v="0"/>
  </r>
  <r>
    <x v="1"/>
    <x v="0"/>
    <m/>
    <x v="22"/>
    <n v="4"/>
    <x v="0"/>
    <n v="50"/>
    <n v="200"/>
    <m/>
    <n v="25"/>
    <n v="15"/>
    <n v="12"/>
    <x v="0"/>
    <x v="0"/>
    <n v="0"/>
    <n v="1"/>
  </r>
  <r>
    <x v="1"/>
    <x v="0"/>
    <m/>
    <x v="23"/>
    <n v="4"/>
    <x v="0"/>
    <n v="50"/>
    <n v="200"/>
    <m/>
    <n v="25"/>
    <n v="15"/>
    <n v="12"/>
    <x v="0"/>
    <x v="0"/>
    <n v="0"/>
    <n v="1"/>
  </r>
  <r>
    <x v="1"/>
    <x v="0"/>
    <m/>
    <x v="24"/>
    <n v="4"/>
    <x v="0"/>
    <n v="2"/>
    <n v="200"/>
    <m/>
    <n v="1"/>
    <n v="15"/>
    <n v="12"/>
    <x v="0"/>
    <x v="0"/>
    <n v="0"/>
    <n v="1"/>
  </r>
  <r>
    <x v="1"/>
    <x v="0"/>
    <m/>
    <x v="25"/>
    <n v="4"/>
    <x v="0"/>
    <n v="30"/>
    <n v="200"/>
    <m/>
    <n v="15"/>
    <n v="15"/>
    <n v="12"/>
    <x v="0"/>
    <x v="0"/>
    <n v="0"/>
    <n v="1"/>
  </r>
  <r>
    <x v="1"/>
    <x v="0"/>
    <m/>
    <x v="26"/>
    <n v="4"/>
    <x v="0"/>
    <n v="12"/>
    <n v="200"/>
    <m/>
    <n v="6"/>
    <n v="15"/>
    <n v="12"/>
    <x v="0"/>
    <x v="0"/>
    <n v="0"/>
    <n v="1"/>
  </r>
  <r>
    <x v="1"/>
    <x v="0"/>
    <m/>
    <x v="26"/>
    <n v="4"/>
    <x v="1"/>
    <n v="6"/>
    <n v="200"/>
    <m/>
    <n v="3"/>
    <n v="15"/>
    <n v="12"/>
    <x v="1"/>
    <x v="0"/>
    <n v="0"/>
    <n v="0"/>
  </r>
  <r>
    <x v="1"/>
    <x v="0"/>
    <m/>
    <x v="27"/>
    <n v="4"/>
    <x v="1"/>
    <n v="25"/>
    <n v="189"/>
    <m/>
    <n v="13.227513227513226"/>
    <n v="15"/>
    <n v="12"/>
    <x v="1"/>
    <x v="0"/>
    <n v="0"/>
    <n v="1"/>
  </r>
  <r>
    <x v="1"/>
    <x v="0"/>
    <m/>
    <x v="27"/>
    <n v="4"/>
    <x v="2"/>
    <n v="5"/>
    <n v="189"/>
    <m/>
    <n v="2.6455026455026456"/>
    <n v="15"/>
    <n v="12"/>
    <x v="1"/>
    <x v="0"/>
    <n v="0"/>
    <n v="0"/>
  </r>
  <r>
    <x v="1"/>
    <x v="0"/>
    <m/>
    <x v="28"/>
    <n v="5"/>
    <x v="1"/>
    <n v="17"/>
    <n v="200"/>
    <m/>
    <n v="8.5"/>
    <n v="15"/>
    <n v="12"/>
    <x v="1"/>
    <x v="0"/>
    <n v="0"/>
    <n v="1"/>
  </r>
  <r>
    <x v="1"/>
    <x v="0"/>
    <m/>
    <x v="28"/>
    <n v="5"/>
    <x v="2"/>
    <n v="4"/>
    <n v="200"/>
    <m/>
    <n v="2"/>
    <n v="15"/>
    <n v="12"/>
    <x v="1"/>
    <x v="0"/>
    <n v="0"/>
    <n v="0"/>
  </r>
  <r>
    <x v="1"/>
    <x v="0"/>
    <m/>
    <x v="29"/>
    <n v="5"/>
    <x v="0"/>
    <n v="2"/>
    <n v="200"/>
    <m/>
    <n v="1"/>
    <n v="15"/>
    <n v="12"/>
    <x v="0"/>
    <x v="0"/>
    <n v="0"/>
    <n v="1"/>
  </r>
  <r>
    <x v="1"/>
    <x v="0"/>
    <m/>
    <x v="29"/>
    <n v="5"/>
    <x v="1"/>
    <n v="9"/>
    <n v="200"/>
    <m/>
    <n v="4.5"/>
    <n v="15"/>
    <n v="12"/>
    <x v="1"/>
    <x v="0"/>
    <n v="0"/>
    <n v="0"/>
  </r>
  <r>
    <x v="1"/>
    <x v="0"/>
    <m/>
    <x v="29"/>
    <n v="5"/>
    <x v="2"/>
    <n v="6"/>
    <n v="200"/>
    <m/>
    <n v="3"/>
    <n v="15"/>
    <n v="12"/>
    <x v="1"/>
    <x v="0"/>
    <n v="0"/>
    <n v="0"/>
  </r>
  <r>
    <x v="1"/>
    <x v="0"/>
    <m/>
    <x v="29"/>
    <n v="5"/>
    <x v="16"/>
    <n v="15"/>
    <n v="200"/>
    <m/>
    <n v="7.5"/>
    <n v="15"/>
    <n v="12"/>
    <x v="1"/>
    <x v="0"/>
    <n v="0"/>
    <n v="0"/>
  </r>
  <r>
    <x v="1"/>
    <x v="0"/>
    <m/>
    <x v="30"/>
    <n v="5"/>
    <x v="0"/>
    <n v="2"/>
    <n v="200"/>
    <m/>
    <n v="1"/>
    <n v="15"/>
    <n v="12"/>
    <x v="0"/>
    <x v="0"/>
    <n v="0"/>
    <n v="1"/>
  </r>
  <r>
    <x v="1"/>
    <x v="0"/>
    <m/>
    <x v="30"/>
    <n v="5"/>
    <x v="1"/>
    <n v="3"/>
    <n v="200"/>
    <m/>
    <n v="1.5"/>
    <n v="15"/>
    <n v="12"/>
    <x v="1"/>
    <x v="0"/>
    <n v="0"/>
    <n v="0"/>
  </r>
  <r>
    <x v="1"/>
    <x v="0"/>
    <m/>
    <x v="31"/>
    <n v="5"/>
    <x v="0"/>
    <n v="2"/>
    <n v="200"/>
    <m/>
    <n v="1"/>
    <n v="15"/>
    <n v="12"/>
    <x v="0"/>
    <x v="0"/>
    <n v="0"/>
    <n v="1"/>
  </r>
  <r>
    <x v="1"/>
    <x v="0"/>
    <m/>
    <x v="31"/>
    <n v="5"/>
    <x v="1"/>
    <n v="1"/>
    <n v="200"/>
    <m/>
    <n v="0.5"/>
    <n v="15"/>
    <n v="12"/>
    <x v="1"/>
    <x v="0"/>
    <n v="0"/>
    <n v="0"/>
  </r>
  <r>
    <x v="1"/>
    <x v="0"/>
    <m/>
    <x v="32"/>
    <n v="5"/>
    <x v="0"/>
    <n v="2"/>
    <n v="200"/>
    <m/>
    <n v="1"/>
    <n v="15"/>
    <n v="12"/>
    <x v="0"/>
    <x v="0"/>
    <n v="0"/>
    <n v="1"/>
  </r>
  <r>
    <x v="1"/>
    <x v="0"/>
    <m/>
    <x v="32"/>
    <n v="5"/>
    <x v="1"/>
    <n v="9"/>
    <n v="200"/>
    <m/>
    <n v="4.5"/>
    <n v="15"/>
    <n v="12"/>
    <x v="1"/>
    <x v="0"/>
    <n v="0"/>
    <n v="0"/>
  </r>
  <r>
    <x v="1"/>
    <x v="0"/>
    <m/>
    <x v="33"/>
    <n v="5"/>
    <x v="0"/>
    <n v="4"/>
    <n v="200"/>
    <m/>
    <n v="2"/>
    <n v="15"/>
    <n v="12"/>
    <x v="0"/>
    <x v="0"/>
    <n v="0"/>
    <n v="1"/>
  </r>
  <r>
    <x v="1"/>
    <x v="0"/>
    <m/>
    <x v="33"/>
    <n v="5"/>
    <x v="1"/>
    <n v="1"/>
    <n v="200"/>
    <m/>
    <n v="0.5"/>
    <n v="15"/>
    <n v="12"/>
    <x v="1"/>
    <x v="0"/>
    <n v="0"/>
    <n v="0"/>
  </r>
  <r>
    <x v="1"/>
    <x v="0"/>
    <m/>
    <x v="35"/>
    <n v="6"/>
    <x v="0"/>
    <n v="20"/>
    <n v="200"/>
    <m/>
    <n v="10"/>
    <n v="15"/>
    <n v="12"/>
    <x v="0"/>
    <x v="0"/>
    <n v="0"/>
    <n v="1"/>
  </r>
  <r>
    <x v="1"/>
    <x v="0"/>
    <m/>
    <x v="35"/>
    <n v="6"/>
    <x v="1"/>
    <n v="4"/>
    <n v="200"/>
    <m/>
    <n v="2"/>
    <n v="15"/>
    <n v="12"/>
    <x v="1"/>
    <x v="0"/>
    <n v="0"/>
    <n v="0"/>
  </r>
  <r>
    <x v="1"/>
    <x v="0"/>
    <m/>
    <x v="36"/>
    <n v="6"/>
    <x v="0"/>
    <n v="30"/>
    <n v="200"/>
    <m/>
    <n v="15"/>
    <n v="15"/>
    <n v="12"/>
    <x v="0"/>
    <x v="0"/>
    <n v="0"/>
    <n v="1"/>
  </r>
  <r>
    <x v="1"/>
    <x v="0"/>
    <m/>
    <x v="36"/>
    <n v="6"/>
    <x v="1"/>
    <n v="9"/>
    <n v="200"/>
    <m/>
    <n v="4.5"/>
    <n v="15"/>
    <n v="12"/>
    <x v="1"/>
    <x v="0"/>
    <n v="0"/>
    <n v="0"/>
  </r>
  <r>
    <x v="1"/>
    <x v="0"/>
    <m/>
    <x v="37"/>
    <n v="6"/>
    <x v="0"/>
    <n v="30"/>
    <n v="200"/>
    <m/>
    <n v="15"/>
    <n v="15"/>
    <n v="12"/>
    <x v="0"/>
    <x v="0"/>
    <n v="0"/>
    <n v="1"/>
  </r>
  <r>
    <x v="1"/>
    <x v="0"/>
    <m/>
    <x v="37"/>
    <n v="6"/>
    <x v="1"/>
    <n v="4"/>
    <n v="200"/>
    <m/>
    <n v="2"/>
    <n v="15"/>
    <n v="12"/>
    <x v="1"/>
    <x v="0"/>
    <n v="0"/>
    <n v="0"/>
  </r>
  <r>
    <x v="1"/>
    <x v="0"/>
    <m/>
    <x v="38"/>
    <n v="6"/>
    <x v="0"/>
    <n v="20"/>
    <n v="200"/>
    <m/>
    <n v="10"/>
    <n v="15"/>
    <n v="12"/>
    <x v="0"/>
    <x v="0"/>
    <n v="0"/>
    <n v="1"/>
  </r>
  <r>
    <x v="1"/>
    <x v="0"/>
    <m/>
    <x v="38"/>
    <n v="6"/>
    <x v="1"/>
    <n v="1"/>
    <n v="200"/>
    <m/>
    <n v="0.5"/>
    <n v="15"/>
    <n v="12"/>
    <x v="1"/>
    <x v="0"/>
    <n v="0"/>
    <n v="0"/>
  </r>
  <r>
    <x v="1"/>
    <x v="0"/>
    <m/>
    <x v="39"/>
    <n v="6"/>
    <x v="0"/>
    <n v="70"/>
    <n v="200"/>
    <m/>
    <n v="35"/>
    <n v="15"/>
    <n v="12"/>
    <x v="0"/>
    <x v="0"/>
    <n v="0"/>
    <n v="1"/>
  </r>
  <r>
    <x v="1"/>
    <x v="0"/>
    <m/>
    <x v="42"/>
    <n v="7"/>
    <x v="0"/>
    <n v="20"/>
    <n v="200"/>
    <m/>
    <n v="10"/>
    <n v="15"/>
    <n v="12"/>
    <x v="0"/>
    <x v="0"/>
    <n v="0"/>
    <n v="1"/>
  </r>
  <r>
    <x v="1"/>
    <x v="0"/>
    <m/>
    <x v="42"/>
    <n v="7"/>
    <x v="1"/>
    <n v="1"/>
    <n v="200"/>
    <m/>
    <n v="0.5"/>
    <n v="15"/>
    <n v="12"/>
    <x v="1"/>
    <x v="0"/>
    <n v="0"/>
    <n v="0"/>
  </r>
  <r>
    <x v="1"/>
    <x v="0"/>
    <m/>
    <x v="42"/>
    <n v="7"/>
    <x v="2"/>
    <n v="9"/>
    <n v="200"/>
    <m/>
    <n v="4.5"/>
    <n v="15"/>
    <n v="12"/>
    <x v="1"/>
    <x v="0"/>
    <n v="0"/>
    <n v="0"/>
  </r>
  <r>
    <x v="1"/>
    <x v="0"/>
    <m/>
    <x v="42"/>
    <n v="7"/>
    <x v="16"/>
    <n v="2"/>
    <n v="200"/>
    <m/>
    <n v="1"/>
    <n v="15"/>
    <n v="12"/>
    <x v="1"/>
    <x v="0"/>
    <n v="0"/>
    <n v="0"/>
  </r>
  <r>
    <x v="1"/>
    <x v="0"/>
    <m/>
    <x v="43"/>
    <n v="7"/>
    <x v="16"/>
    <n v="5"/>
    <n v="200"/>
    <m/>
    <n v="2.5"/>
    <n v="15"/>
    <n v="12"/>
    <x v="1"/>
    <x v="0"/>
    <n v="0"/>
    <n v="1"/>
  </r>
  <r>
    <x v="1"/>
    <x v="0"/>
    <m/>
    <x v="44"/>
    <n v="7"/>
    <x v="0"/>
    <n v="60"/>
    <n v="200"/>
    <m/>
    <n v="30"/>
    <n v="15"/>
    <n v="12"/>
    <x v="0"/>
    <x v="0"/>
    <n v="0"/>
    <n v="1"/>
  </r>
  <r>
    <x v="1"/>
    <x v="0"/>
    <m/>
    <x v="44"/>
    <n v="7"/>
    <x v="1"/>
    <n v="4"/>
    <n v="200"/>
    <m/>
    <n v="2"/>
    <n v="15"/>
    <n v="12"/>
    <x v="1"/>
    <x v="0"/>
    <n v="0"/>
    <n v="0"/>
  </r>
  <r>
    <x v="1"/>
    <x v="0"/>
    <m/>
    <x v="44"/>
    <n v="7"/>
    <x v="16"/>
    <n v="10"/>
    <n v="200"/>
    <m/>
    <n v="5"/>
    <n v="15"/>
    <n v="12"/>
    <x v="1"/>
    <x v="0"/>
    <n v="0"/>
    <n v="0"/>
  </r>
  <r>
    <x v="1"/>
    <x v="0"/>
    <m/>
    <x v="45"/>
    <n v="7"/>
    <x v="0"/>
    <n v="4"/>
    <n v="200"/>
    <m/>
    <n v="2"/>
    <n v="15"/>
    <n v="12"/>
    <x v="0"/>
    <x v="0"/>
    <n v="0"/>
    <n v="1"/>
  </r>
  <r>
    <x v="1"/>
    <x v="0"/>
    <m/>
    <x v="45"/>
    <n v="7"/>
    <x v="1"/>
    <n v="24"/>
    <n v="200"/>
    <m/>
    <n v="12"/>
    <n v="15"/>
    <n v="12"/>
    <x v="1"/>
    <x v="0"/>
    <n v="0"/>
    <n v="0"/>
  </r>
  <r>
    <x v="1"/>
    <x v="3"/>
    <m/>
    <x v="0"/>
    <n v="1"/>
    <x v="1"/>
    <n v="3"/>
    <n v="200"/>
    <m/>
    <n v="1.5"/>
    <n v="15"/>
    <n v="12"/>
    <x v="1"/>
    <x v="0"/>
    <n v="1"/>
    <n v="1"/>
  </r>
  <r>
    <x v="1"/>
    <x v="3"/>
    <m/>
    <x v="1"/>
    <n v="1"/>
    <x v="1"/>
    <n v="2"/>
    <n v="200"/>
    <m/>
    <n v="1"/>
    <n v="15"/>
    <n v="12"/>
    <x v="1"/>
    <x v="0"/>
    <n v="0"/>
    <n v="1"/>
  </r>
  <r>
    <x v="1"/>
    <x v="3"/>
    <m/>
    <x v="2"/>
    <n v="1"/>
    <x v="0"/>
    <n v="2"/>
    <n v="200"/>
    <m/>
    <n v="1"/>
    <n v="15"/>
    <n v="12"/>
    <x v="0"/>
    <x v="0"/>
    <n v="1"/>
    <n v="1"/>
  </r>
  <r>
    <x v="1"/>
    <x v="3"/>
    <m/>
    <x v="2"/>
    <n v="1"/>
    <x v="1"/>
    <n v="11"/>
    <n v="200"/>
    <m/>
    <n v="5.5"/>
    <n v="15"/>
    <n v="12"/>
    <x v="1"/>
    <x v="0"/>
    <n v="0"/>
    <n v="0"/>
  </r>
  <r>
    <x v="1"/>
    <x v="3"/>
    <m/>
    <x v="3"/>
    <n v="1"/>
    <x v="12"/>
    <n v="0"/>
    <n v="200"/>
    <m/>
    <n v="0"/>
    <n v="15"/>
    <n v="12"/>
    <x v="2"/>
    <x v="0"/>
    <n v="1"/>
    <n v="1"/>
  </r>
  <r>
    <x v="1"/>
    <x v="3"/>
    <m/>
    <x v="4"/>
    <n v="1"/>
    <x v="1"/>
    <n v="12"/>
    <n v="200"/>
    <m/>
    <n v="6"/>
    <n v="15"/>
    <n v="12"/>
    <x v="1"/>
    <x v="0"/>
    <n v="0"/>
    <n v="1"/>
  </r>
  <r>
    <x v="1"/>
    <x v="3"/>
    <m/>
    <x v="7"/>
    <n v="2"/>
    <x v="0"/>
    <n v="5"/>
    <n v="200"/>
    <m/>
    <n v="2.5"/>
    <n v="15"/>
    <n v="12"/>
    <x v="0"/>
    <x v="0"/>
    <n v="0"/>
    <n v="1"/>
  </r>
  <r>
    <x v="1"/>
    <x v="3"/>
    <m/>
    <x v="7"/>
    <n v="2"/>
    <x v="1"/>
    <n v="13"/>
    <n v="200"/>
    <m/>
    <n v="6.5"/>
    <n v="15"/>
    <n v="12"/>
    <x v="1"/>
    <x v="0"/>
    <n v="0"/>
    <n v="0"/>
  </r>
  <r>
    <x v="1"/>
    <x v="3"/>
    <m/>
    <x v="8"/>
    <n v="2"/>
    <x v="0"/>
    <n v="4"/>
    <n v="200"/>
    <m/>
    <n v="2"/>
    <n v="15"/>
    <n v="12"/>
    <x v="0"/>
    <x v="0"/>
    <n v="0"/>
    <n v="1"/>
  </r>
  <r>
    <x v="1"/>
    <x v="3"/>
    <m/>
    <x v="8"/>
    <n v="2"/>
    <x v="1"/>
    <n v="4"/>
    <n v="200"/>
    <m/>
    <n v="2"/>
    <n v="15"/>
    <n v="12"/>
    <x v="1"/>
    <x v="0"/>
    <n v="0"/>
    <n v="0"/>
  </r>
  <r>
    <x v="1"/>
    <x v="3"/>
    <m/>
    <x v="8"/>
    <n v="2"/>
    <x v="18"/>
    <n v="2"/>
    <n v="200"/>
    <m/>
    <n v="1"/>
    <n v="15"/>
    <n v="12"/>
    <x v="4"/>
    <x v="0"/>
    <n v="1"/>
    <n v="0"/>
  </r>
  <r>
    <x v="1"/>
    <x v="3"/>
    <m/>
    <x v="9"/>
    <n v="2"/>
    <x v="0"/>
    <n v="1"/>
    <n v="200"/>
    <m/>
    <n v="0.5"/>
    <n v="15"/>
    <n v="12"/>
    <x v="0"/>
    <x v="0"/>
    <n v="0"/>
    <n v="1"/>
  </r>
  <r>
    <x v="1"/>
    <x v="3"/>
    <m/>
    <x v="9"/>
    <n v="2"/>
    <x v="1"/>
    <n v="8"/>
    <n v="200"/>
    <m/>
    <n v="4"/>
    <n v="15"/>
    <n v="12"/>
    <x v="1"/>
    <x v="0"/>
    <n v="0"/>
    <n v="0"/>
  </r>
  <r>
    <x v="1"/>
    <x v="3"/>
    <m/>
    <x v="10"/>
    <n v="2"/>
    <x v="1"/>
    <n v="1"/>
    <n v="200"/>
    <m/>
    <n v="0.5"/>
    <n v="15"/>
    <n v="12"/>
    <x v="1"/>
    <x v="0"/>
    <n v="0"/>
    <n v="1"/>
  </r>
  <r>
    <x v="1"/>
    <x v="3"/>
    <m/>
    <x v="11"/>
    <n v="2"/>
    <x v="12"/>
    <n v="0"/>
    <n v="200"/>
    <m/>
    <n v="0"/>
    <n v="15"/>
    <n v="12"/>
    <x v="2"/>
    <x v="0"/>
    <n v="0"/>
    <n v="1"/>
  </r>
  <r>
    <x v="1"/>
    <x v="3"/>
    <m/>
    <x v="12"/>
    <n v="2"/>
    <x v="12"/>
    <n v="0"/>
    <n v="200"/>
    <m/>
    <n v="0"/>
    <n v="15"/>
    <n v="12"/>
    <x v="2"/>
    <x v="0"/>
    <n v="0"/>
    <n v="1"/>
  </r>
  <r>
    <x v="1"/>
    <x v="3"/>
    <m/>
    <x v="13"/>
    <n v="2"/>
    <x v="12"/>
    <n v="0"/>
    <n v="200"/>
    <m/>
    <n v="0"/>
    <n v="15"/>
    <n v="12"/>
    <x v="2"/>
    <x v="0"/>
    <n v="0"/>
    <n v="1"/>
  </r>
  <r>
    <x v="1"/>
    <x v="3"/>
    <m/>
    <x v="54"/>
    <n v="2"/>
    <x v="1"/>
    <n v="16"/>
    <n v="199"/>
    <m/>
    <n v="8.0402010050251249"/>
    <n v="15"/>
    <n v="12"/>
    <x v="1"/>
    <x v="0"/>
    <n v="0"/>
    <n v="1"/>
  </r>
  <r>
    <x v="1"/>
    <x v="3"/>
    <m/>
    <x v="54"/>
    <n v="2"/>
    <x v="16"/>
    <n v="16"/>
    <n v="199"/>
    <m/>
    <n v="8.0402010050251249"/>
    <n v="15"/>
    <n v="12"/>
    <x v="1"/>
    <x v="0"/>
    <n v="1"/>
    <n v="0"/>
  </r>
  <r>
    <x v="1"/>
    <x v="3"/>
    <m/>
    <x v="14"/>
    <n v="3"/>
    <x v="12"/>
    <n v="0"/>
    <n v="200"/>
    <m/>
    <n v="0"/>
    <n v="15"/>
    <n v="12"/>
    <x v="2"/>
    <x v="0"/>
    <n v="0"/>
    <n v="1"/>
  </r>
  <r>
    <x v="1"/>
    <x v="3"/>
    <m/>
    <x v="15"/>
    <n v="3"/>
    <x v="12"/>
    <n v="0"/>
    <n v="200"/>
    <m/>
    <n v="0"/>
    <n v="15"/>
    <n v="12"/>
    <x v="2"/>
    <x v="0"/>
    <n v="0"/>
    <n v="1"/>
  </r>
  <r>
    <x v="1"/>
    <x v="3"/>
    <m/>
    <x v="16"/>
    <n v="3"/>
    <x v="0"/>
    <n v="1"/>
    <n v="200"/>
    <m/>
    <n v="0.5"/>
    <n v="15"/>
    <n v="12"/>
    <x v="0"/>
    <x v="0"/>
    <n v="0"/>
    <n v="1"/>
  </r>
  <r>
    <x v="1"/>
    <x v="3"/>
    <m/>
    <x v="17"/>
    <n v="3"/>
    <x v="12"/>
    <n v="0"/>
    <n v="200"/>
    <m/>
    <n v="0"/>
    <n v="15"/>
    <n v="12"/>
    <x v="2"/>
    <x v="0"/>
    <n v="0"/>
    <n v="1"/>
  </r>
  <r>
    <x v="1"/>
    <x v="3"/>
    <m/>
    <x v="18"/>
    <n v="3"/>
    <x v="18"/>
    <n v="2"/>
    <n v="200"/>
    <m/>
    <n v="1"/>
    <n v="15"/>
    <n v="12"/>
    <x v="4"/>
    <x v="0"/>
    <n v="0"/>
    <n v="1"/>
  </r>
  <r>
    <x v="1"/>
    <x v="3"/>
    <m/>
    <x v="19"/>
    <n v="3"/>
    <x v="12"/>
    <n v="0"/>
    <n v="200"/>
    <m/>
    <n v="0"/>
    <n v="15"/>
    <n v="12"/>
    <x v="2"/>
    <x v="0"/>
    <n v="0"/>
    <n v="1"/>
  </r>
  <r>
    <x v="1"/>
    <x v="3"/>
    <m/>
    <x v="20"/>
    <n v="3"/>
    <x v="1"/>
    <n v="29"/>
    <n v="199"/>
    <m/>
    <n v="14.572864321608039"/>
    <n v="15"/>
    <n v="12"/>
    <x v="1"/>
    <x v="0"/>
    <n v="0"/>
    <n v="1"/>
  </r>
  <r>
    <x v="1"/>
    <x v="3"/>
    <m/>
    <x v="20"/>
    <n v="3"/>
    <x v="6"/>
    <n v="2"/>
    <n v="199"/>
    <m/>
    <n v="1.0050251256281406"/>
    <n v="15"/>
    <n v="12"/>
    <x v="1"/>
    <x v="0"/>
    <n v="1"/>
    <n v="0"/>
  </r>
  <r>
    <x v="1"/>
    <x v="3"/>
    <m/>
    <x v="21"/>
    <n v="4"/>
    <x v="1"/>
    <n v="2"/>
    <n v="200"/>
    <m/>
    <n v="1"/>
    <n v="15"/>
    <n v="12"/>
    <x v="1"/>
    <x v="0"/>
    <n v="0"/>
    <n v="1"/>
  </r>
  <r>
    <x v="1"/>
    <x v="3"/>
    <m/>
    <x v="22"/>
    <n v="4"/>
    <x v="1"/>
    <n v="4"/>
    <n v="200"/>
    <m/>
    <n v="2"/>
    <n v="15"/>
    <n v="12"/>
    <x v="1"/>
    <x v="0"/>
    <n v="0"/>
    <n v="1"/>
  </r>
  <r>
    <x v="1"/>
    <x v="3"/>
    <m/>
    <x v="23"/>
    <n v="4"/>
    <x v="1"/>
    <n v="2"/>
    <n v="200"/>
    <m/>
    <n v="1"/>
    <n v="15"/>
    <n v="12"/>
    <x v="1"/>
    <x v="0"/>
    <n v="0"/>
    <n v="1"/>
  </r>
  <r>
    <x v="1"/>
    <x v="3"/>
    <m/>
    <x v="24"/>
    <n v="4"/>
    <x v="1"/>
    <n v="9"/>
    <n v="200"/>
    <m/>
    <n v="4.5"/>
    <n v="15"/>
    <n v="12"/>
    <x v="1"/>
    <x v="0"/>
    <n v="0"/>
    <n v="1"/>
  </r>
  <r>
    <x v="1"/>
    <x v="3"/>
    <m/>
    <x v="25"/>
    <n v="4"/>
    <x v="1"/>
    <n v="5"/>
    <n v="200"/>
    <m/>
    <n v="2.5"/>
    <n v="15"/>
    <n v="12"/>
    <x v="1"/>
    <x v="0"/>
    <n v="0"/>
    <n v="1"/>
  </r>
  <r>
    <x v="1"/>
    <x v="3"/>
    <m/>
    <x v="26"/>
    <n v="4"/>
    <x v="1"/>
    <n v="4"/>
    <n v="200"/>
    <m/>
    <n v="2"/>
    <n v="15"/>
    <n v="12"/>
    <x v="1"/>
    <x v="0"/>
    <n v="0"/>
    <n v="1"/>
  </r>
  <r>
    <x v="1"/>
    <x v="3"/>
    <m/>
    <x v="27"/>
    <n v="4"/>
    <x v="1"/>
    <n v="17"/>
    <n v="189"/>
    <m/>
    <n v="8.9947089947089935"/>
    <n v="15"/>
    <n v="12"/>
    <x v="1"/>
    <x v="0"/>
    <n v="0"/>
    <n v="1"/>
  </r>
  <r>
    <x v="1"/>
    <x v="3"/>
    <m/>
    <x v="27"/>
    <n v="4"/>
    <x v="2"/>
    <n v="7"/>
    <n v="189"/>
    <m/>
    <n v="3.7037037037037033"/>
    <n v="15"/>
    <n v="12"/>
    <x v="1"/>
    <x v="0"/>
    <n v="1"/>
    <n v="0"/>
  </r>
  <r>
    <x v="1"/>
    <x v="3"/>
    <m/>
    <x v="28"/>
    <n v="5"/>
    <x v="1"/>
    <n v="21"/>
    <n v="200"/>
    <m/>
    <n v="10.5"/>
    <n v="15"/>
    <n v="12"/>
    <x v="1"/>
    <x v="0"/>
    <n v="0"/>
    <n v="1"/>
  </r>
  <r>
    <x v="1"/>
    <x v="3"/>
    <m/>
    <x v="28"/>
    <n v="5"/>
    <x v="2"/>
    <n v="11"/>
    <n v="200"/>
    <m/>
    <n v="5.5"/>
    <n v="15"/>
    <n v="12"/>
    <x v="1"/>
    <x v="0"/>
    <n v="0"/>
    <n v="0"/>
  </r>
  <r>
    <x v="1"/>
    <x v="3"/>
    <m/>
    <x v="29"/>
    <n v="5"/>
    <x v="1"/>
    <n v="9"/>
    <n v="200"/>
    <m/>
    <n v="4.5"/>
    <n v="15"/>
    <n v="12"/>
    <x v="1"/>
    <x v="0"/>
    <n v="0"/>
    <n v="1"/>
  </r>
  <r>
    <x v="1"/>
    <x v="3"/>
    <m/>
    <x v="29"/>
    <n v="5"/>
    <x v="2"/>
    <n v="6"/>
    <n v="200"/>
    <m/>
    <n v="3"/>
    <n v="15"/>
    <n v="12"/>
    <x v="1"/>
    <x v="0"/>
    <n v="0"/>
    <n v="0"/>
  </r>
  <r>
    <x v="1"/>
    <x v="3"/>
    <m/>
    <x v="29"/>
    <n v="5"/>
    <x v="16"/>
    <n v="18"/>
    <n v="200"/>
    <m/>
    <n v="9"/>
    <n v="15"/>
    <n v="12"/>
    <x v="1"/>
    <x v="0"/>
    <n v="0"/>
    <n v="0"/>
  </r>
  <r>
    <x v="1"/>
    <x v="3"/>
    <m/>
    <x v="30"/>
    <n v="5"/>
    <x v="12"/>
    <n v="0"/>
    <n v="200"/>
    <m/>
    <n v="0"/>
    <n v="15"/>
    <n v="12"/>
    <x v="2"/>
    <x v="0"/>
    <n v="0"/>
    <n v="1"/>
  </r>
  <r>
    <x v="1"/>
    <x v="3"/>
    <m/>
    <x v="31"/>
    <n v="5"/>
    <x v="1"/>
    <n v="3"/>
    <n v="200"/>
    <m/>
    <n v="1.5"/>
    <n v="15"/>
    <n v="12"/>
    <x v="1"/>
    <x v="0"/>
    <n v="0"/>
    <n v="1"/>
  </r>
  <r>
    <x v="1"/>
    <x v="3"/>
    <m/>
    <x v="32"/>
    <n v="5"/>
    <x v="1"/>
    <n v="8"/>
    <n v="200"/>
    <m/>
    <n v="4"/>
    <n v="15"/>
    <n v="12"/>
    <x v="1"/>
    <x v="0"/>
    <n v="0"/>
    <n v="1"/>
  </r>
  <r>
    <x v="1"/>
    <x v="3"/>
    <m/>
    <x v="33"/>
    <n v="5"/>
    <x v="12"/>
    <n v="0"/>
    <n v="200"/>
    <m/>
    <n v="0"/>
    <n v="15"/>
    <n v="12"/>
    <x v="2"/>
    <x v="0"/>
    <n v="0"/>
    <n v="1"/>
  </r>
  <r>
    <x v="1"/>
    <x v="3"/>
    <m/>
    <x v="35"/>
    <n v="6"/>
    <x v="1"/>
    <n v="6"/>
    <n v="200"/>
    <m/>
    <n v="3"/>
    <n v="15"/>
    <n v="12"/>
    <x v="1"/>
    <x v="0"/>
    <n v="0"/>
    <n v="1"/>
  </r>
  <r>
    <x v="1"/>
    <x v="3"/>
    <m/>
    <x v="36"/>
    <n v="6"/>
    <x v="1"/>
    <n v="11"/>
    <n v="200"/>
    <m/>
    <n v="5.5"/>
    <n v="15"/>
    <n v="12"/>
    <x v="1"/>
    <x v="0"/>
    <n v="0"/>
    <n v="1"/>
  </r>
  <r>
    <x v="1"/>
    <x v="3"/>
    <m/>
    <x v="37"/>
    <n v="6"/>
    <x v="1"/>
    <n v="5"/>
    <n v="200"/>
    <m/>
    <n v="2.5"/>
    <n v="15"/>
    <n v="12"/>
    <x v="1"/>
    <x v="0"/>
    <n v="0"/>
    <n v="1"/>
  </r>
  <r>
    <x v="1"/>
    <x v="3"/>
    <m/>
    <x v="38"/>
    <n v="6"/>
    <x v="12"/>
    <n v="0"/>
    <n v="200"/>
    <m/>
    <n v="0"/>
    <n v="15"/>
    <n v="12"/>
    <x v="2"/>
    <x v="0"/>
    <n v="0"/>
    <n v="1"/>
  </r>
  <r>
    <x v="1"/>
    <x v="3"/>
    <m/>
    <x v="39"/>
    <n v="6"/>
    <x v="12"/>
    <n v="0"/>
    <n v="200"/>
    <m/>
    <n v="0"/>
    <n v="15"/>
    <n v="12"/>
    <x v="2"/>
    <x v="0"/>
    <n v="0"/>
    <n v="1"/>
  </r>
  <r>
    <x v="1"/>
    <x v="3"/>
    <m/>
    <x v="42"/>
    <n v="7"/>
    <x v="0"/>
    <n v="14"/>
    <n v="200"/>
    <m/>
    <n v="7.0000000000000009"/>
    <n v="15"/>
    <n v="12"/>
    <x v="0"/>
    <x v="0"/>
    <n v="0"/>
    <n v="1"/>
  </r>
  <r>
    <x v="1"/>
    <x v="3"/>
    <m/>
    <x v="42"/>
    <n v="7"/>
    <x v="1"/>
    <n v="1"/>
    <n v="200"/>
    <m/>
    <n v="0.5"/>
    <n v="15"/>
    <n v="12"/>
    <x v="1"/>
    <x v="0"/>
    <n v="0"/>
    <n v="0"/>
  </r>
  <r>
    <x v="1"/>
    <x v="3"/>
    <m/>
    <x v="42"/>
    <n v="7"/>
    <x v="2"/>
    <n v="11"/>
    <n v="200"/>
    <m/>
    <n v="5.5"/>
    <n v="15"/>
    <n v="12"/>
    <x v="1"/>
    <x v="0"/>
    <n v="0"/>
    <n v="0"/>
  </r>
  <r>
    <x v="1"/>
    <x v="3"/>
    <m/>
    <x v="42"/>
    <n v="7"/>
    <x v="16"/>
    <n v="3"/>
    <n v="200"/>
    <m/>
    <n v="1.5"/>
    <n v="15"/>
    <n v="12"/>
    <x v="1"/>
    <x v="0"/>
    <n v="0"/>
    <n v="0"/>
  </r>
  <r>
    <x v="1"/>
    <x v="3"/>
    <m/>
    <x v="42"/>
    <n v="7"/>
    <x v="18"/>
    <n v="2"/>
    <n v="200"/>
    <m/>
    <n v="1"/>
    <n v="15"/>
    <n v="12"/>
    <x v="4"/>
    <x v="0"/>
    <n v="0"/>
    <n v="0"/>
  </r>
  <r>
    <x v="1"/>
    <x v="3"/>
    <m/>
    <x v="43"/>
    <n v="7"/>
    <x v="16"/>
    <n v="4"/>
    <n v="200"/>
    <m/>
    <n v="2"/>
    <n v="15"/>
    <n v="12"/>
    <x v="1"/>
    <x v="0"/>
    <n v="0"/>
    <n v="1"/>
  </r>
  <r>
    <x v="1"/>
    <x v="3"/>
    <m/>
    <x v="44"/>
    <n v="7"/>
    <x v="1"/>
    <n v="4"/>
    <n v="200"/>
    <m/>
    <n v="2"/>
    <n v="15"/>
    <n v="12"/>
    <x v="1"/>
    <x v="0"/>
    <n v="0"/>
    <n v="1"/>
  </r>
  <r>
    <x v="1"/>
    <x v="3"/>
    <m/>
    <x v="44"/>
    <n v="7"/>
    <x v="16"/>
    <n v="1"/>
    <n v="200"/>
    <m/>
    <n v="0.5"/>
    <n v="15"/>
    <n v="12"/>
    <x v="1"/>
    <x v="0"/>
    <n v="0"/>
    <n v="0"/>
  </r>
  <r>
    <x v="1"/>
    <x v="3"/>
    <m/>
    <x v="45"/>
    <n v="7"/>
    <x v="1"/>
    <n v="25"/>
    <n v="200"/>
    <m/>
    <n v="12.5"/>
    <n v="15"/>
    <n v="12"/>
    <x v="1"/>
    <x v="0"/>
    <n v="0"/>
    <n v="1"/>
  </r>
  <r>
    <x v="1"/>
    <x v="4"/>
    <s v="1.1-1.0"/>
    <x v="0"/>
    <n v="1"/>
    <x v="1"/>
    <n v="6"/>
    <n v="200"/>
    <m/>
    <n v="3"/>
    <n v="15"/>
    <n v="12"/>
    <x v="1"/>
    <x v="0"/>
    <n v="1"/>
    <n v="1"/>
  </r>
  <r>
    <x v="1"/>
    <x v="4"/>
    <s v="1.2-1.3"/>
    <x v="1"/>
    <n v="1"/>
    <x v="1"/>
    <n v="1"/>
    <n v="200"/>
    <m/>
    <n v="0.5"/>
    <n v="15"/>
    <n v="12"/>
    <x v="1"/>
    <x v="0"/>
    <n v="0"/>
    <n v="1"/>
  </r>
  <r>
    <x v="1"/>
    <x v="4"/>
    <s v="1.3-1.4"/>
    <x v="2"/>
    <n v="1"/>
    <x v="1"/>
    <n v="5"/>
    <n v="200"/>
    <m/>
    <n v="2.5"/>
    <n v="15"/>
    <n v="12"/>
    <x v="1"/>
    <x v="0"/>
    <n v="0"/>
    <n v="1"/>
  </r>
  <r>
    <x v="1"/>
    <x v="4"/>
    <s v="1.4-1.5"/>
    <x v="3"/>
    <n v="1"/>
    <x v="12"/>
    <n v="0"/>
    <n v="200"/>
    <m/>
    <n v="0"/>
    <n v="15"/>
    <n v="12"/>
    <x v="2"/>
    <x v="0"/>
    <n v="1"/>
    <n v="1"/>
  </r>
  <r>
    <x v="1"/>
    <x v="4"/>
    <s v="1.5-1.0"/>
    <x v="4"/>
    <n v="1"/>
    <x v="1"/>
    <n v="7"/>
    <n v="200"/>
    <m/>
    <n v="3.5000000000000004"/>
    <n v="15"/>
    <n v="12"/>
    <x v="1"/>
    <x v="0"/>
    <n v="0"/>
    <n v="1"/>
  </r>
  <r>
    <x v="1"/>
    <x v="4"/>
    <s v="2.1-2.2"/>
    <x v="7"/>
    <n v="2"/>
    <x v="1"/>
    <n v="4"/>
    <n v="200"/>
    <m/>
    <n v="2"/>
    <n v="15"/>
    <n v="12"/>
    <x v="1"/>
    <x v="0"/>
    <n v="0"/>
    <n v="1"/>
  </r>
  <r>
    <x v="1"/>
    <x v="4"/>
    <s v="2.2-2.3"/>
    <x v="8"/>
    <n v="2"/>
    <x v="12"/>
    <n v="0"/>
    <n v="200"/>
    <m/>
    <n v="0"/>
    <n v="15"/>
    <n v="12"/>
    <x v="2"/>
    <x v="0"/>
    <n v="0"/>
    <n v="1"/>
  </r>
  <r>
    <x v="1"/>
    <x v="4"/>
    <s v="2.3-2.4"/>
    <x v="9"/>
    <n v="2"/>
    <x v="1"/>
    <n v="8"/>
    <n v="200"/>
    <m/>
    <n v="4"/>
    <n v="15"/>
    <n v="12"/>
    <x v="1"/>
    <x v="0"/>
    <n v="0"/>
    <n v="1"/>
  </r>
  <r>
    <x v="1"/>
    <x v="4"/>
    <s v="2.4-2.5"/>
    <x v="10"/>
    <n v="2"/>
    <x v="1"/>
    <n v="2"/>
    <n v="200"/>
    <m/>
    <n v="1"/>
    <n v="15"/>
    <n v="12"/>
    <x v="1"/>
    <x v="0"/>
    <n v="0"/>
    <n v="1"/>
  </r>
  <r>
    <x v="1"/>
    <x v="4"/>
    <s v="2.5-2.6"/>
    <x v="11"/>
    <n v="2"/>
    <x v="12"/>
    <n v="0"/>
    <n v="200"/>
    <m/>
    <n v="0"/>
    <n v="15"/>
    <n v="12"/>
    <x v="2"/>
    <x v="0"/>
    <n v="0"/>
    <n v="1"/>
  </r>
  <r>
    <x v="1"/>
    <x v="4"/>
    <s v="2.6-2.7"/>
    <x v="12"/>
    <n v="2"/>
    <x v="12"/>
    <n v="0"/>
    <n v="200"/>
    <m/>
    <n v="0"/>
    <n v="15"/>
    <n v="12"/>
    <x v="2"/>
    <x v="0"/>
    <n v="0"/>
    <n v="1"/>
  </r>
  <r>
    <x v="1"/>
    <x v="4"/>
    <s v="2.7-2.8"/>
    <x v="13"/>
    <n v="2"/>
    <x v="12"/>
    <n v="0"/>
    <n v="200"/>
    <m/>
    <n v="0"/>
    <n v="15"/>
    <n v="12"/>
    <x v="2"/>
    <x v="0"/>
    <n v="0"/>
    <n v="1"/>
  </r>
  <r>
    <x v="1"/>
    <x v="4"/>
    <s v="2.8-2.0"/>
    <x v="54"/>
    <n v="2"/>
    <x v="1"/>
    <n v="16"/>
    <n v="200"/>
    <m/>
    <n v="8"/>
    <n v="15"/>
    <n v="12"/>
    <x v="1"/>
    <x v="0"/>
    <n v="0"/>
    <n v="1"/>
  </r>
  <r>
    <x v="1"/>
    <x v="4"/>
    <s v="2.8-2.0"/>
    <x v="54"/>
    <n v="2"/>
    <x v="16"/>
    <n v="6"/>
    <n v="200"/>
    <m/>
    <n v="3"/>
    <n v="15"/>
    <n v="12"/>
    <x v="1"/>
    <x v="0"/>
    <n v="1"/>
    <n v="0"/>
  </r>
  <r>
    <x v="1"/>
    <x v="4"/>
    <s v="3.1-3.2"/>
    <x v="14"/>
    <n v="3"/>
    <x v="12"/>
    <n v="0"/>
    <n v="200"/>
    <m/>
    <n v="0"/>
    <n v="15"/>
    <n v="12"/>
    <x v="2"/>
    <x v="0"/>
    <n v="0"/>
    <n v="1"/>
  </r>
  <r>
    <x v="1"/>
    <x v="4"/>
    <s v="3.2-3.2"/>
    <x v="15"/>
    <n v="3"/>
    <x v="12"/>
    <n v="0"/>
    <n v="200"/>
    <m/>
    <n v="0"/>
    <n v="15"/>
    <n v="12"/>
    <x v="2"/>
    <x v="0"/>
    <n v="0"/>
    <n v="1"/>
  </r>
  <r>
    <x v="1"/>
    <x v="4"/>
    <s v="3.3-3.4"/>
    <x v="16"/>
    <n v="3"/>
    <x v="12"/>
    <n v="0"/>
    <n v="200"/>
    <m/>
    <n v="0"/>
    <n v="15"/>
    <n v="12"/>
    <x v="2"/>
    <x v="0"/>
    <n v="0"/>
    <n v="1"/>
  </r>
  <r>
    <x v="1"/>
    <x v="4"/>
    <s v="3.4-3.5"/>
    <x v="17"/>
    <n v="3"/>
    <x v="12"/>
    <n v="0"/>
    <n v="200"/>
    <m/>
    <n v="0"/>
    <n v="15"/>
    <n v="12"/>
    <x v="2"/>
    <x v="0"/>
    <n v="0"/>
    <n v="1"/>
  </r>
  <r>
    <x v="1"/>
    <x v="4"/>
    <s v="3.5-3.6"/>
    <x v="18"/>
    <n v="3"/>
    <x v="12"/>
    <n v="0"/>
    <n v="200"/>
    <m/>
    <n v="0"/>
    <n v="15"/>
    <n v="12"/>
    <x v="2"/>
    <x v="0"/>
    <n v="0"/>
    <n v="1"/>
  </r>
  <r>
    <x v="1"/>
    <x v="4"/>
    <s v="3.6-3.7"/>
    <x v="19"/>
    <n v="3"/>
    <x v="12"/>
    <n v="0"/>
    <n v="200"/>
    <m/>
    <n v="0"/>
    <n v="15"/>
    <n v="12"/>
    <x v="2"/>
    <x v="0"/>
    <n v="0"/>
    <n v="1"/>
  </r>
  <r>
    <x v="1"/>
    <x v="4"/>
    <s v="3.7-3.0"/>
    <x v="20"/>
    <n v="3"/>
    <x v="1"/>
    <n v="10"/>
    <n v="199"/>
    <m/>
    <n v="5.025125628140704"/>
    <n v="15"/>
    <n v="12"/>
    <x v="1"/>
    <x v="0"/>
    <n v="0"/>
    <n v="1"/>
  </r>
  <r>
    <x v="1"/>
    <x v="4"/>
    <s v="3.7-3.0"/>
    <x v="20"/>
    <n v="3"/>
    <x v="6"/>
    <n v="1"/>
    <n v="199"/>
    <m/>
    <n v="0.50251256281407031"/>
    <n v="15"/>
    <n v="12"/>
    <x v="1"/>
    <x v="0"/>
    <n v="1"/>
    <n v="0"/>
  </r>
  <r>
    <x v="1"/>
    <x v="4"/>
    <s v="4.1-4.2"/>
    <x v="21"/>
    <n v="4"/>
    <x v="1"/>
    <n v="2"/>
    <n v="200"/>
    <m/>
    <n v="1"/>
    <n v="15"/>
    <n v="12"/>
    <x v="1"/>
    <x v="0"/>
    <n v="0"/>
    <n v="1"/>
  </r>
  <r>
    <x v="1"/>
    <x v="4"/>
    <s v="4.2-4.3"/>
    <x v="22"/>
    <n v="4"/>
    <x v="1"/>
    <n v="6"/>
    <n v="200"/>
    <m/>
    <n v="3"/>
    <n v="15"/>
    <n v="12"/>
    <x v="1"/>
    <x v="0"/>
    <n v="0"/>
    <n v="1"/>
  </r>
  <r>
    <x v="1"/>
    <x v="4"/>
    <s v="4.3-4.4"/>
    <x v="23"/>
    <n v="4"/>
    <x v="12"/>
    <n v="0"/>
    <n v="200"/>
    <m/>
    <n v="0"/>
    <n v="15"/>
    <n v="12"/>
    <x v="2"/>
    <x v="0"/>
    <n v="0"/>
    <n v="1"/>
  </r>
  <r>
    <x v="1"/>
    <x v="4"/>
    <s v="4.4-4.5"/>
    <x v="24"/>
    <n v="4"/>
    <x v="1"/>
    <n v="12"/>
    <n v="200"/>
    <m/>
    <n v="6"/>
    <n v="15"/>
    <n v="12"/>
    <x v="1"/>
    <x v="0"/>
    <n v="0"/>
    <n v="1"/>
  </r>
  <r>
    <x v="1"/>
    <x v="4"/>
    <s v="4.5-4.6"/>
    <x v="25"/>
    <n v="4"/>
    <x v="1"/>
    <n v="11"/>
    <n v="200"/>
    <m/>
    <n v="5.5"/>
    <n v="15"/>
    <n v="12"/>
    <x v="1"/>
    <x v="0"/>
    <n v="0"/>
    <n v="1"/>
  </r>
  <r>
    <x v="1"/>
    <x v="4"/>
    <s v="4.6-4.7"/>
    <x v="26"/>
    <n v="4"/>
    <x v="1"/>
    <n v="5"/>
    <n v="200"/>
    <m/>
    <n v="2.5"/>
    <n v="15"/>
    <n v="12"/>
    <x v="1"/>
    <x v="0"/>
    <n v="0"/>
    <n v="1"/>
  </r>
  <r>
    <x v="1"/>
    <x v="4"/>
    <s v="4.7-4.0"/>
    <x v="27"/>
    <n v="4"/>
    <x v="1"/>
    <n v="16"/>
    <n v="200"/>
    <m/>
    <n v="8"/>
    <n v="15"/>
    <n v="12"/>
    <x v="1"/>
    <x v="0"/>
    <n v="0"/>
    <n v="1"/>
  </r>
  <r>
    <x v="1"/>
    <x v="4"/>
    <s v="5.1-5.2"/>
    <x v="28"/>
    <n v="5"/>
    <x v="1"/>
    <n v="13"/>
    <n v="200"/>
    <m/>
    <n v="6.5"/>
    <n v="15"/>
    <n v="12"/>
    <x v="1"/>
    <x v="0"/>
    <n v="0"/>
    <n v="1"/>
  </r>
  <r>
    <x v="1"/>
    <x v="4"/>
    <s v="5.1-5.2"/>
    <x v="28"/>
    <n v="5"/>
    <x v="2"/>
    <n v="2"/>
    <n v="200"/>
    <m/>
    <n v="1"/>
    <n v="15"/>
    <n v="12"/>
    <x v="1"/>
    <x v="0"/>
    <n v="1"/>
    <n v="0"/>
  </r>
  <r>
    <x v="1"/>
    <x v="4"/>
    <s v="5.2-5.3"/>
    <x v="29"/>
    <n v="5"/>
    <x v="1"/>
    <n v="16"/>
    <n v="200"/>
    <m/>
    <n v="8"/>
    <n v="15"/>
    <n v="12"/>
    <x v="1"/>
    <x v="0"/>
    <n v="0"/>
    <n v="1"/>
  </r>
  <r>
    <x v="1"/>
    <x v="4"/>
    <s v="5.2-5.3"/>
    <x v="29"/>
    <n v="5"/>
    <x v="2"/>
    <n v="3"/>
    <n v="200"/>
    <m/>
    <n v="1.5"/>
    <n v="15"/>
    <n v="12"/>
    <x v="1"/>
    <x v="0"/>
    <n v="0"/>
    <n v="0"/>
  </r>
  <r>
    <x v="1"/>
    <x v="4"/>
    <s v="5.3-5.4"/>
    <x v="30"/>
    <n v="5"/>
    <x v="1"/>
    <n v="3"/>
    <n v="200"/>
    <m/>
    <n v="1.5"/>
    <n v="15"/>
    <n v="12"/>
    <x v="1"/>
    <x v="0"/>
    <n v="0"/>
    <n v="1"/>
  </r>
  <r>
    <x v="1"/>
    <x v="4"/>
    <s v="5.4-5.5"/>
    <x v="31"/>
    <n v="5"/>
    <x v="1"/>
    <n v="8"/>
    <n v="200"/>
    <m/>
    <n v="4"/>
    <n v="15"/>
    <n v="12"/>
    <x v="1"/>
    <x v="0"/>
    <n v="0"/>
    <n v="1"/>
  </r>
  <r>
    <x v="1"/>
    <x v="4"/>
    <s v="5.5-5.6"/>
    <x v="32"/>
    <n v="5"/>
    <x v="1"/>
    <n v="5"/>
    <n v="200"/>
    <m/>
    <n v="2.5"/>
    <n v="15"/>
    <n v="12"/>
    <x v="1"/>
    <x v="0"/>
    <n v="0"/>
    <n v="1"/>
  </r>
  <r>
    <x v="1"/>
    <x v="4"/>
    <s v="5.6-5.0"/>
    <x v="33"/>
    <n v="5"/>
    <x v="1"/>
    <n v="3"/>
    <n v="200"/>
    <m/>
    <n v="1.5"/>
    <n v="15"/>
    <n v="12"/>
    <x v="1"/>
    <x v="0"/>
    <n v="0"/>
    <n v="1"/>
  </r>
  <r>
    <x v="1"/>
    <x v="4"/>
    <s v="6.1-6.2"/>
    <x v="35"/>
    <n v="6"/>
    <x v="1"/>
    <n v="10"/>
    <n v="200"/>
    <m/>
    <n v="5"/>
    <n v="15"/>
    <n v="12"/>
    <x v="1"/>
    <x v="0"/>
    <n v="0"/>
    <n v="1"/>
  </r>
  <r>
    <x v="1"/>
    <x v="4"/>
    <s v="6.2-6.3"/>
    <x v="36"/>
    <n v="6"/>
    <x v="1"/>
    <n v="28"/>
    <n v="200"/>
    <m/>
    <n v="14.000000000000002"/>
    <n v="15"/>
    <n v="12"/>
    <x v="1"/>
    <x v="0"/>
    <n v="0"/>
    <n v="1"/>
  </r>
  <r>
    <x v="1"/>
    <x v="4"/>
    <s v="6.3-6.4"/>
    <x v="37"/>
    <n v="6"/>
    <x v="1"/>
    <n v="8"/>
    <n v="200"/>
    <m/>
    <n v="4"/>
    <n v="15"/>
    <n v="12"/>
    <x v="1"/>
    <x v="0"/>
    <n v="0"/>
    <n v="1"/>
  </r>
  <r>
    <x v="1"/>
    <x v="4"/>
    <s v="6.4-6.5"/>
    <x v="38"/>
    <n v="6"/>
    <x v="1"/>
    <n v="6"/>
    <n v="200"/>
    <m/>
    <n v="3"/>
    <n v="15"/>
    <n v="12"/>
    <x v="1"/>
    <x v="0"/>
    <n v="0"/>
    <n v="1"/>
  </r>
  <r>
    <x v="1"/>
    <x v="4"/>
    <s v="6.5-6.0"/>
    <x v="39"/>
    <n v="6"/>
    <x v="12"/>
    <n v="0"/>
    <n v="200"/>
    <m/>
    <n v="0"/>
    <n v="15"/>
    <n v="12"/>
    <x v="2"/>
    <x v="0"/>
    <n v="0"/>
    <n v="1"/>
  </r>
  <r>
    <x v="1"/>
    <x v="4"/>
    <s v="7.1-7.2"/>
    <x v="42"/>
    <n v="7"/>
    <x v="1"/>
    <n v="5"/>
    <n v="200"/>
    <m/>
    <n v="2.5"/>
    <n v="15"/>
    <n v="12"/>
    <x v="1"/>
    <x v="0"/>
    <n v="0"/>
    <n v="1"/>
  </r>
  <r>
    <x v="1"/>
    <x v="4"/>
    <s v="7.2-7.3"/>
    <x v="43"/>
    <n v="7"/>
    <x v="1"/>
    <n v="5"/>
    <n v="200"/>
    <m/>
    <n v="2.5"/>
    <n v="15"/>
    <n v="12"/>
    <x v="1"/>
    <x v="0"/>
    <n v="0"/>
    <n v="1"/>
  </r>
  <r>
    <x v="1"/>
    <x v="4"/>
    <s v="7.3-7.4"/>
    <x v="44"/>
    <n v="7"/>
    <x v="1"/>
    <n v="13"/>
    <n v="200"/>
    <m/>
    <n v="6.5"/>
    <n v="15"/>
    <n v="12"/>
    <x v="1"/>
    <x v="0"/>
    <n v="0"/>
    <n v="1"/>
  </r>
  <r>
    <x v="1"/>
    <x v="4"/>
    <s v="7.3-7.4"/>
    <x v="44"/>
    <n v="7"/>
    <x v="16"/>
    <n v="2"/>
    <n v="200"/>
    <m/>
    <n v="1"/>
    <n v="15"/>
    <n v="12"/>
    <x v="1"/>
    <x v="0"/>
    <n v="0"/>
    <n v="0"/>
  </r>
  <r>
    <x v="1"/>
    <x v="4"/>
    <s v="7.4-7.0"/>
    <x v="45"/>
    <n v="7"/>
    <x v="1"/>
    <n v="27"/>
    <n v="200"/>
    <m/>
    <n v="13.5"/>
    <n v="15"/>
    <n v="12"/>
    <x v="1"/>
    <x v="0"/>
    <n v="0"/>
    <n v="1"/>
  </r>
  <r>
    <x v="1"/>
    <x v="2"/>
    <s v="1.1-1.2"/>
    <x v="0"/>
    <n v="1"/>
    <x v="1"/>
    <n v="14"/>
    <n v="200"/>
    <m/>
    <n v="7.0000000000000009"/>
    <n v="15"/>
    <n v="12"/>
    <x v="1"/>
    <x v="0"/>
    <n v="1"/>
    <n v="1"/>
  </r>
  <r>
    <x v="1"/>
    <x v="2"/>
    <s v="1.2-1.3"/>
    <x v="1"/>
    <n v="1"/>
    <x v="1"/>
    <n v="4"/>
    <n v="200"/>
    <m/>
    <n v="2"/>
    <n v="15"/>
    <n v="12"/>
    <x v="1"/>
    <x v="0"/>
    <n v="0"/>
    <n v="1"/>
  </r>
  <r>
    <x v="1"/>
    <x v="2"/>
    <s v="1.3-1.4"/>
    <x v="2"/>
    <n v="1"/>
    <x v="1"/>
    <n v="7"/>
    <n v="200"/>
    <m/>
    <n v="3.5000000000000004"/>
    <n v="15"/>
    <n v="12"/>
    <x v="1"/>
    <x v="0"/>
    <n v="0"/>
    <n v="1"/>
  </r>
  <r>
    <x v="1"/>
    <x v="2"/>
    <s v="1.4-1.5"/>
    <x v="3"/>
    <n v="1"/>
    <x v="1"/>
    <n v="17"/>
    <n v="200"/>
    <m/>
    <n v="8.5"/>
    <n v="15"/>
    <n v="12"/>
    <x v="1"/>
    <x v="0"/>
    <n v="0"/>
    <n v="1"/>
  </r>
  <r>
    <x v="1"/>
    <x v="2"/>
    <s v="1.5-1.0"/>
    <x v="4"/>
    <n v="1"/>
    <x v="1"/>
    <n v="19"/>
    <n v="200"/>
    <m/>
    <n v="9.5"/>
    <n v="15"/>
    <n v="12"/>
    <x v="1"/>
    <x v="0"/>
    <n v="0"/>
    <n v="1"/>
  </r>
  <r>
    <x v="1"/>
    <x v="2"/>
    <s v="2.1-2.2"/>
    <x v="7"/>
    <n v="2"/>
    <x v="1"/>
    <n v="5"/>
    <n v="200"/>
    <m/>
    <n v="2.5"/>
    <n v="15"/>
    <n v="12"/>
    <x v="1"/>
    <x v="0"/>
    <n v="0"/>
    <n v="1"/>
  </r>
  <r>
    <x v="1"/>
    <x v="2"/>
    <s v="2.2-2.3"/>
    <x v="8"/>
    <n v="2"/>
    <x v="1"/>
    <n v="3"/>
    <n v="200"/>
    <m/>
    <n v="1.5"/>
    <n v="15"/>
    <n v="12"/>
    <x v="1"/>
    <x v="0"/>
    <n v="0"/>
    <n v="1"/>
  </r>
  <r>
    <x v="1"/>
    <x v="2"/>
    <s v="2.3-2.4"/>
    <x v="9"/>
    <n v="2"/>
    <x v="1"/>
    <n v="15"/>
    <n v="200"/>
    <m/>
    <n v="7.5"/>
    <n v="15"/>
    <n v="12"/>
    <x v="1"/>
    <x v="0"/>
    <n v="0"/>
    <n v="1"/>
  </r>
  <r>
    <x v="1"/>
    <x v="2"/>
    <s v="2.4-2.5"/>
    <x v="10"/>
    <n v="2"/>
    <x v="1"/>
    <n v="7"/>
    <n v="200"/>
    <m/>
    <n v="3.5000000000000004"/>
    <n v="15"/>
    <n v="12"/>
    <x v="1"/>
    <x v="0"/>
    <n v="0"/>
    <n v="1"/>
  </r>
  <r>
    <x v="1"/>
    <x v="2"/>
    <s v="2.5-2.6"/>
    <x v="11"/>
    <n v="2"/>
    <x v="1"/>
    <n v="4"/>
    <n v="200"/>
    <m/>
    <n v="2"/>
    <n v="15"/>
    <n v="12"/>
    <x v="1"/>
    <x v="0"/>
    <n v="0"/>
    <n v="1"/>
  </r>
  <r>
    <x v="1"/>
    <x v="2"/>
    <s v="2.6-2.7"/>
    <x v="12"/>
    <n v="2"/>
    <x v="1"/>
    <n v="1"/>
    <n v="200"/>
    <m/>
    <n v="0.5"/>
    <n v="15"/>
    <n v="12"/>
    <x v="1"/>
    <x v="0"/>
    <n v="0"/>
    <n v="1"/>
  </r>
  <r>
    <x v="1"/>
    <x v="2"/>
    <s v="2.7-2.8"/>
    <x v="13"/>
    <n v="2"/>
    <x v="1"/>
    <n v="7"/>
    <n v="200"/>
    <m/>
    <n v="3.5000000000000004"/>
    <n v="15"/>
    <n v="12"/>
    <x v="1"/>
    <x v="0"/>
    <n v="0"/>
    <n v="1"/>
  </r>
  <r>
    <x v="1"/>
    <x v="2"/>
    <s v="2.8-2.0"/>
    <x v="54"/>
    <n v="2"/>
    <x v="1"/>
    <n v="24"/>
    <n v="200"/>
    <m/>
    <n v="12"/>
    <n v="15"/>
    <n v="12"/>
    <x v="1"/>
    <x v="0"/>
    <n v="0"/>
    <n v="1"/>
  </r>
  <r>
    <x v="1"/>
    <x v="2"/>
    <s v="2.8-2.0"/>
    <x v="54"/>
    <n v="2"/>
    <x v="16"/>
    <n v="8"/>
    <n v="200"/>
    <m/>
    <n v="4"/>
    <n v="15"/>
    <n v="12"/>
    <x v="1"/>
    <x v="0"/>
    <n v="1"/>
    <n v="0"/>
  </r>
  <r>
    <x v="1"/>
    <x v="2"/>
    <s v="3.1-3.2"/>
    <x v="14"/>
    <n v="3"/>
    <x v="1"/>
    <n v="6"/>
    <n v="200"/>
    <m/>
    <n v="3"/>
    <n v="15"/>
    <n v="12"/>
    <x v="1"/>
    <x v="0"/>
    <n v="0"/>
    <n v="1"/>
  </r>
  <r>
    <x v="1"/>
    <x v="2"/>
    <s v="3.2-3.3"/>
    <x v="15"/>
    <n v="3"/>
    <x v="12"/>
    <n v="0"/>
    <n v="200"/>
    <m/>
    <n v="0"/>
    <n v="15"/>
    <n v="12"/>
    <x v="2"/>
    <x v="0"/>
    <n v="1"/>
    <n v="1"/>
  </r>
  <r>
    <x v="1"/>
    <x v="2"/>
    <s v="3.3-3.4"/>
    <x v="16"/>
    <n v="3"/>
    <x v="12"/>
    <n v="0"/>
    <n v="200"/>
    <m/>
    <n v="0"/>
    <n v="15"/>
    <n v="12"/>
    <x v="2"/>
    <x v="0"/>
    <n v="0"/>
    <n v="1"/>
  </r>
  <r>
    <x v="1"/>
    <x v="2"/>
    <s v="3.4-3.5"/>
    <x v="17"/>
    <n v="3"/>
    <x v="1"/>
    <n v="3"/>
    <n v="200"/>
    <m/>
    <n v="1.5"/>
    <n v="15"/>
    <n v="12"/>
    <x v="1"/>
    <x v="0"/>
    <n v="0"/>
    <n v="1"/>
  </r>
  <r>
    <x v="1"/>
    <x v="2"/>
    <s v="3.5-3.6"/>
    <x v="18"/>
    <n v="3"/>
    <x v="1"/>
    <n v="1"/>
    <n v="200"/>
    <m/>
    <n v="0.5"/>
    <n v="15"/>
    <n v="12"/>
    <x v="1"/>
    <x v="0"/>
    <n v="0"/>
    <n v="1"/>
  </r>
  <r>
    <x v="1"/>
    <x v="2"/>
    <s v="3.6-3.7"/>
    <x v="19"/>
    <n v="3"/>
    <x v="1"/>
    <n v="3"/>
    <n v="200"/>
    <m/>
    <n v="1.5"/>
    <n v="15"/>
    <n v="12"/>
    <x v="1"/>
    <x v="0"/>
    <n v="0"/>
    <n v="1"/>
  </r>
  <r>
    <x v="1"/>
    <x v="2"/>
    <s v="3.7-3.0"/>
    <x v="20"/>
    <n v="3"/>
    <x v="1"/>
    <n v="16"/>
    <n v="200"/>
    <m/>
    <n v="8"/>
    <n v="15"/>
    <n v="12"/>
    <x v="1"/>
    <x v="0"/>
    <n v="0"/>
    <n v="1"/>
  </r>
  <r>
    <x v="1"/>
    <x v="2"/>
    <s v="3.7-3.0"/>
    <x v="20"/>
    <n v="3"/>
    <x v="2"/>
    <n v="1"/>
    <n v="200"/>
    <m/>
    <n v="0.5"/>
    <n v="15"/>
    <n v="12"/>
    <x v="1"/>
    <x v="0"/>
    <n v="1"/>
    <n v="0"/>
  </r>
  <r>
    <x v="1"/>
    <x v="2"/>
    <s v="3.7-3.0"/>
    <x v="20"/>
    <n v="3"/>
    <x v="6"/>
    <n v="2"/>
    <n v="200"/>
    <m/>
    <n v="1"/>
    <n v="15"/>
    <n v="12"/>
    <x v="1"/>
    <x v="0"/>
    <n v="1"/>
    <n v="0"/>
  </r>
  <r>
    <x v="1"/>
    <x v="2"/>
    <s v="4.1-4.2"/>
    <x v="21"/>
    <n v="4"/>
    <x v="1"/>
    <n v="16"/>
    <n v="200"/>
    <m/>
    <n v="8"/>
    <n v="15"/>
    <n v="12"/>
    <x v="1"/>
    <x v="0"/>
    <n v="0"/>
    <n v="1"/>
  </r>
  <r>
    <x v="1"/>
    <x v="2"/>
    <s v="4.2-4.3"/>
    <x v="22"/>
    <n v="4"/>
    <x v="1"/>
    <n v="13"/>
    <n v="200"/>
    <m/>
    <n v="6.5"/>
    <n v="15"/>
    <n v="12"/>
    <x v="1"/>
    <x v="0"/>
    <n v="0"/>
    <n v="1"/>
  </r>
  <r>
    <x v="1"/>
    <x v="2"/>
    <s v="4.3-4.4"/>
    <x v="23"/>
    <n v="4"/>
    <x v="1"/>
    <n v="10"/>
    <n v="200"/>
    <m/>
    <n v="5"/>
    <n v="15"/>
    <n v="12"/>
    <x v="1"/>
    <x v="0"/>
    <n v="0"/>
    <n v="1"/>
  </r>
  <r>
    <x v="1"/>
    <x v="2"/>
    <s v="4.4-4.5"/>
    <x v="24"/>
    <n v="4"/>
    <x v="1"/>
    <n v="12"/>
    <n v="200"/>
    <m/>
    <n v="6"/>
    <n v="15"/>
    <n v="12"/>
    <x v="1"/>
    <x v="0"/>
    <n v="0"/>
    <n v="1"/>
  </r>
  <r>
    <x v="1"/>
    <x v="2"/>
    <s v="4.5-4.6"/>
    <x v="25"/>
    <n v="4"/>
    <x v="1"/>
    <n v="15"/>
    <n v="200"/>
    <m/>
    <n v="7.5"/>
    <n v="15"/>
    <n v="12"/>
    <x v="1"/>
    <x v="0"/>
    <n v="0"/>
    <n v="1"/>
  </r>
  <r>
    <x v="1"/>
    <x v="2"/>
    <s v="4.6-4.7"/>
    <x v="26"/>
    <n v="4"/>
    <x v="1"/>
    <n v="5"/>
    <n v="200"/>
    <m/>
    <n v="2.5"/>
    <n v="15"/>
    <n v="12"/>
    <x v="1"/>
    <x v="0"/>
    <n v="0"/>
    <n v="1"/>
  </r>
  <r>
    <x v="1"/>
    <x v="2"/>
    <s v="4.7-4.0"/>
    <x v="27"/>
    <n v="4"/>
    <x v="1"/>
    <n v="14"/>
    <n v="200"/>
    <m/>
    <n v="7.0000000000000009"/>
    <n v="15"/>
    <n v="12"/>
    <x v="1"/>
    <x v="0"/>
    <n v="0"/>
    <n v="1"/>
  </r>
  <r>
    <x v="1"/>
    <x v="2"/>
    <s v="4.7-4.0"/>
    <x v="27"/>
    <n v="4"/>
    <x v="2"/>
    <n v="1"/>
    <n v="200"/>
    <m/>
    <n v="0.5"/>
    <n v="15"/>
    <n v="12"/>
    <x v="1"/>
    <x v="0"/>
    <n v="0"/>
    <n v="0"/>
  </r>
  <r>
    <x v="1"/>
    <x v="2"/>
    <s v="5.1-5.2"/>
    <x v="28"/>
    <n v="5"/>
    <x v="1"/>
    <n v="17"/>
    <n v="200"/>
    <m/>
    <n v="8.5"/>
    <n v="15"/>
    <n v="12"/>
    <x v="1"/>
    <x v="0"/>
    <n v="0"/>
    <n v="1"/>
  </r>
  <r>
    <x v="1"/>
    <x v="2"/>
    <s v="5.1-5.2"/>
    <x v="28"/>
    <n v="5"/>
    <x v="2"/>
    <n v="4"/>
    <n v="200"/>
    <m/>
    <n v="2"/>
    <n v="15"/>
    <n v="12"/>
    <x v="1"/>
    <x v="0"/>
    <n v="0"/>
    <n v="0"/>
  </r>
  <r>
    <x v="1"/>
    <x v="2"/>
    <s v="5.2-5.3"/>
    <x v="29"/>
    <n v="5"/>
    <x v="1"/>
    <n v="1"/>
    <n v="200"/>
    <m/>
    <n v="0.5"/>
    <n v="15"/>
    <n v="12"/>
    <x v="1"/>
    <x v="0"/>
    <n v="0"/>
    <n v="1"/>
  </r>
  <r>
    <x v="1"/>
    <x v="2"/>
    <s v="5.2-5.3"/>
    <x v="29"/>
    <n v="5"/>
    <x v="2"/>
    <n v="1"/>
    <n v="200"/>
    <m/>
    <n v="0.5"/>
    <n v="15"/>
    <n v="12"/>
    <x v="1"/>
    <x v="0"/>
    <n v="0"/>
    <n v="0"/>
  </r>
  <r>
    <x v="1"/>
    <x v="2"/>
    <s v="5.2-5.3"/>
    <x v="29"/>
    <n v="5"/>
    <x v="16"/>
    <n v="8"/>
    <n v="200"/>
    <m/>
    <n v="4"/>
    <n v="15"/>
    <n v="12"/>
    <x v="1"/>
    <x v="0"/>
    <n v="0"/>
    <n v="0"/>
  </r>
  <r>
    <x v="1"/>
    <x v="2"/>
    <s v="5.3-5.4"/>
    <x v="30"/>
    <n v="5"/>
    <x v="1"/>
    <n v="13"/>
    <n v="200"/>
    <m/>
    <n v="6.5"/>
    <n v="15"/>
    <n v="12"/>
    <x v="1"/>
    <x v="0"/>
    <n v="0"/>
    <n v="1"/>
  </r>
  <r>
    <x v="1"/>
    <x v="2"/>
    <s v="5.4-5.5"/>
    <x v="31"/>
    <n v="5"/>
    <x v="1"/>
    <n v="5"/>
    <n v="200"/>
    <m/>
    <n v="2.5"/>
    <n v="15"/>
    <n v="12"/>
    <x v="1"/>
    <x v="0"/>
    <n v="0"/>
    <n v="1"/>
  </r>
  <r>
    <x v="1"/>
    <x v="2"/>
    <s v="5.5-5.6"/>
    <x v="32"/>
    <n v="5"/>
    <x v="1"/>
    <n v="5"/>
    <n v="200"/>
    <m/>
    <n v="2.5"/>
    <n v="15"/>
    <n v="12"/>
    <x v="1"/>
    <x v="0"/>
    <n v="0"/>
    <n v="1"/>
  </r>
  <r>
    <x v="1"/>
    <x v="2"/>
    <s v="5.6-5.0"/>
    <x v="33"/>
    <n v="5"/>
    <x v="1"/>
    <n v="10"/>
    <n v="200"/>
    <m/>
    <n v="5"/>
    <n v="15"/>
    <n v="12"/>
    <x v="1"/>
    <x v="0"/>
    <n v="0"/>
    <n v="1"/>
  </r>
  <r>
    <x v="1"/>
    <x v="2"/>
    <s v="6.1-6.2"/>
    <x v="35"/>
    <n v="6"/>
    <x v="1"/>
    <n v="7"/>
    <n v="200"/>
    <m/>
    <n v="3.5000000000000004"/>
    <n v="15"/>
    <n v="12"/>
    <x v="1"/>
    <x v="0"/>
    <n v="0"/>
    <n v="1"/>
  </r>
  <r>
    <x v="1"/>
    <x v="2"/>
    <s v="6.2-6.3"/>
    <x v="36"/>
    <n v="6"/>
    <x v="1"/>
    <n v="7"/>
    <n v="198"/>
    <m/>
    <n v="3.535353535353535"/>
    <n v="15"/>
    <n v="12"/>
    <x v="1"/>
    <x v="0"/>
    <n v="0"/>
    <n v="1"/>
  </r>
  <r>
    <x v="1"/>
    <x v="2"/>
    <s v="6.3-6.4"/>
    <x v="37"/>
    <n v="6"/>
    <x v="1"/>
    <n v="11"/>
    <n v="200"/>
    <m/>
    <n v="5.5"/>
    <n v="15"/>
    <n v="12"/>
    <x v="1"/>
    <x v="0"/>
    <n v="0"/>
    <n v="1"/>
  </r>
  <r>
    <x v="1"/>
    <x v="2"/>
    <s v="6.4-6.5"/>
    <x v="38"/>
    <n v="6"/>
    <x v="1"/>
    <n v="4"/>
    <n v="200"/>
    <m/>
    <n v="2"/>
    <n v="15"/>
    <n v="12"/>
    <x v="1"/>
    <x v="0"/>
    <n v="0"/>
    <n v="1"/>
  </r>
  <r>
    <x v="1"/>
    <x v="2"/>
    <s v="6.5-6.0"/>
    <x v="39"/>
    <n v="6"/>
    <x v="12"/>
    <n v="0"/>
    <n v="200"/>
    <m/>
    <n v="0"/>
    <n v="15"/>
    <n v="12"/>
    <x v="2"/>
    <x v="0"/>
    <n v="0"/>
    <n v="1"/>
  </r>
  <r>
    <x v="1"/>
    <x v="2"/>
    <s v="7.1-7.2"/>
    <x v="42"/>
    <n v="7"/>
    <x v="1"/>
    <n v="2"/>
    <n v="200"/>
    <m/>
    <n v="1"/>
    <n v="15"/>
    <n v="12"/>
    <x v="1"/>
    <x v="0"/>
    <n v="0"/>
    <n v="1"/>
  </r>
  <r>
    <x v="1"/>
    <x v="2"/>
    <s v="7.1-7.2"/>
    <x v="42"/>
    <n v="7"/>
    <x v="2"/>
    <n v="4"/>
    <n v="200"/>
    <m/>
    <n v="2"/>
    <n v="15"/>
    <n v="12"/>
    <x v="1"/>
    <x v="0"/>
    <n v="0"/>
    <n v="0"/>
  </r>
  <r>
    <x v="1"/>
    <x v="2"/>
    <s v="7.2-7.3"/>
    <x v="43"/>
    <n v="7"/>
    <x v="12"/>
    <n v="0"/>
    <n v="200"/>
    <m/>
    <n v="0"/>
    <n v="15"/>
    <n v="12"/>
    <x v="2"/>
    <x v="0"/>
    <n v="0"/>
    <n v="1"/>
  </r>
  <r>
    <x v="1"/>
    <x v="2"/>
    <s v="7.3-7.4"/>
    <x v="44"/>
    <n v="7"/>
    <x v="1"/>
    <n v="15"/>
    <n v="200"/>
    <m/>
    <n v="7.5"/>
    <n v="15"/>
    <n v="12"/>
    <x v="1"/>
    <x v="0"/>
    <n v="0"/>
    <n v="1"/>
  </r>
  <r>
    <x v="1"/>
    <x v="2"/>
    <s v="7.3-7.4"/>
    <x v="44"/>
    <n v="7"/>
    <x v="16"/>
    <n v="4"/>
    <n v="200"/>
    <m/>
    <n v="2"/>
    <n v="15"/>
    <n v="12"/>
    <x v="1"/>
    <x v="0"/>
    <n v="0"/>
    <n v="0"/>
  </r>
  <r>
    <x v="1"/>
    <x v="2"/>
    <s v="7.4-7.0"/>
    <x v="45"/>
    <n v="7"/>
    <x v="1"/>
    <n v="49"/>
    <n v="200"/>
    <m/>
    <n v="24.5"/>
    <n v="15"/>
    <n v="12"/>
    <x v="1"/>
    <x v="0"/>
    <n v="0"/>
    <n v="1"/>
  </r>
  <r>
    <x v="2"/>
    <x v="0"/>
    <m/>
    <x v="0"/>
    <n v="1"/>
    <x v="19"/>
    <n v="2"/>
    <n v="144"/>
    <m/>
    <n v="1.3888888888888888"/>
    <n v="34"/>
    <n v="6"/>
    <x v="1"/>
    <x v="0"/>
    <n v="1"/>
    <n v="1"/>
  </r>
  <r>
    <x v="2"/>
    <x v="0"/>
    <m/>
    <x v="0"/>
    <n v="1"/>
    <x v="4"/>
    <n v="1"/>
    <n v="144"/>
    <m/>
    <n v="0.69444444444444442"/>
    <n v="34"/>
    <n v="6"/>
    <x v="1"/>
    <x v="0"/>
    <n v="1"/>
    <n v="0"/>
  </r>
  <r>
    <x v="2"/>
    <x v="0"/>
    <m/>
    <x v="0"/>
    <n v="1"/>
    <x v="20"/>
    <n v="7"/>
    <n v="144"/>
    <m/>
    <n v="4.8611111111111116"/>
    <n v="34"/>
    <n v="6"/>
    <x v="1"/>
    <x v="0"/>
    <n v="1"/>
    <n v="0"/>
  </r>
  <r>
    <x v="2"/>
    <x v="0"/>
    <m/>
    <x v="0"/>
    <n v="1"/>
    <x v="14"/>
    <n v="10"/>
    <n v="144"/>
    <m/>
    <n v="6.9444444444444446"/>
    <n v="34"/>
    <n v="6"/>
    <x v="0"/>
    <x v="0"/>
    <n v="1"/>
    <n v="0"/>
  </r>
  <r>
    <x v="2"/>
    <x v="0"/>
    <m/>
    <x v="7"/>
    <n v="2"/>
    <x v="3"/>
    <n v="2"/>
    <n v="130"/>
    <m/>
    <n v="1.5384615384615385"/>
    <n v="34"/>
    <n v="6"/>
    <x v="1"/>
    <x v="0"/>
    <n v="1"/>
    <n v="1"/>
  </r>
  <r>
    <x v="2"/>
    <x v="0"/>
    <m/>
    <x v="7"/>
    <n v="2"/>
    <x v="14"/>
    <n v="30"/>
    <n v="130"/>
    <m/>
    <n v="23.076923076923077"/>
    <n v="34"/>
    <n v="6"/>
    <x v="0"/>
    <x v="0"/>
    <n v="0"/>
    <n v="0"/>
  </r>
  <r>
    <x v="2"/>
    <x v="0"/>
    <m/>
    <x v="7"/>
    <n v="2"/>
    <x v="0"/>
    <n v="1"/>
    <n v="130"/>
    <m/>
    <n v="0.76923076923076927"/>
    <n v="34"/>
    <n v="6"/>
    <x v="0"/>
    <x v="0"/>
    <n v="1"/>
    <n v="0"/>
  </r>
  <r>
    <x v="2"/>
    <x v="0"/>
    <m/>
    <x v="8"/>
    <n v="2"/>
    <x v="3"/>
    <n v="3"/>
    <n v="66"/>
    <m/>
    <n v="4.5454545454545459"/>
    <n v="34"/>
    <n v="6"/>
    <x v="1"/>
    <x v="0"/>
    <n v="0"/>
    <n v="1"/>
  </r>
  <r>
    <x v="2"/>
    <x v="0"/>
    <m/>
    <x v="8"/>
    <n v="2"/>
    <x v="20"/>
    <n v="2"/>
    <n v="66"/>
    <m/>
    <n v="3.0303030303030303"/>
    <n v="34"/>
    <n v="6"/>
    <x v="1"/>
    <x v="0"/>
    <n v="0"/>
    <n v="0"/>
  </r>
  <r>
    <x v="2"/>
    <x v="0"/>
    <m/>
    <x v="8"/>
    <n v="2"/>
    <x v="21"/>
    <n v="1"/>
    <n v="66"/>
    <m/>
    <n v="1.5151515151515151"/>
    <n v="34"/>
    <n v="6"/>
    <x v="3"/>
    <x v="1"/>
    <n v="1"/>
    <n v="0"/>
  </r>
  <r>
    <x v="2"/>
    <x v="0"/>
    <m/>
    <x v="8"/>
    <n v="2"/>
    <x v="14"/>
    <n v="32"/>
    <n v="66"/>
    <m/>
    <n v="48.484848484848484"/>
    <n v="34"/>
    <n v="6"/>
    <x v="0"/>
    <x v="0"/>
    <n v="0"/>
    <n v="0"/>
  </r>
  <r>
    <x v="2"/>
    <x v="0"/>
    <m/>
    <x v="14"/>
    <n v="3"/>
    <x v="3"/>
    <n v="1"/>
    <n v="83"/>
    <m/>
    <n v="1.2048192771084338"/>
    <n v="34"/>
    <n v="6"/>
    <x v="1"/>
    <x v="0"/>
    <n v="0"/>
    <n v="1"/>
  </r>
  <r>
    <x v="2"/>
    <x v="0"/>
    <m/>
    <x v="14"/>
    <n v="3"/>
    <x v="14"/>
    <n v="20"/>
    <n v="83"/>
    <m/>
    <n v="24.096385542168676"/>
    <n v="34"/>
    <n v="6"/>
    <x v="0"/>
    <x v="0"/>
    <n v="0"/>
    <n v="0"/>
  </r>
  <r>
    <x v="2"/>
    <x v="0"/>
    <m/>
    <x v="14"/>
    <n v="3"/>
    <x v="0"/>
    <n v="1"/>
    <n v="83"/>
    <m/>
    <n v="1.2048192771084338"/>
    <n v="34"/>
    <n v="6"/>
    <x v="0"/>
    <x v="0"/>
    <n v="0"/>
    <n v="0"/>
  </r>
  <r>
    <x v="2"/>
    <x v="0"/>
    <m/>
    <x v="15"/>
    <n v="3"/>
    <x v="19"/>
    <n v="2"/>
    <n v="35"/>
    <m/>
    <n v="5.7142857142857144"/>
    <n v="34"/>
    <n v="6"/>
    <x v="1"/>
    <x v="0"/>
    <n v="0"/>
    <n v="1"/>
  </r>
  <r>
    <x v="2"/>
    <x v="0"/>
    <m/>
    <x v="15"/>
    <n v="3"/>
    <x v="20"/>
    <n v="6"/>
    <n v="35"/>
    <m/>
    <n v="17.142857142857142"/>
    <n v="34"/>
    <n v="6"/>
    <x v="1"/>
    <x v="0"/>
    <n v="0"/>
    <n v="0"/>
  </r>
  <r>
    <x v="2"/>
    <x v="0"/>
    <m/>
    <x v="15"/>
    <n v="3"/>
    <x v="14"/>
    <n v="1"/>
    <n v="35"/>
    <m/>
    <n v="2.8571428571428572"/>
    <n v="34"/>
    <n v="6"/>
    <x v="0"/>
    <x v="0"/>
    <n v="0"/>
    <n v="0"/>
  </r>
  <r>
    <x v="2"/>
    <x v="0"/>
    <m/>
    <x v="21"/>
    <n v="4"/>
    <x v="19"/>
    <n v="1"/>
    <n v="114"/>
    <m/>
    <n v="0.8771929824561403"/>
    <n v="34"/>
    <n v="6"/>
    <x v="1"/>
    <x v="0"/>
    <n v="0"/>
    <n v="1"/>
  </r>
  <r>
    <x v="2"/>
    <x v="0"/>
    <m/>
    <x v="21"/>
    <n v="4"/>
    <x v="2"/>
    <n v="3"/>
    <n v="114"/>
    <m/>
    <n v="2.6315789473684208"/>
    <n v="34"/>
    <n v="6"/>
    <x v="1"/>
    <x v="0"/>
    <n v="1"/>
    <n v="0"/>
  </r>
  <r>
    <x v="2"/>
    <x v="0"/>
    <m/>
    <x v="21"/>
    <n v="4"/>
    <x v="20"/>
    <n v="1"/>
    <n v="114"/>
    <m/>
    <n v="0.8771929824561403"/>
    <n v="34"/>
    <n v="6"/>
    <x v="1"/>
    <x v="0"/>
    <n v="0"/>
    <n v="0"/>
  </r>
  <r>
    <x v="2"/>
    <x v="0"/>
    <m/>
    <x v="21"/>
    <n v="4"/>
    <x v="22"/>
    <n v="1"/>
    <n v="114"/>
    <m/>
    <n v="0.8771929824561403"/>
    <n v="34"/>
    <n v="6"/>
    <x v="3"/>
    <x v="0"/>
    <n v="1"/>
    <n v="0"/>
  </r>
  <r>
    <x v="2"/>
    <x v="0"/>
    <m/>
    <x v="21"/>
    <n v="4"/>
    <x v="0"/>
    <n v="1"/>
    <n v="114"/>
    <m/>
    <n v="0.8771929824561403"/>
    <n v="34"/>
    <n v="6"/>
    <x v="0"/>
    <x v="0"/>
    <n v="0"/>
    <n v="0"/>
  </r>
  <r>
    <x v="2"/>
    <x v="0"/>
    <m/>
    <x v="28"/>
    <n v="5"/>
    <x v="19"/>
    <n v="1"/>
    <n v="164"/>
    <m/>
    <n v="0.6097560975609756"/>
    <n v="34"/>
    <n v="6"/>
    <x v="1"/>
    <x v="0"/>
    <n v="0"/>
    <n v="1"/>
  </r>
  <r>
    <x v="2"/>
    <x v="0"/>
    <m/>
    <x v="28"/>
    <n v="5"/>
    <x v="3"/>
    <n v="1"/>
    <n v="164"/>
    <m/>
    <n v="0.6097560975609756"/>
    <n v="34"/>
    <n v="6"/>
    <x v="1"/>
    <x v="0"/>
    <n v="0"/>
    <n v="0"/>
  </r>
  <r>
    <x v="2"/>
    <x v="0"/>
    <m/>
    <x v="28"/>
    <n v="5"/>
    <x v="7"/>
    <n v="3"/>
    <n v="164"/>
    <m/>
    <n v="1.8292682926829267"/>
    <n v="34"/>
    <n v="6"/>
    <x v="1"/>
    <x v="0"/>
    <n v="1"/>
    <n v="0"/>
  </r>
  <r>
    <x v="2"/>
    <x v="0"/>
    <m/>
    <x v="28"/>
    <n v="5"/>
    <x v="4"/>
    <n v="2"/>
    <n v="164"/>
    <m/>
    <n v="1.2195121951219512"/>
    <n v="34"/>
    <n v="6"/>
    <x v="1"/>
    <x v="0"/>
    <n v="0"/>
    <n v="0"/>
  </r>
  <r>
    <x v="2"/>
    <x v="0"/>
    <m/>
    <x v="28"/>
    <n v="5"/>
    <x v="20"/>
    <n v="2"/>
    <n v="164"/>
    <m/>
    <n v="1.2195121951219512"/>
    <n v="34"/>
    <n v="6"/>
    <x v="1"/>
    <x v="0"/>
    <n v="0"/>
    <n v="0"/>
  </r>
  <r>
    <x v="2"/>
    <x v="0"/>
    <m/>
    <x v="35"/>
    <n v="6"/>
    <x v="19"/>
    <n v="1"/>
    <n v="197"/>
    <m/>
    <n v="0.50761421319796951"/>
    <n v="34"/>
    <n v="6"/>
    <x v="1"/>
    <x v="0"/>
    <n v="0"/>
    <n v="1"/>
  </r>
  <r>
    <x v="2"/>
    <x v="0"/>
    <m/>
    <x v="35"/>
    <n v="6"/>
    <x v="4"/>
    <n v="1"/>
    <n v="197"/>
    <m/>
    <n v="0.50761421319796951"/>
    <n v="34"/>
    <n v="6"/>
    <x v="1"/>
    <x v="0"/>
    <n v="0"/>
    <n v="0"/>
  </r>
  <r>
    <x v="2"/>
    <x v="0"/>
    <m/>
    <x v="35"/>
    <n v="6"/>
    <x v="6"/>
    <n v="4"/>
    <n v="197"/>
    <m/>
    <n v="2.030456852791878"/>
    <n v="34"/>
    <n v="6"/>
    <x v="1"/>
    <x v="0"/>
    <n v="1"/>
    <n v="0"/>
  </r>
  <r>
    <x v="2"/>
    <x v="0"/>
    <m/>
    <x v="35"/>
    <n v="6"/>
    <x v="20"/>
    <n v="2"/>
    <n v="197"/>
    <m/>
    <n v="1.015228426395939"/>
    <n v="34"/>
    <n v="6"/>
    <x v="1"/>
    <x v="0"/>
    <n v="0"/>
    <n v="0"/>
  </r>
  <r>
    <x v="2"/>
    <x v="0"/>
    <m/>
    <x v="42"/>
    <n v="7"/>
    <x v="19"/>
    <n v="1"/>
    <n v="117"/>
    <m/>
    <n v="0.85470085470085477"/>
    <n v="34"/>
    <n v="6"/>
    <x v="1"/>
    <x v="0"/>
    <n v="0"/>
    <n v="1"/>
  </r>
  <r>
    <x v="2"/>
    <x v="0"/>
    <m/>
    <x v="42"/>
    <n v="7"/>
    <x v="7"/>
    <n v="7"/>
    <n v="117"/>
    <m/>
    <n v="5.982905982905983"/>
    <n v="34"/>
    <n v="6"/>
    <x v="1"/>
    <x v="0"/>
    <n v="0"/>
    <n v="0"/>
  </r>
  <r>
    <x v="2"/>
    <x v="0"/>
    <m/>
    <x v="42"/>
    <n v="7"/>
    <x v="0"/>
    <n v="1"/>
    <n v="117"/>
    <m/>
    <n v="0.85470085470085477"/>
    <n v="34"/>
    <n v="6"/>
    <x v="0"/>
    <x v="0"/>
    <n v="0"/>
    <n v="0"/>
  </r>
  <r>
    <x v="2"/>
    <x v="5"/>
    <m/>
    <x v="0"/>
    <n v="1"/>
    <x v="19"/>
    <n v="3"/>
    <n v="144"/>
    <m/>
    <n v="2.083333333333333"/>
    <n v="34"/>
    <n v="6"/>
    <x v="1"/>
    <x v="0"/>
    <n v="1"/>
    <n v="1"/>
  </r>
  <r>
    <x v="2"/>
    <x v="5"/>
    <m/>
    <x v="0"/>
    <n v="1"/>
    <x v="20"/>
    <n v="13"/>
    <n v="144"/>
    <m/>
    <n v="9.0277777777777768"/>
    <n v="34"/>
    <n v="6"/>
    <x v="1"/>
    <x v="0"/>
    <n v="1"/>
    <n v="0"/>
  </r>
  <r>
    <x v="2"/>
    <x v="5"/>
    <m/>
    <x v="7"/>
    <n v="2"/>
    <x v="3"/>
    <n v="4"/>
    <n v="130"/>
    <m/>
    <n v="3.0769230769230771"/>
    <n v="34"/>
    <n v="6"/>
    <x v="1"/>
    <x v="0"/>
    <n v="1"/>
    <n v="1"/>
  </r>
  <r>
    <x v="2"/>
    <x v="5"/>
    <m/>
    <x v="7"/>
    <n v="2"/>
    <x v="20"/>
    <n v="6"/>
    <n v="130"/>
    <m/>
    <n v="4.6153846153846159"/>
    <n v="34"/>
    <n v="6"/>
    <x v="1"/>
    <x v="0"/>
    <n v="0"/>
    <n v="0"/>
  </r>
  <r>
    <x v="2"/>
    <x v="5"/>
    <m/>
    <x v="7"/>
    <n v="2"/>
    <x v="8"/>
    <n v="4"/>
    <n v="130"/>
    <m/>
    <n v="3.0769230769230771"/>
    <n v="34"/>
    <n v="6"/>
    <x v="1"/>
    <x v="0"/>
    <n v="1"/>
    <n v="0"/>
  </r>
  <r>
    <x v="2"/>
    <x v="5"/>
    <m/>
    <x v="8"/>
    <n v="2"/>
    <x v="3"/>
    <n v="3"/>
    <n v="66"/>
    <m/>
    <n v="4.5454545454545459"/>
    <n v="34"/>
    <n v="6"/>
    <x v="1"/>
    <x v="0"/>
    <n v="0"/>
    <n v="1"/>
  </r>
  <r>
    <x v="2"/>
    <x v="5"/>
    <m/>
    <x v="8"/>
    <n v="2"/>
    <x v="20"/>
    <n v="8"/>
    <n v="66"/>
    <m/>
    <n v="12.121212121212121"/>
    <n v="34"/>
    <n v="6"/>
    <x v="1"/>
    <x v="0"/>
    <n v="0"/>
    <n v="0"/>
  </r>
  <r>
    <x v="2"/>
    <x v="5"/>
    <m/>
    <x v="14"/>
    <n v="3"/>
    <x v="19"/>
    <n v="7"/>
    <n v="83"/>
    <m/>
    <n v="8.4337349397590362"/>
    <n v="34"/>
    <n v="6"/>
    <x v="1"/>
    <x v="0"/>
    <n v="0"/>
    <n v="1"/>
  </r>
  <r>
    <x v="2"/>
    <x v="5"/>
    <m/>
    <x v="14"/>
    <n v="3"/>
    <x v="3"/>
    <n v="3"/>
    <n v="83"/>
    <m/>
    <n v="3.6144578313253009"/>
    <n v="34"/>
    <n v="6"/>
    <x v="1"/>
    <x v="0"/>
    <n v="0"/>
    <n v="0"/>
  </r>
  <r>
    <x v="2"/>
    <x v="5"/>
    <m/>
    <x v="14"/>
    <n v="3"/>
    <x v="20"/>
    <n v="7"/>
    <n v="83"/>
    <m/>
    <n v="8.4337349397590362"/>
    <n v="34"/>
    <n v="6"/>
    <x v="1"/>
    <x v="0"/>
    <n v="0"/>
    <n v="0"/>
  </r>
  <r>
    <x v="2"/>
    <x v="5"/>
    <m/>
    <x v="15"/>
    <n v="3"/>
    <x v="19"/>
    <n v="7"/>
    <n v="35"/>
    <m/>
    <n v="20"/>
    <n v="34"/>
    <n v="6"/>
    <x v="1"/>
    <x v="0"/>
    <n v="0"/>
    <n v="1"/>
  </r>
  <r>
    <x v="2"/>
    <x v="5"/>
    <m/>
    <x v="15"/>
    <n v="3"/>
    <x v="20"/>
    <n v="4"/>
    <n v="35"/>
    <m/>
    <n v="11.428571428571429"/>
    <n v="34"/>
    <n v="6"/>
    <x v="1"/>
    <x v="0"/>
    <n v="0"/>
    <n v="0"/>
  </r>
  <r>
    <x v="2"/>
    <x v="5"/>
    <m/>
    <x v="21"/>
    <n v="4"/>
    <x v="19"/>
    <n v="5"/>
    <n v="114"/>
    <m/>
    <n v="4.3859649122807012"/>
    <n v="34"/>
    <n v="6"/>
    <x v="1"/>
    <x v="0"/>
    <n v="0"/>
    <n v="1"/>
  </r>
  <r>
    <x v="2"/>
    <x v="5"/>
    <m/>
    <x v="21"/>
    <n v="4"/>
    <x v="20"/>
    <n v="2"/>
    <n v="114"/>
    <m/>
    <n v="1.7543859649122806"/>
    <n v="34"/>
    <n v="6"/>
    <x v="1"/>
    <x v="0"/>
    <n v="0"/>
    <n v="0"/>
  </r>
  <r>
    <x v="2"/>
    <x v="5"/>
    <m/>
    <x v="21"/>
    <n v="4"/>
    <x v="0"/>
    <n v="1"/>
    <n v="114"/>
    <m/>
    <n v="0.8771929824561403"/>
    <n v="34"/>
    <n v="6"/>
    <x v="0"/>
    <x v="0"/>
    <n v="1"/>
    <n v="0"/>
  </r>
  <r>
    <x v="2"/>
    <x v="5"/>
    <m/>
    <x v="28"/>
    <n v="5"/>
    <x v="19"/>
    <n v="13"/>
    <n v="164"/>
    <m/>
    <n v="7.9268292682926829"/>
    <n v="34"/>
    <n v="6"/>
    <x v="1"/>
    <x v="0"/>
    <n v="0"/>
    <n v="1"/>
  </r>
  <r>
    <x v="2"/>
    <x v="5"/>
    <m/>
    <x v="28"/>
    <n v="5"/>
    <x v="3"/>
    <n v="8"/>
    <n v="164"/>
    <m/>
    <n v="4.8780487804878048"/>
    <n v="34"/>
    <n v="6"/>
    <x v="1"/>
    <x v="0"/>
    <n v="0"/>
    <n v="0"/>
  </r>
  <r>
    <x v="2"/>
    <x v="5"/>
    <m/>
    <x v="28"/>
    <n v="5"/>
    <x v="4"/>
    <n v="10"/>
    <n v="164"/>
    <m/>
    <n v="6.0975609756097562"/>
    <n v="34"/>
    <n v="6"/>
    <x v="1"/>
    <x v="0"/>
    <n v="1"/>
    <n v="0"/>
  </r>
  <r>
    <x v="2"/>
    <x v="5"/>
    <m/>
    <x v="28"/>
    <n v="5"/>
    <x v="20"/>
    <n v="4"/>
    <n v="164"/>
    <m/>
    <n v="2.4390243902439024"/>
    <n v="34"/>
    <n v="6"/>
    <x v="1"/>
    <x v="0"/>
    <n v="0"/>
    <n v="0"/>
  </r>
  <r>
    <x v="2"/>
    <x v="5"/>
    <m/>
    <x v="28"/>
    <n v="5"/>
    <x v="0"/>
    <n v="1"/>
    <n v="164"/>
    <m/>
    <n v="0.6097560975609756"/>
    <n v="34"/>
    <n v="6"/>
    <x v="0"/>
    <x v="0"/>
    <n v="0"/>
    <n v="0"/>
  </r>
  <r>
    <x v="2"/>
    <x v="5"/>
    <m/>
    <x v="35"/>
    <n v="6"/>
    <x v="19"/>
    <n v="5"/>
    <n v="197"/>
    <m/>
    <n v="2.5380710659898478"/>
    <n v="34"/>
    <n v="6"/>
    <x v="1"/>
    <x v="0"/>
    <n v="0"/>
    <n v="1"/>
  </r>
  <r>
    <x v="2"/>
    <x v="5"/>
    <m/>
    <x v="35"/>
    <n v="6"/>
    <x v="4"/>
    <n v="5"/>
    <n v="197"/>
    <m/>
    <n v="2.5380710659898478"/>
    <n v="34"/>
    <n v="6"/>
    <x v="1"/>
    <x v="0"/>
    <n v="0"/>
    <n v="0"/>
  </r>
  <r>
    <x v="2"/>
    <x v="5"/>
    <m/>
    <x v="35"/>
    <n v="6"/>
    <x v="20"/>
    <n v="1"/>
    <n v="197"/>
    <m/>
    <n v="0.50761421319796951"/>
    <n v="34"/>
    <n v="6"/>
    <x v="1"/>
    <x v="0"/>
    <n v="0"/>
    <n v="0"/>
  </r>
  <r>
    <x v="2"/>
    <x v="5"/>
    <m/>
    <x v="35"/>
    <n v="6"/>
    <x v="0"/>
    <n v="2"/>
    <n v="197"/>
    <m/>
    <n v="1.015228426395939"/>
    <n v="34"/>
    <n v="6"/>
    <x v="0"/>
    <x v="0"/>
    <n v="0"/>
    <n v="0"/>
  </r>
  <r>
    <x v="2"/>
    <x v="5"/>
    <m/>
    <x v="42"/>
    <n v="7"/>
    <x v="19"/>
    <n v="1"/>
    <n v="117"/>
    <m/>
    <n v="0.85470085470085477"/>
    <n v="34"/>
    <n v="6"/>
    <x v="1"/>
    <x v="0"/>
    <n v="0"/>
    <n v="1"/>
  </r>
  <r>
    <x v="2"/>
    <x v="5"/>
    <m/>
    <x v="42"/>
    <n v="7"/>
    <x v="7"/>
    <n v="5"/>
    <n v="117"/>
    <m/>
    <n v="4.2735042735042734"/>
    <n v="34"/>
    <n v="6"/>
    <x v="1"/>
    <x v="0"/>
    <n v="1"/>
    <n v="0"/>
  </r>
  <r>
    <x v="2"/>
    <x v="6"/>
    <m/>
    <x v="0"/>
    <n v="1"/>
    <x v="0"/>
    <n v="5"/>
    <n v="144"/>
    <m/>
    <n v="3.4722222222222223"/>
    <n v="34"/>
    <n v="6"/>
    <x v="0"/>
    <x v="0"/>
    <n v="1"/>
    <n v="1"/>
  </r>
  <r>
    <x v="2"/>
    <x v="6"/>
    <m/>
    <x v="0"/>
    <n v="1"/>
    <x v="13"/>
    <n v="7"/>
    <n v="144"/>
    <m/>
    <n v="4.8611111111111116"/>
    <n v="34"/>
    <n v="6"/>
    <x v="0"/>
    <x v="0"/>
    <n v="1"/>
    <n v="0"/>
  </r>
  <r>
    <x v="2"/>
    <x v="6"/>
    <m/>
    <x v="0"/>
    <n v="1"/>
    <x v="14"/>
    <n v="7"/>
    <n v="144"/>
    <m/>
    <n v="4.8611111111111116"/>
    <n v="34"/>
    <n v="6"/>
    <x v="0"/>
    <x v="0"/>
    <n v="1"/>
    <n v="0"/>
  </r>
  <r>
    <x v="2"/>
    <x v="6"/>
    <m/>
    <x v="0"/>
    <n v="1"/>
    <x v="4"/>
    <n v="2"/>
    <n v="144"/>
    <m/>
    <n v="1.3888888888888888"/>
    <n v="34"/>
    <n v="6"/>
    <x v="1"/>
    <x v="0"/>
    <n v="1"/>
    <n v="0"/>
  </r>
  <r>
    <x v="2"/>
    <x v="6"/>
    <m/>
    <x v="0"/>
    <n v="1"/>
    <x v="19"/>
    <n v="1"/>
    <n v="144"/>
    <m/>
    <n v="0.69444444444444442"/>
    <n v="34"/>
    <n v="6"/>
    <x v="1"/>
    <x v="0"/>
    <n v="1"/>
    <n v="0"/>
  </r>
  <r>
    <x v="2"/>
    <x v="6"/>
    <m/>
    <x v="7"/>
    <n v="2"/>
    <x v="13"/>
    <n v="2"/>
    <n v="130"/>
    <m/>
    <n v="1.5384615384615385"/>
    <n v="34"/>
    <n v="6"/>
    <x v="0"/>
    <x v="0"/>
    <n v="0"/>
    <n v="1"/>
  </r>
  <r>
    <x v="2"/>
    <x v="6"/>
    <m/>
    <x v="7"/>
    <n v="2"/>
    <x v="14"/>
    <n v="23"/>
    <n v="130"/>
    <m/>
    <n v="17.692307692307693"/>
    <n v="34"/>
    <n v="6"/>
    <x v="0"/>
    <x v="0"/>
    <n v="0"/>
    <n v="0"/>
  </r>
  <r>
    <x v="2"/>
    <x v="6"/>
    <m/>
    <x v="7"/>
    <n v="2"/>
    <x v="23"/>
    <n v="1"/>
    <n v="130"/>
    <m/>
    <n v="0.76923076923076927"/>
    <n v="34"/>
    <n v="6"/>
    <x v="3"/>
    <x v="0"/>
    <n v="1"/>
    <n v="0"/>
  </r>
  <r>
    <x v="2"/>
    <x v="6"/>
    <m/>
    <x v="7"/>
    <n v="2"/>
    <x v="4"/>
    <n v="6"/>
    <n v="130"/>
    <m/>
    <n v="4.6153846153846159"/>
    <n v="34"/>
    <n v="6"/>
    <x v="1"/>
    <x v="0"/>
    <n v="0"/>
    <n v="0"/>
  </r>
  <r>
    <x v="2"/>
    <x v="6"/>
    <m/>
    <x v="7"/>
    <n v="2"/>
    <x v="3"/>
    <n v="2"/>
    <n v="130"/>
    <m/>
    <n v="1.5384615384615385"/>
    <n v="34"/>
    <n v="6"/>
    <x v="1"/>
    <x v="0"/>
    <n v="1"/>
    <n v="0"/>
  </r>
  <r>
    <x v="2"/>
    <x v="6"/>
    <m/>
    <x v="7"/>
    <n v="2"/>
    <x v="19"/>
    <n v="1"/>
    <n v="130"/>
    <m/>
    <n v="0.76923076923076927"/>
    <n v="34"/>
    <n v="6"/>
    <x v="1"/>
    <x v="0"/>
    <n v="0"/>
    <n v="0"/>
  </r>
  <r>
    <x v="2"/>
    <x v="6"/>
    <m/>
    <x v="8"/>
    <n v="2"/>
    <x v="14"/>
    <n v="13"/>
    <n v="66"/>
    <m/>
    <n v="19.696969696969695"/>
    <n v="34"/>
    <n v="6"/>
    <x v="0"/>
    <x v="0"/>
    <n v="0"/>
    <n v="1"/>
  </r>
  <r>
    <x v="2"/>
    <x v="6"/>
    <m/>
    <x v="8"/>
    <n v="2"/>
    <x v="23"/>
    <n v="1"/>
    <n v="66"/>
    <m/>
    <n v="1.5151515151515151"/>
    <n v="34"/>
    <n v="6"/>
    <x v="3"/>
    <x v="0"/>
    <n v="0"/>
    <n v="0"/>
  </r>
  <r>
    <x v="2"/>
    <x v="6"/>
    <m/>
    <x v="8"/>
    <n v="2"/>
    <x v="4"/>
    <n v="1"/>
    <n v="66"/>
    <m/>
    <n v="1.5151515151515151"/>
    <n v="34"/>
    <n v="6"/>
    <x v="1"/>
    <x v="0"/>
    <n v="0"/>
    <n v="0"/>
  </r>
  <r>
    <x v="2"/>
    <x v="6"/>
    <m/>
    <x v="8"/>
    <n v="2"/>
    <x v="3"/>
    <n v="2"/>
    <n v="66"/>
    <m/>
    <n v="3.0303030303030303"/>
    <n v="34"/>
    <n v="6"/>
    <x v="1"/>
    <x v="0"/>
    <n v="0"/>
    <n v="0"/>
  </r>
  <r>
    <x v="2"/>
    <x v="6"/>
    <m/>
    <x v="14"/>
    <n v="3"/>
    <x v="0"/>
    <n v="2"/>
    <n v="83"/>
    <m/>
    <n v="2.4096385542168677"/>
    <n v="34"/>
    <n v="6"/>
    <x v="0"/>
    <x v="0"/>
    <n v="0"/>
    <n v="1"/>
  </r>
  <r>
    <x v="2"/>
    <x v="6"/>
    <m/>
    <x v="14"/>
    <n v="3"/>
    <x v="13"/>
    <n v="2"/>
    <n v="83"/>
    <m/>
    <n v="2.4096385542168677"/>
    <n v="34"/>
    <n v="6"/>
    <x v="0"/>
    <x v="0"/>
    <n v="0"/>
    <n v="0"/>
  </r>
  <r>
    <x v="2"/>
    <x v="6"/>
    <m/>
    <x v="14"/>
    <n v="3"/>
    <x v="14"/>
    <n v="2"/>
    <n v="83"/>
    <m/>
    <n v="2.4096385542168677"/>
    <n v="34"/>
    <n v="6"/>
    <x v="0"/>
    <x v="0"/>
    <n v="0"/>
    <n v="0"/>
  </r>
  <r>
    <x v="2"/>
    <x v="6"/>
    <m/>
    <x v="14"/>
    <n v="3"/>
    <x v="4"/>
    <n v="3"/>
    <n v="83"/>
    <m/>
    <n v="3.6144578313253009"/>
    <n v="34"/>
    <n v="6"/>
    <x v="1"/>
    <x v="0"/>
    <n v="0"/>
    <n v="0"/>
  </r>
  <r>
    <x v="2"/>
    <x v="6"/>
    <m/>
    <x v="15"/>
    <n v="3"/>
    <x v="0"/>
    <n v="1"/>
    <n v="35"/>
    <m/>
    <n v="2.8571428571428572"/>
    <n v="34"/>
    <n v="6"/>
    <x v="0"/>
    <x v="0"/>
    <n v="0"/>
    <n v="1"/>
  </r>
  <r>
    <x v="2"/>
    <x v="6"/>
    <m/>
    <x v="15"/>
    <n v="3"/>
    <x v="4"/>
    <n v="5"/>
    <n v="35"/>
    <m/>
    <n v="14.285714285714285"/>
    <n v="34"/>
    <n v="6"/>
    <x v="1"/>
    <x v="0"/>
    <n v="0"/>
    <n v="0"/>
  </r>
  <r>
    <x v="2"/>
    <x v="6"/>
    <m/>
    <x v="21"/>
    <n v="4"/>
    <x v="0"/>
    <n v="6"/>
    <n v="114"/>
    <m/>
    <n v="5.2631578947368416"/>
    <n v="34"/>
    <n v="6"/>
    <x v="0"/>
    <x v="0"/>
    <n v="0"/>
    <n v="1"/>
  </r>
  <r>
    <x v="2"/>
    <x v="6"/>
    <m/>
    <x v="21"/>
    <n v="4"/>
    <x v="14"/>
    <n v="1"/>
    <n v="114"/>
    <m/>
    <n v="0.8771929824561403"/>
    <n v="34"/>
    <n v="6"/>
    <x v="0"/>
    <x v="0"/>
    <n v="0"/>
    <n v="0"/>
  </r>
  <r>
    <x v="2"/>
    <x v="6"/>
    <m/>
    <x v="21"/>
    <n v="4"/>
    <x v="18"/>
    <n v="1"/>
    <n v="114"/>
    <m/>
    <n v="0.8771929824561403"/>
    <n v="34"/>
    <n v="6"/>
    <x v="4"/>
    <x v="0"/>
    <n v="1"/>
    <n v="0"/>
  </r>
  <r>
    <x v="2"/>
    <x v="6"/>
    <m/>
    <x v="21"/>
    <n v="4"/>
    <x v="2"/>
    <n v="2"/>
    <n v="114"/>
    <m/>
    <n v="1.7543859649122806"/>
    <n v="34"/>
    <n v="6"/>
    <x v="1"/>
    <x v="0"/>
    <n v="1"/>
    <n v="0"/>
  </r>
  <r>
    <x v="2"/>
    <x v="6"/>
    <m/>
    <x v="21"/>
    <n v="4"/>
    <x v="19"/>
    <n v="2"/>
    <n v="114"/>
    <m/>
    <n v="1.7543859649122806"/>
    <n v="34"/>
    <n v="6"/>
    <x v="1"/>
    <x v="0"/>
    <n v="0"/>
    <n v="0"/>
  </r>
  <r>
    <x v="2"/>
    <x v="6"/>
    <m/>
    <x v="21"/>
    <n v="4"/>
    <x v="22"/>
    <n v="1"/>
    <n v="114"/>
    <m/>
    <n v="0.8771929824561403"/>
    <n v="34"/>
    <n v="6"/>
    <x v="3"/>
    <x v="0"/>
    <n v="1"/>
    <n v="0"/>
  </r>
  <r>
    <x v="2"/>
    <x v="6"/>
    <m/>
    <x v="28"/>
    <n v="5"/>
    <x v="0"/>
    <n v="1"/>
    <n v="164"/>
    <m/>
    <n v="0.6097560975609756"/>
    <n v="34"/>
    <n v="6"/>
    <x v="0"/>
    <x v="0"/>
    <n v="0"/>
    <n v="1"/>
  </r>
  <r>
    <x v="2"/>
    <x v="6"/>
    <m/>
    <x v="28"/>
    <n v="5"/>
    <x v="13"/>
    <n v="1"/>
    <n v="164"/>
    <m/>
    <n v="0.6097560975609756"/>
    <n v="34"/>
    <n v="6"/>
    <x v="0"/>
    <x v="0"/>
    <n v="0"/>
    <n v="0"/>
  </r>
  <r>
    <x v="2"/>
    <x v="6"/>
    <m/>
    <x v="28"/>
    <n v="5"/>
    <x v="4"/>
    <n v="14"/>
    <n v="164"/>
    <m/>
    <n v="8.536585365853659"/>
    <n v="34"/>
    <n v="6"/>
    <x v="1"/>
    <x v="0"/>
    <n v="0"/>
    <n v="0"/>
  </r>
  <r>
    <x v="2"/>
    <x v="6"/>
    <m/>
    <x v="28"/>
    <n v="5"/>
    <x v="6"/>
    <n v="1"/>
    <n v="164"/>
    <m/>
    <n v="0.6097560975609756"/>
    <n v="34"/>
    <n v="6"/>
    <x v="1"/>
    <x v="0"/>
    <n v="1"/>
    <n v="0"/>
  </r>
  <r>
    <x v="2"/>
    <x v="6"/>
    <m/>
    <x v="28"/>
    <n v="5"/>
    <x v="3"/>
    <n v="1"/>
    <n v="164"/>
    <m/>
    <n v="0.6097560975609756"/>
    <n v="34"/>
    <n v="6"/>
    <x v="1"/>
    <x v="0"/>
    <n v="0"/>
    <n v="0"/>
  </r>
  <r>
    <x v="2"/>
    <x v="6"/>
    <m/>
    <x v="28"/>
    <n v="5"/>
    <x v="24"/>
    <n v="1"/>
    <n v="164"/>
    <m/>
    <n v="0.6097560975609756"/>
    <n v="34"/>
    <n v="6"/>
    <x v="1"/>
    <x v="0"/>
    <n v="1"/>
    <n v="0"/>
  </r>
  <r>
    <x v="2"/>
    <x v="6"/>
    <m/>
    <x v="28"/>
    <n v="5"/>
    <x v="19"/>
    <n v="3"/>
    <n v="164"/>
    <m/>
    <n v="1.8292682926829267"/>
    <n v="34"/>
    <n v="6"/>
    <x v="1"/>
    <x v="0"/>
    <n v="0"/>
    <n v="0"/>
  </r>
  <r>
    <x v="2"/>
    <x v="6"/>
    <m/>
    <x v="28"/>
    <n v="5"/>
    <x v="7"/>
    <n v="8"/>
    <n v="164"/>
    <m/>
    <n v="4.8780487804878048"/>
    <n v="34"/>
    <n v="6"/>
    <x v="1"/>
    <x v="0"/>
    <n v="1"/>
    <n v="0"/>
  </r>
  <r>
    <x v="2"/>
    <x v="6"/>
    <m/>
    <x v="35"/>
    <n v="6"/>
    <x v="0"/>
    <n v="2"/>
    <n v="197"/>
    <m/>
    <n v="1.015228426395939"/>
    <n v="34"/>
    <n v="6"/>
    <x v="0"/>
    <x v="0"/>
    <n v="0"/>
    <n v="1"/>
  </r>
  <r>
    <x v="2"/>
    <x v="6"/>
    <m/>
    <x v="35"/>
    <n v="6"/>
    <x v="13"/>
    <n v="3"/>
    <n v="197"/>
    <m/>
    <n v="1.5228426395939088"/>
    <n v="34"/>
    <n v="6"/>
    <x v="0"/>
    <x v="0"/>
    <n v="0"/>
    <n v="0"/>
  </r>
  <r>
    <x v="2"/>
    <x v="6"/>
    <m/>
    <x v="35"/>
    <n v="6"/>
    <x v="4"/>
    <n v="20"/>
    <n v="197"/>
    <m/>
    <n v="10.152284263959391"/>
    <n v="34"/>
    <n v="6"/>
    <x v="1"/>
    <x v="0"/>
    <n v="0"/>
    <n v="0"/>
  </r>
  <r>
    <x v="2"/>
    <x v="6"/>
    <m/>
    <x v="35"/>
    <n v="6"/>
    <x v="6"/>
    <n v="2"/>
    <n v="197"/>
    <m/>
    <n v="1.015228426395939"/>
    <n v="34"/>
    <n v="6"/>
    <x v="1"/>
    <x v="0"/>
    <n v="0"/>
    <n v="0"/>
  </r>
  <r>
    <x v="2"/>
    <x v="6"/>
    <m/>
    <x v="35"/>
    <n v="6"/>
    <x v="19"/>
    <n v="2"/>
    <n v="197"/>
    <m/>
    <n v="1.015228426395939"/>
    <n v="34"/>
    <n v="6"/>
    <x v="1"/>
    <x v="0"/>
    <n v="0"/>
    <n v="0"/>
  </r>
  <r>
    <x v="2"/>
    <x v="6"/>
    <m/>
    <x v="42"/>
    <n v="7"/>
    <x v="0"/>
    <n v="1"/>
    <n v="117"/>
    <m/>
    <n v="0.85470085470085477"/>
    <n v="34"/>
    <n v="6"/>
    <x v="0"/>
    <x v="0"/>
    <n v="0"/>
    <n v="1"/>
  </r>
  <r>
    <x v="2"/>
    <x v="6"/>
    <m/>
    <x v="42"/>
    <n v="7"/>
    <x v="4"/>
    <n v="3"/>
    <n v="117"/>
    <m/>
    <n v="2.5641025641025639"/>
    <n v="34"/>
    <n v="6"/>
    <x v="1"/>
    <x v="0"/>
    <n v="0"/>
    <n v="0"/>
  </r>
  <r>
    <x v="2"/>
    <x v="6"/>
    <m/>
    <x v="42"/>
    <n v="7"/>
    <x v="3"/>
    <n v="1"/>
    <n v="117"/>
    <m/>
    <n v="0.85470085470085477"/>
    <n v="34"/>
    <n v="6"/>
    <x v="1"/>
    <x v="0"/>
    <n v="0"/>
    <n v="0"/>
  </r>
  <r>
    <x v="2"/>
    <x v="6"/>
    <m/>
    <x v="42"/>
    <n v="7"/>
    <x v="7"/>
    <n v="4"/>
    <n v="117"/>
    <m/>
    <n v="3.4188034188034191"/>
    <n v="34"/>
    <n v="6"/>
    <x v="1"/>
    <x v="0"/>
    <n v="0"/>
    <n v="0"/>
  </r>
  <r>
    <x v="2"/>
    <x v="7"/>
    <s v="1.1-1.0"/>
    <x v="0"/>
    <n v="1"/>
    <x v="4"/>
    <n v="31"/>
    <n v="142"/>
    <n v="71"/>
    <n v="21.830985915492956"/>
    <n v="34"/>
    <n v="6"/>
    <x v="1"/>
    <x v="0"/>
    <n v="1"/>
    <n v="1"/>
  </r>
  <r>
    <x v="2"/>
    <x v="7"/>
    <s v="1.1-1.0"/>
    <x v="0"/>
    <n v="1"/>
    <x v="3"/>
    <n v="1"/>
    <n v="142"/>
    <n v="71"/>
    <n v="0.70422535211267612"/>
    <n v="34"/>
    <n v="6"/>
    <x v="1"/>
    <x v="0"/>
    <n v="1"/>
    <n v="0"/>
  </r>
  <r>
    <x v="2"/>
    <x v="7"/>
    <s v="1.1-1.0"/>
    <x v="0"/>
    <n v="1"/>
    <x v="19"/>
    <n v="2"/>
    <n v="142"/>
    <n v="71"/>
    <n v="1.4084507042253522"/>
    <n v="34"/>
    <n v="6"/>
    <x v="1"/>
    <x v="0"/>
    <n v="1"/>
    <n v="0"/>
  </r>
  <r>
    <x v="2"/>
    <x v="7"/>
    <s v="1.1-1.0"/>
    <x v="0"/>
    <n v="1"/>
    <x v="25"/>
    <n v="1"/>
    <n v="142"/>
    <n v="71"/>
    <n v="0.70422535211267612"/>
    <n v="34"/>
    <n v="6"/>
    <x v="1"/>
    <x v="0"/>
    <n v="1"/>
    <n v="0"/>
  </r>
  <r>
    <x v="2"/>
    <x v="7"/>
    <s v="1.1-1.0"/>
    <x v="0"/>
    <n v="1"/>
    <x v="13"/>
    <n v="20"/>
    <n v="142"/>
    <n v="71"/>
    <n v="14.084507042253522"/>
    <n v="34"/>
    <n v="6"/>
    <x v="0"/>
    <x v="0"/>
    <n v="1"/>
    <n v="0"/>
  </r>
  <r>
    <x v="2"/>
    <x v="7"/>
    <s v="1.1-1.0"/>
    <x v="0"/>
    <n v="1"/>
    <x v="26"/>
    <n v="2"/>
    <n v="142"/>
    <n v="71"/>
    <n v="1.4084507042253522"/>
    <n v="34"/>
    <n v="6"/>
    <x v="0"/>
    <x v="0"/>
    <n v="1"/>
    <n v="0"/>
  </r>
  <r>
    <x v="2"/>
    <x v="7"/>
    <s v="1.1-1.0"/>
    <x v="0"/>
    <n v="1"/>
    <x v="0"/>
    <n v="4"/>
    <n v="142"/>
    <n v="71"/>
    <n v="2.8169014084507045"/>
    <n v="34"/>
    <n v="6"/>
    <x v="0"/>
    <x v="0"/>
    <n v="1"/>
    <n v="0"/>
  </r>
  <r>
    <x v="2"/>
    <x v="7"/>
    <s v="2.1-2.2"/>
    <x v="7"/>
    <n v="2"/>
    <x v="4"/>
    <n v="34"/>
    <n v="130"/>
    <n v="65"/>
    <n v="26.153846153846157"/>
    <n v="34"/>
    <n v="6"/>
    <x v="1"/>
    <x v="0"/>
    <n v="0"/>
    <n v="1"/>
  </r>
  <r>
    <x v="2"/>
    <x v="7"/>
    <s v="2.1-2.2"/>
    <x v="7"/>
    <n v="2"/>
    <x v="3"/>
    <n v="1"/>
    <n v="130"/>
    <n v="65"/>
    <n v="0.76923076923076927"/>
    <n v="34"/>
    <n v="6"/>
    <x v="1"/>
    <x v="0"/>
    <n v="0"/>
    <n v="0"/>
  </r>
  <r>
    <x v="2"/>
    <x v="7"/>
    <s v="2.1-2.2"/>
    <x v="7"/>
    <n v="2"/>
    <x v="13"/>
    <n v="17"/>
    <n v="130"/>
    <n v="65"/>
    <n v="13.076923076923078"/>
    <n v="34"/>
    <n v="6"/>
    <x v="0"/>
    <x v="0"/>
    <n v="0"/>
    <n v="0"/>
  </r>
  <r>
    <x v="2"/>
    <x v="7"/>
    <s v="2.1-2.2"/>
    <x v="7"/>
    <n v="2"/>
    <x v="14"/>
    <n v="6"/>
    <n v="130"/>
    <n v="65"/>
    <n v="4.6153846153846159"/>
    <n v="34"/>
    <n v="6"/>
    <x v="0"/>
    <x v="0"/>
    <n v="1"/>
    <n v="0"/>
  </r>
  <r>
    <x v="2"/>
    <x v="7"/>
    <s v="2.1-2.2"/>
    <x v="7"/>
    <n v="2"/>
    <x v="8"/>
    <n v="5"/>
    <n v="130"/>
    <n v="65"/>
    <n v="3.8461538461538463"/>
    <n v="34"/>
    <n v="6"/>
    <x v="1"/>
    <x v="0"/>
    <n v="1"/>
    <n v="0"/>
  </r>
  <r>
    <x v="2"/>
    <x v="7"/>
    <s v="2.2-2.0"/>
    <x v="8"/>
    <n v="2"/>
    <x v="4"/>
    <n v="33"/>
    <n v="66"/>
    <n v="33"/>
    <n v="50"/>
    <n v="34"/>
    <n v="6"/>
    <x v="1"/>
    <x v="0"/>
    <n v="0"/>
    <n v="1"/>
  </r>
  <r>
    <x v="2"/>
    <x v="7"/>
    <s v="2.2-2.0"/>
    <x v="8"/>
    <n v="2"/>
    <x v="3"/>
    <n v="3"/>
    <n v="66"/>
    <n v="33"/>
    <n v="4.5454545454545459"/>
    <n v="34"/>
    <n v="6"/>
    <x v="1"/>
    <x v="0"/>
    <n v="0"/>
    <n v="0"/>
  </r>
  <r>
    <x v="2"/>
    <x v="7"/>
    <s v="2.2-2.0"/>
    <x v="8"/>
    <n v="2"/>
    <x v="1"/>
    <n v="2"/>
    <n v="66"/>
    <n v="33"/>
    <n v="3.0303030303030303"/>
    <n v="34"/>
    <n v="6"/>
    <x v="1"/>
    <x v="0"/>
    <n v="1"/>
    <n v="0"/>
  </r>
  <r>
    <x v="2"/>
    <x v="7"/>
    <s v="2.2-2.0"/>
    <x v="8"/>
    <n v="2"/>
    <x v="20"/>
    <n v="3"/>
    <n v="66"/>
    <n v="33"/>
    <n v="4.5454545454545459"/>
    <n v="34"/>
    <n v="6"/>
    <x v="1"/>
    <x v="0"/>
    <n v="1"/>
    <n v="0"/>
  </r>
  <r>
    <x v="2"/>
    <x v="7"/>
    <s v="3.1-3.2"/>
    <x v="14"/>
    <n v="3"/>
    <x v="4"/>
    <n v="28"/>
    <n v="83"/>
    <n v="41.5"/>
    <n v="33.734939759036145"/>
    <n v="34"/>
    <n v="6"/>
    <x v="1"/>
    <x v="0"/>
    <n v="0"/>
    <n v="1"/>
  </r>
  <r>
    <x v="2"/>
    <x v="7"/>
    <s v="3.1-3.2"/>
    <x v="14"/>
    <n v="3"/>
    <x v="3"/>
    <n v="1"/>
    <n v="83"/>
    <n v="41.5"/>
    <n v="1.2048192771084338"/>
    <n v="34"/>
    <n v="6"/>
    <x v="1"/>
    <x v="0"/>
    <n v="0"/>
    <n v="0"/>
  </r>
  <r>
    <x v="2"/>
    <x v="7"/>
    <s v="3.1-3.2"/>
    <x v="14"/>
    <n v="3"/>
    <x v="13"/>
    <n v="2"/>
    <n v="83"/>
    <n v="41.5"/>
    <n v="2.4096385542168677"/>
    <n v="34"/>
    <n v="6"/>
    <x v="0"/>
    <x v="0"/>
    <n v="0"/>
    <n v="0"/>
  </r>
  <r>
    <x v="2"/>
    <x v="7"/>
    <s v="3.1-3.2"/>
    <x v="14"/>
    <n v="3"/>
    <x v="26"/>
    <n v="1"/>
    <n v="83"/>
    <n v="41.5"/>
    <n v="1.2048192771084338"/>
    <n v="34"/>
    <n v="6"/>
    <x v="0"/>
    <x v="0"/>
    <n v="0"/>
    <n v="0"/>
  </r>
  <r>
    <x v="2"/>
    <x v="7"/>
    <s v="3.1-3.2"/>
    <x v="14"/>
    <n v="3"/>
    <x v="20"/>
    <n v="1"/>
    <n v="83"/>
    <n v="41.5"/>
    <n v="1.2048192771084338"/>
    <n v="34"/>
    <n v="6"/>
    <x v="1"/>
    <x v="0"/>
    <n v="0"/>
    <n v="0"/>
  </r>
  <r>
    <x v="2"/>
    <x v="7"/>
    <s v="3.2-3.0"/>
    <x v="15"/>
    <n v="3"/>
    <x v="4"/>
    <n v="26"/>
    <n v="36"/>
    <n v="18"/>
    <n v="72.222222222222214"/>
    <n v="34"/>
    <n v="6"/>
    <x v="1"/>
    <x v="0"/>
    <n v="0"/>
    <n v="1"/>
  </r>
  <r>
    <x v="2"/>
    <x v="7"/>
    <s v="3.2-3.0"/>
    <x v="15"/>
    <n v="3"/>
    <x v="19"/>
    <n v="1"/>
    <n v="36"/>
    <n v="18"/>
    <n v="2.7777777777777777"/>
    <n v="34"/>
    <n v="6"/>
    <x v="1"/>
    <x v="0"/>
    <n v="0"/>
    <n v="0"/>
  </r>
  <r>
    <x v="2"/>
    <x v="7"/>
    <s v="4.1-4.0"/>
    <x v="21"/>
    <n v="4"/>
    <x v="4"/>
    <n v="24"/>
    <n v="115"/>
    <n v="57.5"/>
    <n v="20.869565217391305"/>
    <n v="34"/>
    <n v="6"/>
    <x v="1"/>
    <x v="0"/>
    <n v="0"/>
    <n v="1"/>
  </r>
  <r>
    <x v="2"/>
    <x v="7"/>
    <s v="4.1-4.0"/>
    <x v="21"/>
    <n v="4"/>
    <x v="19"/>
    <n v="6"/>
    <n v="115"/>
    <n v="57.5"/>
    <n v="5.2173913043478262"/>
    <n v="34"/>
    <n v="6"/>
    <x v="1"/>
    <x v="0"/>
    <n v="0"/>
    <n v="0"/>
  </r>
  <r>
    <x v="2"/>
    <x v="7"/>
    <s v="4.1-4.0"/>
    <x v="21"/>
    <n v="4"/>
    <x v="13"/>
    <n v="1"/>
    <n v="115"/>
    <n v="57.5"/>
    <n v="0.86956521739130432"/>
    <n v="34"/>
    <n v="6"/>
    <x v="0"/>
    <x v="0"/>
    <n v="0"/>
    <n v="0"/>
  </r>
  <r>
    <x v="2"/>
    <x v="7"/>
    <s v="4.1-4.0"/>
    <x v="21"/>
    <n v="4"/>
    <x v="26"/>
    <n v="3"/>
    <n v="115"/>
    <n v="57.5"/>
    <n v="2.6086956521739131"/>
    <n v="34"/>
    <n v="6"/>
    <x v="0"/>
    <x v="0"/>
    <n v="0"/>
    <n v="0"/>
  </r>
  <r>
    <x v="2"/>
    <x v="7"/>
    <s v="4.1-4.0"/>
    <x v="21"/>
    <n v="4"/>
    <x v="0"/>
    <n v="1"/>
    <n v="115"/>
    <n v="57.5"/>
    <n v="0.86956521739130432"/>
    <n v="34"/>
    <n v="6"/>
    <x v="0"/>
    <x v="0"/>
    <n v="0"/>
    <n v="0"/>
  </r>
  <r>
    <x v="2"/>
    <x v="7"/>
    <s v="4.1-4.0"/>
    <x v="21"/>
    <n v="4"/>
    <x v="20"/>
    <n v="2"/>
    <n v="115"/>
    <n v="57.5"/>
    <n v="1.7391304347826086"/>
    <n v="34"/>
    <n v="6"/>
    <x v="1"/>
    <x v="0"/>
    <n v="0"/>
    <n v="0"/>
  </r>
  <r>
    <x v="2"/>
    <x v="7"/>
    <s v="4.1-4.0"/>
    <x v="21"/>
    <n v="4"/>
    <x v="27"/>
    <n v="11"/>
    <n v="115"/>
    <n v="57.5"/>
    <n v="9.5652173913043477"/>
    <n v="34"/>
    <n v="6"/>
    <x v="0"/>
    <x v="0"/>
    <n v="1"/>
    <n v="0"/>
  </r>
  <r>
    <x v="2"/>
    <x v="7"/>
    <s v="5.1-5.0"/>
    <x v="28"/>
    <n v="5"/>
    <x v="4"/>
    <n v="22"/>
    <n v="164"/>
    <n v="82"/>
    <n v="13.414634146341465"/>
    <n v="34"/>
    <n v="6"/>
    <x v="1"/>
    <x v="0"/>
    <n v="0"/>
    <n v="1"/>
  </r>
  <r>
    <x v="2"/>
    <x v="7"/>
    <s v="5.1-5.0"/>
    <x v="28"/>
    <n v="5"/>
    <x v="3"/>
    <n v="6"/>
    <n v="164"/>
    <n v="82"/>
    <n v="3.6585365853658534"/>
    <n v="34"/>
    <n v="6"/>
    <x v="1"/>
    <x v="0"/>
    <n v="0"/>
    <n v="0"/>
  </r>
  <r>
    <x v="2"/>
    <x v="7"/>
    <s v="5.1-5.0"/>
    <x v="28"/>
    <n v="5"/>
    <x v="19"/>
    <n v="9"/>
    <n v="164"/>
    <n v="82"/>
    <n v="5.4878048780487809"/>
    <n v="34"/>
    <n v="6"/>
    <x v="1"/>
    <x v="0"/>
    <n v="0"/>
    <n v="0"/>
  </r>
  <r>
    <x v="2"/>
    <x v="7"/>
    <s v="5.1-5.0"/>
    <x v="28"/>
    <n v="5"/>
    <x v="7"/>
    <n v="10"/>
    <n v="164"/>
    <n v="82"/>
    <n v="6.0975609756097562"/>
    <n v="34"/>
    <n v="6"/>
    <x v="1"/>
    <x v="0"/>
    <n v="1"/>
    <n v="0"/>
  </r>
  <r>
    <x v="2"/>
    <x v="7"/>
    <s v="5.1-5.0"/>
    <x v="28"/>
    <n v="5"/>
    <x v="6"/>
    <n v="2"/>
    <n v="164"/>
    <n v="82"/>
    <n v="1.2195121951219512"/>
    <n v="34"/>
    <n v="6"/>
    <x v="1"/>
    <x v="0"/>
    <n v="1"/>
    <n v="0"/>
  </r>
  <r>
    <x v="2"/>
    <x v="7"/>
    <s v="5.1-5.0"/>
    <x v="28"/>
    <n v="5"/>
    <x v="2"/>
    <n v="1"/>
    <n v="164"/>
    <n v="82"/>
    <n v="0.6097560975609756"/>
    <n v="34"/>
    <n v="6"/>
    <x v="1"/>
    <x v="0"/>
    <n v="1"/>
    <n v="0"/>
  </r>
  <r>
    <x v="2"/>
    <x v="7"/>
    <s v="6.1-6.0"/>
    <x v="35"/>
    <n v="6"/>
    <x v="4"/>
    <n v="37"/>
    <n v="197"/>
    <n v="98.5"/>
    <n v="18.781725888324875"/>
    <n v="34"/>
    <n v="6"/>
    <x v="1"/>
    <x v="0"/>
    <n v="0"/>
    <n v="1"/>
  </r>
  <r>
    <x v="2"/>
    <x v="7"/>
    <s v="6.1-6.0"/>
    <x v="35"/>
    <n v="6"/>
    <x v="19"/>
    <n v="3"/>
    <n v="197"/>
    <n v="98.5"/>
    <n v="1.5228426395939088"/>
    <n v="34"/>
    <n v="6"/>
    <x v="1"/>
    <x v="0"/>
    <n v="0"/>
    <n v="0"/>
  </r>
  <r>
    <x v="2"/>
    <x v="7"/>
    <s v="6.1-6.0"/>
    <x v="35"/>
    <n v="6"/>
    <x v="6"/>
    <n v="4"/>
    <n v="197"/>
    <n v="98.5"/>
    <n v="2.030456852791878"/>
    <n v="34"/>
    <n v="6"/>
    <x v="1"/>
    <x v="0"/>
    <n v="0"/>
    <n v="0"/>
  </r>
  <r>
    <x v="2"/>
    <x v="7"/>
    <s v="6.1-6.0"/>
    <x v="35"/>
    <n v="6"/>
    <x v="2"/>
    <n v="1"/>
    <n v="197"/>
    <n v="98.5"/>
    <n v="0.50761421319796951"/>
    <n v="34"/>
    <n v="6"/>
    <x v="1"/>
    <x v="0"/>
    <n v="0"/>
    <n v="0"/>
  </r>
  <r>
    <x v="2"/>
    <x v="7"/>
    <s v="6.1-6.0"/>
    <x v="35"/>
    <n v="6"/>
    <x v="0"/>
    <n v="1"/>
    <n v="197"/>
    <n v="98.5"/>
    <n v="0.50761421319796951"/>
    <n v="34"/>
    <n v="6"/>
    <x v="0"/>
    <x v="0"/>
    <n v="0"/>
    <n v="0"/>
  </r>
  <r>
    <x v="2"/>
    <x v="7"/>
    <s v="6.1-6.0"/>
    <x v="35"/>
    <n v="6"/>
    <x v="27"/>
    <n v="2"/>
    <n v="197"/>
    <n v="98.5"/>
    <n v="1.015228426395939"/>
    <n v="34"/>
    <n v="6"/>
    <x v="0"/>
    <x v="0"/>
    <n v="0"/>
    <n v="0"/>
  </r>
  <r>
    <x v="2"/>
    <x v="7"/>
    <s v="6.1-6.0"/>
    <x v="35"/>
    <n v="6"/>
    <x v="28"/>
    <n v="1"/>
    <n v="197"/>
    <n v="98.5"/>
    <n v="0.50761421319796951"/>
    <n v="34"/>
    <n v="6"/>
    <x v="1"/>
    <x v="0"/>
    <n v="1"/>
    <n v="0"/>
  </r>
  <r>
    <x v="2"/>
    <x v="7"/>
    <s v="7.1-7.0"/>
    <x v="42"/>
    <n v="7"/>
    <x v="4"/>
    <n v="3"/>
    <n v="116"/>
    <n v="58"/>
    <n v="2.5862068965517242"/>
    <n v="34"/>
    <n v="6"/>
    <x v="1"/>
    <x v="0"/>
    <n v="0"/>
    <n v="1"/>
  </r>
  <r>
    <x v="2"/>
    <x v="7"/>
    <s v="7.1-7.0"/>
    <x v="42"/>
    <n v="7"/>
    <x v="19"/>
    <n v="1"/>
    <n v="116"/>
    <n v="58"/>
    <n v="0.86206896551724133"/>
    <n v="34"/>
    <n v="6"/>
    <x v="1"/>
    <x v="0"/>
    <n v="0"/>
    <n v="0"/>
  </r>
  <r>
    <x v="2"/>
    <x v="7"/>
    <s v="7.1-7.0"/>
    <x v="42"/>
    <n v="7"/>
    <x v="7"/>
    <n v="12"/>
    <n v="116"/>
    <n v="58"/>
    <n v="10.344827586206897"/>
    <n v="34"/>
    <n v="6"/>
    <x v="1"/>
    <x v="0"/>
    <n v="0"/>
    <n v="0"/>
  </r>
  <r>
    <x v="2"/>
    <x v="7"/>
    <s v="7.1-7.0"/>
    <x v="42"/>
    <n v="7"/>
    <x v="0"/>
    <n v="2"/>
    <n v="116"/>
    <n v="58"/>
    <n v="1.7241379310344827"/>
    <n v="34"/>
    <n v="6"/>
    <x v="0"/>
    <x v="0"/>
    <n v="0"/>
    <n v="0"/>
  </r>
  <r>
    <x v="3"/>
    <x v="0"/>
    <m/>
    <x v="0"/>
    <n v="1"/>
    <x v="10"/>
    <n v="6"/>
    <n v="200"/>
    <m/>
    <n v="3"/>
    <n v="17"/>
    <n v="4"/>
    <x v="1"/>
    <x v="0"/>
    <n v="1"/>
    <n v="1"/>
  </r>
  <r>
    <x v="3"/>
    <x v="0"/>
    <m/>
    <x v="0"/>
    <n v="1"/>
    <x v="4"/>
    <n v="3"/>
    <n v="200"/>
    <m/>
    <n v="1.5"/>
    <n v="17"/>
    <n v="4"/>
    <x v="1"/>
    <x v="0"/>
    <n v="1"/>
    <n v="0"/>
  </r>
  <r>
    <x v="3"/>
    <x v="0"/>
    <m/>
    <x v="1"/>
    <n v="1"/>
    <x v="4"/>
    <n v="13"/>
    <n v="200"/>
    <m/>
    <n v="6.5"/>
    <n v="17"/>
    <n v="4"/>
    <x v="1"/>
    <x v="0"/>
    <n v="0"/>
    <n v="1"/>
  </r>
  <r>
    <x v="3"/>
    <x v="0"/>
    <m/>
    <x v="7"/>
    <n v="2"/>
    <x v="4"/>
    <n v="12"/>
    <n v="200"/>
    <m/>
    <n v="6"/>
    <n v="17"/>
    <n v="4"/>
    <x v="1"/>
    <x v="0"/>
    <n v="0"/>
    <n v="1"/>
  </r>
  <r>
    <x v="3"/>
    <x v="0"/>
    <m/>
    <x v="7"/>
    <n v="2"/>
    <x v="2"/>
    <n v="2"/>
    <n v="200"/>
    <m/>
    <n v="1"/>
    <n v="17"/>
    <n v="4"/>
    <x v="1"/>
    <x v="0"/>
    <n v="1"/>
    <n v="0"/>
  </r>
  <r>
    <x v="3"/>
    <x v="0"/>
    <m/>
    <x v="8"/>
    <n v="2"/>
    <x v="10"/>
    <n v="3"/>
    <n v="200"/>
    <m/>
    <n v="1.5"/>
    <n v="17"/>
    <n v="4"/>
    <x v="1"/>
    <x v="0"/>
    <n v="0"/>
    <n v="1"/>
  </r>
  <r>
    <x v="3"/>
    <x v="0"/>
    <m/>
    <x v="8"/>
    <n v="2"/>
    <x v="4"/>
    <n v="7"/>
    <n v="200"/>
    <m/>
    <n v="3.5000000000000004"/>
    <n v="17"/>
    <n v="4"/>
    <x v="1"/>
    <x v="0"/>
    <n v="0"/>
    <n v="0"/>
  </r>
  <r>
    <x v="3"/>
    <x v="0"/>
    <m/>
    <x v="8"/>
    <n v="2"/>
    <x v="2"/>
    <n v="1"/>
    <n v="200"/>
    <m/>
    <n v="0.5"/>
    <n v="17"/>
    <n v="4"/>
    <x v="1"/>
    <x v="0"/>
    <n v="0"/>
    <n v="0"/>
  </r>
  <r>
    <x v="3"/>
    <x v="0"/>
    <m/>
    <x v="14"/>
    <n v="3"/>
    <x v="4"/>
    <n v="12"/>
    <n v="200"/>
    <m/>
    <n v="6"/>
    <n v="17"/>
    <n v="4"/>
    <x v="1"/>
    <x v="0"/>
    <n v="0"/>
    <n v="1"/>
  </r>
  <r>
    <x v="3"/>
    <x v="0"/>
    <m/>
    <x v="15"/>
    <n v="3"/>
    <x v="4"/>
    <n v="8"/>
    <n v="192"/>
    <m/>
    <n v="4.1666666666666661"/>
    <n v="17"/>
    <n v="4"/>
    <x v="1"/>
    <x v="0"/>
    <n v="0"/>
    <n v="1"/>
  </r>
  <r>
    <x v="3"/>
    <x v="0"/>
    <m/>
    <x v="21"/>
    <n v="4"/>
    <x v="4"/>
    <n v="10"/>
    <n v="200"/>
    <m/>
    <n v="5"/>
    <n v="17"/>
    <n v="4"/>
    <x v="1"/>
    <x v="0"/>
    <n v="0"/>
    <n v="1"/>
  </r>
  <r>
    <x v="3"/>
    <x v="0"/>
    <m/>
    <x v="21"/>
    <n v="4"/>
    <x v="2"/>
    <n v="4"/>
    <n v="200"/>
    <m/>
    <n v="2"/>
    <n v="17"/>
    <n v="4"/>
    <x v="1"/>
    <x v="0"/>
    <n v="0"/>
    <n v="0"/>
  </r>
  <r>
    <x v="3"/>
    <x v="0"/>
    <m/>
    <x v="22"/>
    <n v="4"/>
    <x v="4"/>
    <n v="15"/>
    <n v="177"/>
    <m/>
    <n v="8.4745762711864394"/>
    <n v="17"/>
    <n v="4"/>
    <x v="1"/>
    <x v="0"/>
    <n v="0"/>
    <n v="1"/>
  </r>
  <r>
    <x v="3"/>
    <x v="0"/>
    <m/>
    <x v="22"/>
    <n v="4"/>
    <x v="2"/>
    <n v="4"/>
    <n v="177"/>
    <m/>
    <n v="2.2598870056497176"/>
    <n v="17"/>
    <n v="4"/>
    <x v="1"/>
    <x v="0"/>
    <n v="0"/>
    <n v="0"/>
  </r>
  <r>
    <x v="3"/>
    <x v="0"/>
    <m/>
    <x v="28"/>
    <n v="5"/>
    <x v="4"/>
    <n v="28"/>
    <n v="200"/>
    <m/>
    <n v="14.000000000000002"/>
    <n v="17"/>
    <n v="4"/>
    <x v="1"/>
    <x v="0"/>
    <n v="0"/>
    <n v="1"/>
  </r>
  <r>
    <x v="3"/>
    <x v="0"/>
    <m/>
    <x v="28"/>
    <n v="5"/>
    <x v="9"/>
    <n v="1"/>
    <n v="200"/>
    <m/>
    <n v="0.5"/>
    <n v="17"/>
    <n v="4"/>
    <x v="1"/>
    <x v="0"/>
    <n v="1"/>
    <n v="0"/>
  </r>
  <r>
    <x v="3"/>
    <x v="0"/>
    <m/>
    <x v="29"/>
    <n v="5"/>
    <x v="4"/>
    <n v="10"/>
    <n v="157"/>
    <m/>
    <n v="6.369426751592357"/>
    <n v="17"/>
    <n v="4"/>
    <x v="1"/>
    <x v="0"/>
    <n v="0"/>
    <n v="1"/>
  </r>
  <r>
    <x v="3"/>
    <x v="0"/>
    <m/>
    <x v="29"/>
    <n v="5"/>
    <x v="2"/>
    <n v="1"/>
    <n v="157"/>
    <m/>
    <n v="0.63694267515923575"/>
    <n v="17"/>
    <n v="4"/>
    <x v="1"/>
    <x v="0"/>
    <n v="0"/>
    <n v="0"/>
  </r>
  <r>
    <x v="3"/>
    <x v="0"/>
    <m/>
    <x v="35"/>
    <n v="6"/>
    <x v="4"/>
    <n v="19"/>
    <n v="200"/>
    <m/>
    <n v="9.5"/>
    <n v="17"/>
    <n v="4"/>
    <x v="1"/>
    <x v="0"/>
    <n v="0"/>
    <n v="1"/>
  </r>
  <r>
    <x v="3"/>
    <x v="0"/>
    <m/>
    <x v="35"/>
    <n v="6"/>
    <x v="2"/>
    <n v="4"/>
    <n v="200"/>
    <m/>
    <n v="2"/>
    <n v="17"/>
    <n v="4"/>
    <x v="1"/>
    <x v="0"/>
    <n v="0"/>
    <n v="0"/>
  </r>
  <r>
    <x v="3"/>
    <x v="0"/>
    <m/>
    <x v="36"/>
    <n v="6"/>
    <x v="4"/>
    <n v="19"/>
    <n v="135"/>
    <m/>
    <n v="14.074074074074074"/>
    <n v="17"/>
    <n v="4"/>
    <x v="1"/>
    <x v="0"/>
    <n v="0"/>
    <n v="1"/>
  </r>
  <r>
    <x v="3"/>
    <x v="0"/>
    <m/>
    <x v="36"/>
    <n v="6"/>
    <x v="2"/>
    <n v="2"/>
    <n v="135"/>
    <m/>
    <n v="1.4814814814814816"/>
    <n v="17"/>
    <n v="4"/>
    <x v="1"/>
    <x v="0"/>
    <n v="0"/>
    <n v="0"/>
  </r>
  <r>
    <x v="3"/>
    <x v="8"/>
    <m/>
    <x v="0"/>
    <n v="1"/>
    <x v="10"/>
    <n v="7"/>
    <n v="200"/>
    <m/>
    <n v="3.5000000000000004"/>
    <n v="17"/>
    <n v="4"/>
    <x v="1"/>
    <x v="0"/>
    <n v="1"/>
    <n v="1"/>
  </r>
  <r>
    <x v="3"/>
    <x v="8"/>
    <m/>
    <x v="0"/>
    <n v="1"/>
    <x v="4"/>
    <n v="2"/>
    <n v="200"/>
    <m/>
    <n v="1"/>
    <n v="17"/>
    <n v="4"/>
    <x v="1"/>
    <x v="0"/>
    <n v="1"/>
    <n v="0"/>
  </r>
  <r>
    <x v="3"/>
    <x v="8"/>
    <m/>
    <x v="1"/>
    <n v="1"/>
    <x v="4"/>
    <n v="14"/>
    <n v="200"/>
    <m/>
    <n v="7.0000000000000009"/>
    <n v="17"/>
    <n v="4"/>
    <x v="1"/>
    <x v="0"/>
    <n v="0"/>
    <n v="1"/>
  </r>
  <r>
    <x v="3"/>
    <x v="8"/>
    <m/>
    <x v="7"/>
    <n v="2"/>
    <x v="4"/>
    <n v="15"/>
    <n v="200"/>
    <m/>
    <n v="7.5"/>
    <n v="17"/>
    <n v="4"/>
    <x v="1"/>
    <x v="0"/>
    <n v="0"/>
    <n v="1"/>
  </r>
  <r>
    <x v="3"/>
    <x v="8"/>
    <m/>
    <x v="7"/>
    <n v="2"/>
    <x v="2"/>
    <n v="4"/>
    <n v="200"/>
    <m/>
    <n v="2"/>
    <n v="17"/>
    <n v="4"/>
    <x v="1"/>
    <x v="0"/>
    <n v="1"/>
    <n v="0"/>
  </r>
  <r>
    <x v="3"/>
    <x v="8"/>
    <m/>
    <x v="8"/>
    <n v="2"/>
    <x v="10"/>
    <n v="8"/>
    <n v="200"/>
    <m/>
    <n v="4"/>
    <n v="17"/>
    <n v="4"/>
    <x v="1"/>
    <x v="0"/>
    <n v="0"/>
    <n v="1"/>
  </r>
  <r>
    <x v="3"/>
    <x v="8"/>
    <m/>
    <x v="8"/>
    <n v="2"/>
    <x v="4"/>
    <n v="8"/>
    <n v="200"/>
    <m/>
    <n v="4"/>
    <n v="17"/>
    <n v="4"/>
    <x v="1"/>
    <x v="0"/>
    <n v="0"/>
    <n v="0"/>
  </r>
  <r>
    <x v="3"/>
    <x v="8"/>
    <m/>
    <x v="8"/>
    <n v="2"/>
    <x v="2"/>
    <n v="1"/>
    <n v="200"/>
    <m/>
    <n v="0.5"/>
    <n v="17"/>
    <n v="4"/>
    <x v="1"/>
    <x v="0"/>
    <n v="0"/>
    <n v="0"/>
  </r>
  <r>
    <x v="3"/>
    <x v="8"/>
    <m/>
    <x v="14"/>
    <n v="3"/>
    <x v="4"/>
    <n v="11"/>
    <n v="200"/>
    <m/>
    <n v="5.5"/>
    <n v="17"/>
    <n v="4"/>
    <x v="1"/>
    <x v="0"/>
    <n v="0"/>
    <n v="1"/>
  </r>
  <r>
    <x v="3"/>
    <x v="8"/>
    <m/>
    <x v="15"/>
    <n v="3"/>
    <x v="10"/>
    <n v="12"/>
    <n v="192"/>
    <m/>
    <n v="6.25"/>
    <n v="17"/>
    <n v="4"/>
    <x v="1"/>
    <x v="0"/>
    <n v="0"/>
    <n v="1"/>
  </r>
  <r>
    <x v="3"/>
    <x v="8"/>
    <m/>
    <x v="15"/>
    <n v="3"/>
    <x v="4"/>
    <n v="8"/>
    <n v="192"/>
    <m/>
    <n v="4.1666666666666661"/>
    <n v="17"/>
    <n v="4"/>
    <x v="1"/>
    <x v="0"/>
    <n v="0"/>
    <n v="0"/>
  </r>
  <r>
    <x v="3"/>
    <x v="8"/>
    <m/>
    <x v="21"/>
    <n v="4"/>
    <x v="4"/>
    <n v="14"/>
    <n v="200"/>
    <m/>
    <n v="7.0000000000000009"/>
    <n v="17"/>
    <n v="4"/>
    <x v="1"/>
    <x v="0"/>
    <n v="0"/>
    <n v="1"/>
  </r>
  <r>
    <x v="3"/>
    <x v="8"/>
    <m/>
    <x v="21"/>
    <n v="4"/>
    <x v="2"/>
    <n v="4"/>
    <n v="200"/>
    <m/>
    <n v="2"/>
    <n v="17"/>
    <n v="4"/>
    <x v="1"/>
    <x v="0"/>
    <n v="0"/>
    <n v="0"/>
  </r>
  <r>
    <x v="3"/>
    <x v="8"/>
    <m/>
    <x v="22"/>
    <n v="4"/>
    <x v="4"/>
    <n v="18"/>
    <n v="177"/>
    <m/>
    <n v="10.16949152542373"/>
    <n v="17"/>
    <n v="4"/>
    <x v="1"/>
    <x v="0"/>
    <n v="0"/>
    <n v="1"/>
  </r>
  <r>
    <x v="3"/>
    <x v="8"/>
    <m/>
    <x v="22"/>
    <n v="4"/>
    <x v="2"/>
    <n v="4"/>
    <n v="177"/>
    <m/>
    <n v="2.2598870056497176"/>
    <n v="17"/>
    <n v="4"/>
    <x v="1"/>
    <x v="0"/>
    <n v="0"/>
    <n v="0"/>
  </r>
  <r>
    <x v="3"/>
    <x v="8"/>
    <m/>
    <x v="28"/>
    <n v="5"/>
    <x v="4"/>
    <n v="44"/>
    <n v="200"/>
    <m/>
    <n v="22"/>
    <n v="17"/>
    <n v="4"/>
    <x v="1"/>
    <x v="0"/>
    <n v="0"/>
    <n v="1"/>
  </r>
  <r>
    <x v="3"/>
    <x v="8"/>
    <m/>
    <x v="29"/>
    <n v="5"/>
    <x v="4"/>
    <n v="25"/>
    <n v="157"/>
    <m/>
    <n v="15.923566878980891"/>
    <n v="17"/>
    <n v="4"/>
    <x v="1"/>
    <x v="0"/>
    <n v="0"/>
    <n v="1"/>
  </r>
  <r>
    <x v="3"/>
    <x v="8"/>
    <m/>
    <x v="29"/>
    <n v="5"/>
    <x v="2"/>
    <n v="6"/>
    <n v="157"/>
    <m/>
    <n v="3.8216560509554141"/>
    <n v="17"/>
    <n v="4"/>
    <x v="1"/>
    <x v="0"/>
    <n v="0"/>
    <n v="0"/>
  </r>
  <r>
    <x v="3"/>
    <x v="8"/>
    <m/>
    <x v="35"/>
    <n v="6"/>
    <x v="4"/>
    <n v="30"/>
    <n v="200"/>
    <m/>
    <n v="15"/>
    <n v="17"/>
    <n v="4"/>
    <x v="1"/>
    <x v="0"/>
    <n v="0"/>
    <n v="1"/>
  </r>
  <r>
    <x v="3"/>
    <x v="8"/>
    <m/>
    <x v="35"/>
    <n v="6"/>
    <x v="2"/>
    <n v="4"/>
    <n v="200"/>
    <m/>
    <n v="2"/>
    <n v="17"/>
    <n v="4"/>
    <x v="1"/>
    <x v="0"/>
    <n v="0"/>
    <n v="0"/>
  </r>
  <r>
    <x v="3"/>
    <x v="8"/>
    <m/>
    <x v="36"/>
    <n v="6"/>
    <x v="4"/>
    <n v="29"/>
    <n v="135"/>
    <m/>
    <n v="21.481481481481481"/>
    <n v="17"/>
    <n v="4"/>
    <x v="1"/>
    <x v="0"/>
    <n v="0"/>
    <n v="1"/>
  </r>
  <r>
    <x v="3"/>
    <x v="8"/>
    <m/>
    <x v="36"/>
    <n v="6"/>
    <x v="2"/>
    <n v="2"/>
    <n v="135"/>
    <m/>
    <n v="1.4814814814814816"/>
    <n v="17"/>
    <n v="4"/>
    <x v="1"/>
    <x v="0"/>
    <n v="0"/>
    <n v="0"/>
  </r>
  <r>
    <x v="4"/>
    <x v="8"/>
    <s v="1.1-1.2"/>
    <x v="0"/>
    <n v="1"/>
    <x v="4"/>
    <n v="1"/>
    <n v="200"/>
    <n v="100"/>
    <n v="0.5"/>
    <n v="17"/>
    <n v="4"/>
    <x v="1"/>
    <x v="0"/>
    <n v="1"/>
    <n v="1"/>
  </r>
  <r>
    <x v="4"/>
    <x v="8"/>
    <s v="1.2-1.3"/>
    <x v="1"/>
    <n v="1"/>
    <x v="9"/>
    <n v="1"/>
    <n v="200"/>
    <n v="100"/>
    <n v="0.5"/>
    <n v="17"/>
    <n v="4"/>
    <x v="1"/>
    <x v="0"/>
    <n v="1"/>
    <n v="1"/>
  </r>
  <r>
    <x v="4"/>
    <x v="8"/>
    <s v="1.3-1.0"/>
    <x v="2"/>
    <n v="1"/>
    <x v="10"/>
    <n v="6"/>
    <n v="121"/>
    <n v="60.5"/>
    <n v="4.9586776859504136"/>
    <n v="17"/>
    <n v="4"/>
    <x v="1"/>
    <x v="0"/>
    <n v="1"/>
    <n v="1"/>
  </r>
  <r>
    <x v="4"/>
    <x v="8"/>
    <s v="1.3-1.0"/>
    <x v="2"/>
    <n v="1"/>
    <x v="4"/>
    <n v="3"/>
    <n v="121"/>
    <n v="60.5"/>
    <n v="2.4793388429752068"/>
    <n v="17"/>
    <n v="4"/>
    <x v="1"/>
    <x v="0"/>
    <n v="0"/>
    <n v="0"/>
  </r>
  <r>
    <x v="4"/>
    <x v="8"/>
    <s v="2.1-2.2"/>
    <x v="7"/>
    <n v="2"/>
    <x v="4"/>
    <n v="4"/>
    <n v="200"/>
    <n v="100"/>
    <n v="2"/>
    <n v="17"/>
    <n v="4"/>
    <x v="1"/>
    <x v="0"/>
    <n v="0"/>
    <n v="1"/>
  </r>
  <r>
    <x v="4"/>
    <x v="8"/>
    <s v="2.2-2.3"/>
    <x v="8"/>
    <n v="2"/>
    <x v="4"/>
    <n v="3"/>
    <n v="200"/>
    <n v="100"/>
    <n v="1.5"/>
    <n v="17"/>
    <n v="4"/>
    <x v="1"/>
    <x v="0"/>
    <n v="0"/>
    <n v="1"/>
  </r>
  <r>
    <x v="4"/>
    <x v="8"/>
    <s v="2.3-2.4"/>
    <x v="9"/>
    <n v="2"/>
    <x v="4"/>
    <n v="3"/>
    <n v="200"/>
    <n v="100"/>
    <n v="1.5"/>
    <n v="17"/>
    <n v="4"/>
    <x v="1"/>
    <x v="0"/>
    <n v="0"/>
    <n v="1"/>
  </r>
  <r>
    <x v="4"/>
    <x v="8"/>
    <s v="2.4-2.0"/>
    <x v="10"/>
    <n v="2"/>
    <x v="4"/>
    <n v="1"/>
    <n v="71"/>
    <n v="35.5"/>
    <n v="1.4084507042253522"/>
    <n v="17"/>
    <n v="4"/>
    <x v="1"/>
    <x v="0"/>
    <n v="0"/>
    <n v="1"/>
  </r>
  <r>
    <x v="4"/>
    <x v="8"/>
    <s v="3.1-3.2"/>
    <x v="14"/>
    <n v="3"/>
    <x v="4"/>
    <n v="26"/>
    <n v="200"/>
    <n v="100"/>
    <n v="13"/>
    <n v="17"/>
    <n v="4"/>
    <x v="1"/>
    <x v="0"/>
    <n v="0"/>
    <n v="1"/>
  </r>
  <r>
    <x v="4"/>
    <x v="8"/>
    <s v="3.2-3.3"/>
    <x v="15"/>
    <n v="3"/>
    <x v="4"/>
    <n v="13"/>
    <n v="200"/>
    <n v="100"/>
    <n v="6.5"/>
    <n v="17"/>
    <n v="4"/>
    <x v="1"/>
    <x v="0"/>
    <n v="0"/>
    <n v="1"/>
  </r>
  <r>
    <x v="4"/>
    <x v="8"/>
    <s v="3.3-3.4"/>
    <x v="16"/>
    <n v="3"/>
    <x v="4"/>
    <n v="19"/>
    <n v="200"/>
    <n v="100"/>
    <n v="9.5"/>
    <n v="17"/>
    <n v="4"/>
    <x v="1"/>
    <x v="0"/>
    <n v="0"/>
    <n v="1"/>
  </r>
  <r>
    <x v="4"/>
    <x v="8"/>
    <s v="3.4-3.0"/>
    <x v="17"/>
    <n v="3"/>
    <x v="4"/>
    <n v="1"/>
    <n v="23"/>
    <n v="11.5"/>
    <n v="4.3478260869565215"/>
    <n v="17"/>
    <n v="4"/>
    <x v="1"/>
    <x v="0"/>
    <n v="0"/>
    <n v="1"/>
  </r>
  <r>
    <x v="4"/>
    <x v="8"/>
    <s v="4.1-4.2"/>
    <x v="21"/>
    <n v="4"/>
    <x v="12"/>
    <n v="0"/>
    <n v="200"/>
    <n v="100"/>
    <n v="0"/>
    <n v="17"/>
    <n v="4"/>
    <x v="2"/>
    <x v="0"/>
    <n v="1"/>
    <n v="1"/>
  </r>
  <r>
    <x v="4"/>
    <x v="8"/>
    <s v="4.2-4.3"/>
    <x v="22"/>
    <n v="4"/>
    <x v="4"/>
    <n v="6"/>
    <n v="200"/>
    <n v="100"/>
    <n v="3"/>
    <n v="17"/>
    <n v="4"/>
    <x v="1"/>
    <x v="0"/>
    <n v="0"/>
    <n v="1"/>
  </r>
  <r>
    <x v="4"/>
    <x v="8"/>
    <s v="4.3-4.0"/>
    <x v="23"/>
    <n v="4"/>
    <x v="2"/>
    <n v="3"/>
    <n v="169"/>
    <n v="84.5"/>
    <n v="1.7751479289940828"/>
    <n v="17"/>
    <n v="4"/>
    <x v="1"/>
    <x v="0"/>
    <n v="1"/>
    <n v="1"/>
  </r>
  <r>
    <x v="4"/>
    <x v="8"/>
    <s v="4.3-4.0"/>
    <x v="23"/>
    <n v="4"/>
    <x v="4"/>
    <n v="11"/>
    <n v="169"/>
    <n v="84.5"/>
    <n v="6.5088757396449708"/>
    <n v="17"/>
    <n v="4"/>
    <x v="1"/>
    <x v="0"/>
    <n v="0"/>
    <n v="0"/>
  </r>
  <r>
    <x v="4"/>
    <x v="8"/>
    <s v="5.1-5.2"/>
    <x v="28"/>
    <n v="5"/>
    <x v="4"/>
    <n v="7"/>
    <n v="200"/>
    <n v="100"/>
    <n v="3.5000000000000004"/>
    <n v="17"/>
    <n v="4"/>
    <x v="1"/>
    <x v="0"/>
    <n v="0"/>
    <n v="1"/>
  </r>
  <r>
    <x v="4"/>
    <x v="8"/>
    <s v="5.2-5.3"/>
    <x v="29"/>
    <n v="5"/>
    <x v="4"/>
    <n v="11"/>
    <n v="200"/>
    <n v="100"/>
    <n v="5.5"/>
    <n v="17"/>
    <n v="4"/>
    <x v="1"/>
    <x v="0"/>
    <n v="0"/>
    <n v="1"/>
  </r>
  <r>
    <x v="4"/>
    <x v="8"/>
    <s v="5.2-5.3"/>
    <x v="29"/>
    <n v="5"/>
    <x v="2"/>
    <n v="3"/>
    <n v="200"/>
    <n v="100"/>
    <n v="1.5"/>
    <n v="17"/>
    <n v="4"/>
    <x v="1"/>
    <x v="0"/>
    <n v="0"/>
    <n v="0"/>
  </r>
  <r>
    <x v="4"/>
    <x v="8"/>
    <s v="5.3-5.0"/>
    <x v="30"/>
    <n v="5"/>
    <x v="4"/>
    <n v="13"/>
    <n v="112"/>
    <n v="56"/>
    <n v="11.607142857142858"/>
    <n v="17"/>
    <n v="4"/>
    <x v="1"/>
    <x v="0"/>
    <n v="0"/>
    <n v="1"/>
  </r>
  <r>
    <x v="4"/>
    <x v="8"/>
    <s v="6.1-6.0"/>
    <x v="35"/>
    <n v="6"/>
    <x v="4"/>
    <n v="15"/>
    <n v="193"/>
    <n v="96.5"/>
    <n v="7.7720207253886011"/>
    <n v="17"/>
    <n v="4"/>
    <x v="1"/>
    <x v="0"/>
    <n v="0"/>
    <n v="1"/>
  </r>
  <r>
    <x v="4"/>
    <x v="1"/>
    <s v="1.1-1.2"/>
    <x v="0"/>
    <n v="1"/>
    <x v="0"/>
    <n v="12"/>
    <n v="200"/>
    <m/>
    <n v="6"/>
    <n v="17"/>
    <n v="4"/>
    <x v="0"/>
    <x v="0"/>
    <n v="1"/>
    <n v="1"/>
  </r>
  <r>
    <x v="4"/>
    <x v="1"/>
    <s v="1.1-1.2"/>
    <x v="0"/>
    <n v="1"/>
    <x v="4"/>
    <n v="3"/>
    <n v="200"/>
    <m/>
    <n v="1.5"/>
    <n v="17"/>
    <n v="4"/>
    <x v="1"/>
    <x v="0"/>
    <n v="1"/>
    <n v="0"/>
  </r>
  <r>
    <x v="4"/>
    <x v="1"/>
    <s v="1.1-1.2"/>
    <x v="0"/>
    <n v="1"/>
    <x v="10"/>
    <n v="10"/>
    <n v="200"/>
    <m/>
    <n v="5"/>
    <n v="17"/>
    <n v="4"/>
    <x v="1"/>
    <x v="0"/>
    <n v="1"/>
    <n v="0"/>
  </r>
  <r>
    <x v="4"/>
    <x v="1"/>
    <s v="1.1-1.2"/>
    <x v="0"/>
    <n v="1"/>
    <x v="9"/>
    <n v="2"/>
    <n v="200"/>
    <m/>
    <n v="1"/>
    <n v="17"/>
    <n v="4"/>
    <x v="1"/>
    <x v="0"/>
    <n v="1"/>
    <n v="0"/>
  </r>
  <r>
    <x v="4"/>
    <x v="1"/>
    <s v="1.2-1.3"/>
    <x v="1"/>
    <n v="1"/>
    <x v="0"/>
    <n v="1"/>
    <n v="200"/>
    <m/>
    <n v="0.5"/>
    <n v="17"/>
    <n v="4"/>
    <x v="0"/>
    <x v="0"/>
    <n v="0"/>
    <n v="1"/>
  </r>
  <r>
    <x v="4"/>
    <x v="1"/>
    <s v="1.2-1.3"/>
    <x v="1"/>
    <n v="1"/>
    <x v="10"/>
    <n v="10"/>
    <n v="200"/>
    <m/>
    <n v="5"/>
    <n v="17"/>
    <n v="4"/>
    <x v="1"/>
    <x v="0"/>
    <n v="0"/>
    <n v="0"/>
  </r>
  <r>
    <x v="4"/>
    <x v="1"/>
    <s v="1.3-1.0"/>
    <x v="2"/>
    <n v="1"/>
    <x v="0"/>
    <n v="2"/>
    <n v="122"/>
    <m/>
    <n v="1.639344262295082"/>
    <n v="17"/>
    <n v="4"/>
    <x v="0"/>
    <x v="0"/>
    <n v="0"/>
    <n v="1"/>
  </r>
  <r>
    <x v="4"/>
    <x v="1"/>
    <s v="1.3-1.0"/>
    <x v="2"/>
    <n v="1"/>
    <x v="4"/>
    <n v="2"/>
    <n v="122"/>
    <m/>
    <n v="1.639344262295082"/>
    <n v="17"/>
    <n v="4"/>
    <x v="1"/>
    <x v="0"/>
    <n v="0"/>
    <n v="0"/>
  </r>
  <r>
    <x v="4"/>
    <x v="1"/>
    <s v="1.3-1.0"/>
    <x v="2"/>
    <n v="1"/>
    <x v="10"/>
    <n v="19"/>
    <n v="122"/>
    <m/>
    <n v="15.573770491803279"/>
    <n v="17"/>
    <n v="4"/>
    <x v="1"/>
    <x v="0"/>
    <n v="0"/>
    <n v="0"/>
  </r>
  <r>
    <x v="4"/>
    <x v="1"/>
    <s v="2.1-2.2"/>
    <x v="7"/>
    <n v="2"/>
    <x v="0"/>
    <n v="3"/>
    <n v="200"/>
    <m/>
    <n v="1.5"/>
    <n v="17"/>
    <n v="4"/>
    <x v="0"/>
    <x v="0"/>
    <n v="0"/>
    <n v="1"/>
  </r>
  <r>
    <x v="4"/>
    <x v="1"/>
    <s v="2.1-2.2"/>
    <x v="7"/>
    <n v="2"/>
    <x v="4"/>
    <n v="19"/>
    <n v="200"/>
    <m/>
    <n v="9.5"/>
    <n v="17"/>
    <n v="4"/>
    <x v="1"/>
    <x v="0"/>
    <n v="0"/>
    <n v="0"/>
  </r>
  <r>
    <x v="4"/>
    <x v="1"/>
    <s v="2.1-2.2"/>
    <x v="7"/>
    <n v="2"/>
    <x v="10"/>
    <n v="1"/>
    <n v="200"/>
    <m/>
    <n v="0.5"/>
    <n v="17"/>
    <n v="4"/>
    <x v="1"/>
    <x v="0"/>
    <n v="0"/>
    <n v="0"/>
  </r>
  <r>
    <x v="4"/>
    <x v="1"/>
    <s v="2.2-2.3"/>
    <x v="8"/>
    <n v="2"/>
    <x v="0"/>
    <n v="10"/>
    <n v="200"/>
    <m/>
    <n v="5"/>
    <n v="17"/>
    <n v="4"/>
    <x v="0"/>
    <x v="0"/>
    <n v="0"/>
    <n v="1"/>
  </r>
  <r>
    <x v="4"/>
    <x v="1"/>
    <s v="2.2-2.3"/>
    <x v="8"/>
    <n v="2"/>
    <x v="4"/>
    <n v="11"/>
    <n v="200"/>
    <m/>
    <n v="5.5"/>
    <n v="17"/>
    <n v="4"/>
    <x v="1"/>
    <x v="0"/>
    <n v="0"/>
    <n v="0"/>
  </r>
  <r>
    <x v="4"/>
    <x v="1"/>
    <s v="2.3-2.4"/>
    <x v="9"/>
    <n v="2"/>
    <x v="0"/>
    <n v="8"/>
    <n v="200"/>
    <m/>
    <n v="4"/>
    <n v="17"/>
    <n v="4"/>
    <x v="0"/>
    <x v="0"/>
    <n v="0"/>
    <n v="1"/>
  </r>
  <r>
    <x v="4"/>
    <x v="1"/>
    <s v="2.3-2.4"/>
    <x v="9"/>
    <n v="2"/>
    <x v="4"/>
    <n v="18"/>
    <n v="200"/>
    <m/>
    <n v="9"/>
    <n v="17"/>
    <n v="4"/>
    <x v="1"/>
    <x v="0"/>
    <n v="0"/>
    <n v="0"/>
  </r>
  <r>
    <x v="4"/>
    <x v="1"/>
    <s v="2.3-2.4"/>
    <x v="9"/>
    <n v="2"/>
    <x v="10"/>
    <n v="2"/>
    <n v="200"/>
    <m/>
    <n v="1"/>
    <n v="17"/>
    <n v="4"/>
    <x v="1"/>
    <x v="0"/>
    <n v="0"/>
    <n v="0"/>
  </r>
  <r>
    <x v="4"/>
    <x v="1"/>
    <s v="2.4-2.0"/>
    <x v="10"/>
    <n v="2"/>
    <x v="0"/>
    <n v="4"/>
    <n v="72"/>
    <m/>
    <n v="5.5555555555555554"/>
    <n v="17"/>
    <n v="4"/>
    <x v="0"/>
    <x v="0"/>
    <n v="0"/>
    <n v="1"/>
  </r>
  <r>
    <x v="4"/>
    <x v="1"/>
    <s v="2.4-2.0"/>
    <x v="10"/>
    <n v="2"/>
    <x v="2"/>
    <n v="1"/>
    <n v="72"/>
    <m/>
    <n v="1.3888888888888888"/>
    <n v="17"/>
    <n v="4"/>
    <x v="1"/>
    <x v="0"/>
    <n v="1"/>
    <n v="0"/>
  </r>
  <r>
    <x v="4"/>
    <x v="1"/>
    <s v="2.4-2.0"/>
    <x v="10"/>
    <n v="2"/>
    <x v="4"/>
    <n v="1"/>
    <n v="72"/>
    <m/>
    <n v="1.3888888888888888"/>
    <n v="17"/>
    <n v="4"/>
    <x v="1"/>
    <x v="0"/>
    <n v="0"/>
    <n v="0"/>
  </r>
  <r>
    <x v="4"/>
    <x v="1"/>
    <s v="3.1-3.2"/>
    <x v="14"/>
    <n v="3"/>
    <x v="0"/>
    <n v="1"/>
    <n v="200"/>
    <m/>
    <n v="0.5"/>
    <n v="17"/>
    <n v="4"/>
    <x v="0"/>
    <x v="0"/>
    <n v="0"/>
    <n v="1"/>
  </r>
  <r>
    <x v="4"/>
    <x v="1"/>
    <s v="3.1-3.2"/>
    <x v="14"/>
    <n v="3"/>
    <x v="4"/>
    <n v="50"/>
    <n v="200"/>
    <m/>
    <n v="25"/>
    <n v="17"/>
    <n v="4"/>
    <x v="1"/>
    <x v="0"/>
    <n v="0"/>
    <n v="0"/>
  </r>
  <r>
    <x v="4"/>
    <x v="1"/>
    <s v="3.2-3.3"/>
    <x v="15"/>
    <n v="3"/>
    <x v="4"/>
    <n v="37"/>
    <n v="200"/>
    <m/>
    <n v="18.5"/>
    <n v="17"/>
    <n v="4"/>
    <x v="1"/>
    <x v="0"/>
    <n v="0"/>
    <n v="1"/>
  </r>
  <r>
    <x v="4"/>
    <x v="1"/>
    <s v="3.3-3.4"/>
    <x v="16"/>
    <n v="3"/>
    <x v="4"/>
    <n v="32"/>
    <n v="200"/>
    <m/>
    <n v="16"/>
    <n v="17"/>
    <n v="4"/>
    <x v="1"/>
    <x v="0"/>
    <n v="0"/>
    <n v="1"/>
  </r>
  <r>
    <x v="4"/>
    <x v="1"/>
    <s v="3.4-3.0"/>
    <x v="17"/>
    <n v="3"/>
    <x v="0"/>
    <n v="2"/>
    <n v="23"/>
    <m/>
    <n v="8.695652173913043"/>
    <n v="17"/>
    <n v="4"/>
    <x v="0"/>
    <x v="0"/>
    <n v="0"/>
    <n v="1"/>
  </r>
  <r>
    <x v="4"/>
    <x v="1"/>
    <s v="3.4-3.0"/>
    <x v="17"/>
    <n v="3"/>
    <x v="4"/>
    <n v="4"/>
    <n v="23"/>
    <m/>
    <n v="17.391304347826086"/>
    <n v="17"/>
    <n v="4"/>
    <x v="1"/>
    <x v="0"/>
    <n v="0"/>
    <n v="0"/>
  </r>
  <r>
    <x v="4"/>
    <x v="1"/>
    <s v="4.1-4.2"/>
    <x v="21"/>
    <n v="4"/>
    <x v="4"/>
    <n v="37"/>
    <n v="200"/>
    <m/>
    <n v="18.5"/>
    <n v="17"/>
    <n v="4"/>
    <x v="1"/>
    <x v="0"/>
    <n v="0"/>
    <n v="1"/>
  </r>
  <r>
    <x v="4"/>
    <x v="1"/>
    <s v="4.2-4.3"/>
    <x v="22"/>
    <n v="4"/>
    <x v="4"/>
    <n v="38"/>
    <n v="200"/>
    <m/>
    <n v="19"/>
    <n v="17"/>
    <n v="4"/>
    <x v="1"/>
    <x v="0"/>
    <n v="0"/>
    <n v="1"/>
  </r>
  <r>
    <x v="4"/>
    <x v="1"/>
    <s v="4.3-4.0"/>
    <x v="23"/>
    <n v="4"/>
    <x v="2"/>
    <n v="6"/>
    <n v="171"/>
    <m/>
    <n v="3.5087719298245612"/>
    <n v="17"/>
    <n v="4"/>
    <x v="1"/>
    <x v="0"/>
    <n v="0"/>
    <n v="1"/>
  </r>
  <r>
    <x v="4"/>
    <x v="1"/>
    <s v="4.3-4.0"/>
    <x v="23"/>
    <n v="4"/>
    <x v="4"/>
    <n v="20"/>
    <n v="171"/>
    <m/>
    <n v="11.695906432748536"/>
    <n v="17"/>
    <n v="4"/>
    <x v="1"/>
    <x v="0"/>
    <n v="0"/>
    <n v="0"/>
  </r>
  <r>
    <x v="4"/>
    <x v="1"/>
    <s v="5.1-5.2"/>
    <x v="28"/>
    <n v="5"/>
    <x v="4"/>
    <n v="58"/>
    <n v="200"/>
    <m/>
    <n v="28.999999999999996"/>
    <n v="17"/>
    <n v="4"/>
    <x v="1"/>
    <x v="0"/>
    <n v="0"/>
    <n v="1"/>
  </r>
  <r>
    <x v="4"/>
    <x v="1"/>
    <s v="5.2-5.3"/>
    <x v="29"/>
    <n v="5"/>
    <x v="2"/>
    <n v="12"/>
    <n v="200"/>
    <m/>
    <n v="6"/>
    <n v="17"/>
    <n v="4"/>
    <x v="1"/>
    <x v="0"/>
    <n v="0"/>
    <n v="1"/>
  </r>
  <r>
    <x v="4"/>
    <x v="1"/>
    <s v="5.2-5.3"/>
    <x v="29"/>
    <n v="5"/>
    <x v="4"/>
    <n v="28"/>
    <n v="200"/>
    <m/>
    <n v="14.000000000000002"/>
    <n v="17"/>
    <n v="4"/>
    <x v="1"/>
    <x v="0"/>
    <n v="0"/>
    <n v="0"/>
  </r>
  <r>
    <x v="4"/>
    <x v="1"/>
    <s v="5.3-5.0"/>
    <x v="30"/>
    <n v="5"/>
    <x v="4"/>
    <n v="29"/>
    <n v="113"/>
    <m/>
    <n v="25.663716814159294"/>
    <n v="17"/>
    <n v="4"/>
    <x v="1"/>
    <x v="0"/>
    <n v="0"/>
    <n v="1"/>
  </r>
  <r>
    <x v="4"/>
    <x v="1"/>
    <s v="6.1-6.0"/>
    <x v="35"/>
    <n v="6"/>
    <x v="4"/>
    <n v="69"/>
    <n v="194"/>
    <m/>
    <n v="35.567010309278352"/>
    <n v="17"/>
    <n v="4"/>
    <x v="1"/>
    <x v="0"/>
    <n v="0"/>
    <n v="1"/>
  </r>
  <r>
    <x v="5"/>
    <x v="8"/>
    <s v="1.1-1.2"/>
    <x v="0"/>
    <n v="1"/>
    <x v="29"/>
    <n v="1"/>
    <n v="200"/>
    <n v="100"/>
    <n v="0.5"/>
    <n v="17"/>
    <n v="4"/>
    <x v="1"/>
    <x v="0"/>
    <n v="1"/>
    <n v="1"/>
  </r>
  <r>
    <x v="5"/>
    <x v="8"/>
    <s v="1.1-1.2"/>
    <x v="0"/>
    <n v="1"/>
    <x v="4"/>
    <n v="3"/>
    <n v="200"/>
    <n v="100"/>
    <n v="1.5"/>
    <n v="17"/>
    <n v="4"/>
    <x v="1"/>
    <x v="0"/>
    <n v="1"/>
    <n v="0"/>
  </r>
  <r>
    <x v="5"/>
    <x v="8"/>
    <s v="1.2-1.3"/>
    <x v="1"/>
    <n v="1"/>
    <x v="4"/>
    <n v="1"/>
    <n v="200"/>
    <n v="100"/>
    <n v="0.5"/>
    <n v="17"/>
    <n v="4"/>
    <x v="1"/>
    <x v="0"/>
    <n v="0"/>
    <n v="1"/>
  </r>
  <r>
    <x v="5"/>
    <x v="8"/>
    <s v="1.3-1.0"/>
    <x v="2"/>
    <n v="1"/>
    <x v="2"/>
    <n v="1"/>
    <n v="69"/>
    <n v="34.5"/>
    <n v="1.4492753623188406"/>
    <n v="17"/>
    <n v="4"/>
    <x v="1"/>
    <x v="0"/>
    <n v="1"/>
    <n v="1"/>
  </r>
  <r>
    <x v="5"/>
    <x v="8"/>
    <s v="2.1-2.2"/>
    <x v="7"/>
    <n v="2"/>
    <x v="4"/>
    <n v="9"/>
    <n v="200"/>
    <n v="100"/>
    <n v="4.5"/>
    <n v="17"/>
    <n v="4"/>
    <x v="1"/>
    <x v="0"/>
    <n v="0"/>
    <n v="1"/>
  </r>
  <r>
    <x v="5"/>
    <x v="8"/>
    <s v="2.2-2.3"/>
    <x v="8"/>
    <n v="2"/>
    <x v="29"/>
    <n v="2"/>
    <n v="200"/>
    <n v="100"/>
    <n v="1"/>
    <n v="17"/>
    <n v="4"/>
    <x v="1"/>
    <x v="0"/>
    <n v="0"/>
    <n v="1"/>
  </r>
  <r>
    <x v="5"/>
    <x v="8"/>
    <s v="2.3-2.4"/>
    <x v="10"/>
    <n v="2"/>
    <x v="2"/>
    <n v="4"/>
    <n v="200"/>
    <n v="100"/>
    <n v="2"/>
    <n v="17"/>
    <n v="4"/>
    <x v="1"/>
    <x v="0"/>
    <n v="0"/>
    <n v="1"/>
  </r>
  <r>
    <x v="5"/>
    <x v="8"/>
    <s v="2.4-2.0"/>
    <x v="10"/>
    <n v="2"/>
    <x v="30"/>
    <n v="6"/>
    <n v="200"/>
    <n v="100"/>
    <n v="3"/>
    <n v="17"/>
    <n v="4"/>
    <x v="1"/>
    <x v="0"/>
    <n v="1"/>
    <n v="0"/>
  </r>
  <r>
    <x v="5"/>
    <x v="8"/>
    <s v="2.4-2.0"/>
    <x v="10"/>
    <n v="2"/>
    <x v="2"/>
    <n v="3"/>
    <n v="200"/>
    <n v="100"/>
    <n v="1.5"/>
    <n v="17"/>
    <n v="4"/>
    <x v="1"/>
    <x v="0"/>
    <n v="0"/>
    <n v="0"/>
  </r>
  <r>
    <x v="5"/>
    <x v="8"/>
    <s v="3.1-3.2"/>
    <x v="14"/>
    <n v="3"/>
    <x v="4"/>
    <n v="36"/>
    <n v="200"/>
    <n v="100"/>
    <n v="18"/>
    <n v="17"/>
    <n v="4"/>
    <x v="1"/>
    <x v="0"/>
    <n v="0"/>
    <n v="1"/>
  </r>
  <r>
    <x v="5"/>
    <x v="8"/>
    <s v="3.2-3.3"/>
    <x v="15"/>
    <n v="3"/>
    <x v="4"/>
    <n v="4"/>
    <n v="200"/>
    <n v="100"/>
    <n v="2"/>
    <n v="17"/>
    <n v="4"/>
    <x v="1"/>
    <x v="0"/>
    <n v="0"/>
    <n v="1"/>
  </r>
  <r>
    <x v="5"/>
    <x v="1"/>
    <s v="1.1-1.2"/>
    <x v="0"/>
    <n v="1"/>
    <x v="4"/>
    <n v="14"/>
    <n v="200"/>
    <m/>
    <n v="7.0000000000000009"/>
    <n v="17"/>
    <n v="4"/>
    <x v="1"/>
    <x v="0"/>
    <n v="1"/>
    <n v="1"/>
  </r>
  <r>
    <x v="5"/>
    <x v="1"/>
    <s v="1.1-1.2"/>
    <x v="0"/>
    <n v="1"/>
    <x v="10"/>
    <n v="3"/>
    <n v="200"/>
    <m/>
    <n v="1.5"/>
    <n v="17"/>
    <n v="4"/>
    <x v="1"/>
    <x v="0"/>
    <n v="1"/>
    <n v="0"/>
  </r>
  <r>
    <x v="5"/>
    <x v="1"/>
    <s v="1.1-1.2"/>
    <x v="0"/>
    <n v="1"/>
    <x v="29"/>
    <n v="2"/>
    <n v="200"/>
    <m/>
    <n v="1"/>
    <n v="17"/>
    <n v="4"/>
    <x v="1"/>
    <x v="0"/>
    <n v="1"/>
    <n v="0"/>
  </r>
  <r>
    <x v="5"/>
    <x v="1"/>
    <s v="1.2-1.3"/>
    <x v="1"/>
    <n v="1"/>
    <x v="0"/>
    <n v="2"/>
    <n v="200"/>
    <m/>
    <n v="1"/>
    <n v="17"/>
    <n v="4"/>
    <x v="0"/>
    <x v="0"/>
    <n v="1"/>
    <n v="1"/>
  </r>
  <r>
    <x v="5"/>
    <x v="1"/>
    <s v="1.2-1.3"/>
    <x v="1"/>
    <n v="1"/>
    <x v="4"/>
    <n v="13"/>
    <n v="200"/>
    <m/>
    <n v="6.5"/>
    <n v="17"/>
    <n v="4"/>
    <x v="1"/>
    <x v="0"/>
    <n v="0"/>
    <n v="0"/>
  </r>
  <r>
    <x v="5"/>
    <x v="1"/>
    <s v="1.3-1.0"/>
    <x v="2"/>
    <n v="1"/>
    <x v="2"/>
    <n v="3"/>
    <n v="69"/>
    <m/>
    <n v="4.3478260869565215"/>
    <n v="17"/>
    <n v="4"/>
    <x v="1"/>
    <x v="0"/>
    <n v="1"/>
    <n v="1"/>
  </r>
  <r>
    <x v="5"/>
    <x v="1"/>
    <s v="2.1-2.2"/>
    <x v="7"/>
    <n v="2"/>
    <x v="4"/>
    <n v="36"/>
    <n v="200"/>
    <m/>
    <n v="18"/>
    <n v="17"/>
    <n v="4"/>
    <x v="1"/>
    <x v="0"/>
    <n v="0"/>
    <n v="1"/>
  </r>
  <r>
    <x v="5"/>
    <x v="1"/>
    <s v="2.2-2.3"/>
    <x v="8"/>
    <n v="2"/>
    <x v="4"/>
    <n v="27"/>
    <n v="200"/>
    <m/>
    <n v="13.5"/>
    <n v="17"/>
    <n v="4"/>
    <x v="1"/>
    <x v="0"/>
    <n v="0"/>
    <n v="1"/>
  </r>
  <r>
    <x v="5"/>
    <x v="1"/>
    <s v="2.2-2.3"/>
    <x v="8"/>
    <n v="2"/>
    <x v="29"/>
    <n v="2"/>
    <n v="200"/>
    <m/>
    <n v="1"/>
    <n v="17"/>
    <n v="4"/>
    <x v="1"/>
    <x v="0"/>
    <n v="0"/>
    <n v="0"/>
  </r>
  <r>
    <x v="5"/>
    <x v="1"/>
    <s v="2.3-2.4"/>
    <x v="9"/>
    <n v="2"/>
    <x v="0"/>
    <n v="1"/>
    <n v="200"/>
    <m/>
    <n v="0.5"/>
    <n v="17"/>
    <n v="4"/>
    <x v="0"/>
    <x v="0"/>
    <n v="0"/>
    <n v="1"/>
  </r>
  <r>
    <x v="5"/>
    <x v="1"/>
    <s v="2.3-2.4"/>
    <x v="9"/>
    <n v="2"/>
    <x v="2"/>
    <n v="6"/>
    <n v="200"/>
    <m/>
    <n v="3"/>
    <n v="17"/>
    <n v="4"/>
    <x v="1"/>
    <x v="0"/>
    <n v="0"/>
    <n v="0"/>
  </r>
  <r>
    <x v="5"/>
    <x v="1"/>
    <s v="2.3-2.4"/>
    <x v="9"/>
    <n v="2"/>
    <x v="4"/>
    <n v="8"/>
    <n v="200"/>
    <m/>
    <n v="4"/>
    <n v="17"/>
    <n v="4"/>
    <x v="1"/>
    <x v="0"/>
    <n v="0"/>
    <n v="0"/>
  </r>
  <r>
    <x v="5"/>
    <x v="1"/>
    <s v="2.3-2.4"/>
    <x v="9"/>
    <n v="2"/>
    <x v="7"/>
    <n v="1"/>
    <n v="200"/>
    <m/>
    <n v="0.5"/>
    <n v="17"/>
    <n v="4"/>
    <x v="1"/>
    <x v="0"/>
    <n v="1"/>
    <n v="0"/>
  </r>
  <r>
    <x v="5"/>
    <x v="1"/>
    <s v="2.4-2.0"/>
    <x v="10"/>
    <n v="2"/>
    <x v="0"/>
    <n v="1"/>
    <n v="200"/>
    <m/>
    <n v="0.5"/>
    <n v="17"/>
    <n v="4"/>
    <x v="0"/>
    <x v="0"/>
    <n v="0"/>
    <n v="1"/>
  </r>
  <r>
    <x v="5"/>
    <x v="1"/>
    <s v="2.4-2.0"/>
    <x v="10"/>
    <n v="2"/>
    <x v="2"/>
    <n v="9"/>
    <n v="200"/>
    <m/>
    <n v="4.5"/>
    <n v="17"/>
    <n v="4"/>
    <x v="1"/>
    <x v="0"/>
    <n v="0"/>
    <n v="0"/>
  </r>
  <r>
    <x v="5"/>
    <x v="1"/>
    <s v="2.4-2.0"/>
    <x v="10"/>
    <n v="2"/>
    <x v="4"/>
    <n v="2"/>
    <n v="200"/>
    <m/>
    <n v="1"/>
    <n v="17"/>
    <n v="4"/>
    <x v="1"/>
    <x v="0"/>
    <n v="0"/>
    <n v="0"/>
  </r>
  <r>
    <x v="5"/>
    <x v="1"/>
    <s v="2.4-2.0"/>
    <x v="10"/>
    <n v="2"/>
    <x v="30"/>
    <n v="8"/>
    <n v="200"/>
    <m/>
    <n v="4"/>
    <n v="17"/>
    <n v="4"/>
    <x v="1"/>
    <x v="0"/>
    <n v="1"/>
    <n v="0"/>
  </r>
  <r>
    <x v="5"/>
    <x v="1"/>
    <s v="3.1-3.2"/>
    <x v="14"/>
    <n v="3"/>
    <x v="4"/>
    <n v="103"/>
    <n v="200"/>
    <m/>
    <n v="51.5"/>
    <n v="17"/>
    <n v="4"/>
    <x v="1"/>
    <x v="0"/>
    <n v="0"/>
    <n v="1"/>
  </r>
  <r>
    <x v="5"/>
    <x v="1"/>
    <s v="3.2-3.3"/>
    <x v="15"/>
    <n v="3"/>
    <x v="12"/>
    <n v="0"/>
    <n v="200"/>
    <m/>
    <n v="0"/>
    <n v="17"/>
    <n v="4"/>
    <x v="2"/>
    <x v="0"/>
    <n v="1"/>
    <n v="1"/>
  </r>
  <r>
    <x v="5"/>
    <x v="1"/>
    <s v="3.3-3.0"/>
    <x v="16"/>
    <n v="3"/>
    <x v="12"/>
    <n v="0"/>
    <n v="33"/>
    <m/>
    <n v="0"/>
    <n v="17"/>
    <n v="4"/>
    <x v="2"/>
    <x v="0"/>
    <n v="0"/>
    <n v="1"/>
  </r>
  <r>
    <x v="5"/>
    <x v="2"/>
    <s v="1.1-1.2"/>
    <x v="0"/>
    <n v="1"/>
    <x v="4"/>
    <n v="18"/>
    <n v="200"/>
    <m/>
    <n v="9"/>
    <n v="17"/>
    <n v="4"/>
    <x v="1"/>
    <x v="0"/>
    <n v="1"/>
    <n v="1"/>
  </r>
  <r>
    <x v="5"/>
    <x v="2"/>
    <s v="1.1-1.2"/>
    <x v="0"/>
    <n v="1"/>
    <x v="10"/>
    <n v="2"/>
    <n v="200"/>
    <m/>
    <n v="1"/>
    <n v="17"/>
    <n v="4"/>
    <x v="1"/>
    <x v="0"/>
    <n v="1"/>
    <n v="0"/>
  </r>
  <r>
    <x v="5"/>
    <x v="2"/>
    <s v="1.2-1.3"/>
    <x v="1"/>
    <n v="1"/>
    <x v="4"/>
    <n v="14"/>
    <n v="200"/>
    <m/>
    <n v="7.0000000000000009"/>
    <n v="17"/>
    <n v="4"/>
    <x v="1"/>
    <x v="0"/>
    <n v="0"/>
    <n v="1"/>
  </r>
  <r>
    <x v="5"/>
    <x v="2"/>
    <s v="1.2-1.3"/>
    <x v="1"/>
    <n v="1"/>
    <x v="10"/>
    <n v="3"/>
    <n v="200"/>
    <m/>
    <n v="1.5"/>
    <n v="17"/>
    <n v="4"/>
    <x v="1"/>
    <x v="0"/>
    <n v="0"/>
    <n v="0"/>
  </r>
  <r>
    <x v="5"/>
    <x v="2"/>
    <s v="1.3-1.0"/>
    <x v="2"/>
    <n v="1"/>
    <x v="4"/>
    <n v="2"/>
    <n v="69"/>
    <m/>
    <n v="2.8985507246376812"/>
    <n v="17"/>
    <n v="4"/>
    <x v="1"/>
    <x v="0"/>
    <n v="0"/>
    <n v="1"/>
  </r>
  <r>
    <x v="5"/>
    <x v="2"/>
    <s v="1.3-1.0"/>
    <x v="2"/>
    <n v="1"/>
    <x v="2"/>
    <n v="3"/>
    <n v="69"/>
    <m/>
    <n v="4.3478260869565215"/>
    <n v="17"/>
    <n v="4"/>
    <x v="1"/>
    <x v="0"/>
    <n v="1"/>
    <n v="0"/>
  </r>
  <r>
    <x v="5"/>
    <x v="2"/>
    <s v="2.1-2.2"/>
    <x v="7"/>
    <n v="2"/>
    <x v="4"/>
    <n v="51"/>
    <n v="200"/>
    <m/>
    <n v="25.5"/>
    <n v="17"/>
    <n v="4"/>
    <x v="1"/>
    <x v="0"/>
    <n v="0"/>
    <n v="1"/>
  </r>
  <r>
    <x v="5"/>
    <x v="2"/>
    <s v="2.2-2.3"/>
    <x v="8"/>
    <n v="2"/>
    <x v="4"/>
    <n v="42"/>
    <n v="200"/>
    <m/>
    <n v="21"/>
    <n v="17"/>
    <n v="4"/>
    <x v="1"/>
    <x v="0"/>
    <n v="0"/>
    <n v="1"/>
  </r>
  <r>
    <x v="5"/>
    <x v="2"/>
    <s v="2.2-2.3"/>
    <x v="8"/>
    <n v="2"/>
    <x v="29"/>
    <n v="1"/>
    <n v="200"/>
    <m/>
    <n v="0.5"/>
    <n v="17"/>
    <n v="4"/>
    <x v="1"/>
    <x v="0"/>
    <n v="1"/>
    <n v="0"/>
  </r>
  <r>
    <x v="5"/>
    <x v="2"/>
    <s v="2.3-2.4"/>
    <x v="9"/>
    <n v="2"/>
    <x v="4"/>
    <n v="12"/>
    <n v="200"/>
    <m/>
    <n v="6"/>
    <n v="17"/>
    <n v="4"/>
    <x v="1"/>
    <x v="0"/>
    <n v="0"/>
    <n v="1"/>
  </r>
  <r>
    <x v="5"/>
    <x v="2"/>
    <s v="2.3-2.4"/>
    <x v="9"/>
    <n v="2"/>
    <x v="2"/>
    <n v="9"/>
    <n v="200"/>
    <m/>
    <n v="4.5"/>
    <n v="17"/>
    <n v="4"/>
    <x v="1"/>
    <x v="0"/>
    <n v="0"/>
    <n v="0"/>
  </r>
  <r>
    <x v="5"/>
    <x v="2"/>
    <s v="2.3-2.4"/>
    <x v="9"/>
    <n v="2"/>
    <x v="10"/>
    <n v="2"/>
    <n v="200"/>
    <m/>
    <n v="1"/>
    <n v="17"/>
    <n v="4"/>
    <x v="1"/>
    <x v="0"/>
    <n v="0"/>
    <n v="0"/>
  </r>
  <r>
    <x v="5"/>
    <x v="2"/>
    <s v="2.4-2.0"/>
    <x v="10"/>
    <n v="2"/>
    <x v="4"/>
    <n v="3"/>
    <n v="200"/>
    <m/>
    <n v="1.5"/>
    <n v="17"/>
    <n v="4"/>
    <x v="1"/>
    <x v="0"/>
    <n v="0"/>
    <n v="1"/>
  </r>
  <r>
    <x v="5"/>
    <x v="2"/>
    <s v="2.4-2.0"/>
    <x v="10"/>
    <n v="2"/>
    <x v="2"/>
    <n v="14"/>
    <n v="200"/>
    <m/>
    <n v="7.0000000000000009"/>
    <n v="17"/>
    <n v="4"/>
    <x v="1"/>
    <x v="0"/>
    <n v="0"/>
    <n v="0"/>
  </r>
  <r>
    <x v="5"/>
    <x v="2"/>
    <s v="2.4-2.0"/>
    <x v="10"/>
    <n v="2"/>
    <x v="30"/>
    <n v="6"/>
    <n v="200"/>
    <m/>
    <n v="3"/>
    <n v="17"/>
    <n v="4"/>
    <x v="1"/>
    <x v="0"/>
    <n v="1"/>
    <n v="0"/>
  </r>
  <r>
    <x v="5"/>
    <x v="2"/>
    <s v="3.1-3.2"/>
    <x v="14"/>
    <n v="3"/>
    <x v="4"/>
    <n v="80"/>
    <n v="200"/>
    <m/>
    <n v="40"/>
    <n v="17"/>
    <n v="4"/>
    <x v="1"/>
    <x v="0"/>
    <n v="0"/>
    <n v="1"/>
  </r>
  <r>
    <x v="5"/>
    <x v="2"/>
    <s v="3.2-3.3"/>
    <x v="15"/>
    <n v="3"/>
    <x v="4"/>
    <n v="5"/>
    <n v="200"/>
    <m/>
    <n v="2.5"/>
    <n v="17"/>
    <n v="4"/>
    <x v="1"/>
    <x v="0"/>
    <n v="0"/>
    <n v="1"/>
  </r>
  <r>
    <x v="5"/>
    <x v="2"/>
    <s v="3.3-3.0"/>
    <x v="16"/>
    <n v="3"/>
    <x v="12"/>
    <n v="0"/>
    <n v="33"/>
    <m/>
    <n v="0"/>
    <n v="17"/>
    <n v="4"/>
    <x v="2"/>
    <x v="0"/>
    <n v="1"/>
    <n v="1"/>
  </r>
  <r>
    <x v="6"/>
    <x v="8"/>
    <s v="3.1-3.2"/>
    <x v="14"/>
    <n v="3"/>
    <x v="1"/>
    <n v="1"/>
    <n v="200"/>
    <n v="100"/>
    <n v="0.5"/>
    <n v="17"/>
    <n v="4"/>
    <x v="1"/>
    <x v="0"/>
    <n v="1"/>
    <n v="1"/>
  </r>
  <r>
    <x v="6"/>
    <x v="8"/>
    <s v="3.2-3.3"/>
    <x v="15"/>
    <n v="3"/>
    <x v="6"/>
    <n v="2"/>
    <n v="200"/>
    <n v="100"/>
    <n v="1"/>
    <n v="17"/>
    <n v="4"/>
    <x v="1"/>
    <x v="0"/>
    <n v="1"/>
    <n v="1"/>
  </r>
  <r>
    <x v="6"/>
    <x v="8"/>
    <s v="3.2-3.3"/>
    <x v="15"/>
    <n v="3"/>
    <x v="1"/>
    <n v="11"/>
    <n v="200"/>
    <n v="100"/>
    <n v="5.5"/>
    <n v="17"/>
    <n v="4"/>
    <x v="1"/>
    <x v="0"/>
    <n v="0"/>
    <n v="0"/>
  </r>
  <r>
    <x v="6"/>
    <x v="8"/>
    <s v="3.3-3.4"/>
    <x v="16"/>
    <n v="3"/>
    <x v="1"/>
    <n v="1"/>
    <n v="200"/>
    <n v="100"/>
    <n v="0.5"/>
    <n v="17"/>
    <n v="4"/>
    <x v="1"/>
    <x v="0"/>
    <n v="0"/>
    <n v="1"/>
  </r>
  <r>
    <x v="6"/>
    <x v="8"/>
    <s v="3.4-3.5"/>
    <x v="17"/>
    <n v="3"/>
    <x v="1"/>
    <n v="18"/>
    <n v="200"/>
    <n v="100"/>
    <n v="9"/>
    <n v="17"/>
    <n v="4"/>
    <x v="1"/>
    <x v="0"/>
    <n v="0"/>
    <n v="1"/>
  </r>
  <r>
    <x v="6"/>
    <x v="8"/>
    <s v="3.5-3.6"/>
    <x v="18"/>
    <n v="3"/>
    <x v="1"/>
    <n v="4"/>
    <n v="200"/>
    <n v="100"/>
    <n v="2"/>
    <n v="17"/>
    <n v="4"/>
    <x v="1"/>
    <x v="0"/>
    <n v="0"/>
    <n v="1"/>
  </r>
  <r>
    <x v="6"/>
    <x v="8"/>
    <s v="3.6-3.7"/>
    <x v="19"/>
    <n v="3"/>
    <x v="4"/>
    <n v="11"/>
    <n v="200"/>
    <n v="100"/>
    <n v="5.5"/>
    <n v="17"/>
    <n v="4"/>
    <x v="1"/>
    <x v="0"/>
    <n v="1"/>
    <n v="1"/>
  </r>
  <r>
    <x v="6"/>
    <x v="8"/>
    <s v="3.7-3.0"/>
    <x v="20"/>
    <n v="3"/>
    <x v="4"/>
    <n v="6"/>
    <n v="46"/>
    <n v="23"/>
    <n v="13.043478260869565"/>
    <n v="17"/>
    <n v="4"/>
    <x v="1"/>
    <x v="0"/>
    <n v="0"/>
    <n v="1"/>
  </r>
  <r>
    <x v="6"/>
    <x v="8"/>
    <s v="4.1-4.2"/>
    <x v="21"/>
    <n v="4"/>
    <x v="1"/>
    <n v="9"/>
    <n v="200"/>
    <n v="100"/>
    <n v="4.5"/>
    <n v="17"/>
    <n v="4"/>
    <x v="1"/>
    <x v="0"/>
    <n v="0"/>
    <n v="1"/>
  </r>
  <r>
    <x v="6"/>
    <x v="8"/>
    <s v="4.2-4.0"/>
    <x v="22"/>
    <n v="4"/>
    <x v="12"/>
    <n v="0"/>
    <n v="88"/>
    <n v="44"/>
    <n v="0"/>
    <n v="17"/>
    <n v="4"/>
    <x v="2"/>
    <x v="0"/>
    <n v="1"/>
    <n v="1"/>
  </r>
  <r>
    <x v="6"/>
    <x v="8"/>
    <s v="5.1-5.0"/>
    <x v="28"/>
    <n v="5"/>
    <x v="4"/>
    <n v="34"/>
    <n v="200"/>
    <n v="100"/>
    <n v="17"/>
    <n v="17"/>
    <n v="4"/>
    <x v="1"/>
    <x v="0"/>
    <n v="0"/>
    <n v="1"/>
  </r>
  <r>
    <x v="6"/>
    <x v="8"/>
    <s v="5.1-5.0"/>
    <x v="28"/>
    <n v="5"/>
    <x v="29"/>
    <n v="1"/>
    <n v="200"/>
    <n v="100"/>
    <n v="0.5"/>
    <n v="17"/>
    <n v="4"/>
    <x v="1"/>
    <x v="0"/>
    <n v="1"/>
    <n v="0"/>
  </r>
  <r>
    <x v="6"/>
    <x v="1"/>
    <s v="1.1-1.2"/>
    <x v="0"/>
    <n v="1"/>
    <x v="1"/>
    <n v="4"/>
    <n v="200"/>
    <m/>
    <n v="2"/>
    <n v="17"/>
    <n v="4"/>
    <x v="1"/>
    <x v="0"/>
    <n v="1"/>
    <n v="1"/>
  </r>
  <r>
    <x v="6"/>
    <x v="1"/>
    <s v="1.1-1.2"/>
    <x v="0"/>
    <n v="1"/>
    <x v="0"/>
    <n v="12"/>
    <n v="200"/>
    <m/>
    <n v="6"/>
    <n v="17"/>
    <n v="4"/>
    <x v="0"/>
    <x v="0"/>
    <n v="1"/>
    <n v="0"/>
  </r>
  <r>
    <x v="6"/>
    <x v="1"/>
    <s v="1.1-1.2"/>
    <x v="0"/>
    <n v="1"/>
    <x v="10"/>
    <n v="16"/>
    <n v="200"/>
    <m/>
    <n v="8"/>
    <n v="17"/>
    <n v="4"/>
    <x v="1"/>
    <x v="0"/>
    <n v="1"/>
    <n v="0"/>
  </r>
  <r>
    <x v="6"/>
    <x v="1"/>
    <s v="1.2-1.3"/>
    <x v="1"/>
    <n v="1"/>
    <x v="1"/>
    <n v="3"/>
    <n v="200"/>
    <m/>
    <n v="1.5"/>
    <n v="17"/>
    <n v="4"/>
    <x v="1"/>
    <x v="0"/>
    <n v="0"/>
    <n v="1"/>
  </r>
  <r>
    <x v="6"/>
    <x v="1"/>
    <s v="1.2-1.3"/>
    <x v="1"/>
    <n v="1"/>
    <x v="0"/>
    <n v="27"/>
    <n v="200"/>
    <m/>
    <n v="13.5"/>
    <n v="17"/>
    <n v="4"/>
    <x v="0"/>
    <x v="0"/>
    <n v="0"/>
    <n v="0"/>
  </r>
  <r>
    <x v="6"/>
    <x v="1"/>
    <s v="1.3-1.4"/>
    <x v="2"/>
    <n v="1"/>
    <x v="1"/>
    <n v="8"/>
    <n v="200"/>
    <m/>
    <n v="4"/>
    <n v="17"/>
    <n v="4"/>
    <x v="1"/>
    <x v="0"/>
    <n v="0"/>
    <n v="1"/>
  </r>
  <r>
    <x v="6"/>
    <x v="1"/>
    <s v="1.3-1.4"/>
    <x v="2"/>
    <n v="1"/>
    <x v="0"/>
    <n v="10"/>
    <n v="200"/>
    <m/>
    <n v="5"/>
    <n v="17"/>
    <n v="4"/>
    <x v="0"/>
    <x v="0"/>
    <n v="0"/>
    <n v="0"/>
  </r>
  <r>
    <x v="6"/>
    <x v="1"/>
    <s v="1.4-1.5"/>
    <x v="3"/>
    <n v="1"/>
    <x v="0"/>
    <n v="6"/>
    <n v="200"/>
    <m/>
    <n v="3"/>
    <n v="17"/>
    <n v="4"/>
    <x v="0"/>
    <x v="0"/>
    <n v="0"/>
    <n v="1"/>
  </r>
  <r>
    <x v="6"/>
    <x v="1"/>
    <s v="1.5-1.6"/>
    <x v="4"/>
    <n v="1"/>
    <x v="1"/>
    <n v="3"/>
    <n v="200"/>
    <m/>
    <n v="1.5"/>
    <n v="17"/>
    <n v="4"/>
    <x v="1"/>
    <x v="0"/>
    <n v="0"/>
    <n v="1"/>
  </r>
  <r>
    <x v="6"/>
    <x v="1"/>
    <s v="1.6-1.0"/>
    <x v="5"/>
    <n v="1"/>
    <x v="1"/>
    <n v="4"/>
    <n v="174"/>
    <m/>
    <n v="2.2988505747126435"/>
    <n v="17"/>
    <n v="4"/>
    <x v="1"/>
    <x v="0"/>
    <n v="0"/>
    <n v="1"/>
  </r>
  <r>
    <x v="6"/>
    <x v="1"/>
    <s v="1.6-1.0"/>
    <x v="5"/>
    <n v="1"/>
    <x v="0"/>
    <n v="1"/>
    <n v="174"/>
    <m/>
    <n v="0.57471264367816088"/>
    <n v="17"/>
    <n v="4"/>
    <x v="0"/>
    <x v="0"/>
    <n v="0"/>
    <n v="0"/>
  </r>
  <r>
    <x v="6"/>
    <x v="1"/>
    <s v="1.6-1.0"/>
    <x v="5"/>
    <n v="1"/>
    <x v="6"/>
    <n v="8"/>
    <n v="174"/>
    <m/>
    <n v="4.5977011494252871"/>
    <n v="17"/>
    <n v="4"/>
    <x v="1"/>
    <x v="0"/>
    <n v="1"/>
    <n v="0"/>
  </r>
  <r>
    <x v="6"/>
    <x v="1"/>
    <s v="2.1-2.2"/>
    <x v="7"/>
    <n v="2"/>
    <x v="4"/>
    <n v="8"/>
    <n v="78"/>
    <m/>
    <n v="10.256410256410255"/>
    <n v="17"/>
    <n v="4"/>
    <x v="1"/>
    <x v="0"/>
    <n v="1"/>
    <n v="1"/>
  </r>
  <r>
    <x v="6"/>
    <x v="1"/>
    <s v="2.2-2.3"/>
    <x v="8"/>
    <n v="2"/>
    <x v="1"/>
    <n v="9"/>
    <n v="200"/>
    <m/>
    <n v="4.5"/>
    <n v="17"/>
    <n v="4"/>
    <x v="1"/>
    <x v="0"/>
    <n v="0"/>
    <n v="1"/>
  </r>
  <r>
    <x v="6"/>
    <x v="1"/>
    <s v="2.2-2.3"/>
    <x v="8"/>
    <n v="2"/>
    <x v="0"/>
    <n v="1"/>
    <n v="200"/>
    <m/>
    <n v="0.5"/>
    <n v="17"/>
    <n v="4"/>
    <x v="0"/>
    <x v="0"/>
    <n v="0"/>
    <n v="0"/>
  </r>
  <r>
    <x v="6"/>
    <x v="1"/>
    <s v="2.2-2.3"/>
    <x v="8"/>
    <n v="2"/>
    <x v="6"/>
    <n v="5"/>
    <n v="200"/>
    <m/>
    <n v="2.5"/>
    <n v="17"/>
    <n v="4"/>
    <x v="1"/>
    <x v="0"/>
    <n v="0"/>
    <n v="0"/>
  </r>
  <r>
    <x v="6"/>
    <x v="1"/>
    <s v="2.3-2.4"/>
    <x v="9"/>
    <n v="2"/>
    <x v="1"/>
    <n v="2"/>
    <n v="200"/>
    <m/>
    <n v="1"/>
    <n v="17"/>
    <n v="4"/>
    <x v="1"/>
    <x v="0"/>
    <n v="0"/>
    <n v="1"/>
  </r>
  <r>
    <x v="6"/>
    <x v="1"/>
    <s v="2.4-2.5"/>
    <x v="10"/>
    <n v="2"/>
    <x v="0"/>
    <n v="11"/>
    <n v="200"/>
    <m/>
    <n v="5.5"/>
    <n v="17"/>
    <n v="4"/>
    <x v="0"/>
    <x v="0"/>
    <n v="0"/>
    <n v="1"/>
  </r>
  <r>
    <x v="6"/>
    <x v="1"/>
    <s v="2.5-2.6"/>
    <x v="11"/>
    <n v="2"/>
    <x v="0"/>
    <n v="20"/>
    <n v="200"/>
    <m/>
    <n v="10"/>
    <n v="17"/>
    <n v="4"/>
    <x v="0"/>
    <x v="0"/>
    <n v="0"/>
    <n v="1"/>
  </r>
  <r>
    <x v="6"/>
    <x v="1"/>
    <s v="2.6-2.7"/>
    <x v="12"/>
    <n v="2"/>
    <x v="1"/>
    <n v="3"/>
    <n v="200"/>
    <m/>
    <n v="1.5"/>
    <n v="17"/>
    <n v="4"/>
    <x v="1"/>
    <x v="0"/>
    <n v="0"/>
    <n v="1"/>
  </r>
  <r>
    <x v="6"/>
    <x v="1"/>
    <s v="2.6-2.7"/>
    <x v="12"/>
    <n v="2"/>
    <x v="0"/>
    <n v="19"/>
    <n v="200"/>
    <m/>
    <n v="9.5"/>
    <n v="17"/>
    <n v="4"/>
    <x v="0"/>
    <x v="0"/>
    <n v="0"/>
    <n v="0"/>
  </r>
  <r>
    <x v="6"/>
    <x v="1"/>
    <s v="2.7-2.0"/>
    <x v="13"/>
    <n v="2"/>
    <x v="1"/>
    <n v="5"/>
    <n v="200"/>
    <m/>
    <n v="2.5"/>
    <n v="17"/>
    <n v="4"/>
    <x v="1"/>
    <x v="0"/>
    <n v="0"/>
    <n v="1"/>
  </r>
  <r>
    <x v="6"/>
    <x v="1"/>
    <s v="2.7-2.0"/>
    <x v="13"/>
    <n v="2"/>
    <x v="0"/>
    <n v="14"/>
    <n v="200"/>
    <m/>
    <n v="7.0000000000000009"/>
    <n v="17"/>
    <n v="4"/>
    <x v="0"/>
    <x v="0"/>
    <n v="0"/>
    <n v="0"/>
  </r>
  <r>
    <x v="6"/>
    <x v="1"/>
    <s v="2.7-2.0"/>
    <x v="13"/>
    <n v="2"/>
    <x v="2"/>
    <n v="3"/>
    <n v="200"/>
    <m/>
    <n v="1.5"/>
    <n v="17"/>
    <n v="4"/>
    <x v="1"/>
    <x v="0"/>
    <n v="1"/>
    <n v="0"/>
  </r>
  <r>
    <x v="6"/>
    <x v="1"/>
    <s v="2.7-2.0"/>
    <x v="13"/>
    <n v="2"/>
    <x v="30"/>
    <n v="2"/>
    <n v="200"/>
    <m/>
    <n v="1"/>
    <n v="17"/>
    <n v="4"/>
    <x v="1"/>
    <x v="0"/>
    <n v="1"/>
    <n v="0"/>
  </r>
  <r>
    <x v="6"/>
    <x v="1"/>
    <s v="3.1-3.2"/>
    <x v="14"/>
    <n v="3"/>
    <x v="1"/>
    <n v="2"/>
    <n v="200"/>
    <m/>
    <n v="1"/>
    <n v="17"/>
    <n v="4"/>
    <x v="1"/>
    <x v="0"/>
    <n v="0"/>
    <n v="1"/>
  </r>
  <r>
    <x v="6"/>
    <x v="1"/>
    <s v="3.1-3.2"/>
    <x v="14"/>
    <n v="3"/>
    <x v="0"/>
    <n v="9"/>
    <n v="200"/>
    <m/>
    <n v="4.5"/>
    <n v="17"/>
    <n v="4"/>
    <x v="0"/>
    <x v="0"/>
    <n v="0"/>
    <n v="0"/>
  </r>
  <r>
    <x v="6"/>
    <x v="1"/>
    <s v="3.1-3.2"/>
    <x v="14"/>
    <n v="3"/>
    <x v="10"/>
    <n v="4"/>
    <n v="200"/>
    <m/>
    <n v="2"/>
    <n v="17"/>
    <n v="4"/>
    <x v="1"/>
    <x v="0"/>
    <n v="0"/>
    <n v="0"/>
  </r>
  <r>
    <x v="6"/>
    <x v="1"/>
    <s v="3.2-3.3"/>
    <x v="15"/>
    <n v="3"/>
    <x v="1"/>
    <n v="13"/>
    <n v="200"/>
    <m/>
    <n v="6.5"/>
    <n v="17"/>
    <n v="4"/>
    <x v="1"/>
    <x v="0"/>
    <n v="0"/>
    <n v="1"/>
  </r>
  <r>
    <x v="6"/>
    <x v="1"/>
    <s v="3.2-3.3"/>
    <x v="15"/>
    <n v="3"/>
    <x v="0"/>
    <n v="6"/>
    <n v="200"/>
    <m/>
    <n v="3"/>
    <n v="17"/>
    <n v="4"/>
    <x v="0"/>
    <x v="0"/>
    <n v="0"/>
    <n v="0"/>
  </r>
  <r>
    <x v="6"/>
    <x v="1"/>
    <s v="3.2-3.3"/>
    <x v="15"/>
    <n v="3"/>
    <x v="2"/>
    <n v="1"/>
    <n v="200"/>
    <m/>
    <n v="0.5"/>
    <n v="17"/>
    <n v="4"/>
    <x v="1"/>
    <x v="0"/>
    <n v="0"/>
    <n v="0"/>
  </r>
  <r>
    <x v="6"/>
    <x v="1"/>
    <s v="3.2-3.3"/>
    <x v="15"/>
    <n v="3"/>
    <x v="6"/>
    <n v="3"/>
    <n v="200"/>
    <m/>
    <n v="1.5"/>
    <n v="17"/>
    <n v="4"/>
    <x v="1"/>
    <x v="0"/>
    <n v="0"/>
    <n v="0"/>
  </r>
  <r>
    <x v="6"/>
    <x v="1"/>
    <s v="3.3-3.4"/>
    <x v="16"/>
    <n v="3"/>
    <x v="1"/>
    <n v="8"/>
    <n v="200"/>
    <m/>
    <n v="4"/>
    <n v="17"/>
    <n v="4"/>
    <x v="1"/>
    <x v="0"/>
    <n v="0"/>
    <n v="1"/>
  </r>
  <r>
    <x v="6"/>
    <x v="1"/>
    <s v="3.3-3.4"/>
    <x v="16"/>
    <n v="3"/>
    <x v="0"/>
    <n v="10"/>
    <n v="200"/>
    <m/>
    <n v="5"/>
    <n v="17"/>
    <n v="4"/>
    <x v="0"/>
    <x v="0"/>
    <n v="0"/>
    <n v="0"/>
  </r>
  <r>
    <x v="6"/>
    <x v="1"/>
    <s v="3.4-3.5"/>
    <x v="17"/>
    <n v="3"/>
    <x v="1"/>
    <n v="18"/>
    <n v="200"/>
    <m/>
    <n v="9"/>
    <n v="17"/>
    <n v="4"/>
    <x v="1"/>
    <x v="0"/>
    <n v="0"/>
    <n v="1"/>
  </r>
  <r>
    <x v="6"/>
    <x v="1"/>
    <s v="3.5-3.6"/>
    <x v="18"/>
    <n v="3"/>
    <x v="1"/>
    <n v="7"/>
    <n v="200"/>
    <m/>
    <n v="3.5000000000000004"/>
    <n v="17"/>
    <n v="4"/>
    <x v="1"/>
    <x v="0"/>
    <n v="0"/>
    <n v="1"/>
  </r>
  <r>
    <x v="6"/>
    <x v="1"/>
    <s v="3.6-3.7"/>
    <x v="19"/>
    <n v="3"/>
    <x v="4"/>
    <n v="21"/>
    <n v="200"/>
    <m/>
    <n v="10.5"/>
    <n v="17"/>
    <n v="4"/>
    <x v="1"/>
    <x v="0"/>
    <n v="0"/>
    <n v="1"/>
  </r>
  <r>
    <x v="6"/>
    <x v="1"/>
    <s v="3.7-3.0"/>
    <x v="20"/>
    <n v="3"/>
    <x v="4"/>
    <n v="11"/>
    <n v="47"/>
    <m/>
    <n v="23.404255319148938"/>
    <n v="17"/>
    <n v="4"/>
    <x v="1"/>
    <x v="0"/>
    <n v="0"/>
    <n v="1"/>
  </r>
  <r>
    <x v="6"/>
    <x v="1"/>
    <s v="4.1-4.2"/>
    <x v="21"/>
    <n v="4"/>
    <x v="1"/>
    <n v="5"/>
    <n v="200"/>
    <m/>
    <n v="2.5"/>
    <n v="17"/>
    <n v="4"/>
    <x v="1"/>
    <x v="0"/>
    <n v="0"/>
    <n v="1"/>
  </r>
  <r>
    <x v="6"/>
    <x v="1"/>
    <s v="4.1-4.2"/>
    <x v="21"/>
    <n v="4"/>
    <x v="6"/>
    <n v="1"/>
    <n v="200"/>
    <m/>
    <n v="0.5"/>
    <n v="17"/>
    <n v="4"/>
    <x v="1"/>
    <x v="0"/>
    <n v="0"/>
    <n v="0"/>
  </r>
  <r>
    <x v="6"/>
    <x v="1"/>
    <s v="4.2-4.0"/>
    <x v="22"/>
    <n v="4"/>
    <x v="0"/>
    <n v="1"/>
    <n v="89"/>
    <m/>
    <n v="1.1235955056179776"/>
    <n v="17"/>
    <n v="4"/>
    <x v="0"/>
    <x v="0"/>
    <n v="0"/>
    <n v="1"/>
  </r>
  <r>
    <x v="6"/>
    <x v="1"/>
    <s v="4.2-4.0"/>
    <x v="22"/>
    <n v="4"/>
    <x v="4"/>
    <n v="3"/>
    <n v="89"/>
    <m/>
    <n v="3.3707865168539324"/>
    <n v="17"/>
    <n v="4"/>
    <x v="1"/>
    <x v="0"/>
    <n v="0"/>
    <n v="0"/>
  </r>
  <r>
    <x v="6"/>
    <x v="1"/>
    <s v="5.1-5.0"/>
    <x v="28"/>
    <n v="5"/>
    <x v="4"/>
    <n v="62"/>
    <n v="164"/>
    <m/>
    <n v="37.804878048780488"/>
    <n v="17"/>
    <n v="4"/>
    <x v="1"/>
    <x v="0"/>
    <n v="0"/>
    <n v="1"/>
  </r>
  <r>
    <x v="6"/>
    <x v="1"/>
    <s v="5.1-5.0"/>
    <x v="28"/>
    <n v="5"/>
    <x v="29"/>
    <n v="4"/>
    <n v="164"/>
    <m/>
    <n v="2.4390243902439024"/>
    <n v="17"/>
    <n v="4"/>
    <x v="1"/>
    <x v="0"/>
    <n v="1"/>
    <n v="0"/>
  </r>
  <r>
    <x v="6"/>
    <x v="2"/>
    <s v="1.1-1.2"/>
    <x v="0"/>
    <n v="1"/>
    <x v="10"/>
    <n v="23"/>
    <n v="198"/>
    <m/>
    <n v="11.616161616161616"/>
    <n v="17"/>
    <n v="4"/>
    <x v="1"/>
    <x v="0"/>
    <n v="1"/>
    <n v="1"/>
  </r>
  <r>
    <x v="6"/>
    <x v="2"/>
    <s v="1.2-1.3"/>
    <x v="1"/>
    <n v="1"/>
    <x v="1"/>
    <n v="2"/>
    <n v="198"/>
    <m/>
    <n v="1.0101010101010102"/>
    <n v="17"/>
    <n v="4"/>
    <x v="1"/>
    <x v="0"/>
    <n v="1"/>
    <n v="1"/>
  </r>
  <r>
    <x v="6"/>
    <x v="2"/>
    <s v="1.3-1.4"/>
    <x v="2"/>
    <n v="1"/>
    <x v="1"/>
    <n v="6"/>
    <n v="198"/>
    <m/>
    <n v="3.0303030303030303"/>
    <n v="17"/>
    <n v="4"/>
    <x v="1"/>
    <x v="0"/>
    <n v="0"/>
    <n v="1"/>
  </r>
  <r>
    <x v="6"/>
    <x v="2"/>
    <s v="1.4-1.5"/>
    <x v="3"/>
    <n v="1"/>
    <x v="12"/>
    <n v="0"/>
    <n v="198"/>
    <m/>
    <n v="0"/>
    <n v="17"/>
    <n v="4"/>
    <x v="2"/>
    <x v="0"/>
    <n v="1"/>
    <n v="1"/>
  </r>
  <r>
    <x v="6"/>
    <x v="2"/>
    <s v="1.5-1.6"/>
    <x v="4"/>
    <n v="1"/>
    <x v="1"/>
    <n v="3"/>
    <n v="198"/>
    <m/>
    <n v="1.5151515151515151"/>
    <n v="17"/>
    <n v="4"/>
    <x v="1"/>
    <x v="0"/>
    <n v="0"/>
    <n v="1"/>
  </r>
  <r>
    <x v="6"/>
    <x v="2"/>
    <s v="1.6-1.0"/>
    <x v="5"/>
    <n v="1"/>
    <x v="10"/>
    <n v="3"/>
    <n v="171"/>
    <m/>
    <n v="1.7543859649122806"/>
    <n v="17"/>
    <n v="4"/>
    <x v="1"/>
    <x v="0"/>
    <n v="0"/>
    <n v="1"/>
  </r>
  <r>
    <x v="6"/>
    <x v="2"/>
    <s v="1.6-1.0"/>
    <x v="5"/>
    <n v="1"/>
    <x v="1"/>
    <n v="3"/>
    <n v="171"/>
    <m/>
    <n v="1.7543859649122806"/>
    <n v="17"/>
    <n v="4"/>
    <x v="1"/>
    <x v="0"/>
    <n v="0"/>
    <n v="0"/>
  </r>
  <r>
    <x v="6"/>
    <x v="2"/>
    <s v="2.1-2.2"/>
    <x v="7"/>
    <n v="2"/>
    <x v="10"/>
    <n v="1"/>
    <n v="198"/>
    <m/>
    <n v="0.50505050505050508"/>
    <n v="17"/>
    <n v="4"/>
    <x v="1"/>
    <x v="0"/>
    <n v="0"/>
    <n v="1"/>
  </r>
  <r>
    <x v="6"/>
    <x v="2"/>
    <s v="2.1-2.2"/>
    <x v="7"/>
    <n v="2"/>
    <x v="1"/>
    <n v="5"/>
    <n v="198"/>
    <m/>
    <n v="2.5252525252525251"/>
    <n v="17"/>
    <n v="4"/>
    <x v="1"/>
    <x v="0"/>
    <n v="0"/>
    <n v="0"/>
  </r>
  <r>
    <x v="6"/>
    <x v="2"/>
    <s v="2.1-2.2"/>
    <x v="7"/>
    <n v="2"/>
    <x v="2"/>
    <n v="3"/>
    <n v="198"/>
    <m/>
    <n v="1.5151515151515151"/>
    <n v="17"/>
    <n v="4"/>
    <x v="1"/>
    <x v="0"/>
    <n v="1"/>
    <n v="0"/>
  </r>
  <r>
    <x v="6"/>
    <x v="2"/>
    <s v="2.1-2.2"/>
    <x v="7"/>
    <n v="2"/>
    <x v="30"/>
    <n v="2"/>
    <n v="198"/>
    <m/>
    <n v="1.0101010101010102"/>
    <n v="17"/>
    <n v="4"/>
    <x v="1"/>
    <x v="0"/>
    <n v="1"/>
    <n v="0"/>
  </r>
  <r>
    <x v="6"/>
    <x v="2"/>
    <s v="2.2-2.3"/>
    <x v="8"/>
    <n v="2"/>
    <x v="1"/>
    <n v="4"/>
    <n v="198"/>
    <m/>
    <n v="2.0202020202020203"/>
    <n v="17"/>
    <n v="4"/>
    <x v="1"/>
    <x v="0"/>
    <n v="0"/>
    <n v="1"/>
  </r>
  <r>
    <x v="6"/>
    <x v="2"/>
    <s v="2.3-2.4"/>
    <x v="9"/>
    <n v="2"/>
    <x v="2"/>
    <n v="3"/>
    <n v="200"/>
    <m/>
    <n v="1.5"/>
    <n v="17"/>
    <n v="4"/>
    <x v="1"/>
    <x v="0"/>
    <n v="0"/>
    <n v="1"/>
  </r>
  <r>
    <x v="6"/>
    <x v="2"/>
    <s v="2.4-2.5"/>
    <x v="10"/>
    <n v="2"/>
    <x v="12"/>
    <n v="0"/>
    <n v="200"/>
    <m/>
    <n v="0"/>
    <n v="17"/>
    <n v="4"/>
    <x v="2"/>
    <x v="0"/>
    <n v="0"/>
    <n v="1"/>
  </r>
  <r>
    <x v="6"/>
    <x v="2"/>
    <s v="2.5-2.6"/>
    <x v="11"/>
    <n v="2"/>
    <x v="1"/>
    <n v="4"/>
    <n v="198"/>
    <m/>
    <n v="2.0202020202020203"/>
    <n v="17"/>
    <n v="4"/>
    <x v="1"/>
    <x v="0"/>
    <n v="0"/>
    <n v="1"/>
  </r>
  <r>
    <x v="6"/>
    <x v="2"/>
    <s v="2.6-2.7"/>
    <x v="12"/>
    <n v="2"/>
    <x v="1"/>
    <n v="3"/>
    <n v="198"/>
    <m/>
    <n v="1.5151515151515151"/>
    <n v="17"/>
    <n v="4"/>
    <x v="1"/>
    <x v="0"/>
    <n v="0"/>
    <n v="1"/>
  </r>
  <r>
    <x v="6"/>
    <x v="2"/>
    <s v="2.6-2.7"/>
    <x v="12"/>
    <n v="2"/>
    <x v="6"/>
    <n v="4"/>
    <n v="198"/>
    <m/>
    <n v="2.0202020202020203"/>
    <n v="17"/>
    <n v="4"/>
    <x v="1"/>
    <x v="0"/>
    <n v="1"/>
    <n v="0"/>
  </r>
  <r>
    <x v="6"/>
    <x v="2"/>
    <s v="2.7-2.0"/>
    <x v="13"/>
    <n v="2"/>
    <x v="4"/>
    <n v="7"/>
    <n v="77"/>
    <m/>
    <n v="9.0909090909090917"/>
    <n v="17"/>
    <n v="4"/>
    <x v="1"/>
    <x v="0"/>
    <n v="1"/>
    <n v="1"/>
  </r>
  <r>
    <x v="6"/>
    <x v="2"/>
    <s v="3.1-3.2"/>
    <x v="14"/>
    <n v="3"/>
    <x v="10"/>
    <n v="5"/>
    <n v="200"/>
    <m/>
    <n v="2.5"/>
    <n v="17"/>
    <n v="4"/>
    <x v="1"/>
    <x v="0"/>
    <n v="0"/>
    <n v="1"/>
  </r>
  <r>
    <x v="6"/>
    <x v="2"/>
    <s v="3.1-3.2"/>
    <x v="14"/>
    <n v="3"/>
    <x v="1"/>
    <n v="1"/>
    <n v="200"/>
    <m/>
    <n v="0.5"/>
    <n v="17"/>
    <n v="4"/>
    <x v="1"/>
    <x v="0"/>
    <n v="0"/>
    <n v="0"/>
  </r>
  <r>
    <x v="6"/>
    <x v="2"/>
    <s v="3.1-3.2"/>
    <x v="14"/>
    <n v="3"/>
    <x v="2"/>
    <n v="4"/>
    <n v="200"/>
    <m/>
    <n v="2"/>
    <n v="17"/>
    <n v="4"/>
    <x v="1"/>
    <x v="0"/>
    <n v="0"/>
    <n v="0"/>
  </r>
  <r>
    <x v="6"/>
    <x v="2"/>
    <s v="3.1-3.2"/>
    <x v="14"/>
    <n v="3"/>
    <x v="4"/>
    <n v="2"/>
    <n v="200"/>
    <m/>
    <n v="1"/>
    <n v="17"/>
    <n v="4"/>
    <x v="1"/>
    <x v="0"/>
    <n v="0"/>
    <n v="0"/>
  </r>
  <r>
    <x v="6"/>
    <x v="2"/>
    <s v="3.2-3.3"/>
    <x v="15"/>
    <n v="3"/>
    <x v="1"/>
    <n v="8"/>
    <n v="200"/>
    <m/>
    <n v="4"/>
    <n v="17"/>
    <n v="4"/>
    <x v="1"/>
    <x v="0"/>
    <n v="0"/>
    <n v="1"/>
  </r>
  <r>
    <x v="6"/>
    <x v="2"/>
    <s v="3.2-3.3"/>
    <x v="15"/>
    <n v="3"/>
    <x v="2"/>
    <n v="6"/>
    <n v="200"/>
    <m/>
    <n v="3"/>
    <n v="17"/>
    <n v="4"/>
    <x v="1"/>
    <x v="0"/>
    <n v="0"/>
    <n v="0"/>
  </r>
  <r>
    <x v="6"/>
    <x v="2"/>
    <s v="3.2-3.3"/>
    <x v="15"/>
    <n v="3"/>
    <x v="6"/>
    <n v="4"/>
    <n v="200"/>
    <m/>
    <n v="2"/>
    <n v="17"/>
    <n v="4"/>
    <x v="1"/>
    <x v="0"/>
    <n v="0"/>
    <n v="0"/>
  </r>
  <r>
    <x v="6"/>
    <x v="2"/>
    <s v="3.2-3.3"/>
    <x v="15"/>
    <n v="3"/>
    <x v="4"/>
    <n v="2"/>
    <n v="200"/>
    <m/>
    <n v="1"/>
    <n v="17"/>
    <n v="4"/>
    <x v="1"/>
    <x v="0"/>
    <n v="0"/>
    <n v="0"/>
  </r>
  <r>
    <x v="6"/>
    <x v="2"/>
    <s v="3.3-3.4"/>
    <x v="16"/>
    <n v="3"/>
    <x v="1"/>
    <n v="4"/>
    <n v="200"/>
    <m/>
    <n v="2"/>
    <n v="17"/>
    <n v="4"/>
    <x v="1"/>
    <x v="0"/>
    <n v="0"/>
    <n v="1"/>
  </r>
  <r>
    <x v="6"/>
    <x v="2"/>
    <s v="3.4-3.5"/>
    <x v="17"/>
    <n v="3"/>
    <x v="1"/>
    <n v="20"/>
    <n v="200"/>
    <m/>
    <n v="10"/>
    <n v="17"/>
    <n v="4"/>
    <x v="1"/>
    <x v="0"/>
    <n v="0"/>
    <n v="1"/>
  </r>
  <r>
    <x v="6"/>
    <x v="2"/>
    <s v="3.5-3.6"/>
    <x v="18"/>
    <n v="3"/>
    <x v="1"/>
    <n v="9"/>
    <n v="200"/>
    <m/>
    <n v="4.5"/>
    <n v="17"/>
    <n v="4"/>
    <x v="1"/>
    <x v="0"/>
    <n v="0"/>
    <n v="1"/>
  </r>
  <r>
    <x v="6"/>
    <x v="2"/>
    <s v="3.6-3.7"/>
    <x v="19"/>
    <n v="3"/>
    <x v="4"/>
    <n v="14"/>
    <n v="200"/>
    <m/>
    <n v="7.0000000000000009"/>
    <n v="17"/>
    <n v="4"/>
    <x v="1"/>
    <x v="0"/>
    <n v="0"/>
    <n v="1"/>
  </r>
  <r>
    <x v="6"/>
    <x v="2"/>
    <s v="3.7-3.0"/>
    <x v="20"/>
    <n v="3"/>
    <x v="4"/>
    <n v="11"/>
    <n v="47"/>
    <m/>
    <n v="23.404255319148938"/>
    <n v="17"/>
    <n v="4"/>
    <x v="1"/>
    <x v="0"/>
    <n v="0"/>
    <n v="1"/>
  </r>
  <r>
    <x v="6"/>
    <x v="2"/>
    <s v="4.1-4.2"/>
    <x v="21"/>
    <n v="4"/>
    <x v="1"/>
    <n v="6"/>
    <n v="200"/>
    <m/>
    <n v="3"/>
    <n v="17"/>
    <n v="4"/>
    <x v="1"/>
    <x v="0"/>
    <n v="0"/>
    <n v="1"/>
  </r>
  <r>
    <x v="6"/>
    <x v="2"/>
    <s v="4.2-4.0"/>
    <x v="22"/>
    <n v="4"/>
    <x v="4"/>
    <n v="20"/>
    <n v="88"/>
    <m/>
    <n v="22.727272727272727"/>
    <n v="17"/>
    <n v="4"/>
    <x v="1"/>
    <x v="0"/>
    <n v="0"/>
    <n v="1"/>
  </r>
  <r>
    <x v="6"/>
    <x v="2"/>
    <s v="5.1-5.0"/>
    <x v="28"/>
    <n v="5"/>
    <x v="1"/>
    <n v="4"/>
    <n v="164"/>
    <m/>
    <n v="2.4390243902439024"/>
    <n v="17"/>
    <n v="4"/>
    <x v="1"/>
    <x v="0"/>
    <n v="0"/>
    <n v="1"/>
  </r>
  <r>
    <x v="6"/>
    <x v="2"/>
    <s v="5.1-5.0"/>
    <x v="28"/>
    <n v="5"/>
    <x v="4"/>
    <n v="56"/>
    <n v="164"/>
    <m/>
    <n v="34.146341463414636"/>
    <n v="17"/>
    <n v="4"/>
    <x v="1"/>
    <x v="0"/>
    <n v="0"/>
    <n v="0"/>
  </r>
  <r>
    <x v="6"/>
    <x v="2"/>
    <s v="5.1-5.0"/>
    <x v="28"/>
    <n v="5"/>
    <x v="29"/>
    <n v="2"/>
    <n v="164"/>
    <m/>
    <n v="1.2195121951219512"/>
    <n v="17"/>
    <n v="4"/>
    <x v="1"/>
    <x v="0"/>
    <n v="1"/>
    <n v="0"/>
  </r>
  <r>
    <x v="7"/>
    <x v="0"/>
    <m/>
    <x v="1"/>
    <n v="1"/>
    <x v="14"/>
    <n v="2"/>
    <n v="200"/>
    <m/>
    <n v="1"/>
    <n v="11.5"/>
    <n v="11"/>
    <x v="0"/>
    <x v="0"/>
    <n v="1"/>
    <n v="1"/>
  </r>
  <r>
    <x v="7"/>
    <x v="0"/>
    <m/>
    <x v="1"/>
    <n v="1"/>
    <x v="0"/>
    <n v="10"/>
    <n v="119"/>
    <m/>
    <n v="8.4033613445378155"/>
    <n v="11.5"/>
    <n v="11"/>
    <x v="0"/>
    <x v="0"/>
    <n v="1"/>
    <n v="0"/>
  </r>
  <r>
    <x v="7"/>
    <x v="0"/>
    <m/>
    <x v="1"/>
    <n v="1"/>
    <x v="0"/>
    <n v="51"/>
    <n v="200"/>
    <m/>
    <n v="25.5"/>
    <n v="11.5"/>
    <n v="11"/>
    <x v="0"/>
    <x v="0"/>
    <n v="0"/>
    <n v="0"/>
  </r>
  <r>
    <x v="7"/>
    <x v="0"/>
    <m/>
    <x v="1"/>
    <n v="1"/>
    <x v="31"/>
    <n v="2"/>
    <n v="119"/>
    <m/>
    <n v="1.680672268907563"/>
    <n v="11.5"/>
    <n v="11"/>
    <x v="1"/>
    <x v="0"/>
    <n v="1"/>
    <n v="0"/>
  </r>
  <r>
    <x v="7"/>
    <x v="0"/>
    <m/>
    <x v="7"/>
    <n v="2"/>
    <x v="0"/>
    <n v="12"/>
    <n v="150"/>
    <m/>
    <n v="8"/>
    <n v="11.5"/>
    <n v="11"/>
    <x v="0"/>
    <x v="0"/>
    <n v="0"/>
    <n v="1"/>
  </r>
  <r>
    <x v="7"/>
    <x v="0"/>
    <m/>
    <x v="7"/>
    <n v="2"/>
    <x v="31"/>
    <n v="1"/>
    <n v="150"/>
    <m/>
    <n v="0.66666666666666674"/>
    <n v="11.5"/>
    <n v="11"/>
    <x v="1"/>
    <x v="0"/>
    <n v="0"/>
    <n v="0"/>
  </r>
  <r>
    <x v="7"/>
    <x v="0"/>
    <m/>
    <x v="7"/>
    <n v="2"/>
    <x v="1"/>
    <n v="3"/>
    <n v="150"/>
    <m/>
    <n v="2"/>
    <n v="11.5"/>
    <n v="11"/>
    <x v="1"/>
    <x v="0"/>
    <n v="1"/>
    <n v="0"/>
  </r>
  <r>
    <x v="7"/>
    <x v="0"/>
    <m/>
    <x v="8"/>
    <n v="2"/>
    <x v="0"/>
    <n v="10"/>
    <n v="200"/>
    <m/>
    <n v="5"/>
    <n v="11.5"/>
    <n v="11"/>
    <x v="0"/>
    <x v="0"/>
    <n v="0"/>
    <n v="1"/>
  </r>
  <r>
    <x v="7"/>
    <x v="0"/>
    <m/>
    <x v="8"/>
    <n v="2"/>
    <x v="3"/>
    <n v="1"/>
    <n v="200"/>
    <m/>
    <n v="0.5"/>
    <n v="11.5"/>
    <n v="11"/>
    <x v="1"/>
    <x v="0"/>
    <n v="1"/>
    <n v="0"/>
  </r>
  <r>
    <x v="7"/>
    <x v="0"/>
    <m/>
    <x v="14"/>
    <n v="3"/>
    <x v="0"/>
    <n v="23"/>
    <n v="200"/>
    <m/>
    <n v="11.5"/>
    <n v="11.5"/>
    <n v="11"/>
    <x v="0"/>
    <x v="0"/>
    <n v="0"/>
    <n v="1"/>
  </r>
  <r>
    <x v="7"/>
    <x v="0"/>
    <m/>
    <x v="14"/>
    <n v="3"/>
    <x v="1"/>
    <n v="3"/>
    <n v="200"/>
    <m/>
    <n v="1.5"/>
    <n v="11.5"/>
    <n v="11"/>
    <x v="1"/>
    <x v="0"/>
    <n v="0"/>
    <n v="0"/>
  </r>
  <r>
    <x v="7"/>
    <x v="0"/>
    <m/>
    <x v="15"/>
    <n v="3"/>
    <x v="0"/>
    <n v="47"/>
    <n v="200"/>
    <m/>
    <n v="23.5"/>
    <n v="11.5"/>
    <n v="11"/>
    <x v="0"/>
    <x v="0"/>
    <n v="0"/>
    <n v="1"/>
  </r>
  <r>
    <x v="7"/>
    <x v="0"/>
    <m/>
    <x v="21"/>
    <n v="4"/>
    <x v="0"/>
    <n v="24"/>
    <n v="200"/>
    <m/>
    <n v="12"/>
    <n v="11.5"/>
    <n v="11"/>
    <x v="0"/>
    <x v="0"/>
    <n v="0"/>
    <n v="1"/>
  </r>
  <r>
    <x v="7"/>
    <x v="0"/>
    <m/>
    <x v="21"/>
    <n v="4"/>
    <x v="31"/>
    <n v="1"/>
    <n v="200"/>
    <m/>
    <n v="0.5"/>
    <n v="11.5"/>
    <n v="11"/>
    <x v="1"/>
    <x v="0"/>
    <n v="0"/>
    <n v="0"/>
  </r>
  <r>
    <x v="7"/>
    <x v="0"/>
    <m/>
    <x v="28"/>
    <n v="5"/>
    <x v="0"/>
    <n v="38"/>
    <n v="200"/>
    <m/>
    <n v="19"/>
    <n v="11.5"/>
    <n v="11"/>
    <x v="0"/>
    <x v="0"/>
    <n v="0"/>
    <n v="1"/>
  </r>
  <r>
    <x v="7"/>
    <x v="0"/>
    <m/>
    <x v="28"/>
    <n v="5"/>
    <x v="31"/>
    <n v="1"/>
    <n v="200"/>
    <m/>
    <n v="0.5"/>
    <n v="11.5"/>
    <n v="11"/>
    <x v="1"/>
    <x v="0"/>
    <n v="0"/>
    <n v="0"/>
  </r>
  <r>
    <x v="7"/>
    <x v="0"/>
    <m/>
    <x v="29"/>
    <n v="5"/>
    <x v="0"/>
    <n v="63"/>
    <n v="200"/>
    <m/>
    <n v="31.5"/>
    <n v="11.5"/>
    <n v="11"/>
    <x v="0"/>
    <x v="0"/>
    <n v="0"/>
    <n v="1"/>
  </r>
  <r>
    <x v="7"/>
    <x v="0"/>
    <m/>
    <x v="29"/>
    <n v="5"/>
    <x v="31"/>
    <n v="2"/>
    <n v="200"/>
    <m/>
    <n v="1"/>
    <n v="11.5"/>
    <n v="11"/>
    <x v="1"/>
    <x v="0"/>
    <n v="0"/>
    <n v="0"/>
  </r>
  <r>
    <x v="7"/>
    <x v="0"/>
    <m/>
    <x v="35"/>
    <n v="6"/>
    <x v="0"/>
    <n v="14"/>
    <n v="200"/>
    <m/>
    <n v="7.0000000000000009"/>
    <n v="11.5"/>
    <n v="11"/>
    <x v="0"/>
    <x v="0"/>
    <n v="0"/>
    <n v="1"/>
  </r>
  <r>
    <x v="7"/>
    <x v="0"/>
    <m/>
    <x v="36"/>
    <n v="6"/>
    <x v="0"/>
    <n v="10"/>
    <n v="200"/>
    <m/>
    <n v="5"/>
    <n v="11.5"/>
    <n v="11"/>
    <x v="0"/>
    <x v="0"/>
    <n v="0"/>
    <n v="1"/>
  </r>
  <r>
    <x v="7"/>
    <x v="0"/>
    <m/>
    <x v="42"/>
    <n v="7"/>
    <x v="0"/>
    <n v="21"/>
    <n v="200"/>
    <m/>
    <n v="10.5"/>
    <n v="11.5"/>
    <n v="11"/>
    <x v="0"/>
    <x v="0"/>
    <n v="0"/>
    <n v="1"/>
  </r>
  <r>
    <x v="7"/>
    <x v="0"/>
    <m/>
    <x v="43"/>
    <n v="7"/>
    <x v="0"/>
    <n v="9"/>
    <n v="200"/>
    <m/>
    <n v="4.5"/>
    <n v="11.5"/>
    <n v="11"/>
    <x v="0"/>
    <x v="0"/>
    <n v="0"/>
    <n v="1"/>
  </r>
  <r>
    <x v="7"/>
    <x v="0"/>
    <m/>
    <x v="49"/>
    <n v="8"/>
    <x v="0"/>
    <n v="6"/>
    <n v="200"/>
    <m/>
    <n v="3"/>
    <n v="11.5"/>
    <n v="11"/>
    <x v="0"/>
    <x v="0"/>
    <n v="0"/>
    <n v="1"/>
  </r>
  <r>
    <x v="7"/>
    <x v="0"/>
    <m/>
    <x v="49"/>
    <n v="8"/>
    <x v="31"/>
    <n v="1"/>
    <n v="200"/>
    <m/>
    <n v="0.5"/>
    <n v="11.5"/>
    <n v="11"/>
    <x v="1"/>
    <x v="0"/>
    <n v="0"/>
    <n v="0"/>
  </r>
  <r>
    <x v="7"/>
    <x v="0"/>
    <m/>
    <x v="49"/>
    <n v="8"/>
    <x v="1"/>
    <n v="1"/>
    <n v="200"/>
    <m/>
    <n v="0.5"/>
    <n v="11.5"/>
    <n v="11"/>
    <x v="1"/>
    <x v="0"/>
    <n v="0"/>
    <n v="0"/>
  </r>
  <r>
    <x v="7"/>
    <x v="0"/>
    <m/>
    <x v="49"/>
    <n v="8"/>
    <x v="7"/>
    <n v="1"/>
    <n v="200"/>
    <m/>
    <n v="0.5"/>
    <n v="11.5"/>
    <n v="11"/>
    <x v="1"/>
    <x v="0"/>
    <n v="1"/>
    <n v="0"/>
  </r>
  <r>
    <x v="7"/>
    <x v="0"/>
    <m/>
    <x v="49"/>
    <n v="8"/>
    <x v="3"/>
    <n v="2"/>
    <n v="200"/>
    <m/>
    <n v="1"/>
    <n v="11.5"/>
    <n v="11"/>
    <x v="1"/>
    <x v="0"/>
    <n v="0"/>
    <n v="0"/>
  </r>
  <r>
    <x v="7"/>
    <x v="0"/>
    <m/>
    <x v="50"/>
    <n v="8"/>
    <x v="0"/>
    <n v="10"/>
    <n v="200"/>
    <m/>
    <n v="5"/>
    <n v="11.5"/>
    <n v="11"/>
    <x v="0"/>
    <x v="0"/>
    <n v="0"/>
    <n v="1"/>
  </r>
  <r>
    <x v="7"/>
    <x v="0"/>
    <m/>
    <x v="55"/>
    <n v="9"/>
    <x v="0"/>
    <n v="39"/>
    <n v="200"/>
    <m/>
    <n v="19.5"/>
    <n v="11.5"/>
    <n v="11"/>
    <x v="0"/>
    <x v="0"/>
    <n v="0"/>
    <n v="1"/>
  </r>
  <r>
    <x v="7"/>
    <x v="0"/>
    <m/>
    <x v="55"/>
    <n v="9"/>
    <x v="1"/>
    <n v="13"/>
    <n v="200"/>
    <m/>
    <n v="6.5"/>
    <n v="11.5"/>
    <n v="11"/>
    <x v="1"/>
    <x v="0"/>
    <n v="0"/>
    <n v="0"/>
  </r>
  <r>
    <x v="7"/>
    <x v="0"/>
    <m/>
    <x v="56"/>
    <n v="9"/>
    <x v="0"/>
    <n v="36"/>
    <n v="200"/>
    <m/>
    <n v="18"/>
    <n v="11.5"/>
    <n v="11"/>
    <x v="0"/>
    <x v="0"/>
    <n v="0"/>
    <n v="1"/>
  </r>
  <r>
    <x v="7"/>
    <x v="0"/>
    <m/>
    <x v="57"/>
    <n v="10"/>
    <x v="0"/>
    <n v="5"/>
    <n v="200"/>
    <m/>
    <n v="2.5"/>
    <n v="11.5"/>
    <n v="11"/>
    <x v="0"/>
    <x v="0"/>
    <n v="0"/>
    <n v="1"/>
  </r>
  <r>
    <x v="7"/>
    <x v="0"/>
    <m/>
    <x v="58"/>
    <n v="10"/>
    <x v="0"/>
    <n v="4"/>
    <n v="200"/>
    <m/>
    <n v="2"/>
    <n v="11.5"/>
    <n v="11"/>
    <x v="0"/>
    <x v="0"/>
    <n v="0"/>
    <n v="1"/>
  </r>
  <r>
    <x v="7"/>
    <x v="1"/>
    <s v="1.1-1.0"/>
    <x v="0"/>
    <n v="1"/>
    <x v="0"/>
    <n v="6"/>
    <n v="120"/>
    <m/>
    <n v="5"/>
    <n v="11.5"/>
    <n v="11"/>
    <x v="0"/>
    <x v="0"/>
    <n v="1"/>
    <n v="1"/>
  </r>
  <r>
    <x v="7"/>
    <x v="1"/>
    <s v="1.1-1.0"/>
    <x v="0"/>
    <n v="1"/>
    <x v="31"/>
    <n v="4"/>
    <n v="120"/>
    <m/>
    <n v="3.3333333333333335"/>
    <n v="11.5"/>
    <n v="11"/>
    <x v="1"/>
    <x v="0"/>
    <n v="1"/>
    <n v="0"/>
  </r>
  <r>
    <x v="7"/>
    <x v="1"/>
    <s v="1.2-1.0"/>
    <x v="1"/>
    <n v="1"/>
    <x v="0"/>
    <n v="61"/>
    <n v="200"/>
    <m/>
    <n v="30.5"/>
    <n v="11.5"/>
    <n v="11"/>
    <x v="0"/>
    <x v="0"/>
    <n v="0"/>
    <n v="1"/>
  </r>
  <r>
    <x v="7"/>
    <x v="1"/>
    <s v="2.1-2.0"/>
    <x v="7"/>
    <n v="2"/>
    <x v="1"/>
    <n v="3"/>
    <n v="149"/>
    <m/>
    <n v="2.0134228187919461"/>
    <n v="11.5"/>
    <n v="11"/>
    <x v="1"/>
    <x v="0"/>
    <n v="1"/>
    <n v="1"/>
  </r>
  <r>
    <x v="7"/>
    <x v="1"/>
    <s v="2.1-2.0"/>
    <x v="7"/>
    <n v="2"/>
    <x v="0"/>
    <n v="38"/>
    <n v="149"/>
    <m/>
    <n v="25.503355704697988"/>
    <n v="11.5"/>
    <n v="11"/>
    <x v="0"/>
    <x v="0"/>
    <n v="0"/>
    <n v="0"/>
  </r>
  <r>
    <x v="7"/>
    <x v="1"/>
    <s v="2.1-2.0"/>
    <x v="7"/>
    <n v="2"/>
    <x v="31"/>
    <n v="3"/>
    <n v="149"/>
    <m/>
    <n v="2.0134228187919461"/>
    <n v="11.5"/>
    <n v="11"/>
    <x v="1"/>
    <x v="0"/>
    <n v="0"/>
    <n v="0"/>
  </r>
  <r>
    <x v="7"/>
    <x v="1"/>
    <s v="2.2-2.0"/>
    <x v="8"/>
    <n v="2"/>
    <x v="0"/>
    <n v="27"/>
    <n v="200"/>
    <m/>
    <n v="13.5"/>
    <n v="11.5"/>
    <n v="11"/>
    <x v="0"/>
    <x v="0"/>
    <n v="0"/>
    <n v="1"/>
  </r>
  <r>
    <x v="7"/>
    <x v="1"/>
    <s v="3.1-3.0"/>
    <x v="14"/>
    <n v="3"/>
    <x v="0"/>
    <n v="40"/>
    <n v="200"/>
    <m/>
    <n v="20"/>
    <n v="11.5"/>
    <n v="11"/>
    <x v="0"/>
    <x v="0"/>
    <n v="0"/>
    <n v="1"/>
  </r>
  <r>
    <x v="7"/>
    <x v="1"/>
    <s v="3.2-3.0"/>
    <x v="15"/>
    <n v="3"/>
    <x v="0"/>
    <n v="60"/>
    <n v="200"/>
    <m/>
    <n v="30"/>
    <n v="11.5"/>
    <n v="11"/>
    <x v="0"/>
    <x v="0"/>
    <n v="0"/>
    <n v="1"/>
  </r>
  <r>
    <x v="7"/>
    <x v="1"/>
    <s v="3.2-3.0"/>
    <x v="15"/>
    <n v="3"/>
    <x v="3"/>
    <n v="1"/>
    <n v="200"/>
    <m/>
    <n v="0.5"/>
    <n v="11.5"/>
    <n v="11"/>
    <x v="1"/>
    <x v="0"/>
    <n v="1"/>
    <n v="0"/>
  </r>
  <r>
    <x v="7"/>
    <x v="1"/>
    <s v="4.1-4.0"/>
    <x v="21"/>
    <n v="4"/>
    <x v="1"/>
    <n v="1"/>
    <n v="200"/>
    <m/>
    <n v="0.5"/>
    <n v="11.5"/>
    <n v="11"/>
    <x v="1"/>
    <x v="0"/>
    <n v="0"/>
    <n v="1"/>
  </r>
  <r>
    <x v="7"/>
    <x v="1"/>
    <s v="4.1-4.0"/>
    <x v="21"/>
    <n v="4"/>
    <x v="0"/>
    <n v="81"/>
    <n v="200"/>
    <m/>
    <n v="40.5"/>
    <n v="11.5"/>
    <n v="11"/>
    <x v="0"/>
    <x v="0"/>
    <n v="0"/>
    <n v="0"/>
  </r>
  <r>
    <x v="7"/>
    <x v="1"/>
    <s v="4.1-4.0"/>
    <x v="21"/>
    <n v="4"/>
    <x v="2"/>
    <n v="1"/>
    <n v="200"/>
    <m/>
    <n v="0.5"/>
    <n v="11.5"/>
    <n v="11"/>
    <x v="1"/>
    <x v="0"/>
    <n v="1"/>
    <n v="0"/>
  </r>
  <r>
    <x v="7"/>
    <x v="1"/>
    <s v="4.1-4.0"/>
    <x v="21"/>
    <n v="4"/>
    <x v="31"/>
    <n v="6"/>
    <n v="200"/>
    <m/>
    <n v="3"/>
    <n v="11.5"/>
    <n v="11"/>
    <x v="1"/>
    <x v="0"/>
    <n v="0"/>
    <n v="0"/>
  </r>
  <r>
    <x v="7"/>
    <x v="1"/>
    <s v="5.1-5.2"/>
    <x v="28"/>
    <n v="5"/>
    <x v="0"/>
    <n v="19"/>
    <n v="200"/>
    <m/>
    <n v="9.5"/>
    <n v="11.5"/>
    <n v="11"/>
    <x v="0"/>
    <x v="0"/>
    <n v="0"/>
    <n v="1"/>
  </r>
  <r>
    <x v="7"/>
    <x v="1"/>
    <s v="5.2-5.0"/>
    <x v="29"/>
    <n v="5"/>
    <x v="0"/>
    <n v="32"/>
    <n v="200"/>
    <m/>
    <n v="16"/>
    <n v="11.5"/>
    <n v="11"/>
    <x v="0"/>
    <x v="0"/>
    <n v="0"/>
    <n v="1"/>
  </r>
  <r>
    <x v="7"/>
    <x v="1"/>
    <s v="5.2-5.0"/>
    <x v="29"/>
    <n v="5"/>
    <x v="2"/>
    <n v="3"/>
    <n v="200"/>
    <m/>
    <n v="1.5"/>
    <n v="11.5"/>
    <n v="11"/>
    <x v="1"/>
    <x v="0"/>
    <n v="0"/>
    <n v="0"/>
  </r>
  <r>
    <x v="7"/>
    <x v="1"/>
    <s v="5.2-5.0"/>
    <x v="29"/>
    <n v="5"/>
    <x v="10"/>
    <n v="2"/>
    <n v="200"/>
    <m/>
    <n v="1"/>
    <n v="11.5"/>
    <n v="11"/>
    <x v="1"/>
    <x v="0"/>
    <n v="1"/>
    <n v="0"/>
  </r>
  <r>
    <x v="7"/>
    <x v="1"/>
    <s v="6.1-6.2"/>
    <x v="35"/>
    <n v="6"/>
    <x v="0"/>
    <n v="82"/>
    <n v="200"/>
    <m/>
    <n v="41"/>
    <n v="11.5"/>
    <n v="11"/>
    <x v="0"/>
    <x v="0"/>
    <n v="0"/>
    <n v="1"/>
  </r>
  <r>
    <x v="7"/>
    <x v="1"/>
    <s v="6.2-6.0"/>
    <x v="36"/>
    <n v="6"/>
    <x v="0"/>
    <n v="85"/>
    <n v="200"/>
    <m/>
    <n v="42.5"/>
    <n v="11.5"/>
    <n v="11"/>
    <x v="0"/>
    <x v="0"/>
    <n v="0"/>
    <n v="1"/>
  </r>
  <r>
    <x v="7"/>
    <x v="1"/>
    <s v="6.2-6.0"/>
    <x v="36"/>
    <n v="6"/>
    <x v="32"/>
    <n v="1"/>
    <n v="200"/>
    <m/>
    <n v="0.5"/>
    <n v="11.5"/>
    <n v="11"/>
    <x v="1"/>
    <x v="0"/>
    <n v="1"/>
    <n v="0"/>
  </r>
  <r>
    <x v="7"/>
    <x v="1"/>
    <s v="7.1-7.2"/>
    <x v="42"/>
    <n v="7"/>
    <x v="0"/>
    <n v="39"/>
    <n v="200"/>
    <m/>
    <n v="19.5"/>
    <n v="11.5"/>
    <n v="11"/>
    <x v="0"/>
    <x v="0"/>
    <n v="0"/>
    <n v="1"/>
  </r>
  <r>
    <x v="7"/>
    <x v="1"/>
    <s v="7.2-7.0"/>
    <x v="43"/>
    <n v="7"/>
    <x v="0"/>
    <n v="29"/>
    <n v="200"/>
    <m/>
    <n v="14.499999999999998"/>
    <n v="11.5"/>
    <n v="11"/>
    <x v="0"/>
    <x v="0"/>
    <n v="0"/>
    <n v="1"/>
  </r>
  <r>
    <x v="7"/>
    <x v="1"/>
    <s v="8.1-8.2"/>
    <x v="49"/>
    <n v="8"/>
    <x v="1"/>
    <n v="3"/>
    <n v="200"/>
    <m/>
    <n v="1.5"/>
    <n v="11.5"/>
    <n v="11"/>
    <x v="1"/>
    <x v="0"/>
    <n v="0"/>
    <n v="1"/>
  </r>
  <r>
    <x v="7"/>
    <x v="1"/>
    <s v="8.1-8.2"/>
    <x v="49"/>
    <n v="8"/>
    <x v="0"/>
    <n v="21"/>
    <n v="200"/>
    <m/>
    <n v="10.5"/>
    <n v="11.5"/>
    <n v="11"/>
    <x v="0"/>
    <x v="0"/>
    <n v="0"/>
    <n v="0"/>
  </r>
  <r>
    <x v="7"/>
    <x v="1"/>
    <s v="8.1-8.2"/>
    <x v="49"/>
    <n v="8"/>
    <x v="14"/>
    <n v="1"/>
    <n v="200"/>
    <m/>
    <n v="0.5"/>
    <n v="11.5"/>
    <n v="11"/>
    <x v="0"/>
    <x v="0"/>
    <n v="1"/>
    <n v="0"/>
  </r>
  <r>
    <x v="7"/>
    <x v="1"/>
    <s v="8.1-8.2"/>
    <x v="49"/>
    <n v="8"/>
    <x v="31"/>
    <n v="4"/>
    <n v="200"/>
    <m/>
    <n v="2"/>
    <n v="11.5"/>
    <n v="11"/>
    <x v="1"/>
    <x v="0"/>
    <n v="0"/>
    <n v="0"/>
  </r>
  <r>
    <x v="7"/>
    <x v="1"/>
    <s v="8.1-8.2"/>
    <x v="49"/>
    <n v="8"/>
    <x v="7"/>
    <n v="3"/>
    <n v="200"/>
    <m/>
    <n v="1.5"/>
    <n v="11.5"/>
    <n v="11"/>
    <x v="1"/>
    <x v="0"/>
    <n v="1"/>
    <n v="0"/>
  </r>
  <r>
    <x v="7"/>
    <x v="1"/>
    <s v="8.2-8.0"/>
    <x v="50"/>
    <n v="8"/>
    <x v="0"/>
    <n v="13"/>
    <n v="200"/>
    <m/>
    <n v="6.5"/>
    <n v="11.5"/>
    <n v="11"/>
    <x v="0"/>
    <x v="0"/>
    <n v="0"/>
    <n v="1"/>
  </r>
  <r>
    <x v="7"/>
    <x v="1"/>
    <s v="9.1-9.2"/>
    <x v="55"/>
    <n v="9"/>
    <x v="1"/>
    <n v="12"/>
    <n v="200"/>
    <m/>
    <n v="6"/>
    <n v="11.5"/>
    <n v="11"/>
    <x v="1"/>
    <x v="0"/>
    <n v="0"/>
    <n v="1"/>
  </r>
  <r>
    <x v="7"/>
    <x v="1"/>
    <s v="9.1-9.2"/>
    <x v="55"/>
    <n v="9"/>
    <x v="0"/>
    <n v="44"/>
    <n v="200"/>
    <m/>
    <n v="22"/>
    <n v="11.5"/>
    <n v="11"/>
    <x v="0"/>
    <x v="0"/>
    <n v="0"/>
    <n v="0"/>
  </r>
  <r>
    <x v="7"/>
    <x v="1"/>
    <s v="9.2-9.0"/>
    <x v="56"/>
    <n v="9"/>
    <x v="0"/>
    <n v="66"/>
    <n v="200"/>
    <m/>
    <n v="33"/>
    <n v="11.5"/>
    <n v="11"/>
    <x v="0"/>
    <x v="0"/>
    <n v="0"/>
    <n v="1"/>
  </r>
  <r>
    <x v="7"/>
    <x v="1"/>
    <s v="9.2-9.0"/>
    <x v="56"/>
    <n v="9"/>
    <x v="31"/>
    <n v="4"/>
    <n v="200"/>
    <m/>
    <n v="2"/>
    <n v="11.5"/>
    <n v="11"/>
    <x v="1"/>
    <x v="0"/>
    <n v="0"/>
    <n v="0"/>
  </r>
  <r>
    <x v="7"/>
    <x v="1"/>
    <s v="10.1-10.2"/>
    <x v="57"/>
    <n v="10"/>
    <x v="0"/>
    <n v="83"/>
    <n v="200"/>
    <m/>
    <n v="41.5"/>
    <n v="11.5"/>
    <n v="11"/>
    <x v="0"/>
    <x v="0"/>
    <n v="0"/>
    <n v="1"/>
  </r>
  <r>
    <x v="7"/>
    <x v="1"/>
    <s v="10.2-10.0"/>
    <x v="58"/>
    <n v="10"/>
    <x v="0"/>
    <n v="68"/>
    <n v="200"/>
    <m/>
    <n v="34"/>
    <n v="11.5"/>
    <n v="11"/>
    <x v="0"/>
    <x v="0"/>
    <n v="0"/>
    <n v="1"/>
  </r>
  <r>
    <x v="7"/>
    <x v="1"/>
    <s v="A.1-A.2"/>
    <x v="59"/>
    <n v="11"/>
    <x v="1"/>
    <n v="11"/>
    <n v="200"/>
    <m/>
    <n v="5.5"/>
    <n v="11.5"/>
    <n v="11"/>
    <x v="1"/>
    <x v="0"/>
    <n v="0"/>
    <n v="1"/>
  </r>
  <r>
    <x v="7"/>
    <x v="1"/>
    <s v="A.1-A.2"/>
    <x v="59"/>
    <n v="11"/>
    <x v="0"/>
    <n v="26"/>
    <n v="200"/>
    <m/>
    <n v="13"/>
    <n v="11.5"/>
    <n v="11"/>
    <x v="0"/>
    <x v="0"/>
    <n v="0"/>
    <n v="0"/>
  </r>
  <r>
    <x v="7"/>
    <x v="1"/>
    <s v="A.1-A.2"/>
    <x v="59"/>
    <n v="11"/>
    <x v="4"/>
    <n v="3"/>
    <n v="200"/>
    <m/>
    <n v="1.5"/>
    <n v="11.5"/>
    <n v="11"/>
    <x v="1"/>
    <x v="0"/>
    <n v="1"/>
    <n v="0"/>
  </r>
  <r>
    <x v="7"/>
    <x v="1"/>
    <s v="A.1-A.2"/>
    <x v="59"/>
    <n v="11"/>
    <x v="31"/>
    <n v="3"/>
    <n v="200"/>
    <m/>
    <n v="1.5"/>
    <n v="11.5"/>
    <n v="11"/>
    <x v="1"/>
    <x v="0"/>
    <n v="0"/>
    <n v="0"/>
  </r>
  <r>
    <x v="7"/>
    <x v="1"/>
    <s v="A.1-A.2"/>
    <x v="59"/>
    <n v="11"/>
    <x v="19"/>
    <n v="2"/>
    <n v="200"/>
    <m/>
    <n v="1"/>
    <n v="11.5"/>
    <n v="11"/>
    <x v="1"/>
    <x v="0"/>
    <n v="1"/>
    <n v="0"/>
  </r>
  <r>
    <x v="7"/>
    <x v="1"/>
    <s v="A.2-A.0"/>
    <x v="60"/>
    <n v="12"/>
    <x v="0"/>
    <n v="15"/>
    <n v="200"/>
    <m/>
    <n v="7.5"/>
    <n v="11.5"/>
    <n v="11"/>
    <x v="0"/>
    <x v="0"/>
    <n v="0"/>
    <n v="1"/>
  </r>
  <r>
    <x v="7"/>
    <x v="2"/>
    <s v="1.1-1.0"/>
    <x v="0"/>
    <n v="1"/>
    <x v="0"/>
    <n v="5"/>
    <n v="117"/>
    <m/>
    <n v="4.2735042735042734"/>
    <n v="11.5"/>
    <n v="11"/>
    <x v="0"/>
    <x v="0"/>
    <n v="1"/>
    <n v="1"/>
  </r>
  <r>
    <x v="7"/>
    <x v="2"/>
    <s v="2.1-2.0"/>
    <x v="7"/>
    <n v="2"/>
    <x v="1"/>
    <n v="3"/>
    <n v="149"/>
    <m/>
    <n v="2.0134228187919461"/>
    <n v="11.5"/>
    <n v="11"/>
    <x v="1"/>
    <x v="0"/>
    <n v="1"/>
    <n v="1"/>
  </r>
  <r>
    <x v="7"/>
    <x v="2"/>
    <s v="2.1-2.0"/>
    <x v="7"/>
    <n v="2"/>
    <x v="31"/>
    <n v="1"/>
    <n v="149"/>
    <m/>
    <n v="0.67114093959731547"/>
    <n v="11.5"/>
    <n v="11"/>
    <x v="1"/>
    <x v="0"/>
    <n v="1"/>
    <n v="0"/>
  </r>
  <r>
    <x v="7"/>
    <x v="2"/>
    <s v="3.1-3.0"/>
    <x v="14"/>
    <n v="3"/>
    <x v="1"/>
    <n v="4"/>
    <n v="200"/>
    <m/>
    <n v="2"/>
    <n v="11.5"/>
    <n v="11"/>
    <x v="1"/>
    <x v="0"/>
    <n v="0"/>
    <n v="1"/>
  </r>
  <r>
    <x v="7"/>
    <x v="2"/>
    <s v="3.1-3.0"/>
    <x v="14"/>
    <n v="3"/>
    <x v="0"/>
    <n v="3"/>
    <n v="200"/>
    <m/>
    <n v="1.5"/>
    <n v="11.5"/>
    <n v="11"/>
    <x v="0"/>
    <x v="0"/>
    <n v="0"/>
    <n v="0"/>
  </r>
  <r>
    <x v="7"/>
    <x v="2"/>
    <s v="4.1-4.0"/>
    <x v="21"/>
    <n v="4"/>
    <x v="2"/>
    <n v="2"/>
    <n v="200"/>
    <m/>
    <n v="1"/>
    <n v="11.5"/>
    <n v="11"/>
    <x v="1"/>
    <x v="0"/>
    <n v="1"/>
    <n v="1"/>
  </r>
  <r>
    <x v="7"/>
    <x v="2"/>
    <s v="4.1-4.0"/>
    <x v="21"/>
    <n v="4"/>
    <x v="0"/>
    <n v="14"/>
    <n v="200"/>
    <m/>
    <n v="7.0000000000000009"/>
    <n v="11.5"/>
    <n v="11"/>
    <x v="0"/>
    <x v="0"/>
    <n v="0"/>
    <n v="0"/>
  </r>
  <r>
    <x v="7"/>
    <x v="2"/>
    <s v="5.1-5.2"/>
    <x v="28"/>
    <n v="5"/>
    <x v="1"/>
    <n v="3"/>
    <n v="200"/>
    <m/>
    <n v="1.5"/>
    <n v="11.5"/>
    <n v="11"/>
    <x v="1"/>
    <x v="0"/>
    <n v="0"/>
    <n v="1"/>
  </r>
  <r>
    <x v="7"/>
    <x v="2"/>
    <s v="5.1-5.2"/>
    <x v="28"/>
    <n v="5"/>
    <x v="0"/>
    <n v="11"/>
    <n v="200"/>
    <m/>
    <n v="5.5"/>
    <n v="11.5"/>
    <n v="11"/>
    <x v="0"/>
    <x v="0"/>
    <n v="0"/>
    <n v="0"/>
  </r>
  <r>
    <x v="7"/>
    <x v="2"/>
    <s v="5.1-5.2"/>
    <x v="28"/>
    <n v="5"/>
    <x v="31"/>
    <n v="1"/>
    <n v="200"/>
    <m/>
    <n v="0.5"/>
    <n v="11.5"/>
    <n v="11"/>
    <x v="1"/>
    <x v="0"/>
    <n v="0"/>
    <n v="0"/>
  </r>
  <r>
    <x v="7"/>
    <x v="2"/>
    <s v="5.2-5.0"/>
    <x v="29"/>
    <n v="5"/>
    <x v="2"/>
    <n v="7"/>
    <n v="200"/>
    <m/>
    <n v="3.5000000000000004"/>
    <n v="11.5"/>
    <n v="11"/>
    <x v="1"/>
    <x v="0"/>
    <n v="0"/>
    <n v="1"/>
  </r>
  <r>
    <x v="7"/>
    <x v="2"/>
    <s v="5.2-5.0"/>
    <x v="29"/>
    <n v="5"/>
    <x v="10"/>
    <n v="2"/>
    <n v="200"/>
    <m/>
    <n v="1"/>
    <n v="11.5"/>
    <n v="11"/>
    <x v="1"/>
    <x v="0"/>
    <n v="1"/>
    <n v="0"/>
  </r>
  <r>
    <x v="7"/>
    <x v="2"/>
    <s v="5.2-5.0"/>
    <x v="29"/>
    <n v="5"/>
    <x v="0"/>
    <n v="17"/>
    <n v="200"/>
    <m/>
    <n v="8.5"/>
    <n v="11.5"/>
    <n v="11"/>
    <x v="0"/>
    <x v="0"/>
    <n v="0"/>
    <n v="0"/>
  </r>
  <r>
    <x v="7"/>
    <x v="2"/>
    <s v="6.1-6.2"/>
    <x v="35"/>
    <n v="6"/>
    <x v="0"/>
    <n v="12"/>
    <n v="200"/>
    <m/>
    <n v="6"/>
    <n v="11.5"/>
    <n v="11"/>
    <x v="0"/>
    <x v="0"/>
    <n v="0"/>
    <n v="1"/>
  </r>
  <r>
    <x v="7"/>
    <x v="2"/>
    <s v="6.2-6.0"/>
    <x v="36"/>
    <n v="6"/>
    <x v="0"/>
    <n v="18"/>
    <n v="200"/>
    <m/>
    <n v="9"/>
    <n v="11.5"/>
    <n v="11"/>
    <x v="0"/>
    <x v="0"/>
    <n v="0"/>
    <n v="1"/>
  </r>
  <r>
    <x v="7"/>
    <x v="2"/>
    <s v="7.1-7.2"/>
    <x v="42"/>
    <n v="7"/>
    <x v="28"/>
    <n v="2"/>
    <n v="200"/>
    <m/>
    <n v="1"/>
    <n v="11.5"/>
    <n v="11"/>
    <x v="1"/>
    <x v="0"/>
    <n v="1"/>
    <n v="1"/>
  </r>
  <r>
    <x v="7"/>
    <x v="2"/>
    <s v="7.1-7.2"/>
    <x v="42"/>
    <n v="7"/>
    <x v="0"/>
    <n v="19"/>
    <n v="200"/>
    <m/>
    <n v="9.5"/>
    <n v="11.5"/>
    <n v="11"/>
    <x v="0"/>
    <x v="0"/>
    <n v="0"/>
    <n v="0"/>
  </r>
  <r>
    <x v="7"/>
    <x v="2"/>
    <s v="7.2-7.0"/>
    <x v="43"/>
    <n v="7"/>
    <x v="1"/>
    <n v="4"/>
    <n v="200"/>
    <m/>
    <n v="2"/>
    <n v="11.5"/>
    <n v="11"/>
    <x v="1"/>
    <x v="0"/>
    <n v="0"/>
    <n v="1"/>
  </r>
  <r>
    <x v="7"/>
    <x v="2"/>
    <s v="7.2-7.0"/>
    <x v="43"/>
    <n v="7"/>
    <x v="0"/>
    <n v="1"/>
    <n v="200"/>
    <m/>
    <n v="0.5"/>
    <n v="11.5"/>
    <n v="11"/>
    <x v="0"/>
    <x v="0"/>
    <n v="0"/>
    <n v="0"/>
  </r>
  <r>
    <x v="7"/>
    <x v="2"/>
    <s v="8.1-8.2"/>
    <x v="49"/>
    <n v="8"/>
    <x v="1"/>
    <n v="9"/>
    <n v="200"/>
    <m/>
    <n v="4.5"/>
    <n v="11.5"/>
    <n v="11"/>
    <x v="1"/>
    <x v="0"/>
    <n v="0"/>
    <n v="1"/>
  </r>
  <r>
    <x v="7"/>
    <x v="2"/>
    <s v="8.1-8.2"/>
    <x v="49"/>
    <n v="8"/>
    <x v="7"/>
    <n v="3"/>
    <n v="200"/>
    <m/>
    <n v="1.5"/>
    <n v="11.5"/>
    <n v="11"/>
    <x v="1"/>
    <x v="0"/>
    <n v="1"/>
    <n v="0"/>
  </r>
  <r>
    <x v="7"/>
    <x v="2"/>
    <s v="8.1-8.2"/>
    <x v="49"/>
    <n v="8"/>
    <x v="0"/>
    <n v="6"/>
    <n v="200"/>
    <m/>
    <n v="3"/>
    <n v="11.5"/>
    <n v="11"/>
    <x v="0"/>
    <x v="0"/>
    <n v="0"/>
    <n v="0"/>
  </r>
  <r>
    <x v="7"/>
    <x v="2"/>
    <s v="8.1-8.2"/>
    <x v="49"/>
    <n v="8"/>
    <x v="31"/>
    <n v="1"/>
    <n v="200"/>
    <m/>
    <n v="0.5"/>
    <n v="11.5"/>
    <n v="11"/>
    <x v="1"/>
    <x v="0"/>
    <n v="0"/>
    <n v="0"/>
  </r>
  <r>
    <x v="7"/>
    <x v="2"/>
    <s v="8.2-8.0"/>
    <x v="50"/>
    <n v="8"/>
    <x v="8"/>
    <n v="2"/>
    <n v="200"/>
    <m/>
    <n v="1"/>
    <n v="11.5"/>
    <n v="11"/>
    <x v="1"/>
    <x v="0"/>
    <n v="1"/>
    <n v="1"/>
  </r>
  <r>
    <x v="7"/>
    <x v="2"/>
    <s v="8.2-8.0"/>
    <x v="50"/>
    <n v="8"/>
    <x v="0"/>
    <n v="4"/>
    <n v="200"/>
    <m/>
    <n v="2"/>
    <n v="11.5"/>
    <n v="11"/>
    <x v="0"/>
    <x v="0"/>
    <n v="0"/>
    <n v="0"/>
  </r>
  <r>
    <x v="7"/>
    <x v="2"/>
    <s v="9.1-9.2"/>
    <x v="55"/>
    <n v="9"/>
    <x v="12"/>
    <n v="0"/>
    <n v="200"/>
    <m/>
    <n v="0"/>
    <n v="11.5"/>
    <n v="11"/>
    <x v="2"/>
    <x v="0"/>
    <n v="1"/>
    <n v="1"/>
  </r>
  <r>
    <x v="7"/>
    <x v="2"/>
    <s v="9.2-9.0"/>
    <x v="56"/>
    <n v="9"/>
    <x v="0"/>
    <n v="1"/>
    <n v="200"/>
    <m/>
    <n v="0.5"/>
    <n v="11.5"/>
    <n v="11"/>
    <x v="0"/>
    <x v="0"/>
    <n v="0"/>
    <n v="1"/>
  </r>
  <r>
    <x v="7"/>
    <x v="2"/>
    <s v="9.2-9.0"/>
    <x v="56"/>
    <n v="9"/>
    <x v="31"/>
    <n v="1"/>
    <n v="200"/>
    <m/>
    <n v="0.5"/>
    <n v="11.5"/>
    <n v="11"/>
    <x v="1"/>
    <x v="0"/>
    <n v="0"/>
    <n v="0"/>
  </r>
  <r>
    <x v="7"/>
    <x v="2"/>
    <s v="10.1-10.2"/>
    <x v="57"/>
    <n v="10"/>
    <x v="0"/>
    <n v="3"/>
    <n v="200"/>
    <m/>
    <n v="1.5"/>
    <n v="11.5"/>
    <n v="11"/>
    <x v="0"/>
    <x v="0"/>
    <n v="0"/>
    <n v="1"/>
  </r>
  <r>
    <x v="7"/>
    <x v="2"/>
    <s v="10.2-10.0"/>
    <x v="58"/>
    <n v="10"/>
    <x v="0"/>
    <n v="12"/>
    <n v="200"/>
    <m/>
    <n v="6"/>
    <n v="11.5"/>
    <n v="11"/>
    <x v="0"/>
    <x v="0"/>
    <n v="0"/>
    <n v="1"/>
  </r>
  <r>
    <x v="7"/>
    <x v="2"/>
    <s v="A1-A2"/>
    <x v="59"/>
    <n v="11"/>
    <x v="1"/>
    <n v="22"/>
    <n v="200"/>
    <m/>
    <n v="11"/>
    <n v="11.5"/>
    <n v="11"/>
    <x v="1"/>
    <x v="0"/>
    <n v="0"/>
    <n v="1"/>
  </r>
  <r>
    <x v="7"/>
    <x v="2"/>
    <s v="A1-A2"/>
    <x v="59"/>
    <n v="11"/>
    <x v="4"/>
    <n v="3"/>
    <n v="200"/>
    <m/>
    <n v="1.5"/>
    <n v="11.5"/>
    <n v="11"/>
    <x v="1"/>
    <x v="0"/>
    <n v="1"/>
    <n v="0"/>
  </r>
  <r>
    <x v="7"/>
    <x v="2"/>
    <s v="A1-A2"/>
    <x v="59"/>
    <n v="11"/>
    <x v="19"/>
    <n v="2"/>
    <n v="200"/>
    <m/>
    <n v="1"/>
    <n v="11.5"/>
    <n v="11"/>
    <x v="1"/>
    <x v="0"/>
    <n v="1"/>
    <n v="0"/>
  </r>
  <r>
    <x v="7"/>
    <x v="2"/>
    <s v="A1-A2"/>
    <x v="59"/>
    <n v="11"/>
    <x v="0"/>
    <n v="28"/>
    <n v="200"/>
    <m/>
    <n v="14.000000000000002"/>
    <n v="11.5"/>
    <n v="11"/>
    <x v="0"/>
    <x v="0"/>
    <n v="0"/>
    <n v="0"/>
  </r>
  <r>
    <x v="7"/>
    <x v="2"/>
    <s v="A1-A2"/>
    <x v="59"/>
    <n v="11"/>
    <x v="31"/>
    <n v="1"/>
    <n v="200"/>
    <m/>
    <n v="0.5"/>
    <n v="11.5"/>
    <n v="11"/>
    <x v="1"/>
    <x v="0"/>
    <n v="0"/>
    <n v="0"/>
  </r>
  <r>
    <x v="7"/>
    <x v="2"/>
    <s v="A1.2-A1.0"/>
    <x v="61"/>
    <n v="12"/>
    <x v="0"/>
    <n v="15"/>
    <n v="200"/>
    <m/>
    <n v="7.5"/>
    <n v="11.5"/>
    <n v="11"/>
    <x v="0"/>
    <x v="0"/>
    <n v="0"/>
    <n v="1"/>
  </r>
  <r>
    <x v="7"/>
    <x v="2"/>
    <s v="A1.2-A1.0"/>
    <x v="61"/>
    <n v="12"/>
    <x v="5"/>
    <n v="8"/>
    <n v="200"/>
    <m/>
    <n v="4"/>
    <n v="11.5"/>
    <n v="11"/>
    <x v="1"/>
    <x v="0"/>
    <n v="1"/>
    <n v="0"/>
  </r>
  <r>
    <x v="7"/>
    <x v="2"/>
    <s v="A2-A0"/>
    <x v="60"/>
    <n v="12"/>
    <x v="0"/>
    <n v="13"/>
    <n v="200"/>
    <m/>
    <n v="6.5"/>
    <n v="11.5"/>
    <n v="11"/>
    <x v="0"/>
    <x v="0"/>
    <n v="0"/>
    <n v="1"/>
  </r>
  <r>
    <x v="7"/>
    <x v="2"/>
    <s v="A2.2-A2.0"/>
    <x v="62"/>
    <n v="12"/>
    <x v="0"/>
    <n v="42"/>
    <n v="200"/>
    <m/>
    <n v="21"/>
    <n v="11.5"/>
    <n v="11"/>
    <x v="0"/>
    <x v="0"/>
    <n v="0"/>
    <n v="1"/>
  </r>
  <r>
    <x v="7"/>
    <x v="2"/>
    <s v="A3.2-A3.0"/>
    <x v="63"/>
    <n v="13"/>
    <x v="0"/>
    <n v="9"/>
    <n v="200"/>
    <m/>
    <n v="4.5"/>
    <n v="11.5"/>
    <n v="11"/>
    <x v="0"/>
    <x v="0"/>
    <n v="0"/>
    <n v="1"/>
  </r>
  <r>
    <x v="8"/>
    <x v="0"/>
    <m/>
    <x v="0"/>
    <n v="1"/>
    <x v="12"/>
    <n v="0"/>
    <n v="29"/>
    <m/>
    <n v="0"/>
    <n v="33"/>
    <n v="3"/>
    <x v="2"/>
    <x v="0"/>
    <n v="1"/>
    <n v="1"/>
  </r>
  <r>
    <x v="8"/>
    <x v="0"/>
    <m/>
    <x v="7"/>
    <n v="2"/>
    <x v="3"/>
    <n v="2"/>
    <n v="32"/>
    <m/>
    <n v="6.25"/>
    <n v="33"/>
    <n v="3"/>
    <x v="1"/>
    <x v="0"/>
    <n v="1"/>
    <n v="1"/>
  </r>
  <r>
    <x v="8"/>
    <x v="0"/>
    <m/>
    <x v="7"/>
    <n v="2"/>
    <x v="4"/>
    <n v="3"/>
    <n v="32"/>
    <m/>
    <n v="9.375"/>
    <n v="33"/>
    <n v="3"/>
    <x v="1"/>
    <x v="0"/>
    <n v="1"/>
    <n v="0"/>
  </r>
  <r>
    <x v="8"/>
    <x v="0"/>
    <m/>
    <x v="7"/>
    <n v="2"/>
    <x v="7"/>
    <n v="1"/>
    <n v="32"/>
    <m/>
    <n v="3.125"/>
    <n v="33"/>
    <n v="3"/>
    <x v="1"/>
    <x v="0"/>
    <n v="1"/>
    <n v="0"/>
  </r>
  <r>
    <x v="8"/>
    <x v="0"/>
    <m/>
    <x v="14"/>
    <n v="3"/>
    <x v="4"/>
    <n v="2"/>
    <n v="36"/>
    <m/>
    <n v="5.5555555555555554"/>
    <n v="33"/>
    <n v="3"/>
    <x v="1"/>
    <x v="0"/>
    <n v="0"/>
    <n v="1"/>
  </r>
  <r>
    <x v="8"/>
    <x v="0"/>
    <m/>
    <x v="21"/>
    <n v="4"/>
    <x v="4"/>
    <n v="1"/>
    <n v="40"/>
    <m/>
    <n v="2.5"/>
    <n v="33"/>
    <n v="3"/>
    <x v="1"/>
    <x v="0"/>
    <n v="0"/>
    <n v="1"/>
  </r>
  <r>
    <x v="8"/>
    <x v="0"/>
    <m/>
    <x v="21"/>
    <n v="4"/>
    <x v="0"/>
    <n v="1"/>
    <n v="40"/>
    <m/>
    <n v="2.5"/>
    <n v="33"/>
    <n v="3"/>
    <x v="0"/>
    <x v="0"/>
    <n v="1"/>
    <n v="0"/>
  </r>
  <r>
    <x v="8"/>
    <x v="0"/>
    <m/>
    <x v="28"/>
    <n v="5"/>
    <x v="4"/>
    <n v="1"/>
    <n v="44"/>
    <m/>
    <n v="2.2727272727272729"/>
    <n v="33"/>
    <n v="3"/>
    <x v="1"/>
    <x v="0"/>
    <n v="0"/>
    <n v="1"/>
  </r>
  <r>
    <x v="8"/>
    <x v="0"/>
    <m/>
    <x v="28"/>
    <n v="5"/>
    <x v="0"/>
    <n v="1"/>
    <n v="44"/>
    <m/>
    <n v="2.2727272727272729"/>
    <n v="33"/>
    <n v="3"/>
    <x v="0"/>
    <x v="0"/>
    <n v="0"/>
    <n v="0"/>
  </r>
  <r>
    <x v="8"/>
    <x v="0"/>
    <m/>
    <x v="35"/>
    <n v="6"/>
    <x v="4"/>
    <n v="5"/>
    <n v="48"/>
    <m/>
    <n v="10.416666666666668"/>
    <n v="33"/>
    <n v="3"/>
    <x v="1"/>
    <x v="0"/>
    <n v="0"/>
    <n v="1"/>
  </r>
  <r>
    <x v="8"/>
    <x v="0"/>
    <m/>
    <x v="35"/>
    <n v="6"/>
    <x v="0"/>
    <n v="1"/>
    <n v="48"/>
    <m/>
    <n v="2.083333333333333"/>
    <n v="33"/>
    <n v="3"/>
    <x v="0"/>
    <x v="0"/>
    <n v="0"/>
    <n v="0"/>
  </r>
  <r>
    <x v="8"/>
    <x v="0"/>
    <m/>
    <x v="35"/>
    <n v="6"/>
    <x v="17"/>
    <n v="1"/>
    <n v="48"/>
    <m/>
    <n v="2.083333333333333"/>
    <n v="33"/>
    <n v="3"/>
    <x v="3"/>
    <x v="0"/>
    <n v="1"/>
    <n v="0"/>
  </r>
  <r>
    <x v="8"/>
    <x v="0"/>
    <m/>
    <x v="42"/>
    <n v="7"/>
    <x v="9"/>
    <n v="2"/>
    <n v="51"/>
    <m/>
    <n v="3.9215686274509802"/>
    <n v="33"/>
    <n v="3"/>
    <x v="1"/>
    <x v="0"/>
    <n v="1"/>
    <n v="1"/>
  </r>
  <r>
    <x v="8"/>
    <x v="0"/>
    <m/>
    <x v="49"/>
    <n v="8"/>
    <x v="0"/>
    <n v="2"/>
    <n v="48"/>
    <m/>
    <n v="4.1666666666666661"/>
    <n v="33"/>
    <n v="3"/>
    <x v="0"/>
    <x v="0"/>
    <n v="0"/>
    <n v="1"/>
  </r>
  <r>
    <x v="8"/>
    <x v="0"/>
    <m/>
    <x v="55"/>
    <n v="9"/>
    <x v="4"/>
    <n v="4"/>
    <n v="42"/>
    <m/>
    <n v="9.5238095238095237"/>
    <n v="33"/>
    <n v="3"/>
    <x v="1"/>
    <x v="0"/>
    <n v="0"/>
    <n v="1"/>
  </r>
  <r>
    <x v="8"/>
    <x v="0"/>
    <m/>
    <x v="55"/>
    <n v="9"/>
    <x v="0"/>
    <n v="2"/>
    <n v="42"/>
    <m/>
    <n v="4.7619047619047619"/>
    <n v="33"/>
    <n v="3"/>
    <x v="0"/>
    <x v="0"/>
    <n v="0"/>
    <n v="0"/>
  </r>
  <r>
    <x v="8"/>
    <x v="0"/>
    <m/>
    <x v="57"/>
    <n v="10"/>
    <x v="4"/>
    <n v="2"/>
    <n v="37"/>
    <m/>
    <n v="5.4054054054054053"/>
    <n v="33"/>
    <n v="3"/>
    <x v="1"/>
    <x v="0"/>
    <n v="0"/>
    <n v="1"/>
  </r>
  <r>
    <x v="8"/>
    <x v="0"/>
    <m/>
    <x v="57"/>
    <n v="10"/>
    <x v="0"/>
    <n v="2"/>
    <n v="37"/>
    <m/>
    <n v="5.4054054054054053"/>
    <n v="33"/>
    <n v="3"/>
    <x v="0"/>
    <x v="0"/>
    <n v="0"/>
    <n v="0"/>
  </r>
  <r>
    <x v="8"/>
    <x v="0"/>
    <m/>
    <x v="57"/>
    <n v="10"/>
    <x v="17"/>
    <n v="1"/>
    <n v="37"/>
    <m/>
    <n v="2.7027027027027026"/>
    <n v="33"/>
    <n v="3"/>
    <x v="3"/>
    <x v="0"/>
    <n v="0"/>
    <n v="0"/>
  </r>
  <r>
    <x v="8"/>
    <x v="0"/>
    <m/>
    <x v="64"/>
    <n v="11"/>
    <x v="0"/>
    <n v="1"/>
    <n v="32"/>
    <m/>
    <n v="3.125"/>
    <n v="33"/>
    <n v="3"/>
    <x v="0"/>
    <x v="0"/>
    <n v="0"/>
    <n v="1"/>
  </r>
  <r>
    <x v="8"/>
    <x v="0"/>
    <m/>
    <x v="65"/>
    <n v="12"/>
    <x v="0"/>
    <n v="1"/>
    <n v="28"/>
    <m/>
    <n v="3.5714285714285712"/>
    <n v="33"/>
    <n v="3"/>
    <x v="0"/>
    <x v="0"/>
    <n v="0"/>
    <n v="1"/>
  </r>
  <r>
    <x v="8"/>
    <x v="0"/>
    <m/>
    <x v="66"/>
    <n v="13"/>
    <x v="12"/>
    <n v="0"/>
    <n v="29"/>
    <m/>
    <n v="0"/>
    <n v="33"/>
    <n v="3"/>
    <x v="2"/>
    <x v="0"/>
    <n v="0"/>
    <n v="1"/>
  </r>
  <r>
    <x v="8"/>
    <x v="0"/>
    <m/>
    <x v="67"/>
    <n v="14"/>
    <x v="0"/>
    <n v="2"/>
    <n v="23"/>
    <m/>
    <n v="8.695652173913043"/>
    <n v="33"/>
    <n v="3"/>
    <x v="0"/>
    <x v="0"/>
    <n v="0"/>
    <n v="1"/>
  </r>
  <r>
    <x v="8"/>
    <x v="0"/>
    <m/>
    <x v="68"/>
    <n v="15"/>
    <x v="12"/>
    <n v="0"/>
    <n v="18"/>
    <m/>
    <n v="0"/>
    <n v="33"/>
    <n v="3"/>
    <x v="2"/>
    <x v="0"/>
    <n v="0"/>
    <n v="1"/>
  </r>
  <r>
    <x v="8"/>
    <x v="0"/>
    <m/>
    <x v="69"/>
    <n v="16"/>
    <x v="14"/>
    <n v="2"/>
    <n v="13"/>
    <m/>
    <n v="15.384615384615385"/>
    <n v="33"/>
    <n v="3"/>
    <x v="0"/>
    <x v="0"/>
    <n v="1"/>
    <n v="1"/>
  </r>
  <r>
    <x v="8"/>
    <x v="0"/>
    <m/>
    <x v="69"/>
    <n v="16"/>
    <x v="0"/>
    <n v="2"/>
    <n v="13"/>
    <m/>
    <n v="15.384615384615385"/>
    <n v="33"/>
    <n v="3"/>
    <x v="0"/>
    <x v="0"/>
    <n v="0"/>
    <n v="0"/>
  </r>
  <r>
    <x v="8"/>
    <x v="9"/>
    <m/>
    <x v="0"/>
    <n v="1"/>
    <x v="4"/>
    <n v="1"/>
    <n v="29"/>
    <m/>
    <n v="3.4482758620689653"/>
    <n v="33"/>
    <n v="3"/>
    <x v="1"/>
    <x v="0"/>
    <n v="1"/>
    <n v="1"/>
  </r>
  <r>
    <x v="8"/>
    <x v="9"/>
    <m/>
    <x v="7"/>
    <n v="2"/>
    <x v="0"/>
    <n v="3"/>
    <n v="32"/>
    <m/>
    <n v="9.375"/>
    <n v="33"/>
    <n v="3"/>
    <x v="0"/>
    <x v="0"/>
    <n v="1"/>
    <n v="1"/>
  </r>
  <r>
    <x v="8"/>
    <x v="9"/>
    <m/>
    <x v="7"/>
    <n v="2"/>
    <x v="7"/>
    <n v="1"/>
    <n v="32"/>
    <m/>
    <n v="3.125"/>
    <n v="33"/>
    <n v="3"/>
    <x v="1"/>
    <x v="0"/>
    <n v="1"/>
    <n v="0"/>
  </r>
  <r>
    <x v="8"/>
    <x v="9"/>
    <m/>
    <x v="7"/>
    <n v="2"/>
    <x v="3"/>
    <n v="2"/>
    <n v="32"/>
    <m/>
    <n v="6.25"/>
    <n v="33"/>
    <n v="3"/>
    <x v="1"/>
    <x v="0"/>
    <n v="1"/>
    <n v="0"/>
  </r>
  <r>
    <x v="8"/>
    <x v="9"/>
    <m/>
    <x v="14"/>
    <n v="3"/>
    <x v="0"/>
    <n v="3"/>
    <n v="36"/>
    <m/>
    <n v="8.3333333333333321"/>
    <n v="33"/>
    <n v="3"/>
    <x v="0"/>
    <x v="0"/>
    <n v="0"/>
    <n v="1"/>
  </r>
  <r>
    <x v="8"/>
    <x v="9"/>
    <m/>
    <x v="21"/>
    <n v="4"/>
    <x v="0"/>
    <n v="1"/>
    <n v="40"/>
    <m/>
    <n v="2.5"/>
    <n v="33"/>
    <n v="3"/>
    <x v="0"/>
    <x v="0"/>
    <n v="0"/>
    <n v="1"/>
  </r>
  <r>
    <x v="8"/>
    <x v="9"/>
    <m/>
    <x v="21"/>
    <n v="4"/>
    <x v="4"/>
    <n v="1"/>
    <n v="40"/>
    <m/>
    <n v="2.5"/>
    <n v="33"/>
    <n v="3"/>
    <x v="1"/>
    <x v="0"/>
    <n v="0"/>
    <n v="0"/>
  </r>
  <r>
    <x v="8"/>
    <x v="9"/>
    <m/>
    <x v="21"/>
    <n v="4"/>
    <x v="3"/>
    <n v="1"/>
    <n v="40"/>
    <m/>
    <n v="2.5"/>
    <n v="33"/>
    <n v="3"/>
    <x v="1"/>
    <x v="0"/>
    <n v="0"/>
    <n v="0"/>
  </r>
  <r>
    <x v="8"/>
    <x v="9"/>
    <m/>
    <x v="28"/>
    <n v="5"/>
    <x v="0"/>
    <n v="4"/>
    <n v="44"/>
    <m/>
    <n v="9.0909090909090917"/>
    <n v="33"/>
    <n v="3"/>
    <x v="0"/>
    <x v="0"/>
    <n v="0"/>
    <n v="1"/>
  </r>
  <r>
    <x v="8"/>
    <x v="9"/>
    <m/>
    <x v="35"/>
    <n v="6"/>
    <x v="0"/>
    <n v="5"/>
    <n v="48"/>
    <m/>
    <n v="10.416666666666668"/>
    <n v="33"/>
    <n v="3"/>
    <x v="0"/>
    <x v="0"/>
    <n v="0"/>
    <n v="1"/>
  </r>
  <r>
    <x v="8"/>
    <x v="9"/>
    <m/>
    <x v="35"/>
    <n v="6"/>
    <x v="4"/>
    <n v="1"/>
    <n v="48"/>
    <m/>
    <n v="2.083333333333333"/>
    <n v="33"/>
    <n v="3"/>
    <x v="1"/>
    <x v="0"/>
    <n v="0"/>
    <n v="0"/>
  </r>
  <r>
    <x v="8"/>
    <x v="9"/>
    <m/>
    <x v="42"/>
    <n v="7"/>
    <x v="0"/>
    <n v="8"/>
    <n v="51"/>
    <m/>
    <n v="15.686274509803921"/>
    <n v="33"/>
    <n v="3"/>
    <x v="0"/>
    <x v="0"/>
    <n v="0"/>
    <n v="1"/>
  </r>
  <r>
    <x v="8"/>
    <x v="9"/>
    <m/>
    <x v="42"/>
    <n v="7"/>
    <x v="7"/>
    <n v="1"/>
    <n v="51"/>
    <m/>
    <n v="1.9607843137254901"/>
    <n v="33"/>
    <n v="3"/>
    <x v="1"/>
    <x v="0"/>
    <n v="0"/>
    <n v="0"/>
  </r>
  <r>
    <x v="8"/>
    <x v="9"/>
    <m/>
    <x v="49"/>
    <n v="8"/>
    <x v="0"/>
    <n v="9"/>
    <n v="32"/>
    <m/>
    <n v="28.125"/>
    <n v="33"/>
    <n v="3"/>
    <x v="0"/>
    <x v="0"/>
    <n v="0"/>
    <n v="1"/>
  </r>
  <r>
    <x v="8"/>
    <x v="9"/>
    <m/>
    <x v="49"/>
    <n v="8"/>
    <x v="3"/>
    <n v="2"/>
    <n v="32"/>
    <m/>
    <n v="6.25"/>
    <n v="33"/>
    <n v="3"/>
    <x v="1"/>
    <x v="0"/>
    <n v="0"/>
    <n v="0"/>
  </r>
  <r>
    <x v="8"/>
    <x v="9"/>
    <m/>
    <x v="55"/>
    <n v="9"/>
    <x v="0"/>
    <n v="2"/>
    <n v="42"/>
    <m/>
    <n v="4.7619047619047619"/>
    <n v="33"/>
    <n v="3"/>
    <x v="0"/>
    <x v="0"/>
    <n v="0"/>
    <n v="1"/>
  </r>
  <r>
    <x v="8"/>
    <x v="9"/>
    <m/>
    <x v="55"/>
    <n v="9"/>
    <x v="4"/>
    <n v="4"/>
    <n v="42"/>
    <m/>
    <n v="9.5238095238095237"/>
    <n v="33"/>
    <n v="3"/>
    <x v="1"/>
    <x v="0"/>
    <n v="0"/>
    <n v="0"/>
  </r>
  <r>
    <x v="8"/>
    <x v="9"/>
    <m/>
    <x v="55"/>
    <n v="9"/>
    <x v="3"/>
    <n v="1"/>
    <n v="42"/>
    <m/>
    <n v="2.3809523809523809"/>
    <n v="33"/>
    <n v="3"/>
    <x v="1"/>
    <x v="0"/>
    <n v="0"/>
    <n v="0"/>
  </r>
  <r>
    <x v="8"/>
    <x v="9"/>
    <m/>
    <x v="57"/>
    <n v="10"/>
    <x v="0"/>
    <n v="2"/>
    <n v="37"/>
    <m/>
    <n v="5.4054054054054053"/>
    <n v="33"/>
    <n v="3"/>
    <x v="0"/>
    <x v="0"/>
    <n v="0"/>
    <n v="1"/>
  </r>
  <r>
    <x v="8"/>
    <x v="9"/>
    <m/>
    <x v="64"/>
    <n v="11"/>
    <x v="0"/>
    <n v="6"/>
    <n v="32"/>
    <m/>
    <n v="18.75"/>
    <n v="33"/>
    <n v="3"/>
    <x v="0"/>
    <x v="0"/>
    <n v="0"/>
    <n v="1"/>
  </r>
  <r>
    <x v="8"/>
    <x v="9"/>
    <m/>
    <x v="65"/>
    <n v="12"/>
    <x v="12"/>
    <n v="0"/>
    <n v="28"/>
    <m/>
    <n v="0"/>
    <n v="33"/>
    <n v="3"/>
    <x v="2"/>
    <x v="0"/>
    <n v="1"/>
    <n v="1"/>
  </r>
  <r>
    <x v="8"/>
    <x v="9"/>
    <m/>
    <x v="66"/>
    <n v="13"/>
    <x v="0"/>
    <n v="1"/>
    <n v="29"/>
    <m/>
    <n v="3.4482758620689653"/>
    <n v="33"/>
    <n v="3"/>
    <x v="0"/>
    <x v="0"/>
    <n v="0"/>
    <n v="1"/>
  </r>
  <r>
    <x v="8"/>
    <x v="9"/>
    <m/>
    <x v="66"/>
    <n v="13"/>
    <x v="4"/>
    <n v="1"/>
    <n v="29"/>
    <m/>
    <n v="3.4482758620689653"/>
    <n v="33"/>
    <n v="3"/>
    <x v="1"/>
    <x v="0"/>
    <n v="0"/>
    <n v="0"/>
  </r>
  <r>
    <x v="8"/>
    <x v="9"/>
    <m/>
    <x v="67"/>
    <n v="14"/>
    <x v="0"/>
    <n v="1"/>
    <n v="23"/>
    <m/>
    <n v="4.3478260869565215"/>
    <n v="33"/>
    <n v="3"/>
    <x v="0"/>
    <x v="0"/>
    <n v="0"/>
    <n v="1"/>
  </r>
  <r>
    <x v="8"/>
    <x v="9"/>
    <m/>
    <x v="67"/>
    <n v="14"/>
    <x v="3"/>
    <n v="1"/>
    <n v="23"/>
    <m/>
    <n v="4.3478260869565215"/>
    <n v="33"/>
    <n v="3"/>
    <x v="1"/>
    <x v="0"/>
    <n v="0"/>
    <n v="0"/>
  </r>
  <r>
    <x v="8"/>
    <x v="9"/>
    <m/>
    <x v="68"/>
    <n v="15"/>
    <x v="0"/>
    <n v="1"/>
    <n v="18"/>
    <m/>
    <n v="5.5555555555555554"/>
    <n v="33"/>
    <n v="3"/>
    <x v="0"/>
    <x v="0"/>
    <n v="0"/>
    <n v="1"/>
  </r>
  <r>
    <x v="8"/>
    <x v="9"/>
    <m/>
    <x v="69"/>
    <n v="16"/>
    <x v="0"/>
    <n v="4"/>
    <n v="13"/>
    <m/>
    <n v="30.76923076923077"/>
    <n v="33"/>
    <n v="3"/>
    <x v="0"/>
    <x v="0"/>
    <n v="0"/>
    <n v="1"/>
  </r>
  <r>
    <x v="8"/>
    <x v="9"/>
    <m/>
    <x v="69"/>
    <n v="16"/>
    <x v="1"/>
    <n v="1"/>
    <n v="13"/>
    <m/>
    <n v="7.6923076923076925"/>
    <n v="33"/>
    <n v="3"/>
    <x v="1"/>
    <x v="0"/>
    <n v="1"/>
    <n v="0"/>
  </r>
  <r>
    <x v="8"/>
    <x v="2"/>
    <s v="1.1-1.0"/>
    <x v="0"/>
    <n v="1"/>
    <x v="4"/>
    <n v="2"/>
    <n v="29"/>
    <m/>
    <n v="6.8965517241379306"/>
    <n v="33"/>
    <n v="3"/>
    <x v="1"/>
    <x v="0"/>
    <n v="1"/>
    <n v="1"/>
  </r>
  <r>
    <x v="8"/>
    <x v="2"/>
    <s v="1.1-1.0"/>
    <x v="0"/>
    <n v="1"/>
    <x v="0"/>
    <n v="2"/>
    <n v="29"/>
    <m/>
    <n v="6.8965517241379306"/>
    <n v="33"/>
    <n v="3"/>
    <x v="0"/>
    <x v="0"/>
    <n v="1"/>
    <n v="0"/>
  </r>
  <r>
    <x v="8"/>
    <x v="2"/>
    <s v="2.1-2.0"/>
    <x v="7"/>
    <n v="2"/>
    <x v="7"/>
    <n v="2"/>
    <n v="33"/>
    <m/>
    <n v="6.0606060606060606"/>
    <n v="33"/>
    <n v="3"/>
    <x v="1"/>
    <x v="0"/>
    <n v="1"/>
    <n v="1"/>
  </r>
  <r>
    <x v="8"/>
    <x v="2"/>
    <s v="3.1-3.0"/>
    <x v="14"/>
    <n v="3"/>
    <x v="12"/>
    <n v="0"/>
    <n v="36"/>
    <m/>
    <n v="0"/>
    <n v="33"/>
    <n v="3"/>
    <x v="2"/>
    <x v="0"/>
    <n v="1"/>
    <n v="1"/>
  </r>
  <r>
    <x v="8"/>
    <x v="2"/>
    <s v="4.1-4.0"/>
    <x v="21"/>
    <n v="4"/>
    <x v="12"/>
    <n v="0"/>
    <n v="40"/>
    <m/>
    <n v="0"/>
    <n v="33"/>
    <n v="3"/>
    <x v="2"/>
    <x v="0"/>
    <n v="0"/>
    <n v="1"/>
  </r>
  <r>
    <x v="8"/>
    <x v="2"/>
    <s v="5.1-5.0"/>
    <x v="28"/>
    <n v="5"/>
    <x v="4"/>
    <n v="1"/>
    <n v="44"/>
    <m/>
    <n v="2.2727272727272729"/>
    <n v="33"/>
    <n v="3"/>
    <x v="1"/>
    <x v="0"/>
    <n v="0"/>
    <n v="1"/>
  </r>
  <r>
    <x v="8"/>
    <x v="2"/>
    <s v="6.1-6.0"/>
    <x v="35"/>
    <n v="6"/>
    <x v="12"/>
    <n v="0"/>
    <n v="48"/>
    <m/>
    <n v="0"/>
    <n v="33"/>
    <n v="3"/>
    <x v="2"/>
    <x v="0"/>
    <n v="0"/>
    <n v="1"/>
  </r>
  <r>
    <x v="8"/>
    <x v="2"/>
    <s v="7.1-7.0"/>
    <x v="42"/>
    <n v="7"/>
    <x v="33"/>
    <n v="2"/>
    <n v="52"/>
    <m/>
    <n v="3.8461538461538463"/>
    <n v="33"/>
    <n v="3"/>
    <x v="1"/>
    <x v="2"/>
    <n v="1"/>
    <n v="1"/>
  </r>
  <r>
    <x v="8"/>
    <x v="2"/>
    <s v="8.1-8.0"/>
    <x v="49"/>
    <n v="8"/>
    <x v="4"/>
    <n v="1"/>
    <n v="49"/>
    <m/>
    <n v="2.0408163265306123"/>
    <n v="33"/>
    <n v="3"/>
    <x v="1"/>
    <x v="0"/>
    <n v="0"/>
    <n v="1"/>
  </r>
  <r>
    <x v="8"/>
    <x v="2"/>
    <s v="8.1-8.0"/>
    <x v="49"/>
    <n v="8"/>
    <x v="0"/>
    <n v="1"/>
    <n v="49"/>
    <m/>
    <n v="2.0408163265306123"/>
    <n v="33"/>
    <n v="3"/>
    <x v="0"/>
    <x v="0"/>
    <n v="0"/>
    <n v="0"/>
  </r>
  <r>
    <x v="8"/>
    <x v="2"/>
    <s v="9.1-9.0"/>
    <x v="55"/>
    <n v="9"/>
    <x v="4"/>
    <n v="3"/>
    <n v="43"/>
    <m/>
    <n v="6.9767441860465116"/>
    <n v="33"/>
    <n v="3"/>
    <x v="1"/>
    <x v="0"/>
    <n v="0"/>
    <n v="1"/>
  </r>
  <r>
    <x v="8"/>
    <x v="2"/>
    <s v="9.1-9.0"/>
    <x v="55"/>
    <n v="9"/>
    <x v="0"/>
    <n v="1"/>
    <n v="43"/>
    <m/>
    <n v="2.3255813953488373"/>
    <n v="33"/>
    <n v="3"/>
    <x v="0"/>
    <x v="0"/>
    <n v="0"/>
    <n v="0"/>
  </r>
  <r>
    <x v="8"/>
    <x v="2"/>
    <s v="10.1-10.0"/>
    <x v="57"/>
    <n v="10"/>
    <x v="0"/>
    <n v="1"/>
    <n v="38"/>
    <m/>
    <n v="2.6315789473684208"/>
    <n v="33"/>
    <n v="3"/>
    <x v="0"/>
    <x v="0"/>
    <n v="0"/>
    <n v="1"/>
  </r>
  <r>
    <x v="8"/>
    <x v="2"/>
    <s v="11.1-11.0"/>
    <x v="64"/>
    <n v="11"/>
    <x v="12"/>
    <n v="0"/>
    <n v="33"/>
    <m/>
    <n v="0"/>
    <n v="33"/>
    <n v="3"/>
    <x v="2"/>
    <x v="0"/>
    <n v="0"/>
    <n v="1"/>
  </r>
  <r>
    <x v="8"/>
    <x v="2"/>
    <s v="12.1-12.0"/>
    <x v="65"/>
    <n v="12"/>
    <x v="12"/>
    <n v="0"/>
    <n v="28"/>
    <m/>
    <n v="0"/>
    <n v="33"/>
    <n v="3"/>
    <x v="2"/>
    <x v="0"/>
    <n v="0"/>
    <n v="1"/>
  </r>
  <r>
    <x v="8"/>
    <x v="2"/>
    <s v="13.1-13.0"/>
    <x v="66"/>
    <n v="13"/>
    <x v="12"/>
    <n v="0"/>
    <n v="30"/>
    <m/>
    <n v="0"/>
    <n v="33"/>
    <n v="3"/>
    <x v="2"/>
    <x v="0"/>
    <n v="0"/>
    <n v="1"/>
  </r>
  <r>
    <x v="8"/>
    <x v="2"/>
    <s v="14.1-14.0"/>
    <x v="67"/>
    <n v="14"/>
    <x v="3"/>
    <n v="1"/>
    <n v="24"/>
    <m/>
    <n v="4.1666666666666661"/>
    <n v="33"/>
    <n v="3"/>
    <x v="1"/>
    <x v="0"/>
    <n v="1"/>
    <n v="1"/>
  </r>
  <r>
    <x v="8"/>
    <x v="2"/>
    <s v="15.0-15.0"/>
    <x v="68"/>
    <n v="15"/>
    <x v="12"/>
    <n v="0"/>
    <n v="19"/>
    <m/>
    <n v="0"/>
    <n v="33"/>
    <n v="3"/>
    <x v="2"/>
    <x v="0"/>
    <n v="0"/>
    <n v="1"/>
  </r>
  <r>
    <x v="8"/>
    <x v="2"/>
    <s v="16.1-16.0"/>
    <x v="69"/>
    <n v="16"/>
    <x v="12"/>
    <n v="0"/>
    <n v="14"/>
    <m/>
    <n v="0"/>
    <n v="33"/>
    <n v="3"/>
    <x v="2"/>
    <x v="0"/>
    <n v="0"/>
    <n v="1"/>
  </r>
  <r>
    <x v="9"/>
    <x v="10"/>
    <s v="1.0-1.1"/>
    <x v="70"/>
    <n v="1"/>
    <x v="1"/>
    <n v="10"/>
    <n v="200"/>
    <n v="100"/>
    <n v="5"/>
    <n v="17.7"/>
    <n v="10"/>
    <x v="1"/>
    <x v="0"/>
    <n v="1"/>
    <n v="1"/>
  </r>
  <r>
    <x v="9"/>
    <x v="10"/>
    <s v="1.1-1.2"/>
    <x v="0"/>
    <n v="1"/>
    <x v="1"/>
    <n v="2"/>
    <n v="180"/>
    <n v="90"/>
    <n v="1.1111111111111112"/>
    <n v="17.7"/>
    <n v="10"/>
    <x v="1"/>
    <x v="0"/>
    <n v="0"/>
    <n v="1"/>
  </r>
  <r>
    <x v="9"/>
    <x v="10"/>
    <s v="2.0-2.1"/>
    <x v="71"/>
    <n v="2"/>
    <x v="12"/>
    <n v="0"/>
    <n v="200"/>
    <n v="100"/>
    <n v="0"/>
    <n v="17.7"/>
    <n v="10"/>
    <x v="2"/>
    <x v="0"/>
    <n v="1"/>
    <n v="1"/>
  </r>
  <r>
    <x v="9"/>
    <x v="10"/>
    <s v="2.1-2.2"/>
    <x v="7"/>
    <n v="2"/>
    <x v="1"/>
    <n v="4"/>
    <n v="149"/>
    <n v="74.5"/>
    <n v="2.6845637583892619"/>
    <n v="17.7"/>
    <n v="10"/>
    <x v="1"/>
    <x v="0"/>
    <n v="0"/>
    <n v="1"/>
  </r>
  <r>
    <x v="9"/>
    <x v="10"/>
    <s v="3.0-3.1"/>
    <x v="72"/>
    <n v="3"/>
    <x v="1"/>
    <n v="3"/>
    <n v="200"/>
    <n v="100"/>
    <n v="1.5"/>
    <n v="17.7"/>
    <n v="10"/>
    <x v="1"/>
    <x v="0"/>
    <n v="0"/>
    <n v="1"/>
  </r>
  <r>
    <x v="9"/>
    <x v="10"/>
    <s v="3.1-3.2"/>
    <x v="14"/>
    <n v="3"/>
    <x v="12"/>
    <n v="0"/>
    <n v="119"/>
    <n v="59.5"/>
    <n v="0"/>
    <n v="17.7"/>
    <n v="10"/>
    <x v="2"/>
    <x v="0"/>
    <n v="0"/>
    <n v="1"/>
  </r>
  <r>
    <x v="9"/>
    <x v="10"/>
    <s v="4.0-4.1"/>
    <x v="73"/>
    <n v="4"/>
    <x v="12"/>
    <n v="0"/>
    <n v="200"/>
    <n v="100"/>
    <n v="0"/>
    <n v="17.7"/>
    <n v="10"/>
    <x v="2"/>
    <x v="0"/>
    <n v="0"/>
    <n v="1"/>
  </r>
  <r>
    <x v="9"/>
    <x v="10"/>
    <s v="4.1-4.2"/>
    <x v="21"/>
    <n v="4"/>
    <x v="12"/>
    <n v="0"/>
    <n v="92"/>
    <n v="46"/>
    <n v="0"/>
    <n v="17.7"/>
    <n v="10"/>
    <x v="2"/>
    <x v="0"/>
    <n v="0"/>
    <n v="1"/>
  </r>
  <r>
    <x v="0"/>
    <x v="11"/>
    <s v="1.1-1.2"/>
    <x v="0"/>
    <n v="1"/>
    <x v="2"/>
    <n v="5"/>
    <n v="200"/>
    <n v="100"/>
    <n v="2.5"/>
    <n v="17.7"/>
    <n v="10"/>
    <x v="1"/>
    <x v="0"/>
    <n v="1"/>
    <n v="1"/>
  </r>
  <r>
    <x v="0"/>
    <x v="11"/>
    <s v="1.1-1.2"/>
    <x v="0"/>
    <n v="1"/>
    <x v="1"/>
    <n v="13"/>
    <n v="200"/>
    <n v="100"/>
    <n v="6.5"/>
    <n v="17.7"/>
    <n v="10"/>
    <x v="1"/>
    <x v="0"/>
    <n v="1"/>
    <n v="0"/>
  </r>
  <r>
    <x v="0"/>
    <x v="11"/>
    <s v="1.1-1.2"/>
    <x v="0"/>
    <n v="1"/>
    <x v="0"/>
    <n v="11"/>
    <n v="200"/>
    <n v="100"/>
    <n v="5.5"/>
    <n v="17.7"/>
    <n v="10"/>
    <x v="0"/>
    <x v="0"/>
    <n v="1"/>
    <n v="0"/>
  </r>
  <r>
    <x v="0"/>
    <x v="11"/>
    <s v="1.2-1.3"/>
    <x v="1"/>
    <n v="1"/>
    <x v="1"/>
    <n v="11"/>
    <n v="200"/>
    <n v="100"/>
    <n v="5.5"/>
    <n v="17.7"/>
    <n v="10"/>
    <x v="1"/>
    <x v="0"/>
    <n v="0"/>
    <n v="1"/>
  </r>
  <r>
    <x v="0"/>
    <x v="11"/>
    <s v="1.2-1.3"/>
    <x v="1"/>
    <n v="1"/>
    <x v="0"/>
    <n v="3"/>
    <n v="200"/>
    <n v="100"/>
    <n v="1.5"/>
    <n v="17.7"/>
    <n v="10"/>
    <x v="0"/>
    <x v="0"/>
    <n v="0"/>
    <n v="0"/>
  </r>
  <r>
    <x v="0"/>
    <x v="11"/>
    <s v="1.3-1.4"/>
    <x v="2"/>
    <n v="1"/>
    <x v="0"/>
    <n v="7"/>
    <n v="200"/>
    <n v="100"/>
    <n v="3.5000000000000004"/>
    <n v="17.7"/>
    <n v="10"/>
    <x v="0"/>
    <x v="0"/>
    <n v="0"/>
    <n v="1"/>
  </r>
  <r>
    <x v="0"/>
    <x v="11"/>
    <s v="1.3-1.4"/>
    <x v="2"/>
    <n v="1"/>
    <x v="10"/>
    <n v="1"/>
    <n v="200"/>
    <n v="100"/>
    <n v="0.5"/>
    <n v="17.7"/>
    <n v="10"/>
    <x v="1"/>
    <x v="0"/>
    <n v="1"/>
    <n v="0"/>
  </r>
  <r>
    <x v="0"/>
    <x v="11"/>
    <s v="1.3-1.4"/>
    <x v="2"/>
    <n v="1"/>
    <x v="1"/>
    <n v="1"/>
    <n v="200"/>
    <n v="100"/>
    <n v="0.5"/>
    <n v="17.7"/>
    <n v="10"/>
    <x v="1"/>
    <x v="0"/>
    <n v="0"/>
    <n v="0"/>
  </r>
  <r>
    <x v="0"/>
    <x v="11"/>
    <s v="1.4-1.5"/>
    <x v="3"/>
    <n v="1"/>
    <x v="1"/>
    <n v="6"/>
    <n v="200"/>
    <n v="100"/>
    <n v="3"/>
    <n v="17.7"/>
    <n v="10"/>
    <x v="1"/>
    <x v="0"/>
    <n v="0"/>
    <n v="1"/>
  </r>
  <r>
    <x v="0"/>
    <x v="11"/>
    <s v="1.4-1.5"/>
    <x v="3"/>
    <n v="1"/>
    <x v="0"/>
    <n v="9"/>
    <n v="200"/>
    <n v="100"/>
    <n v="4.5"/>
    <n v="17.7"/>
    <n v="10"/>
    <x v="0"/>
    <x v="0"/>
    <n v="0"/>
    <n v="0"/>
  </r>
  <r>
    <x v="0"/>
    <x v="11"/>
    <s v="1.5-1.6"/>
    <x v="4"/>
    <n v="1"/>
    <x v="0"/>
    <n v="7"/>
    <n v="200"/>
    <n v="100"/>
    <n v="3.5000000000000004"/>
    <n v="17.7"/>
    <n v="10"/>
    <x v="0"/>
    <x v="0"/>
    <n v="0"/>
    <n v="1"/>
  </r>
  <r>
    <x v="0"/>
    <x v="11"/>
    <s v="1.5-1.6"/>
    <x v="4"/>
    <n v="1"/>
    <x v="1"/>
    <n v="2"/>
    <n v="200"/>
    <n v="100"/>
    <n v="1"/>
    <n v="17.7"/>
    <n v="10"/>
    <x v="1"/>
    <x v="0"/>
    <n v="0"/>
    <n v="0"/>
  </r>
  <r>
    <x v="0"/>
    <x v="11"/>
    <s v="1.5-1.6"/>
    <x v="4"/>
    <n v="1"/>
    <x v="13"/>
    <n v="1"/>
    <n v="200"/>
    <n v="100"/>
    <n v="0.5"/>
    <n v="17.7"/>
    <n v="10"/>
    <x v="0"/>
    <x v="0"/>
    <n v="1"/>
    <n v="0"/>
  </r>
  <r>
    <x v="0"/>
    <x v="11"/>
    <s v="1.6-1.7"/>
    <x v="5"/>
    <n v="1"/>
    <x v="13"/>
    <n v="1"/>
    <n v="200"/>
    <n v="100"/>
    <n v="0.5"/>
    <n v="17.7"/>
    <n v="10"/>
    <x v="0"/>
    <x v="0"/>
    <n v="0"/>
    <n v="1"/>
  </r>
  <r>
    <x v="0"/>
    <x v="11"/>
    <s v="1.6-1.7"/>
    <x v="5"/>
    <n v="1"/>
    <x v="0"/>
    <n v="3"/>
    <n v="200"/>
    <n v="100"/>
    <n v="1.5"/>
    <n v="17.7"/>
    <n v="10"/>
    <x v="0"/>
    <x v="0"/>
    <n v="0"/>
    <n v="0"/>
  </r>
  <r>
    <x v="0"/>
    <x v="11"/>
    <s v="1.6-1.7"/>
    <x v="5"/>
    <n v="1"/>
    <x v="1"/>
    <n v="2"/>
    <n v="200"/>
    <n v="100"/>
    <n v="1"/>
    <n v="17.7"/>
    <n v="10"/>
    <x v="1"/>
    <x v="0"/>
    <n v="0"/>
    <n v="0"/>
  </r>
  <r>
    <x v="0"/>
    <x v="11"/>
    <s v="1.7-1.0"/>
    <x v="6"/>
    <n v="1"/>
    <x v="1"/>
    <n v="4"/>
    <n v="200"/>
    <n v="100"/>
    <n v="2"/>
    <n v="17.7"/>
    <n v="10"/>
    <x v="1"/>
    <x v="0"/>
    <n v="0"/>
    <n v="1"/>
  </r>
  <r>
    <x v="0"/>
    <x v="11"/>
    <s v="2.1-2.2"/>
    <x v="7"/>
    <n v="2"/>
    <x v="0"/>
    <n v="10"/>
    <n v="200"/>
    <n v="100"/>
    <n v="5"/>
    <n v="17.7"/>
    <n v="10"/>
    <x v="0"/>
    <x v="0"/>
    <n v="0"/>
    <n v="1"/>
  </r>
  <r>
    <x v="0"/>
    <x v="11"/>
    <s v="2.1-2.2"/>
    <x v="7"/>
    <n v="2"/>
    <x v="4"/>
    <n v="6"/>
    <n v="200"/>
    <n v="100"/>
    <n v="3"/>
    <n v="17.7"/>
    <n v="10"/>
    <x v="1"/>
    <x v="0"/>
    <n v="1"/>
    <n v="0"/>
  </r>
  <r>
    <x v="0"/>
    <x v="11"/>
    <s v="2.2-2.3"/>
    <x v="8"/>
    <n v="2"/>
    <x v="0"/>
    <n v="10"/>
    <n v="200"/>
    <n v="100"/>
    <n v="5"/>
    <n v="17.7"/>
    <n v="10"/>
    <x v="0"/>
    <x v="0"/>
    <n v="0"/>
    <n v="1"/>
  </r>
  <r>
    <x v="0"/>
    <x v="11"/>
    <s v="2.2-2.3"/>
    <x v="8"/>
    <n v="2"/>
    <x v="1"/>
    <n v="4"/>
    <n v="200"/>
    <n v="100"/>
    <n v="2"/>
    <n v="17.7"/>
    <n v="10"/>
    <x v="1"/>
    <x v="0"/>
    <n v="0"/>
    <n v="0"/>
  </r>
  <r>
    <x v="0"/>
    <x v="11"/>
    <s v="2.3-2.4"/>
    <x v="9"/>
    <n v="2"/>
    <x v="1"/>
    <n v="3"/>
    <n v="200"/>
    <n v="100"/>
    <n v="1.5"/>
    <n v="17.7"/>
    <n v="10"/>
    <x v="1"/>
    <x v="0"/>
    <n v="0"/>
    <n v="1"/>
  </r>
  <r>
    <x v="0"/>
    <x v="11"/>
    <s v="2.3-2.4"/>
    <x v="9"/>
    <n v="2"/>
    <x v="0"/>
    <n v="7"/>
    <n v="200"/>
    <n v="100"/>
    <n v="3.5000000000000004"/>
    <n v="17.7"/>
    <n v="10"/>
    <x v="0"/>
    <x v="0"/>
    <n v="0"/>
    <n v="0"/>
  </r>
  <r>
    <x v="0"/>
    <x v="11"/>
    <s v="2.4-2.5"/>
    <x v="10"/>
    <n v="2"/>
    <x v="0"/>
    <n v="7"/>
    <n v="200"/>
    <n v="100"/>
    <n v="3.5000000000000004"/>
    <n v="17.7"/>
    <n v="10"/>
    <x v="0"/>
    <x v="0"/>
    <n v="0"/>
    <n v="1"/>
  </r>
  <r>
    <x v="0"/>
    <x v="11"/>
    <s v="2.4-2.5"/>
    <x v="10"/>
    <n v="2"/>
    <x v="13"/>
    <n v="1"/>
    <n v="200"/>
    <n v="100"/>
    <n v="0.5"/>
    <n v="17.7"/>
    <n v="10"/>
    <x v="0"/>
    <x v="0"/>
    <n v="0"/>
    <n v="0"/>
  </r>
  <r>
    <x v="0"/>
    <x v="11"/>
    <s v="2.4-2.5"/>
    <x v="10"/>
    <n v="2"/>
    <x v="2"/>
    <n v="1"/>
    <n v="200"/>
    <n v="100"/>
    <n v="0.5"/>
    <n v="17.7"/>
    <n v="10"/>
    <x v="1"/>
    <x v="0"/>
    <n v="0"/>
    <n v="0"/>
  </r>
  <r>
    <x v="0"/>
    <x v="11"/>
    <s v="2.5-2.6"/>
    <x v="11"/>
    <n v="2"/>
    <x v="0"/>
    <n v="8"/>
    <n v="200"/>
    <n v="100"/>
    <n v="4"/>
    <n v="17.7"/>
    <n v="10"/>
    <x v="0"/>
    <x v="0"/>
    <n v="0"/>
    <n v="1"/>
  </r>
  <r>
    <x v="0"/>
    <x v="11"/>
    <s v="2.5-2.6"/>
    <x v="11"/>
    <n v="2"/>
    <x v="1"/>
    <n v="3"/>
    <n v="200"/>
    <n v="100"/>
    <n v="1.5"/>
    <n v="17.7"/>
    <n v="10"/>
    <x v="1"/>
    <x v="0"/>
    <n v="0"/>
    <n v="0"/>
  </r>
  <r>
    <x v="0"/>
    <x v="11"/>
    <s v="2.6-2.7"/>
    <x v="12"/>
    <n v="2"/>
    <x v="0"/>
    <n v="4"/>
    <n v="200"/>
    <n v="100"/>
    <n v="2"/>
    <n v="17.7"/>
    <n v="10"/>
    <x v="0"/>
    <x v="0"/>
    <n v="0"/>
    <n v="1"/>
  </r>
  <r>
    <x v="0"/>
    <x v="11"/>
    <s v="2.6-2.7"/>
    <x v="12"/>
    <n v="2"/>
    <x v="1"/>
    <n v="1"/>
    <n v="200"/>
    <n v="100"/>
    <n v="0.5"/>
    <n v="17.7"/>
    <n v="10"/>
    <x v="1"/>
    <x v="0"/>
    <n v="0"/>
    <n v="0"/>
  </r>
  <r>
    <x v="0"/>
    <x v="11"/>
    <s v="2.7-2.0"/>
    <x v="13"/>
    <n v="2"/>
    <x v="1"/>
    <n v="5"/>
    <n v="200"/>
    <n v="100"/>
    <n v="2.5"/>
    <n v="17.7"/>
    <n v="10"/>
    <x v="1"/>
    <x v="0"/>
    <n v="0"/>
    <n v="1"/>
  </r>
  <r>
    <x v="0"/>
    <x v="11"/>
    <s v="2.7-2.0"/>
    <x v="13"/>
    <n v="2"/>
    <x v="0"/>
    <n v="8"/>
    <n v="200"/>
    <n v="100"/>
    <n v="4"/>
    <n v="17.7"/>
    <n v="10"/>
    <x v="0"/>
    <x v="0"/>
    <n v="0"/>
    <n v="0"/>
  </r>
  <r>
    <x v="0"/>
    <x v="11"/>
    <s v="3.1-3.2"/>
    <x v="14"/>
    <n v="3"/>
    <x v="1"/>
    <n v="2"/>
    <n v="200"/>
    <n v="100"/>
    <n v="1"/>
    <n v="17.7"/>
    <n v="10"/>
    <x v="1"/>
    <x v="0"/>
    <n v="0"/>
    <n v="1"/>
  </r>
  <r>
    <x v="0"/>
    <x v="11"/>
    <s v="3.1-3.2"/>
    <x v="14"/>
    <n v="3"/>
    <x v="0"/>
    <n v="8"/>
    <n v="200"/>
    <n v="100"/>
    <n v="4"/>
    <n v="17.7"/>
    <n v="10"/>
    <x v="0"/>
    <x v="0"/>
    <n v="0"/>
    <n v="0"/>
  </r>
  <r>
    <x v="0"/>
    <x v="11"/>
    <s v="3.2-3.3"/>
    <x v="15"/>
    <n v="3"/>
    <x v="0"/>
    <n v="3"/>
    <n v="200"/>
    <n v="100"/>
    <n v="1.5"/>
    <n v="17.7"/>
    <n v="10"/>
    <x v="0"/>
    <x v="0"/>
    <n v="0"/>
    <n v="1"/>
  </r>
  <r>
    <x v="0"/>
    <x v="11"/>
    <s v="3.2-3.3"/>
    <x v="15"/>
    <n v="3"/>
    <x v="2"/>
    <n v="1"/>
    <n v="200"/>
    <n v="100"/>
    <n v="0.5"/>
    <n v="17.7"/>
    <n v="10"/>
    <x v="1"/>
    <x v="0"/>
    <n v="0"/>
    <n v="0"/>
  </r>
  <r>
    <x v="0"/>
    <x v="11"/>
    <s v="3.3-3.4"/>
    <x v="16"/>
    <n v="3"/>
    <x v="0"/>
    <n v="3"/>
    <n v="200"/>
    <n v="100"/>
    <n v="1.5"/>
    <n v="17.7"/>
    <n v="10"/>
    <x v="0"/>
    <x v="0"/>
    <n v="0"/>
    <n v="1"/>
  </r>
  <r>
    <x v="0"/>
    <x v="11"/>
    <s v="3.4-3.5"/>
    <x v="17"/>
    <n v="3"/>
    <x v="0"/>
    <n v="10"/>
    <n v="200"/>
    <n v="100"/>
    <n v="5"/>
    <n v="17.7"/>
    <n v="10"/>
    <x v="0"/>
    <x v="0"/>
    <n v="0"/>
    <n v="1"/>
  </r>
  <r>
    <x v="0"/>
    <x v="11"/>
    <s v="3.4-3.5"/>
    <x v="17"/>
    <n v="3"/>
    <x v="9"/>
    <n v="1"/>
    <n v="200"/>
    <n v="100"/>
    <n v="0.5"/>
    <n v="17.7"/>
    <n v="10"/>
    <x v="1"/>
    <x v="0"/>
    <n v="1"/>
    <n v="0"/>
  </r>
  <r>
    <x v="0"/>
    <x v="11"/>
    <s v="3.5-3.6"/>
    <x v="18"/>
    <n v="3"/>
    <x v="0"/>
    <n v="7"/>
    <n v="200"/>
    <n v="100"/>
    <n v="3.5000000000000004"/>
    <n v="17.7"/>
    <n v="10"/>
    <x v="0"/>
    <x v="0"/>
    <n v="0"/>
    <n v="1"/>
  </r>
  <r>
    <x v="0"/>
    <x v="11"/>
    <s v="3.6-3.7"/>
    <x v="19"/>
    <n v="3"/>
    <x v="0"/>
    <n v="15"/>
    <n v="200"/>
    <n v="100"/>
    <n v="7.5"/>
    <n v="17.7"/>
    <n v="10"/>
    <x v="0"/>
    <x v="0"/>
    <n v="0"/>
    <n v="1"/>
  </r>
  <r>
    <x v="0"/>
    <x v="11"/>
    <s v="3.6-3.7"/>
    <x v="19"/>
    <n v="3"/>
    <x v="5"/>
    <n v="1"/>
    <n v="200"/>
    <n v="100"/>
    <n v="0.5"/>
    <n v="17.7"/>
    <n v="10"/>
    <x v="1"/>
    <x v="0"/>
    <n v="1"/>
    <n v="0"/>
  </r>
  <r>
    <x v="0"/>
    <x v="11"/>
    <s v="3.7-3.0"/>
    <x v="20"/>
    <n v="3"/>
    <x v="2"/>
    <n v="1"/>
    <n v="200"/>
    <n v="100"/>
    <n v="0.5"/>
    <n v="17.7"/>
    <n v="10"/>
    <x v="1"/>
    <x v="0"/>
    <n v="0"/>
    <n v="1"/>
  </r>
  <r>
    <x v="0"/>
    <x v="11"/>
    <s v="3.7-3.0"/>
    <x v="20"/>
    <n v="3"/>
    <x v="1"/>
    <n v="7"/>
    <n v="200"/>
    <n v="100"/>
    <n v="3.5000000000000004"/>
    <n v="17.7"/>
    <n v="10"/>
    <x v="1"/>
    <x v="0"/>
    <n v="0"/>
    <n v="0"/>
  </r>
  <r>
    <x v="0"/>
    <x v="11"/>
    <s v="3.7-3.0"/>
    <x v="20"/>
    <n v="3"/>
    <x v="0"/>
    <n v="1"/>
    <n v="200"/>
    <n v="100"/>
    <n v="0.5"/>
    <n v="17.7"/>
    <n v="10"/>
    <x v="0"/>
    <x v="0"/>
    <n v="0"/>
    <n v="0"/>
  </r>
  <r>
    <x v="0"/>
    <x v="11"/>
    <s v="4.1-4.2"/>
    <x v="21"/>
    <n v="4"/>
    <x v="1"/>
    <n v="13"/>
    <n v="200"/>
    <n v="100"/>
    <n v="6.5"/>
    <n v="17.7"/>
    <n v="10"/>
    <x v="1"/>
    <x v="0"/>
    <n v="0"/>
    <n v="1"/>
  </r>
  <r>
    <x v="0"/>
    <x v="11"/>
    <s v="4.1-4.2"/>
    <x v="21"/>
    <n v="4"/>
    <x v="0"/>
    <n v="3"/>
    <n v="200"/>
    <n v="100"/>
    <n v="1.5"/>
    <n v="17.7"/>
    <n v="10"/>
    <x v="0"/>
    <x v="0"/>
    <n v="0"/>
    <n v="0"/>
  </r>
  <r>
    <x v="0"/>
    <x v="11"/>
    <s v="4.2-4.3"/>
    <x v="22"/>
    <n v="4"/>
    <x v="1"/>
    <n v="3"/>
    <n v="200"/>
    <n v="100"/>
    <n v="1.5"/>
    <n v="17.7"/>
    <n v="10"/>
    <x v="1"/>
    <x v="0"/>
    <n v="0"/>
    <n v="1"/>
  </r>
  <r>
    <x v="0"/>
    <x v="11"/>
    <s v="4.2-4.3"/>
    <x v="22"/>
    <n v="4"/>
    <x v="0"/>
    <n v="3"/>
    <n v="200"/>
    <n v="100"/>
    <n v="1.5"/>
    <n v="17.7"/>
    <n v="10"/>
    <x v="0"/>
    <x v="0"/>
    <n v="0"/>
    <n v="0"/>
  </r>
  <r>
    <x v="0"/>
    <x v="11"/>
    <s v="4.3-4.4"/>
    <x v="23"/>
    <n v="4"/>
    <x v="0"/>
    <n v="10"/>
    <n v="200"/>
    <n v="100"/>
    <n v="5"/>
    <n v="17.7"/>
    <n v="10"/>
    <x v="0"/>
    <x v="0"/>
    <n v="0"/>
    <n v="1"/>
  </r>
  <r>
    <x v="0"/>
    <x v="11"/>
    <s v="4.3-4.4"/>
    <x v="23"/>
    <n v="4"/>
    <x v="1"/>
    <n v="4"/>
    <n v="200"/>
    <n v="100"/>
    <n v="2"/>
    <n v="17.7"/>
    <n v="10"/>
    <x v="1"/>
    <x v="0"/>
    <n v="0"/>
    <n v="0"/>
  </r>
  <r>
    <x v="0"/>
    <x v="11"/>
    <s v="4.3-4.4"/>
    <x v="23"/>
    <n v="4"/>
    <x v="10"/>
    <n v="1"/>
    <n v="200"/>
    <n v="100"/>
    <n v="0.5"/>
    <n v="17.7"/>
    <n v="10"/>
    <x v="1"/>
    <x v="0"/>
    <n v="0"/>
    <n v="0"/>
  </r>
  <r>
    <x v="0"/>
    <x v="11"/>
    <s v="4.4-4.5"/>
    <x v="24"/>
    <n v="4"/>
    <x v="0"/>
    <n v="16"/>
    <n v="200"/>
    <n v="100"/>
    <n v="8"/>
    <n v="17.7"/>
    <n v="10"/>
    <x v="0"/>
    <x v="0"/>
    <n v="0"/>
    <n v="1"/>
  </r>
  <r>
    <x v="0"/>
    <x v="11"/>
    <s v="4.5-4.6"/>
    <x v="25"/>
    <n v="4"/>
    <x v="0"/>
    <n v="3"/>
    <n v="200"/>
    <n v="100"/>
    <n v="1.5"/>
    <n v="17.7"/>
    <n v="10"/>
    <x v="0"/>
    <x v="0"/>
    <n v="0"/>
    <n v="1"/>
  </r>
  <r>
    <x v="0"/>
    <x v="11"/>
    <s v="4.5-4.6"/>
    <x v="25"/>
    <n v="4"/>
    <x v="10"/>
    <n v="1"/>
    <n v="200"/>
    <n v="100"/>
    <n v="0.5"/>
    <n v="17.7"/>
    <n v="10"/>
    <x v="1"/>
    <x v="0"/>
    <n v="0"/>
    <n v="0"/>
  </r>
  <r>
    <x v="0"/>
    <x v="11"/>
    <s v="4.6-4.7"/>
    <x v="26"/>
    <n v="4"/>
    <x v="0"/>
    <n v="3"/>
    <n v="200"/>
    <n v="100"/>
    <n v="1.5"/>
    <n v="17.7"/>
    <n v="10"/>
    <x v="0"/>
    <x v="0"/>
    <n v="0"/>
    <n v="1"/>
  </r>
  <r>
    <x v="0"/>
    <x v="11"/>
    <s v="4.6-4.7"/>
    <x v="26"/>
    <n v="4"/>
    <x v="6"/>
    <n v="6"/>
    <n v="200"/>
    <n v="100"/>
    <n v="3"/>
    <n v="17.7"/>
    <n v="10"/>
    <x v="1"/>
    <x v="0"/>
    <n v="1"/>
    <n v="0"/>
  </r>
  <r>
    <x v="0"/>
    <x v="11"/>
    <s v="4.7-4.0"/>
    <x v="27"/>
    <n v="4"/>
    <x v="2"/>
    <n v="5"/>
    <n v="200"/>
    <n v="100"/>
    <n v="2.5"/>
    <n v="17.7"/>
    <n v="10"/>
    <x v="1"/>
    <x v="0"/>
    <n v="0"/>
    <n v="1"/>
  </r>
  <r>
    <x v="0"/>
    <x v="11"/>
    <s v="4.7-4.0"/>
    <x v="27"/>
    <n v="4"/>
    <x v="0"/>
    <n v="4"/>
    <n v="200"/>
    <n v="100"/>
    <n v="2"/>
    <n v="17.7"/>
    <n v="10"/>
    <x v="0"/>
    <x v="0"/>
    <n v="0"/>
    <n v="0"/>
  </r>
  <r>
    <x v="0"/>
    <x v="11"/>
    <s v="4.7-4.0"/>
    <x v="27"/>
    <n v="4"/>
    <x v="4"/>
    <n v="2"/>
    <n v="200"/>
    <n v="100"/>
    <n v="1"/>
    <n v="17.7"/>
    <n v="10"/>
    <x v="1"/>
    <x v="0"/>
    <n v="0"/>
    <n v="0"/>
  </r>
  <r>
    <x v="0"/>
    <x v="11"/>
    <s v="5.1-5.2"/>
    <x v="28"/>
    <n v="5"/>
    <x v="4"/>
    <n v="5"/>
    <n v="200"/>
    <n v="100"/>
    <n v="2.5"/>
    <n v="17.7"/>
    <n v="10"/>
    <x v="1"/>
    <x v="0"/>
    <n v="0"/>
    <n v="1"/>
  </r>
  <r>
    <x v="0"/>
    <x v="11"/>
    <s v="5.1-5.2"/>
    <x v="28"/>
    <n v="5"/>
    <x v="0"/>
    <n v="10"/>
    <n v="200"/>
    <n v="100"/>
    <n v="5"/>
    <n v="17.7"/>
    <n v="10"/>
    <x v="0"/>
    <x v="0"/>
    <n v="0"/>
    <n v="0"/>
  </r>
  <r>
    <x v="0"/>
    <x v="11"/>
    <s v="5.1-5.2"/>
    <x v="28"/>
    <n v="5"/>
    <x v="1"/>
    <n v="1"/>
    <n v="200"/>
    <n v="100"/>
    <n v="0.5"/>
    <n v="17.7"/>
    <n v="10"/>
    <x v="1"/>
    <x v="0"/>
    <n v="0"/>
    <n v="0"/>
  </r>
  <r>
    <x v="0"/>
    <x v="11"/>
    <s v="5.2-5.3"/>
    <x v="29"/>
    <n v="5"/>
    <x v="0"/>
    <n v="8"/>
    <n v="200"/>
    <n v="100"/>
    <n v="4"/>
    <n v="17.7"/>
    <n v="10"/>
    <x v="0"/>
    <x v="0"/>
    <n v="0"/>
    <n v="1"/>
  </r>
  <r>
    <x v="0"/>
    <x v="11"/>
    <s v="5.2-5.3"/>
    <x v="29"/>
    <n v="5"/>
    <x v="1"/>
    <n v="1"/>
    <n v="200"/>
    <n v="100"/>
    <n v="0.5"/>
    <n v="17.7"/>
    <n v="10"/>
    <x v="1"/>
    <x v="0"/>
    <n v="0"/>
    <n v="0"/>
  </r>
  <r>
    <x v="0"/>
    <x v="11"/>
    <s v="5.3-5.4"/>
    <x v="30"/>
    <n v="5"/>
    <x v="1"/>
    <n v="5"/>
    <n v="200"/>
    <n v="100"/>
    <n v="2.5"/>
    <n v="17.7"/>
    <n v="10"/>
    <x v="1"/>
    <x v="0"/>
    <n v="0"/>
    <n v="1"/>
  </r>
  <r>
    <x v="0"/>
    <x v="11"/>
    <s v="5.3-5.4"/>
    <x v="30"/>
    <n v="5"/>
    <x v="0"/>
    <n v="8"/>
    <n v="200"/>
    <n v="100"/>
    <n v="4"/>
    <n v="17.7"/>
    <n v="10"/>
    <x v="0"/>
    <x v="0"/>
    <n v="0"/>
    <n v="0"/>
  </r>
  <r>
    <x v="0"/>
    <x v="11"/>
    <s v="5.4-5.5"/>
    <x v="31"/>
    <n v="5"/>
    <x v="0"/>
    <n v="14"/>
    <n v="200"/>
    <n v="100"/>
    <n v="7.0000000000000009"/>
    <n v="17.7"/>
    <n v="10"/>
    <x v="0"/>
    <x v="0"/>
    <n v="0"/>
    <n v="1"/>
  </r>
  <r>
    <x v="0"/>
    <x v="11"/>
    <s v="5.5-5.6"/>
    <x v="32"/>
    <n v="5"/>
    <x v="0"/>
    <n v="14"/>
    <n v="200"/>
    <n v="100"/>
    <n v="7.0000000000000009"/>
    <n v="17.7"/>
    <n v="10"/>
    <x v="0"/>
    <x v="0"/>
    <n v="0"/>
    <n v="1"/>
  </r>
  <r>
    <x v="0"/>
    <x v="11"/>
    <s v="5.5-5.6"/>
    <x v="32"/>
    <n v="5"/>
    <x v="2"/>
    <n v="1"/>
    <n v="200"/>
    <n v="100"/>
    <n v="0.5"/>
    <n v="17.7"/>
    <n v="10"/>
    <x v="1"/>
    <x v="0"/>
    <n v="0"/>
    <n v="0"/>
  </r>
  <r>
    <x v="0"/>
    <x v="11"/>
    <s v="5.5-5.6"/>
    <x v="32"/>
    <n v="5"/>
    <x v="1"/>
    <n v="4"/>
    <n v="200"/>
    <n v="100"/>
    <n v="2"/>
    <n v="17.7"/>
    <n v="10"/>
    <x v="1"/>
    <x v="0"/>
    <n v="0"/>
    <n v="0"/>
  </r>
  <r>
    <x v="0"/>
    <x v="11"/>
    <s v="5.6-5.7"/>
    <x v="33"/>
    <n v="5"/>
    <x v="0"/>
    <n v="7"/>
    <n v="200"/>
    <n v="100"/>
    <n v="3.5000000000000004"/>
    <n v="17.7"/>
    <n v="10"/>
    <x v="0"/>
    <x v="0"/>
    <n v="0"/>
    <n v="1"/>
  </r>
  <r>
    <x v="0"/>
    <x v="11"/>
    <s v="5.6-5.7"/>
    <x v="33"/>
    <n v="5"/>
    <x v="1"/>
    <n v="4"/>
    <n v="200"/>
    <n v="100"/>
    <n v="2"/>
    <n v="17.7"/>
    <n v="10"/>
    <x v="1"/>
    <x v="0"/>
    <n v="0"/>
    <n v="0"/>
  </r>
  <r>
    <x v="0"/>
    <x v="11"/>
    <s v="5.7-5.0"/>
    <x v="34"/>
    <n v="5"/>
    <x v="0"/>
    <n v="8"/>
    <n v="200"/>
    <n v="100"/>
    <n v="4"/>
    <n v="17.7"/>
    <n v="10"/>
    <x v="0"/>
    <x v="0"/>
    <n v="0"/>
    <n v="1"/>
  </r>
  <r>
    <x v="0"/>
    <x v="11"/>
    <s v="5.7-5.0"/>
    <x v="34"/>
    <n v="5"/>
    <x v="1"/>
    <n v="1"/>
    <n v="200"/>
    <n v="100"/>
    <n v="0.5"/>
    <n v="17.7"/>
    <n v="10"/>
    <x v="1"/>
    <x v="0"/>
    <n v="0"/>
    <n v="0"/>
  </r>
  <r>
    <x v="0"/>
    <x v="11"/>
    <s v="6.1-6.2"/>
    <x v="35"/>
    <n v="6"/>
    <x v="0"/>
    <n v="23"/>
    <n v="200"/>
    <n v="100"/>
    <n v="11.5"/>
    <n v="17.7"/>
    <n v="10"/>
    <x v="0"/>
    <x v="0"/>
    <n v="0"/>
    <n v="1"/>
  </r>
  <r>
    <x v="0"/>
    <x v="11"/>
    <s v="6.2-6.3"/>
    <x v="36"/>
    <n v="6"/>
    <x v="0"/>
    <n v="21"/>
    <n v="200"/>
    <n v="100"/>
    <n v="10.5"/>
    <n v="17.7"/>
    <n v="10"/>
    <x v="0"/>
    <x v="0"/>
    <n v="0"/>
    <n v="1"/>
  </r>
  <r>
    <x v="0"/>
    <x v="11"/>
    <s v="6.3-6.4"/>
    <x v="37"/>
    <n v="6"/>
    <x v="0"/>
    <n v="12"/>
    <n v="200"/>
    <n v="100"/>
    <n v="6"/>
    <n v="17.7"/>
    <n v="10"/>
    <x v="0"/>
    <x v="0"/>
    <n v="0"/>
    <n v="1"/>
  </r>
  <r>
    <x v="0"/>
    <x v="11"/>
    <s v="6.3-6.4"/>
    <x v="37"/>
    <n v="6"/>
    <x v="1"/>
    <n v="4"/>
    <n v="200"/>
    <n v="100"/>
    <n v="2"/>
    <n v="17.7"/>
    <n v="10"/>
    <x v="1"/>
    <x v="0"/>
    <n v="0"/>
    <n v="0"/>
  </r>
  <r>
    <x v="0"/>
    <x v="11"/>
    <s v="6.3-6.4"/>
    <x v="37"/>
    <n v="6"/>
    <x v="2"/>
    <n v="1"/>
    <n v="200"/>
    <n v="100"/>
    <n v="0.5"/>
    <n v="17.7"/>
    <n v="10"/>
    <x v="1"/>
    <x v="0"/>
    <n v="0"/>
    <n v="0"/>
  </r>
  <r>
    <x v="0"/>
    <x v="11"/>
    <s v="6.4-6.5"/>
    <x v="38"/>
    <n v="6"/>
    <x v="0"/>
    <n v="12"/>
    <n v="200"/>
    <n v="100"/>
    <n v="6"/>
    <n v="17.7"/>
    <n v="10"/>
    <x v="0"/>
    <x v="0"/>
    <n v="0"/>
    <n v="1"/>
  </r>
  <r>
    <x v="0"/>
    <x v="11"/>
    <s v="6.4-6.5"/>
    <x v="38"/>
    <n v="6"/>
    <x v="1"/>
    <n v="2"/>
    <n v="200"/>
    <n v="100"/>
    <n v="1"/>
    <n v="17.7"/>
    <n v="10"/>
    <x v="1"/>
    <x v="0"/>
    <n v="0"/>
    <n v="0"/>
  </r>
  <r>
    <x v="0"/>
    <x v="11"/>
    <s v="6.5-6.6"/>
    <x v="39"/>
    <n v="6"/>
    <x v="0"/>
    <n v="10"/>
    <n v="200"/>
    <n v="100"/>
    <n v="5"/>
    <n v="17.7"/>
    <n v="10"/>
    <x v="0"/>
    <x v="0"/>
    <n v="0"/>
    <n v="1"/>
  </r>
  <r>
    <x v="0"/>
    <x v="11"/>
    <s v="6.5-6.6"/>
    <x v="39"/>
    <n v="6"/>
    <x v="1"/>
    <n v="7"/>
    <n v="200"/>
    <n v="100"/>
    <n v="3.5000000000000004"/>
    <n v="17.7"/>
    <n v="10"/>
    <x v="1"/>
    <x v="0"/>
    <n v="0"/>
    <n v="0"/>
  </r>
  <r>
    <x v="0"/>
    <x v="11"/>
    <s v="6.6-6.7"/>
    <x v="40"/>
    <n v="6"/>
    <x v="0"/>
    <n v="11"/>
    <n v="200"/>
    <n v="100"/>
    <n v="5.5"/>
    <n v="17.7"/>
    <n v="10"/>
    <x v="0"/>
    <x v="0"/>
    <n v="0"/>
    <n v="1"/>
  </r>
  <r>
    <x v="0"/>
    <x v="11"/>
    <s v="6.6-6.7"/>
    <x v="40"/>
    <n v="6"/>
    <x v="10"/>
    <n v="1"/>
    <n v="200"/>
    <n v="100"/>
    <n v="0.5"/>
    <n v="17.7"/>
    <n v="10"/>
    <x v="1"/>
    <x v="0"/>
    <n v="0"/>
    <n v="0"/>
  </r>
  <r>
    <x v="0"/>
    <x v="11"/>
    <s v="6.6-6.7"/>
    <x v="40"/>
    <n v="6"/>
    <x v="1"/>
    <n v="1"/>
    <n v="200"/>
    <n v="100"/>
    <n v="0.5"/>
    <n v="17.7"/>
    <n v="10"/>
    <x v="1"/>
    <x v="0"/>
    <n v="0"/>
    <n v="0"/>
  </r>
  <r>
    <x v="0"/>
    <x v="11"/>
    <s v="6.7-6.0"/>
    <x v="41"/>
    <n v="6"/>
    <x v="0"/>
    <n v="3"/>
    <n v="200"/>
    <n v="100"/>
    <n v="1.5"/>
    <n v="17.7"/>
    <n v="10"/>
    <x v="0"/>
    <x v="0"/>
    <n v="0"/>
    <n v="1"/>
  </r>
  <r>
    <x v="0"/>
    <x v="11"/>
    <s v="6.7-6.0"/>
    <x v="41"/>
    <n v="6"/>
    <x v="1"/>
    <n v="3"/>
    <n v="200"/>
    <n v="100"/>
    <n v="1.5"/>
    <n v="17.7"/>
    <n v="10"/>
    <x v="1"/>
    <x v="0"/>
    <n v="0"/>
    <n v="0"/>
  </r>
  <r>
    <x v="0"/>
    <x v="11"/>
    <s v="7.1-7.2"/>
    <x v="42"/>
    <n v="7"/>
    <x v="0"/>
    <n v="6"/>
    <n v="200"/>
    <n v="100"/>
    <n v="3"/>
    <n v="17.7"/>
    <n v="10"/>
    <x v="0"/>
    <x v="0"/>
    <n v="0"/>
    <n v="1"/>
  </r>
  <r>
    <x v="0"/>
    <x v="11"/>
    <s v="7.2-7.3"/>
    <x v="43"/>
    <n v="7"/>
    <x v="0"/>
    <n v="15"/>
    <n v="200"/>
    <n v="100"/>
    <n v="7.5"/>
    <n v="17.7"/>
    <n v="10"/>
    <x v="0"/>
    <x v="0"/>
    <n v="0"/>
    <n v="1"/>
  </r>
  <r>
    <x v="0"/>
    <x v="11"/>
    <s v="7.2-7.3"/>
    <x v="43"/>
    <n v="7"/>
    <x v="1"/>
    <n v="1"/>
    <n v="200"/>
    <n v="100"/>
    <n v="0.5"/>
    <n v="17.7"/>
    <n v="10"/>
    <x v="1"/>
    <x v="0"/>
    <n v="0"/>
    <n v="0"/>
  </r>
  <r>
    <x v="0"/>
    <x v="11"/>
    <s v="7.3-7.4"/>
    <x v="44"/>
    <n v="7"/>
    <x v="0"/>
    <n v="9"/>
    <n v="200"/>
    <n v="100"/>
    <n v="4.5"/>
    <n v="17.7"/>
    <n v="10"/>
    <x v="0"/>
    <x v="0"/>
    <n v="0"/>
    <n v="1"/>
  </r>
  <r>
    <x v="0"/>
    <x v="11"/>
    <s v="7.3-7.4"/>
    <x v="44"/>
    <n v="7"/>
    <x v="1"/>
    <n v="1"/>
    <n v="200"/>
    <n v="100"/>
    <n v="0.5"/>
    <n v="17.7"/>
    <n v="10"/>
    <x v="1"/>
    <x v="0"/>
    <n v="0"/>
    <n v="0"/>
  </r>
  <r>
    <x v="0"/>
    <x v="11"/>
    <s v="7.4-7.5"/>
    <x v="45"/>
    <n v="7"/>
    <x v="0"/>
    <n v="13"/>
    <n v="200"/>
    <n v="100"/>
    <n v="6.5"/>
    <n v="17.7"/>
    <n v="10"/>
    <x v="0"/>
    <x v="0"/>
    <n v="0"/>
    <n v="1"/>
  </r>
  <r>
    <x v="0"/>
    <x v="11"/>
    <s v="7.4-7.5"/>
    <x v="45"/>
    <n v="7"/>
    <x v="4"/>
    <n v="1"/>
    <n v="200"/>
    <n v="100"/>
    <n v="0.5"/>
    <n v="17.7"/>
    <n v="10"/>
    <x v="1"/>
    <x v="0"/>
    <n v="0"/>
    <n v="0"/>
  </r>
  <r>
    <x v="0"/>
    <x v="11"/>
    <s v="7.5-7.6"/>
    <x v="46"/>
    <n v="7"/>
    <x v="0"/>
    <n v="11"/>
    <n v="200"/>
    <n v="100"/>
    <n v="5.5"/>
    <n v="17.7"/>
    <n v="10"/>
    <x v="0"/>
    <x v="0"/>
    <n v="0"/>
    <n v="1"/>
  </r>
  <r>
    <x v="0"/>
    <x v="11"/>
    <s v="7.5-7.6"/>
    <x v="46"/>
    <n v="7"/>
    <x v="6"/>
    <n v="3"/>
    <n v="200"/>
    <n v="100"/>
    <n v="1.5"/>
    <n v="17.7"/>
    <n v="10"/>
    <x v="1"/>
    <x v="0"/>
    <n v="0"/>
    <n v="0"/>
  </r>
  <r>
    <x v="0"/>
    <x v="11"/>
    <s v="7.5-7.6"/>
    <x v="46"/>
    <n v="7"/>
    <x v="1"/>
    <n v="5"/>
    <n v="200"/>
    <n v="100"/>
    <n v="2.5"/>
    <n v="17.7"/>
    <n v="10"/>
    <x v="1"/>
    <x v="0"/>
    <n v="0"/>
    <n v="0"/>
  </r>
  <r>
    <x v="0"/>
    <x v="11"/>
    <s v="7.6-7.7"/>
    <x v="47"/>
    <n v="7"/>
    <x v="0"/>
    <n v="6"/>
    <n v="200"/>
    <n v="100"/>
    <n v="3"/>
    <n v="17.7"/>
    <n v="10"/>
    <x v="0"/>
    <x v="0"/>
    <n v="0"/>
    <n v="1"/>
  </r>
  <r>
    <x v="0"/>
    <x v="11"/>
    <s v="7.7-7.0"/>
    <x v="48"/>
    <n v="7"/>
    <x v="7"/>
    <n v="2"/>
    <n v="200"/>
    <n v="100"/>
    <n v="1"/>
    <n v="17.7"/>
    <n v="10"/>
    <x v="1"/>
    <x v="0"/>
    <n v="1"/>
    <n v="1"/>
  </r>
  <r>
    <x v="0"/>
    <x v="11"/>
    <s v="7.7-7.0"/>
    <x v="48"/>
    <n v="7"/>
    <x v="4"/>
    <n v="6"/>
    <n v="200"/>
    <n v="100"/>
    <n v="3"/>
    <n v="17.7"/>
    <n v="10"/>
    <x v="1"/>
    <x v="0"/>
    <n v="0"/>
    <n v="0"/>
  </r>
  <r>
    <x v="0"/>
    <x v="11"/>
    <s v="7.7-7.0"/>
    <x v="48"/>
    <n v="7"/>
    <x v="0"/>
    <n v="1"/>
    <n v="200"/>
    <n v="100"/>
    <n v="0.5"/>
    <n v="17.7"/>
    <n v="10"/>
    <x v="0"/>
    <x v="0"/>
    <n v="0"/>
    <n v="0"/>
  </r>
  <r>
    <x v="0"/>
    <x v="11"/>
    <s v="8.1-8.2"/>
    <x v="49"/>
    <n v="8"/>
    <x v="7"/>
    <n v="15"/>
    <n v="200"/>
    <n v="100"/>
    <n v="7.5"/>
    <n v="17.7"/>
    <n v="10"/>
    <x v="1"/>
    <x v="0"/>
    <n v="0"/>
    <n v="1"/>
  </r>
  <r>
    <x v="0"/>
    <x v="11"/>
    <s v="8.1-8.2"/>
    <x v="49"/>
    <n v="8"/>
    <x v="0"/>
    <n v="1"/>
    <n v="200"/>
    <n v="100"/>
    <n v="0.5"/>
    <n v="17.7"/>
    <n v="10"/>
    <x v="0"/>
    <x v="0"/>
    <n v="0"/>
    <n v="0"/>
  </r>
  <r>
    <x v="0"/>
    <x v="11"/>
    <s v="8.2-8.3"/>
    <x v="50"/>
    <n v="8"/>
    <x v="0"/>
    <n v="8"/>
    <n v="200"/>
    <n v="100"/>
    <n v="4"/>
    <n v="17.7"/>
    <n v="10"/>
    <x v="0"/>
    <x v="0"/>
    <n v="0"/>
    <n v="1"/>
  </r>
  <r>
    <x v="0"/>
    <x v="11"/>
    <s v="8.2-8.3"/>
    <x v="50"/>
    <n v="8"/>
    <x v="4"/>
    <n v="4"/>
    <n v="200"/>
    <n v="100"/>
    <n v="2"/>
    <n v="17.7"/>
    <n v="10"/>
    <x v="1"/>
    <x v="0"/>
    <n v="0"/>
    <n v="0"/>
  </r>
  <r>
    <x v="0"/>
    <x v="11"/>
    <s v="8.3-8.4"/>
    <x v="51"/>
    <n v="8"/>
    <x v="0"/>
    <n v="6"/>
    <n v="200"/>
    <n v="100"/>
    <n v="3"/>
    <n v="17.7"/>
    <n v="10"/>
    <x v="0"/>
    <x v="0"/>
    <n v="0"/>
    <n v="1"/>
  </r>
  <r>
    <x v="0"/>
    <x v="11"/>
    <s v="8.3-8.4"/>
    <x v="51"/>
    <n v="8"/>
    <x v="4"/>
    <n v="3"/>
    <n v="200"/>
    <n v="100"/>
    <n v="1.5"/>
    <n v="17.7"/>
    <n v="10"/>
    <x v="1"/>
    <x v="0"/>
    <n v="0"/>
    <n v="0"/>
  </r>
  <r>
    <x v="0"/>
    <x v="11"/>
    <s v="8.4-8.5"/>
    <x v="52"/>
    <n v="8"/>
    <x v="4"/>
    <n v="1"/>
    <n v="200"/>
    <n v="100"/>
    <n v="0.5"/>
    <n v="17.7"/>
    <n v="10"/>
    <x v="1"/>
    <x v="0"/>
    <n v="0"/>
    <n v="1"/>
  </r>
  <r>
    <x v="0"/>
    <x v="11"/>
    <s v="8.4-8.5"/>
    <x v="52"/>
    <n v="8"/>
    <x v="10"/>
    <n v="9"/>
    <n v="200"/>
    <n v="100"/>
    <n v="4.5"/>
    <n v="17.7"/>
    <n v="10"/>
    <x v="1"/>
    <x v="0"/>
    <n v="0"/>
    <n v="0"/>
  </r>
  <r>
    <x v="0"/>
    <x v="11"/>
    <s v="8.5-8.0"/>
    <x v="53"/>
    <n v="8"/>
    <x v="10"/>
    <n v="5"/>
    <n v="200"/>
    <n v="100"/>
    <n v="2.5"/>
    <n v="17.7"/>
    <n v="10"/>
    <x v="1"/>
    <x v="0"/>
    <n v="0"/>
    <n v="1"/>
  </r>
  <r>
    <x v="0"/>
    <x v="11"/>
    <s v="8.5-8.0"/>
    <x v="53"/>
    <n v="8"/>
    <x v="0"/>
    <n v="1"/>
    <n v="200"/>
    <n v="100"/>
    <n v="0.5"/>
    <n v="17.7"/>
    <n v="10"/>
    <x v="0"/>
    <x v="0"/>
    <n v="0"/>
    <n v="0"/>
  </r>
  <r>
    <x v="0"/>
    <x v="11"/>
    <s v="8.5-8.0"/>
    <x v="53"/>
    <n v="8"/>
    <x v="11"/>
    <n v="1"/>
    <n v="200"/>
    <n v="100"/>
    <n v="0.5"/>
    <n v="17.7"/>
    <n v="10"/>
    <x v="1"/>
    <x v="0"/>
    <n v="1"/>
    <n v="0"/>
  </r>
  <r>
    <x v="0"/>
    <x v="11"/>
    <s v="8.5-8.0"/>
    <x v="53"/>
    <n v="8"/>
    <x v="4"/>
    <n v="1"/>
    <n v="200"/>
    <n v="100"/>
    <n v="0.5"/>
    <n v="17.7"/>
    <n v="10"/>
    <x v="1"/>
    <x v="0"/>
    <n v="0"/>
    <n v="0"/>
  </r>
  <r>
    <x v="9"/>
    <x v="11"/>
    <s v="1.0-1.1"/>
    <x v="70"/>
    <n v="1"/>
    <x v="0"/>
    <n v="3"/>
    <n v="200"/>
    <n v="100"/>
    <n v="1.5"/>
    <n v="17.7"/>
    <n v="10"/>
    <x v="0"/>
    <x v="0"/>
    <n v="1"/>
    <n v="1"/>
  </r>
  <r>
    <x v="9"/>
    <x v="11"/>
    <s v="1.0-1.1"/>
    <x v="70"/>
    <n v="1"/>
    <x v="1"/>
    <n v="5"/>
    <n v="200"/>
    <n v="100"/>
    <n v="2.5"/>
    <n v="17.7"/>
    <n v="10"/>
    <x v="1"/>
    <x v="0"/>
    <n v="1"/>
    <n v="0"/>
  </r>
  <r>
    <x v="9"/>
    <x v="11"/>
    <s v="1.1-1.2"/>
    <x v="0"/>
    <n v="1"/>
    <x v="0"/>
    <n v="1"/>
    <n v="180"/>
    <n v="90"/>
    <n v="0.55555555555555558"/>
    <n v="17.7"/>
    <n v="10"/>
    <x v="0"/>
    <x v="0"/>
    <n v="0"/>
    <n v="1"/>
  </r>
  <r>
    <x v="9"/>
    <x v="11"/>
    <s v="1.1-1.2"/>
    <x v="0"/>
    <n v="1"/>
    <x v="1"/>
    <n v="2"/>
    <n v="180"/>
    <n v="90"/>
    <n v="1.1111111111111112"/>
    <n v="17.7"/>
    <n v="10"/>
    <x v="1"/>
    <x v="0"/>
    <n v="0"/>
    <n v="0"/>
  </r>
  <r>
    <x v="9"/>
    <x v="11"/>
    <s v="2.0-2.1"/>
    <x v="71"/>
    <n v="2"/>
    <x v="0"/>
    <n v="2"/>
    <n v="200"/>
    <n v="100"/>
    <n v="1"/>
    <n v="17.7"/>
    <n v="10"/>
    <x v="0"/>
    <x v="0"/>
    <n v="0"/>
    <n v="1"/>
  </r>
  <r>
    <x v="9"/>
    <x v="11"/>
    <s v="2.0-2.1"/>
    <x v="71"/>
    <n v="2"/>
    <x v="1"/>
    <n v="2"/>
    <n v="200"/>
    <n v="100"/>
    <n v="1"/>
    <n v="17.7"/>
    <n v="10"/>
    <x v="1"/>
    <x v="0"/>
    <n v="0"/>
    <n v="0"/>
  </r>
  <r>
    <x v="9"/>
    <x v="11"/>
    <s v="2.1-2.2"/>
    <x v="7"/>
    <n v="2"/>
    <x v="1"/>
    <n v="10"/>
    <n v="149"/>
    <n v="74.5"/>
    <n v="6.7114093959731544"/>
    <n v="17.7"/>
    <n v="10"/>
    <x v="1"/>
    <x v="0"/>
    <n v="0"/>
    <n v="1"/>
  </r>
  <r>
    <x v="9"/>
    <x v="11"/>
    <s v="2.1-2.2"/>
    <x v="7"/>
    <n v="2"/>
    <x v="0"/>
    <n v="1"/>
    <n v="149"/>
    <n v="74.5"/>
    <n v="0.67114093959731547"/>
    <n v="17.7"/>
    <n v="10"/>
    <x v="0"/>
    <x v="0"/>
    <n v="0"/>
    <n v="0"/>
  </r>
  <r>
    <x v="9"/>
    <x v="11"/>
    <s v="3.0-3.1"/>
    <x v="72"/>
    <n v="3"/>
    <x v="0"/>
    <n v="9"/>
    <n v="200"/>
    <n v="100"/>
    <n v="4.5"/>
    <n v="17.7"/>
    <n v="10"/>
    <x v="0"/>
    <x v="0"/>
    <n v="0"/>
    <n v="1"/>
  </r>
  <r>
    <x v="9"/>
    <x v="11"/>
    <s v="3.1-3.2"/>
    <x v="14"/>
    <n v="3"/>
    <x v="0"/>
    <n v="10"/>
    <n v="119"/>
    <n v="59.5"/>
    <n v="8.4033613445378155"/>
    <n v="17.7"/>
    <n v="10"/>
    <x v="0"/>
    <x v="0"/>
    <n v="0"/>
    <n v="1"/>
  </r>
  <r>
    <x v="9"/>
    <x v="11"/>
    <s v="4.0-4.1"/>
    <x v="73"/>
    <n v="4"/>
    <x v="0"/>
    <n v="22"/>
    <n v="200"/>
    <n v="100"/>
    <n v="11"/>
    <n v="17.7"/>
    <n v="10"/>
    <x v="0"/>
    <x v="0"/>
    <n v="0"/>
    <n v="1"/>
  </r>
  <r>
    <x v="9"/>
    <x v="11"/>
    <s v="4.1-4.2"/>
    <x v="21"/>
    <n v="4"/>
    <x v="0"/>
    <n v="6"/>
    <n v="92"/>
    <n v="46"/>
    <n v="6.5217391304347823"/>
    <n v="17.7"/>
    <n v="10"/>
    <x v="0"/>
    <x v="0"/>
    <n v="0"/>
    <n v="1"/>
  </r>
  <r>
    <x v="1"/>
    <x v="11"/>
    <s v="1.1-1.2"/>
    <x v="0"/>
    <n v="1"/>
    <x v="1"/>
    <n v="20"/>
    <n v="200"/>
    <n v="100"/>
    <n v="10"/>
    <n v="15"/>
    <n v="12"/>
    <x v="1"/>
    <x v="0"/>
    <n v="1"/>
    <n v="1"/>
  </r>
  <r>
    <x v="1"/>
    <x v="11"/>
    <s v="1.1-1.2"/>
    <x v="0"/>
    <n v="1"/>
    <x v="0"/>
    <n v="13"/>
    <n v="200"/>
    <n v="100"/>
    <n v="6.5"/>
    <n v="15"/>
    <n v="12"/>
    <x v="0"/>
    <x v="0"/>
    <n v="1"/>
    <n v="0"/>
  </r>
  <r>
    <x v="1"/>
    <x v="11"/>
    <s v="1.2-1.3"/>
    <x v="1"/>
    <n v="1"/>
    <x v="1"/>
    <n v="10"/>
    <n v="200"/>
    <n v="100"/>
    <n v="5"/>
    <n v="15"/>
    <n v="12"/>
    <x v="1"/>
    <x v="0"/>
    <n v="0"/>
    <n v="1"/>
  </r>
  <r>
    <x v="1"/>
    <x v="11"/>
    <s v="1.2-1.3"/>
    <x v="1"/>
    <n v="1"/>
    <x v="0"/>
    <n v="16"/>
    <n v="200"/>
    <n v="100"/>
    <n v="8"/>
    <n v="15"/>
    <n v="12"/>
    <x v="0"/>
    <x v="0"/>
    <n v="0"/>
    <n v="0"/>
  </r>
  <r>
    <x v="1"/>
    <x v="11"/>
    <s v="1.3-1.4"/>
    <x v="2"/>
    <n v="1"/>
    <x v="1"/>
    <n v="17"/>
    <n v="200"/>
    <n v="100"/>
    <n v="8.5"/>
    <n v="15"/>
    <n v="12"/>
    <x v="1"/>
    <x v="0"/>
    <n v="0"/>
    <n v="1"/>
  </r>
  <r>
    <x v="1"/>
    <x v="11"/>
    <s v="1.3-1.4"/>
    <x v="2"/>
    <n v="1"/>
    <x v="0"/>
    <n v="10"/>
    <n v="200"/>
    <n v="100"/>
    <n v="5"/>
    <n v="15"/>
    <n v="12"/>
    <x v="0"/>
    <x v="0"/>
    <n v="0"/>
    <n v="0"/>
  </r>
  <r>
    <x v="1"/>
    <x v="11"/>
    <s v="1.4-1.5"/>
    <x v="3"/>
    <n v="1"/>
    <x v="1"/>
    <n v="34"/>
    <n v="200"/>
    <n v="100"/>
    <n v="17"/>
    <n v="15"/>
    <n v="12"/>
    <x v="1"/>
    <x v="0"/>
    <n v="0"/>
    <n v="1"/>
  </r>
  <r>
    <x v="1"/>
    <x v="11"/>
    <s v="1.4-1.5"/>
    <x v="3"/>
    <n v="1"/>
    <x v="0"/>
    <n v="6"/>
    <n v="200"/>
    <n v="100"/>
    <n v="3"/>
    <n v="15"/>
    <n v="12"/>
    <x v="0"/>
    <x v="0"/>
    <n v="0"/>
    <n v="0"/>
  </r>
  <r>
    <x v="1"/>
    <x v="11"/>
    <s v="1.5-1.0"/>
    <x v="4"/>
    <n v="1"/>
    <x v="1"/>
    <n v="18"/>
    <n v="200"/>
    <n v="100"/>
    <n v="9"/>
    <n v="15"/>
    <n v="12"/>
    <x v="1"/>
    <x v="0"/>
    <n v="0"/>
    <n v="1"/>
  </r>
  <r>
    <x v="1"/>
    <x v="11"/>
    <s v="1.5-1.0"/>
    <x v="4"/>
    <n v="1"/>
    <x v="0"/>
    <n v="8"/>
    <n v="200"/>
    <n v="100"/>
    <n v="4"/>
    <n v="15"/>
    <n v="12"/>
    <x v="0"/>
    <x v="0"/>
    <n v="0"/>
    <n v="0"/>
  </r>
  <r>
    <x v="1"/>
    <x v="11"/>
    <s v="2.1-2.2"/>
    <x v="7"/>
    <n v="2"/>
    <x v="1"/>
    <n v="10"/>
    <n v="200"/>
    <n v="100"/>
    <n v="5"/>
    <n v="15"/>
    <n v="12"/>
    <x v="1"/>
    <x v="0"/>
    <n v="0"/>
    <n v="1"/>
  </r>
  <r>
    <x v="1"/>
    <x v="11"/>
    <s v="2.1-2.2"/>
    <x v="7"/>
    <n v="2"/>
    <x v="0"/>
    <n v="9"/>
    <n v="200"/>
    <n v="100"/>
    <n v="4.5"/>
    <n v="15"/>
    <n v="12"/>
    <x v="0"/>
    <x v="0"/>
    <n v="0"/>
    <n v="0"/>
  </r>
  <r>
    <x v="1"/>
    <x v="11"/>
    <s v="2.2-2.3"/>
    <x v="8"/>
    <n v="2"/>
    <x v="1"/>
    <n v="8"/>
    <n v="200"/>
    <n v="100"/>
    <n v="4"/>
    <n v="15"/>
    <n v="12"/>
    <x v="1"/>
    <x v="0"/>
    <n v="0"/>
    <n v="1"/>
  </r>
  <r>
    <x v="1"/>
    <x v="11"/>
    <s v="2.2-2.3"/>
    <x v="8"/>
    <n v="2"/>
    <x v="0"/>
    <n v="8"/>
    <n v="200"/>
    <n v="100"/>
    <n v="4"/>
    <n v="15"/>
    <n v="12"/>
    <x v="0"/>
    <x v="0"/>
    <n v="0"/>
    <n v="0"/>
  </r>
  <r>
    <x v="1"/>
    <x v="11"/>
    <s v="2.3-2.4"/>
    <x v="9"/>
    <n v="2"/>
    <x v="1"/>
    <n v="15"/>
    <n v="200"/>
    <n v="100"/>
    <n v="7.5"/>
    <n v="15"/>
    <n v="12"/>
    <x v="1"/>
    <x v="0"/>
    <n v="0"/>
    <n v="1"/>
  </r>
  <r>
    <x v="1"/>
    <x v="11"/>
    <s v="2.3-2.4"/>
    <x v="9"/>
    <n v="2"/>
    <x v="0"/>
    <n v="20"/>
    <n v="200"/>
    <n v="100"/>
    <n v="10"/>
    <n v="15"/>
    <n v="12"/>
    <x v="0"/>
    <x v="0"/>
    <n v="0"/>
    <n v="0"/>
  </r>
  <r>
    <x v="1"/>
    <x v="11"/>
    <s v="2.4-2.5"/>
    <x v="10"/>
    <n v="2"/>
    <x v="1"/>
    <n v="25"/>
    <n v="200"/>
    <n v="100"/>
    <n v="12.5"/>
    <n v="15"/>
    <n v="12"/>
    <x v="1"/>
    <x v="0"/>
    <n v="0"/>
    <n v="1"/>
  </r>
  <r>
    <x v="1"/>
    <x v="11"/>
    <s v="2.4-2.5"/>
    <x v="10"/>
    <n v="2"/>
    <x v="0"/>
    <n v="6"/>
    <n v="200"/>
    <n v="100"/>
    <n v="3"/>
    <n v="15"/>
    <n v="12"/>
    <x v="0"/>
    <x v="0"/>
    <n v="0"/>
    <n v="0"/>
  </r>
  <r>
    <x v="1"/>
    <x v="11"/>
    <s v="2.5-2.6"/>
    <x v="11"/>
    <n v="2"/>
    <x v="1"/>
    <n v="16"/>
    <n v="200"/>
    <n v="100"/>
    <n v="8"/>
    <n v="15"/>
    <n v="12"/>
    <x v="1"/>
    <x v="0"/>
    <n v="0"/>
    <n v="1"/>
  </r>
  <r>
    <x v="1"/>
    <x v="11"/>
    <s v="2.5-2.6"/>
    <x v="11"/>
    <n v="2"/>
    <x v="0"/>
    <n v="10"/>
    <n v="200"/>
    <n v="100"/>
    <n v="5"/>
    <n v="15"/>
    <n v="12"/>
    <x v="0"/>
    <x v="0"/>
    <n v="0"/>
    <n v="0"/>
  </r>
  <r>
    <x v="1"/>
    <x v="11"/>
    <s v="2.6-2.7"/>
    <x v="12"/>
    <n v="2"/>
    <x v="1"/>
    <n v="12"/>
    <n v="200"/>
    <n v="100"/>
    <n v="6"/>
    <n v="15"/>
    <n v="12"/>
    <x v="1"/>
    <x v="0"/>
    <n v="0"/>
    <n v="1"/>
  </r>
  <r>
    <x v="1"/>
    <x v="11"/>
    <s v="2.6-2.7"/>
    <x v="12"/>
    <n v="2"/>
    <x v="0"/>
    <n v="2"/>
    <n v="200"/>
    <n v="100"/>
    <n v="1"/>
    <n v="15"/>
    <n v="12"/>
    <x v="0"/>
    <x v="0"/>
    <n v="0"/>
    <n v="0"/>
  </r>
  <r>
    <x v="1"/>
    <x v="11"/>
    <s v="2.7-2.8"/>
    <x v="13"/>
    <n v="2"/>
    <x v="1"/>
    <n v="16"/>
    <n v="200"/>
    <n v="100"/>
    <n v="8"/>
    <n v="15"/>
    <n v="12"/>
    <x v="1"/>
    <x v="0"/>
    <n v="0"/>
    <n v="1"/>
  </r>
  <r>
    <x v="1"/>
    <x v="11"/>
    <s v="2.7-2.8"/>
    <x v="13"/>
    <n v="2"/>
    <x v="0"/>
    <n v="3"/>
    <n v="200"/>
    <n v="100"/>
    <n v="1.5"/>
    <n v="15"/>
    <n v="12"/>
    <x v="0"/>
    <x v="0"/>
    <n v="0"/>
    <n v="0"/>
  </r>
  <r>
    <x v="1"/>
    <x v="11"/>
    <s v="2.8-2.0"/>
    <x v="54"/>
    <n v="2"/>
    <x v="1"/>
    <n v="26"/>
    <n v="200"/>
    <n v="100"/>
    <n v="13"/>
    <n v="15"/>
    <n v="12"/>
    <x v="1"/>
    <x v="0"/>
    <n v="0"/>
    <n v="1"/>
  </r>
  <r>
    <x v="1"/>
    <x v="11"/>
    <s v="2.8-2.0"/>
    <x v="54"/>
    <n v="2"/>
    <x v="0"/>
    <n v="6"/>
    <n v="200"/>
    <n v="100"/>
    <n v="3"/>
    <n v="15"/>
    <n v="12"/>
    <x v="0"/>
    <x v="0"/>
    <n v="0"/>
    <n v="0"/>
  </r>
  <r>
    <x v="1"/>
    <x v="11"/>
    <s v="2.8-2.0"/>
    <x v="54"/>
    <n v="2"/>
    <x v="16"/>
    <n v="4"/>
    <n v="200"/>
    <n v="100"/>
    <n v="2"/>
    <n v="15"/>
    <n v="12"/>
    <x v="1"/>
    <x v="0"/>
    <n v="1"/>
    <n v="0"/>
  </r>
  <r>
    <x v="1"/>
    <x v="11"/>
    <s v="3.1-3.2"/>
    <x v="14"/>
    <n v="3"/>
    <x v="1"/>
    <n v="5"/>
    <n v="200"/>
    <n v="100"/>
    <n v="2.5"/>
    <n v="15"/>
    <n v="12"/>
    <x v="1"/>
    <x v="0"/>
    <n v="0"/>
    <n v="1"/>
  </r>
  <r>
    <x v="1"/>
    <x v="11"/>
    <s v="3.1-3.2"/>
    <x v="14"/>
    <n v="3"/>
    <x v="0"/>
    <n v="19"/>
    <n v="200"/>
    <n v="100"/>
    <n v="9.5"/>
    <n v="15"/>
    <n v="12"/>
    <x v="0"/>
    <x v="0"/>
    <n v="0"/>
    <n v="0"/>
  </r>
  <r>
    <x v="1"/>
    <x v="11"/>
    <s v="3.2-3.3"/>
    <x v="15"/>
    <n v="3"/>
    <x v="1"/>
    <n v="16"/>
    <n v="200"/>
    <n v="100"/>
    <n v="8"/>
    <n v="15"/>
    <n v="12"/>
    <x v="1"/>
    <x v="0"/>
    <n v="0"/>
    <n v="1"/>
  </r>
  <r>
    <x v="1"/>
    <x v="11"/>
    <s v="3.2-3.3"/>
    <x v="15"/>
    <n v="3"/>
    <x v="0"/>
    <n v="11"/>
    <n v="200"/>
    <n v="100"/>
    <n v="5.5"/>
    <n v="15"/>
    <n v="12"/>
    <x v="0"/>
    <x v="0"/>
    <n v="0"/>
    <n v="0"/>
  </r>
  <r>
    <x v="1"/>
    <x v="11"/>
    <s v="3.3-3.4"/>
    <x v="16"/>
    <n v="3"/>
    <x v="1"/>
    <n v="1"/>
    <n v="200"/>
    <n v="100"/>
    <n v="0.5"/>
    <n v="15"/>
    <n v="12"/>
    <x v="1"/>
    <x v="0"/>
    <n v="0"/>
    <n v="1"/>
  </r>
  <r>
    <x v="1"/>
    <x v="11"/>
    <s v="3.3-3.4"/>
    <x v="16"/>
    <n v="3"/>
    <x v="34"/>
    <n v="1"/>
    <n v="200"/>
    <n v="100"/>
    <n v="0.5"/>
    <n v="15"/>
    <n v="12"/>
    <x v="0"/>
    <x v="0"/>
    <n v="1"/>
    <n v="0"/>
  </r>
  <r>
    <x v="1"/>
    <x v="11"/>
    <s v="3.3-3.4"/>
    <x v="16"/>
    <n v="3"/>
    <x v="0"/>
    <n v="11"/>
    <n v="200"/>
    <n v="100"/>
    <n v="5.5"/>
    <n v="15"/>
    <n v="12"/>
    <x v="0"/>
    <x v="0"/>
    <n v="0"/>
    <n v="0"/>
  </r>
  <r>
    <x v="1"/>
    <x v="11"/>
    <s v="3.4-3.5"/>
    <x v="17"/>
    <n v="3"/>
    <x v="1"/>
    <n v="12"/>
    <n v="200"/>
    <n v="100"/>
    <n v="6"/>
    <n v="15"/>
    <n v="12"/>
    <x v="1"/>
    <x v="0"/>
    <n v="0"/>
    <n v="1"/>
  </r>
  <r>
    <x v="1"/>
    <x v="11"/>
    <s v="3.4-3.5"/>
    <x v="17"/>
    <n v="3"/>
    <x v="34"/>
    <n v="1"/>
    <n v="200"/>
    <n v="100"/>
    <n v="0.5"/>
    <n v="15"/>
    <n v="12"/>
    <x v="0"/>
    <x v="0"/>
    <n v="0"/>
    <n v="0"/>
  </r>
  <r>
    <x v="1"/>
    <x v="11"/>
    <s v="3.4-3.5"/>
    <x v="17"/>
    <n v="3"/>
    <x v="0"/>
    <n v="29"/>
    <n v="200"/>
    <n v="100"/>
    <n v="14.499999999999998"/>
    <n v="15"/>
    <n v="12"/>
    <x v="0"/>
    <x v="0"/>
    <n v="0"/>
    <n v="0"/>
  </r>
  <r>
    <x v="1"/>
    <x v="11"/>
    <s v="3.5-3.6"/>
    <x v="18"/>
    <n v="3"/>
    <x v="1"/>
    <n v="1"/>
    <n v="200"/>
    <n v="100"/>
    <n v="0.5"/>
    <n v="15"/>
    <n v="12"/>
    <x v="1"/>
    <x v="0"/>
    <n v="0"/>
    <n v="1"/>
  </r>
  <r>
    <x v="1"/>
    <x v="11"/>
    <s v="3.5-3.6"/>
    <x v="18"/>
    <n v="3"/>
    <x v="0"/>
    <n v="8"/>
    <n v="200"/>
    <n v="100"/>
    <n v="4"/>
    <n v="15"/>
    <n v="12"/>
    <x v="0"/>
    <x v="0"/>
    <n v="0"/>
    <n v="0"/>
  </r>
  <r>
    <x v="1"/>
    <x v="11"/>
    <s v="3.6-3.7"/>
    <x v="19"/>
    <n v="3"/>
    <x v="1"/>
    <n v="6"/>
    <n v="200"/>
    <n v="100"/>
    <n v="3"/>
    <n v="15"/>
    <n v="12"/>
    <x v="1"/>
    <x v="0"/>
    <n v="0"/>
    <n v="1"/>
  </r>
  <r>
    <x v="1"/>
    <x v="11"/>
    <s v="3.6-3.7"/>
    <x v="19"/>
    <n v="3"/>
    <x v="0"/>
    <n v="2"/>
    <n v="200"/>
    <n v="100"/>
    <n v="1"/>
    <n v="15"/>
    <n v="12"/>
    <x v="0"/>
    <x v="0"/>
    <n v="0"/>
    <n v="0"/>
  </r>
  <r>
    <x v="1"/>
    <x v="11"/>
    <s v="3.7-3.0"/>
    <x v="20"/>
    <n v="3"/>
    <x v="6"/>
    <n v="1"/>
    <n v="200"/>
    <n v="100"/>
    <n v="0.5"/>
    <n v="15"/>
    <n v="12"/>
    <x v="1"/>
    <x v="0"/>
    <n v="1"/>
    <n v="1"/>
  </r>
  <r>
    <x v="1"/>
    <x v="11"/>
    <s v="3.7-3.0"/>
    <x v="20"/>
    <n v="3"/>
    <x v="1"/>
    <n v="20"/>
    <n v="200"/>
    <n v="100"/>
    <n v="10"/>
    <n v="15"/>
    <n v="12"/>
    <x v="1"/>
    <x v="0"/>
    <n v="0"/>
    <n v="0"/>
  </r>
  <r>
    <x v="1"/>
    <x v="11"/>
    <s v="3.7-3.0"/>
    <x v="20"/>
    <n v="3"/>
    <x v="0"/>
    <n v="7"/>
    <n v="200"/>
    <n v="100"/>
    <n v="3.5000000000000004"/>
    <n v="15"/>
    <n v="12"/>
    <x v="0"/>
    <x v="0"/>
    <n v="0"/>
    <n v="0"/>
  </r>
  <r>
    <x v="1"/>
    <x v="11"/>
    <s v="4.1-4.2"/>
    <x v="21"/>
    <n v="4"/>
    <x v="1"/>
    <n v="19"/>
    <n v="200"/>
    <n v="100"/>
    <n v="9.5"/>
    <n v="15"/>
    <n v="12"/>
    <x v="1"/>
    <x v="0"/>
    <n v="0"/>
    <n v="1"/>
  </r>
  <r>
    <x v="1"/>
    <x v="11"/>
    <s v="4.1-4.2"/>
    <x v="21"/>
    <n v="4"/>
    <x v="0"/>
    <n v="11"/>
    <n v="200"/>
    <n v="100"/>
    <n v="5.5"/>
    <n v="15"/>
    <n v="12"/>
    <x v="0"/>
    <x v="0"/>
    <n v="0"/>
    <n v="0"/>
  </r>
  <r>
    <x v="1"/>
    <x v="11"/>
    <s v="4.2-4.3"/>
    <x v="22"/>
    <n v="4"/>
    <x v="1"/>
    <n v="8"/>
    <n v="200"/>
    <n v="100"/>
    <n v="4"/>
    <n v="15"/>
    <n v="12"/>
    <x v="1"/>
    <x v="0"/>
    <n v="0"/>
    <n v="1"/>
  </r>
  <r>
    <x v="1"/>
    <x v="11"/>
    <s v="4.2-4.3"/>
    <x v="22"/>
    <n v="4"/>
    <x v="0"/>
    <n v="11"/>
    <n v="200"/>
    <n v="100"/>
    <n v="5.5"/>
    <n v="15"/>
    <n v="12"/>
    <x v="0"/>
    <x v="0"/>
    <n v="0"/>
    <n v="0"/>
  </r>
  <r>
    <x v="1"/>
    <x v="11"/>
    <s v="4.3-4.4"/>
    <x v="23"/>
    <n v="4"/>
    <x v="1"/>
    <n v="14"/>
    <n v="200"/>
    <n v="100"/>
    <n v="7.0000000000000009"/>
    <n v="15"/>
    <n v="12"/>
    <x v="1"/>
    <x v="0"/>
    <n v="0"/>
    <n v="1"/>
  </r>
  <r>
    <x v="1"/>
    <x v="11"/>
    <s v="4.3-4.4"/>
    <x v="23"/>
    <n v="4"/>
    <x v="0"/>
    <n v="21"/>
    <n v="200"/>
    <n v="100"/>
    <n v="10.5"/>
    <n v="15"/>
    <n v="12"/>
    <x v="0"/>
    <x v="0"/>
    <n v="0"/>
    <n v="0"/>
  </r>
  <r>
    <x v="1"/>
    <x v="11"/>
    <s v="4.4-4.5"/>
    <x v="24"/>
    <n v="4"/>
    <x v="1"/>
    <n v="16"/>
    <n v="200"/>
    <n v="100"/>
    <n v="8"/>
    <n v="15"/>
    <n v="12"/>
    <x v="1"/>
    <x v="0"/>
    <n v="0"/>
    <n v="1"/>
  </r>
  <r>
    <x v="1"/>
    <x v="11"/>
    <s v="4.4-4.5"/>
    <x v="24"/>
    <n v="4"/>
    <x v="0"/>
    <n v="13"/>
    <n v="200"/>
    <n v="100"/>
    <n v="6.5"/>
    <n v="15"/>
    <n v="12"/>
    <x v="0"/>
    <x v="0"/>
    <n v="0"/>
    <n v="0"/>
  </r>
  <r>
    <x v="1"/>
    <x v="11"/>
    <s v="4.5-4.6"/>
    <x v="25"/>
    <n v="4"/>
    <x v="1"/>
    <n v="20"/>
    <n v="200"/>
    <n v="100"/>
    <n v="10"/>
    <n v="15"/>
    <n v="12"/>
    <x v="1"/>
    <x v="0"/>
    <n v="0"/>
    <n v="1"/>
  </r>
  <r>
    <x v="1"/>
    <x v="11"/>
    <s v="4.5-4.6"/>
    <x v="25"/>
    <n v="4"/>
    <x v="0"/>
    <n v="20"/>
    <n v="200"/>
    <n v="100"/>
    <n v="10"/>
    <n v="15"/>
    <n v="12"/>
    <x v="0"/>
    <x v="0"/>
    <n v="0"/>
    <n v="0"/>
  </r>
  <r>
    <x v="1"/>
    <x v="11"/>
    <s v="4.6-4.7"/>
    <x v="26"/>
    <n v="4"/>
    <x v="1"/>
    <n v="3"/>
    <n v="200"/>
    <n v="100"/>
    <n v="1.5"/>
    <n v="15"/>
    <n v="12"/>
    <x v="1"/>
    <x v="0"/>
    <n v="0"/>
    <n v="1"/>
  </r>
  <r>
    <x v="1"/>
    <x v="11"/>
    <s v="4.6-4.7"/>
    <x v="26"/>
    <n v="4"/>
    <x v="0"/>
    <n v="21"/>
    <n v="200"/>
    <n v="100"/>
    <n v="10.5"/>
    <n v="15"/>
    <n v="12"/>
    <x v="0"/>
    <x v="0"/>
    <n v="0"/>
    <n v="0"/>
  </r>
  <r>
    <x v="1"/>
    <x v="11"/>
    <s v="4.7-4.0"/>
    <x v="27"/>
    <n v="4"/>
    <x v="1"/>
    <n v="8"/>
    <n v="200"/>
    <n v="100"/>
    <n v="4"/>
    <n v="15"/>
    <n v="12"/>
    <x v="1"/>
    <x v="0"/>
    <n v="0"/>
    <n v="1"/>
  </r>
  <r>
    <x v="1"/>
    <x v="11"/>
    <s v="4.7-4.0"/>
    <x v="27"/>
    <n v="4"/>
    <x v="0"/>
    <n v="11"/>
    <n v="200"/>
    <n v="100"/>
    <n v="5.5"/>
    <n v="15"/>
    <n v="12"/>
    <x v="0"/>
    <x v="0"/>
    <n v="0"/>
    <n v="0"/>
  </r>
  <r>
    <x v="1"/>
    <x v="11"/>
    <s v="5.1-5.2"/>
    <x v="28"/>
    <n v="5"/>
    <x v="2"/>
    <n v="1"/>
    <n v="200"/>
    <n v="100"/>
    <n v="0.5"/>
    <n v="15"/>
    <n v="12"/>
    <x v="1"/>
    <x v="0"/>
    <n v="1"/>
    <n v="1"/>
  </r>
  <r>
    <x v="1"/>
    <x v="11"/>
    <s v="5.1-5.2"/>
    <x v="28"/>
    <n v="5"/>
    <x v="1"/>
    <n v="3"/>
    <n v="200"/>
    <n v="100"/>
    <n v="1.5"/>
    <n v="15"/>
    <n v="12"/>
    <x v="1"/>
    <x v="0"/>
    <n v="0"/>
    <n v="0"/>
  </r>
  <r>
    <x v="1"/>
    <x v="11"/>
    <s v="5.1-5.2"/>
    <x v="28"/>
    <n v="5"/>
    <x v="0"/>
    <n v="3"/>
    <n v="200"/>
    <n v="100"/>
    <n v="1.5"/>
    <n v="15"/>
    <n v="12"/>
    <x v="0"/>
    <x v="0"/>
    <n v="0"/>
    <n v="0"/>
  </r>
  <r>
    <x v="1"/>
    <x v="11"/>
    <s v="5.2-5.3"/>
    <x v="29"/>
    <n v="5"/>
    <x v="1"/>
    <n v="11"/>
    <n v="200"/>
    <n v="100"/>
    <n v="5.5"/>
    <n v="15"/>
    <n v="12"/>
    <x v="1"/>
    <x v="0"/>
    <n v="0"/>
    <n v="1"/>
  </r>
  <r>
    <x v="1"/>
    <x v="11"/>
    <s v="5.2-5.3"/>
    <x v="29"/>
    <n v="5"/>
    <x v="0"/>
    <n v="13"/>
    <n v="200"/>
    <n v="100"/>
    <n v="6.5"/>
    <n v="15"/>
    <n v="12"/>
    <x v="0"/>
    <x v="0"/>
    <n v="0"/>
    <n v="0"/>
  </r>
  <r>
    <x v="1"/>
    <x v="11"/>
    <s v="5.2-5.3"/>
    <x v="29"/>
    <n v="5"/>
    <x v="16"/>
    <n v="8"/>
    <n v="200"/>
    <n v="100"/>
    <n v="4"/>
    <n v="15"/>
    <n v="12"/>
    <x v="1"/>
    <x v="0"/>
    <n v="0"/>
    <n v="0"/>
  </r>
  <r>
    <x v="1"/>
    <x v="11"/>
    <s v="5.3-5.4"/>
    <x v="30"/>
    <n v="5"/>
    <x v="1"/>
    <n v="15"/>
    <n v="200"/>
    <n v="100"/>
    <n v="7.5"/>
    <n v="15"/>
    <n v="12"/>
    <x v="1"/>
    <x v="0"/>
    <n v="0"/>
    <n v="1"/>
  </r>
  <r>
    <x v="1"/>
    <x v="11"/>
    <s v="5.3-5.4"/>
    <x v="30"/>
    <n v="5"/>
    <x v="0"/>
    <n v="27"/>
    <n v="200"/>
    <n v="100"/>
    <n v="13.5"/>
    <n v="15"/>
    <n v="12"/>
    <x v="0"/>
    <x v="0"/>
    <n v="0"/>
    <n v="0"/>
  </r>
  <r>
    <x v="1"/>
    <x v="11"/>
    <s v="5.4-5.5"/>
    <x v="31"/>
    <n v="5"/>
    <x v="1"/>
    <n v="13"/>
    <n v="200"/>
    <n v="100"/>
    <n v="6.5"/>
    <n v="15"/>
    <n v="12"/>
    <x v="1"/>
    <x v="0"/>
    <n v="0"/>
    <n v="1"/>
  </r>
  <r>
    <x v="1"/>
    <x v="11"/>
    <s v="5.4-5.5"/>
    <x v="31"/>
    <n v="5"/>
    <x v="0"/>
    <n v="29"/>
    <n v="200"/>
    <n v="100"/>
    <n v="14.499999999999998"/>
    <n v="15"/>
    <n v="12"/>
    <x v="0"/>
    <x v="0"/>
    <n v="0"/>
    <n v="0"/>
  </r>
  <r>
    <x v="1"/>
    <x v="11"/>
    <s v="5.5-5.6"/>
    <x v="32"/>
    <n v="5"/>
    <x v="1"/>
    <n v="3"/>
    <n v="200"/>
    <n v="100"/>
    <n v="1.5"/>
    <n v="15"/>
    <n v="12"/>
    <x v="1"/>
    <x v="0"/>
    <n v="0"/>
    <n v="1"/>
  </r>
  <r>
    <x v="1"/>
    <x v="11"/>
    <s v="5.5-5.6"/>
    <x v="32"/>
    <n v="5"/>
    <x v="0"/>
    <n v="12"/>
    <n v="200"/>
    <n v="100"/>
    <n v="6"/>
    <n v="15"/>
    <n v="12"/>
    <x v="0"/>
    <x v="0"/>
    <n v="0"/>
    <n v="0"/>
  </r>
  <r>
    <x v="1"/>
    <x v="11"/>
    <s v="5.6-5.0"/>
    <x v="33"/>
    <n v="5"/>
    <x v="1"/>
    <n v="10"/>
    <n v="200"/>
    <n v="100"/>
    <n v="5"/>
    <n v="15"/>
    <n v="12"/>
    <x v="1"/>
    <x v="0"/>
    <n v="0"/>
    <n v="1"/>
  </r>
  <r>
    <x v="1"/>
    <x v="11"/>
    <s v="5.6-5.0"/>
    <x v="33"/>
    <n v="5"/>
    <x v="0"/>
    <n v="19"/>
    <n v="200"/>
    <n v="100"/>
    <n v="9.5"/>
    <n v="15"/>
    <n v="12"/>
    <x v="0"/>
    <x v="0"/>
    <n v="0"/>
    <n v="0"/>
  </r>
  <r>
    <x v="1"/>
    <x v="11"/>
    <s v="6.1-6.2"/>
    <x v="35"/>
    <n v="6"/>
    <x v="1"/>
    <n v="4"/>
    <n v="200"/>
    <n v="100"/>
    <n v="2"/>
    <n v="15"/>
    <n v="12"/>
    <x v="1"/>
    <x v="0"/>
    <n v="0"/>
    <n v="1"/>
  </r>
  <r>
    <x v="1"/>
    <x v="11"/>
    <s v="6.1-6.2"/>
    <x v="35"/>
    <n v="6"/>
    <x v="0"/>
    <n v="27"/>
    <n v="200"/>
    <n v="100"/>
    <n v="13.5"/>
    <n v="15"/>
    <n v="12"/>
    <x v="0"/>
    <x v="0"/>
    <n v="0"/>
    <n v="0"/>
  </r>
  <r>
    <x v="1"/>
    <x v="11"/>
    <s v="6.2-6.3"/>
    <x v="36"/>
    <n v="6"/>
    <x v="1"/>
    <n v="10"/>
    <n v="200"/>
    <n v="100"/>
    <n v="5"/>
    <n v="15"/>
    <n v="12"/>
    <x v="1"/>
    <x v="0"/>
    <n v="0"/>
    <n v="1"/>
  </r>
  <r>
    <x v="1"/>
    <x v="11"/>
    <s v="6.2-6.3"/>
    <x v="36"/>
    <n v="6"/>
    <x v="0"/>
    <n v="20"/>
    <n v="200"/>
    <n v="100"/>
    <n v="10"/>
    <n v="15"/>
    <n v="12"/>
    <x v="0"/>
    <x v="0"/>
    <n v="0"/>
    <n v="0"/>
  </r>
  <r>
    <x v="1"/>
    <x v="11"/>
    <s v="6.3-6.4"/>
    <x v="37"/>
    <n v="6"/>
    <x v="1"/>
    <n v="10"/>
    <n v="200"/>
    <n v="100"/>
    <n v="5"/>
    <n v="15"/>
    <n v="12"/>
    <x v="1"/>
    <x v="0"/>
    <n v="0"/>
    <n v="1"/>
  </r>
  <r>
    <x v="1"/>
    <x v="11"/>
    <s v="6.3-6.4"/>
    <x v="37"/>
    <n v="6"/>
    <x v="0"/>
    <n v="25"/>
    <n v="200"/>
    <n v="100"/>
    <n v="12.5"/>
    <n v="15"/>
    <n v="12"/>
    <x v="0"/>
    <x v="0"/>
    <n v="0"/>
    <n v="0"/>
  </r>
  <r>
    <x v="1"/>
    <x v="11"/>
    <s v="6.4-6.5"/>
    <x v="38"/>
    <n v="6"/>
    <x v="1"/>
    <n v="5"/>
    <n v="200"/>
    <n v="100"/>
    <n v="2.5"/>
    <n v="15"/>
    <n v="12"/>
    <x v="1"/>
    <x v="0"/>
    <n v="0"/>
    <n v="1"/>
  </r>
  <r>
    <x v="1"/>
    <x v="11"/>
    <s v="6.4-6.5"/>
    <x v="38"/>
    <n v="6"/>
    <x v="0"/>
    <n v="31"/>
    <n v="200"/>
    <n v="100"/>
    <n v="15.5"/>
    <n v="15"/>
    <n v="12"/>
    <x v="0"/>
    <x v="0"/>
    <n v="0"/>
    <n v="0"/>
  </r>
  <r>
    <x v="1"/>
    <x v="11"/>
    <s v="6.5-6.0"/>
    <x v="39"/>
    <n v="6"/>
    <x v="1"/>
    <n v="1"/>
    <n v="200"/>
    <n v="100"/>
    <n v="0.5"/>
    <n v="15"/>
    <n v="12"/>
    <x v="1"/>
    <x v="0"/>
    <n v="0"/>
    <n v="1"/>
  </r>
  <r>
    <x v="1"/>
    <x v="11"/>
    <s v="6.5-6.0"/>
    <x v="39"/>
    <n v="6"/>
    <x v="0"/>
    <n v="22"/>
    <n v="200"/>
    <n v="100"/>
    <n v="11"/>
    <n v="15"/>
    <n v="12"/>
    <x v="0"/>
    <x v="0"/>
    <n v="0"/>
    <n v="0"/>
  </r>
  <r>
    <x v="1"/>
    <x v="11"/>
    <s v="7.1-7.2"/>
    <x v="42"/>
    <n v="7"/>
    <x v="2"/>
    <n v="4"/>
    <n v="200"/>
    <n v="100"/>
    <n v="2"/>
    <n v="15"/>
    <n v="12"/>
    <x v="1"/>
    <x v="0"/>
    <n v="0"/>
    <n v="1"/>
  </r>
  <r>
    <x v="1"/>
    <x v="11"/>
    <s v="7.1-7.2"/>
    <x v="42"/>
    <n v="7"/>
    <x v="0"/>
    <n v="14"/>
    <n v="200"/>
    <n v="100"/>
    <n v="7.0000000000000009"/>
    <n v="15"/>
    <n v="12"/>
    <x v="0"/>
    <x v="0"/>
    <n v="0"/>
    <n v="0"/>
  </r>
  <r>
    <x v="1"/>
    <x v="11"/>
    <s v="7.2-7.3"/>
    <x v="43"/>
    <n v="7"/>
    <x v="1"/>
    <n v="4"/>
    <n v="200"/>
    <n v="100"/>
    <n v="2"/>
    <n v="15"/>
    <n v="12"/>
    <x v="1"/>
    <x v="0"/>
    <n v="0"/>
    <n v="1"/>
  </r>
  <r>
    <x v="1"/>
    <x v="11"/>
    <s v="7.2-7.3"/>
    <x v="43"/>
    <n v="7"/>
    <x v="0"/>
    <n v="30"/>
    <n v="200"/>
    <n v="100"/>
    <n v="15"/>
    <n v="15"/>
    <n v="12"/>
    <x v="0"/>
    <x v="0"/>
    <n v="0"/>
    <n v="0"/>
  </r>
  <r>
    <x v="1"/>
    <x v="11"/>
    <s v="7.3-7.4"/>
    <x v="44"/>
    <n v="7"/>
    <x v="1"/>
    <n v="16"/>
    <n v="200"/>
    <n v="100"/>
    <n v="8"/>
    <n v="15"/>
    <n v="12"/>
    <x v="1"/>
    <x v="0"/>
    <n v="0"/>
    <n v="1"/>
  </r>
  <r>
    <x v="1"/>
    <x v="11"/>
    <s v="7.3-7.4"/>
    <x v="44"/>
    <n v="7"/>
    <x v="0"/>
    <n v="7"/>
    <n v="200"/>
    <n v="100"/>
    <n v="3.5000000000000004"/>
    <n v="15"/>
    <n v="12"/>
    <x v="0"/>
    <x v="0"/>
    <n v="0"/>
    <n v="0"/>
  </r>
  <r>
    <x v="1"/>
    <x v="11"/>
    <s v="7.3-7.4"/>
    <x v="44"/>
    <n v="7"/>
    <x v="16"/>
    <n v="2"/>
    <n v="200"/>
    <n v="100"/>
    <n v="1"/>
    <n v="15"/>
    <n v="12"/>
    <x v="1"/>
    <x v="0"/>
    <n v="0"/>
    <n v="0"/>
  </r>
  <r>
    <x v="1"/>
    <x v="11"/>
    <s v="7.4-7.0"/>
    <x v="45"/>
    <n v="7"/>
    <x v="1"/>
    <n v="11"/>
    <n v="200"/>
    <n v="100"/>
    <n v="5.5"/>
    <n v="15"/>
    <n v="12"/>
    <x v="1"/>
    <x v="0"/>
    <n v="0"/>
    <n v="1"/>
  </r>
  <r>
    <x v="1"/>
    <x v="11"/>
    <s v="7.4-7.0"/>
    <x v="45"/>
    <n v="7"/>
    <x v="0"/>
    <n v="6"/>
    <n v="200"/>
    <n v="100"/>
    <n v="3"/>
    <n v="15"/>
    <n v="12"/>
    <x v="0"/>
    <x v="0"/>
    <n v="0"/>
    <n v="0"/>
  </r>
  <r>
    <x v="6"/>
    <x v="11"/>
    <s v="1.1-1.2"/>
    <x v="0"/>
    <n v="1"/>
    <x v="2"/>
    <n v="2"/>
    <n v="200"/>
    <n v="100"/>
    <n v="1"/>
    <n v="17"/>
    <n v="4"/>
    <x v="1"/>
    <x v="0"/>
    <n v="1"/>
    <n v="1"/>
  </r>
  <r>
    <x v="6"/>
    <x v="11"/>
    <s v="1.1-1.2"/>
    <x v="0"/>
    <n v="1"/>
    <x v="10"/>
    <n v="30"/>
    <n v="200"/>
    <n v="100"/>
    <n v="15"/>
    <n v="17"/>
    <n v="4"/>
    <x v="1"/>
    <x v="0"/>
    <n v="1"/>
    <n v="0"/>
  </r>
  <r>
    <x v="6"/>
    <x v="11"/>
    <s v="1.2-1.3"/>
    <x v="1"/>
    <n v="1"/>
    <x v="1"/>
    <n v="1"/>
    <n v="200"/>
    <n v="100"/>
    <n v="0.5"/>
    <n v="17"/>
    <n v="4"/>
    <x v="1"/>
    <x v="0"/>
    <n v="1"/>
    <n v="1"/>
  </r>
  <r>
    <x v="6"/>
    <x v="11"/>
    <s v="1.2-1.3"/>
    <x v="1"/>
    <n v="1"/>
    <x v="0"/>
    <n v="5"/>
    <n v="200"/>
    <n v="100"/>
    <n v="2.5"/>
    <n v="17"/>
    <n v="4"/>
    <x v="0"/>
    <x v="0"/>
    <n v="1"/>
    <n v="0"/>
  </r>
  <r>
    <x v="6"/>
    <x v="11"/>
    <s v="1.3-1.4"/>
    <x v="2"/>
    <n v="1"/>
    <x v="1"/>
    <n v="9"/>
    <n v="200"/>
    <n v="100"/>
    <n v="4.5"/>
    <n v="17"/>
    <n v="4"/>
    <x v="1"/>
    <x v="0"/>
    <n v="0"/>
    <n v="1"/>
  </r>
  <r>
    <x v="6"/>
    <x v="11"/>
    <s v="1.3-1.4"/>
    <x v="2"/>
    <n v="1"/>
    <x v="0"/>
    <n v="1"/>
    <n v="200"/>
    <n v="100"/>
    <n v="0.5"/>
    <n v="17"/>
    <n v="4"/>
    <x v="0"/>
    <x v="0"/>
    <n v="0"/>
    <n v="0"/>
  </r>
  <r>
    <x v="6"/>
    <x v="11"/>
    <s v="1.4-1.5"/>
    <x v="3"/>
    <n v="1"/>
    <x v="0"/>
    <n v="14"/>
    <n v="200"/>
    <n v="100"/>
    <n v="7.0000000000000009"/>
    <n v="17"/>
    <n v="4"/>
    <x v="0"/>
    <x v="0"/>
    <n v="0"/>
    <n v="1"/>
  </r>
  <r>
    <x v="6"/>
    <x v="11"/>
    <s v="1.5-1.6"/>
    <x v="4"/>
    <n v="1"/>
    <x v="6"/>
    <n v="2"/>
    <n v="200"/>
    <n v="100"/>
    <n v="1"/>
    <n v="17"/>
    <n v="4"/>
    <x v="1"/>
    <x v="0"/>
    <n v="1"/>
    <n v="1"/>
  </r>
  <r>
    <x v="6"/>
    <x v="11"/>
    <s v="1.5-1.6"/>
    <x v="4"/>
    <n v="1"/>
    <x v="0"/>
    <n v="4"/>
    <n v="200"/>
    <n v="100"/>
    <n v="2"/>
    <n v="17"/>
    <n v="4"/>
    <x v="0"/>
    <x v="0"/>
    <n v="0"/>
    <n v="0"/>
  </r>
  <r>
    <x v="6"/>
    <x v="11"/>
    <s v="1.6-1.0"/>
    <x v="5"/>
    <n v="1"/>
    <x v="6"/>
    <n v="5"/>
    <n v="171"/>
    <n v="85.5"/>
    <n v="2.9239766081871341"/>
    <n v="17"/>
    <n v="4"/>
    <x v="1"/>
    <x v="0"/>
    <n v="0"/>
    <n v="1"/>
  </r>
  <r>
    <x v="6"/>
    <x v="11"/>
    <s v="1.6-1.0"/>
    <x v="5"/>
    <n v="1"/>
    <x v="1"/>
    <n v="5"/>
    <n v="171"/>
    <n v="85.5"/>
    <n v="2.9239766081871341"/>
    <n v="17"/>
    <n v="4"/>
    <x v="1"/>
    <x v="0"/>
    <n v="0"/>
    <n v="0"/>
  </r>
  <r>
    <x v="6"/>
    <x v="11"/>
    <s v="2.1-2.2"/>
    <x v="7"/>
    <n v="2"/>
    <x v="2"/>
    <n v="4"/>
    <n v="200"/>
    <n v="100"/>
    <n v="2"/>
    <n v="17"/>
    <n v="4"/>
    <x v="1"/>
    <x v="0"/>
    <n v="0"/>
    <n v="1"/>
  </r>
  <r>
    <x v="6"/>
    <x v="11"/>
    <s v="2.1-2.2"/>
    <x v="7"/>
    <n v="2"/>
    <x v="10"/>
    <n v="5"/>
    <n v="200"/>
    <n v="100"/>
    <n v="2.5"/>
    <n v="17"/>
    <n v="4"/>
    <x v="1"/>
    <x v="0"/>
    <n v="0"/>
    <n v="0"/>
  </r>
  <r>
    <x v="6"/>
    <x v="11"/>
    <s v="2.1-2.2"/>
    <x v="7"/>
    <n v="2"/>
    <x v="0"/>
    <n v="1"/>
    <n v="200"/>
    <n v="100"/>
    <n v="0.5"/>
    <n v="17"/>
    <n v="4"/>
    <x v="0"/>
    <x v="0"/>
    <n v="0"/>
    <n v="0"/>
  </r>
  <r>
    <x v="6"/>
    <x v="11"/>
    <s v="2.2-2.3"/>
    <x v="8"/>
    <n v="2"/>
    <x v="10"/>
    <n v="1"/>
    <n v="200"/>
    <n v="100"/>
    <n v="0.5"/>
    <n v="17"/>
    <n v="4"/>
    <x v="1"/>
    <x v="0"/>
    <n v="0"/>
    <n v="1"/>
  </r>
  <r>
    <x v="6"/>
    <x v="11"/>
    <s v="2.2-2.3"/>
    <x v="8"/>
    <n v="2"/>
    <x v="0"/>
    <n v="18"/>
    <n v="200"/>
    <n v="100"/>
    <n v="9"/>
    <n v="17"/>
    <n v="4"/>
    <x v="0"/>
    <x v="0"/>
    <n v="0"/>
    <n v="0"/>
  </r>
  <r>
    <x v="6"/>
    <x v="11"/>
    <s v="2.3-2.4"/>
    <x v="9"/>
    <n v="2"/>
    <x v="2"/>
    <n v="5"/>
    <n v="200"/>
    <n v="100"/>
    <n v="2.5"/>
    <n v="17"/>
    <n v="4"/>
    <x v="1"/>
    <x v="0"/>
    <n v="0"/>
    <n v="1"/>
  </r>
  <r>
    <x v="6"/>
    <x v="11"/>
    <s v="2.3-2.4"/>
    <x v="9"/>
    <n v="2"/>
    <x v="0"/>
    <n v="44"/>
    <n v="200"/>
    <n v="100"/>
    <n v="22"/>
    <n v="17"/>
    <n v="4"/>
    <x v="0"/>
    <x v="0"/>
    <n v="0"/>
    <n v="0"/>
  </r>
  <r>
    <x v="6"/>
    <x v="11"/>
    <s v="2.4-2.5"/>
    <x v="10"/>
    <n v="2"/>
    <x v="0"/>
    <n v="27"/>
    <n v="200"/>
    <n v="100"/>
    <n v="13.5"/>
    <n v="17"/>
    <n v="4"/>
    <x v="0"/>
    <x v="0"/>
    <n v="0"/>
    <n v="1"/>
  </r>
  <r>
    <x v="6"/>
    <x v="11"/>
    <s v="2.5-2.6"/>
    <x v="11"/>
    <n v="2"/>
    <x v="0"/>
    <n v="12"/>
    <n v="200"/>
    <n v="100"/>
    <n v="6"/>
    <n v="17"/>
    <n v="4"/>
    <x v="0"/>
    <x v="0"/>
    <n v="0"/>
    <n v="1"/>
  </r>
  <r>
    <x v="6"/>
    <x v="11"/>
    <s v="2.6-2.7"/>
    <x v="12"/>
    <n v="2"/>
    <x v="1"/>
    <n v="14"/>
    <n v="200"/>
    <n v="100"/>
    <n v="7.0000000000000009"/>
    <n v="17"/>
    <n v="4"/>
    <x v="1"/>
    <x v="0"/>
    <n v="0"/>
    <n v="1"/>
  </r>
  <r>
    <x v="6"/>
    <x v="11"/>
    <s v="2.6-2.7"/>
    <x v="12"/>
    <n v="2"/>
    <x v="0"/>
    <n v="5"/>
    <n v="200"/>
    <n v="100"/>
    <n v="2.5"/>
    <n v="17"/>
    <n v="4"/>
    <x v="0"/>
    <x v="0"/>
    <n v="0"/>
    <n v="0"/>
  </r>
  <r>
    <x v="6"/>
    <x v="11"/>
    <s v="2.7-2.0"/>
    <x v="13"/>
    <n v="2"/>
    <x v="4"/>
    <n v="9"/>
    <n v="77"/>
    <n v="38.5"/>
    <n v="11.688311688311687"/>
    <n v="17"/>
    <n v="4"/>
    <x v="1"/>
    <x v="0"/>
    <n v="1"/>
    <n v="1"/>
  </r>
  <r>
    <x v="6"/>
    <x v="11"/>
    <s v="2.7-2.0"/>
    <x v="13"/>
    <n v="2"/>
    <x v="1"/>
    <n v="2"/>
    <n v="77"/>
    <n v="38.5"/>
    <n v="2.5974025974025974"/>
    <n v="17"/>
    <n v="4"/>
    <x v="1"/>
    <x v="0"/>
    <n v="0"/>
    <n v="0"/>
  </r>
  <r>
    <x v="6"/>
    <x v="11"/>
    <s v="3.1-3.2"/>
    <x v="14"/>
    <n v="3"/>
    <x v="2"/>
    <n v="4"/>
    <n v="200"/>
    <n v="100"/>
    <n v="2"/>
    <n v="17"/>
    <n v="4"/>
    <x v="1"/>
    <x v="0"/>
    <n v="0"/>
    <n v="1"/>
  </r>
  <r>
    <x v="6"/>
    <x v="11"/>
    <s v="3.1-3.2"/>
    <x v="14"/>
    <n v="3"/>
    <x v="10"/>
    <n v="29"/>
    <n v="200"/>
    <n v="100"/>
    <n v="14.499999999999998"/>
    <n v="17"/>
    <n v="4"/>
    <x v="1"/>
    <x v="0"/>
    <n v="0"/>
    <n v="0"/>
  </r>
  <r>
    <x v="6"/>
    <x v="11"/>
    <s v="3.1-3.2"/>
    <x v="14"/>
    <n v="3"/>
    <x v="1"/>
    <n v="8"/>
    <n v="200"/>
    <n v="100"/>
    <n v="4"/>
    <n v="17"/>
    <n v="4"/>
    <x v="1"/>
    <x v="0"/>
    <n v="0"/>
    <n v="0"/>
  </r>
  <r>
    <x v="6"/>
    <x v="11"/>
    <s v="3.1-3.2"/>
    <x v="14"/>
    <n v="3"/>
    <x v="0"/>
    <n v="2"/>
    <n v="200"/>
    <n v="100"/>
    <n v="1"/>
    <n v="17"/>
    <n v="4"/>
    <x v="0"/>
    <x v="0"/>
    <n v="0"/>
    <n v="0"/>
  </r>
  <r>
    <x v="6"/>
    <x v="11"/>
    <s v="3.2-3.3"/>
    <x v="15"/>
    <n v="3"/>
    <x v="6"/>
    <n v="1"/>
    <n v="200"/>
    <n v="100"/>
    <n v="0.5"/>
    <n v="17"/>
    <n v="4"/>
    <x v="1"/>
    <x v="0"/>
    <n v="0"/>
    <n v="1"/>
  </r>
  <r>
    <x v="6"/>
    <x v="11"/>
    <s v="3.2-3.3"/>
    <x v="15"/>
    <n v="3"/>
    <x v="2"/>
    <n v="16"/>
    <n v="200"/>
    <n v="100"/>
    <n v="8"/>
    <n v="17"/>
    <n v="4"/>
    <x v="1"/>
    <x v="0"/>
    <n v="0"/>
    <n v="0"/>
  </r>
  <r>
    <x v="6"/>
    <x v="11"/>
    <s v="3.2-3.3"/>
    <x v="15"/>
    <n v="3"/>
    <x v="4"/>
    <n v="2"/>
    <n v="200"/>
    <n v="100"/>
    <n v="1"/>
    <n v="17"/>
    <n v="4"/>
    <x v="1"/>
    <x v="0"/>
    <n v="0"/>
    <n v="0"/>
  </r>
  <r>
    <x v="6"/>
    <x v="11"/>
    <s v="3.2-3.3"/>
    <x v="15"/>
    <n v="3"/>
    <x v="1"/>
    <n v="4"/>
    <n v="200"/>
    <n v="100"/>
    <n v="2"/>
    <n v="17"/>
    <n v="4"/>
    <x v="1"/>
    <x v="0"/>
    <n v="0"/>
    <n v="0"/>
  </r>
  <r>
    <x v="6"/>
    <x v="11"/>
    <s v="3.2-3.3"/>
    <x v="15"/>
    <n v="3"/>
    <x v="0"/>
    <n v="7"/>
    <n v="200"/>
    <n v="100"/>
    <n v="3.5000000000000004"/>
    <n v="17"/>
    <n v="4"/>
    <x v="0"/>
    <x v="0"/>
    <n v="0"/>
    <n v="0"/>
  </r>
  <r>
    <x v="6"/>
    <x v="11"/>
    <s v="3.3-3.4"/>
    <x v="16"/>
    <n v="3"/>
    <x v="2"/>
    <n v="1"/>
    <n v="200"/>
    <n v="100"/>
    <n v="0.5"/>
    <n v="17"/>
    <n v="4"/>
    <x v="1"/>
    <x v="0"/>
    <n v="0"/>
    <n v="1"/>
  </r>
  <r>
    <x v="6"/>
    <x v="11"/>
    <s v="3.3-3.4"/>
    <x v="16"/>
    <n v="3"/>
    <x v="1"/>
    <n v="5"/>
    <n v="200"/>
    <n v="100"/>
    <n v="2.5"/>
    <n v="17"/>
    <n v="4"/>
    <x v="1"/>
    <x v="0"/>
    <n v="0"/>
    <n v="0"/>
  </r>
  <r>
    <x v="6"/>
    <x v="11"/>
    <s v="3.3-3.4"/>
    <x v="16"/>
    <n v="3"/>
    <x v="0"/>
    <n v="20"/>
    <n v="200"/>
    <n v="100"/>
    <n v="10"/>
    <n v="17"/>
    <n v="4"/>
    <x v="0"/>
    <x v="0"/>
    <n v="0"/>
    <n v="0"/>
  </r>
  <r>
    <x v="6"/>
    <x v="11"/>
    <s v="3.4-3.5"/>
    <x v="17"/>
    <n v="3"/>
    <x v="1"/>
    <n v="10"/>
    <n v="200"/>
    <n v="100"/>
    <n v="5"/>
    <n v="17"/>
    <n v="4"/>
    <x v="1"/>
    <x v="0"/>
    <n v="0"/>
    <n v="1"/>
  </r>
  <r>
    <x v="6"/>
    <x v="11"/>
    <s v="3.5-3.6"/>
    <x v="18"/>
    <n v="3"/>
    <x v="1"/>
    <n v="4"/>
    <n v="200"/>
    <n v="100"/>
    <n v="2"/>
    <n v="17"/>
    <n v="4"/>
    <x v="1"/>
    <x v="0"/>
    <n v="0"/>
    <n v="1"/>
  </r>
  <r>
    <x v="6"/>
    <x v="11"/>
    <s v="3.5-3.6"/>
    <x v="18"/>
    <n v="3"/>
    <x v="0"/>
    <n v="2"/>
    <n v="200"/>
    <n v="100"/>
    <n v="1"/>
    <n v="17"/>
    <n v="4"/>
    <x v="0"/>
    <x v="0"/>
    <n v="0"/>
    <n v="0"/>
  </r>
  <r>
    <x v="6"/>
    <x v="11"/>
    <s v="3.6-3.7"/>
    <x v="19"/>
    <n v="3"/>
    <x v="4"/>
    <n v="7"/>
    <n v="200"/>
    <n v="100"/>
    <n v="3.5000000000000004"/>
    <n v="17"/>
    <n v="4"/>
    <x v="1"/>
    <x v="0"/>
    <n v="0"/>
    <n v="1"/>
  </r>
  <r>
    <x v="6"/>
    <x v="11"/>
    <s v="3.6-3.7"/>
    <x v="19"/>
    <n v="3"/>
    <x v="0"/>
    <n v="5"/>
    <n v="200"/>
    <n v="100"/>
    <n v="2.5"/>
    <n v="17"/>
    <n v="4"/>
    <x v="0"/>
    <x v="0"/>
    <n v="0"/>
    <n v="0"/>
  </r>
  <r>
    <x v="6"/>
    <x v="11"/>
    <s v="3.7-3.0"/>
    <x v="20"/>
    <n v="3"/>
    <x v="4"/>
    <n v="4"/>
    <n v="47"/>
    <n v="23.5"/>
    <n v="8.5106382978723403"/>
    <n v="17"/>
    <n v="4"/>
    <x v="1"/>
    <x v="0"/>
    <n v="0"/>
    <n v="1"/>
  </r>
  <r>
    <x v="6"/>
    <x v="11"/>
    <s v="4.1-4.2"/>
    <x v="21"/>
    <n v="4"/>
    <x v="2"/>
    <n v="5"/>
    <n v="200"/>
    <n v="100"/>
    <n v="2.5"/>
    <n v="17"/>
    <n v="4"/>
    <x v="1"/>
    <x v="0"/>
    <n v="0"/>
    <n v="1"/>
  </r>
  <r>
    <x v="6"/>
    <x v="11"/>
    <s v="4.1-4.2"/>
    <x v="21"/>
    <n v="4"/>
    <x v="1"/>
    <n v="6"/>
    <n v="200"/>
    <n v="100"/>
    <n v="3"/>
    <n v="17"/>
    <n v="4"/>
    <x v="1"/>
    <x v="0"/>
    <n v="0"/>
    <n v="0"/>
  </r>
  <r>
    <x v="6"/>
    <x v="11"/>
    <s v="4.2-4.0"/>
    <x v="22"/>
    <n v="4"/>
    <x v="4"/>
    <n v="22"/>
    <n v="200"/>
    <n v="100"/>
    <n v="11"/>
    <n v="17"/>
    <n v="4"/>
    <x v="1"/>
    <x v="0"/>
    <n v="0"/>
    <n v="1"/>
  </r>
  <r>
    <x v="6"/>
    <x v="11"/>
    <s v="5.1-5.0"/>
    <x v="28"/>
    <n v="5"/>
    <x v="4"/>
    <n v="38"/>
    <n v="164"/>
    <n v="82"/>
    <n v="23.170731707317074"/>
    <n v="17"/>
    <n v="4"/>
    <x v="1"/>
    <x v="0"/>
    <n v="0"/>
    <n v="1"/>
  </r>
  <r>
    <x v="6"/>
    <x v="11"/>
    <s v="5.1-5.0"/>
    <x v="28"/>
    <n v="5"/>
    <x v="1"/>
    <n v="5"/>
    <n v="164"/>
    <n v="82"/>
    <n v="3.0487804878048781"/>
    <n v="17"/>
    <n v="4"/>
    <x v="1"/>
    <x v="0"/>
    <n v="0"/>
    <n v="0"/>
  </r>
  <r>
    <x v="6"/>
    <x v="11"/>
    <s v="5.1-5.0"/>
    <x v="28"/>
    <n v="5"/>
    <x v="29"/>
    <n v="1"/>
    <n v="164"/>
    <n v="82"/>
    <n v="0.6097560975609756"/>
    <n v="17"/>
    <n v="4"/>
    <x v="1"/>
    <x v="0"/>
    <n v="1"/>
    <n v="0"/>
  </r>
  <r>
    <x v="6"/>
    <x v="11"/>
    <s v="5.1-5.0"/>
    <x v="28"/>
    <n v="5"/>
    <x v="3"/>
    <n v="1"/>
    <n v="164"/>
    <n v="82"/>
    <n v="0.6097560975609756"/>
    <n v="17"/>
    <n v="4"/>
    <x v="1"/>
    <x v="0"/>
    <n v="1"/>
    <n v="0"/>
  </r>
  <r>
    <x v="7"/>
    <x v="11"/>
    <s v="1.1-1.0"/>
    <x v="0"/>
    <n v="1"/>
    <x v="31"/>
    <n v="1"/>
    <n v="118"/>
    <n v="59"/>
    <n v="0.84745762711864403"/>
    <n v="11.5"/>
    <n v="11"/>
    <x v="1"/>
    <x v="0"/>
    <n v="1"/>
    <n v="1"/>
  </r>
  <r>
    <x v="7"/>
    <x v="11"/>
    <s v="1.1-1.0"/>
    <x v="0"/>
    <n v="1"/>
    <x v="0"/>
    <n v="1"/>
    <n v="118"/>
    <n v="59"/>
    <n v="0.84745762711864403"/>
    <n v="11.5"/>
    <n v="11"/>
    <x v="0"/>
    <x v="0"/>
    <n v="1"/>
    <n v="0"/>
  </r>
  <r>
    <x v="7"/>
    <x v="11"/>
    <s v="1.2-1.0"/>
    <x v="1"/>
    <n v="1"/>
    <x v="4"/>
    <n v="2"/>
    <n v="200"/>
    <n v="100"/>
    <n v="1"/>
    <n v="11.5"/>
    <n v="11"/>
    <x v="1"/>
    <x v="0"/>
    <n v="1"/>
    <n v="1"/>
  </r>
  <r>
    <x v="7"/>
    <x v="11"/>
    <s v="1.2-1.0"/>
    <x v="1"/>
    <n v="1"/>
    <x v="1"/>
    <n v="15"/>
    <n v="200"/>
    <n v="100"/>
    <n v="7.5"/>
    <n v="11.5"/>
    <n v="11"/>
    <x v="1"/>
    <x v="0"/>
    <n v="1"/>
    <n v="0"/>
  </r>
  <r>
    <x v="7"/>
    <x v="11"/>
    <s v="1.2-1.0"/>
    <x v="1"/>
    <n v="1"/>
    <x v="0"/>
    <n v="30"/>
    <n v="200"/>
    <n v="100"/>
    <n v="15"/>
    <n v="11.5"/>
    <n v="11"/>
    <x v="0"/>
    <x v="0"/>
    <n v="0"/>
    <n v="0"/>
  </r>
  <r>
    <x v="7"/>
    <x v="11"/>
    <s v="2.1-2.0"/>
    <x v="7"/>
    <n v="2"/>
    <x v="1"/>
    <n v="4"/>
    <n v="150"/>
    <n v="75"/>
    <n v="2.666666666666667"/>
    <n v="11.5"/>
    <n v="11"/>
    <x v="1"/>
    <x v="0"/>
    <n v="0"/>
    <n v="1"/>
  </r>
  <r>
    <x v="7"/>
    <x v="11"/>
    <s v="2.1-2.0"/>
    <x v="7"/>
    <n v="2"/>
    <x v="31"/>
    <n v="1"/>
    <n v="150"/>
    <n v="75"/>
    <n v="0.66666666666666674"/>
    <n v="11.5"/>
    <n v="11"/>
    <x v="1"/>
    <x v="0"/>
    <n v="0"/>
    <n v="0"/>
  </r>
  <r>
    <x v="7"/>
    <x v="11"/>
    <s v="2.1-2.0"/>
    <x v="7"/>
    <n v="2"/>
    <x v="0"/>
    <n v="8"/>
    <n v="150"/>
    <n v="75"/>
    <n v="5.3333333333333339"/>
    <n v="11.5"/>
    <n v="11"/>
    <x v="0"/>
    <x v="0"/>
    <n v="0"/>
    <n v="0"/>
  </r>
  <r>
    <x v="7"/>
    <x v="11"/>
    <s v="2.2-2.0"/>
    <x v="8"/>
    <n v="2"/>
    <x v="0"/>
    <n v="9"/>
    <n v="200"/>
    <n v="100"/>
    <n v="4.5"/>
    <n v="11.5"/>
    <n v="11"/>
    <x v="0"/>
    <x v="0"/>
    <n v="0"/>
    <n v="1"/>
  </r>
  <r>
    <x v="7"/>
    <x v="11"/>
    <s v="3.1-3.0"/>
    <x v="14"/>
    <n v="3"/>
    <x v="1"/>
    <n v="2"/>
    <n v="200"/>
    <n v="100"/>
    <n v="1"/>
    <n v="11.5"/>
    <n v="11"/>
    <x v="1"/>
    <x v="0"/>
    <n v="0"/>
    <n v="1"/>
  </r>
  <r>
    <x v="7"/>
    <x v="11"/>
    <s v="3.1-3.0"/>
    <x v="14"/>
    <n v="3"/>
    <x v="0"/>
    <n v="11"/>
    <n v="200"/>
    <n v="100"/>
    <n v="5.5"/>
    <n v="11.5"/>
    <n v="11"/>
    <x v="0"/>
    <x v="0"/>
    <n v="0"/>
    <n v="0"/>
  </r>
  <r>
    <x v="7"/>
    <x v="11"/>
    <s v="3.2-3.0"/>
    <x v="15"/>
    <n v="3"/>
    <x v="12"/>
    <n v="0"/>
    <n v="200"/>
    <n v="100"/>
    <n v="0"/>
    <n v="11.5"/>
    <n v="11"/>
    <x v="2"/>
    <x v="0"/>
    <n v="1"/>
    <n v="1"/>
  </r>
  <r>
    <x v="7"/>
    <x v="11"/>
    <s v="4.1-4.0"/>
    <x v="21"/>
    <n v="4"/>
    <x v="1"/>
    <n v="2"/>
    <n v="200"/>
    <n v="100"/>
    <n v="1"/>
    <n v="11.5"/>
    <n v="11"/>
    <x v="1"/>
    <x v="0"/>
    <n v="0"/>
    <n v="1"/>
  </r>
  <r>
    <x v="7"/>
    <x v="11"/>
    <s v="4.1-4.0"/>
    <x v="21"/>
    <n v="4"/>
    <x v="31"/>
    <n v="2"/>
    <n v="200"/>
    <n v="100"/>
    <n v="1"/>
    <n v="11.5"/>
    <n v="11"/>
    <x v="1"/>
    <x v="0"/>
    <n v="0"/>
    <n v="0"/>
  </r>
  <r>
    <x v="7"/>
    <x v="11"/>
    <s v="4.1-4.0"/>
    <x v="21"/>
    <n v="4"/>
    <x v="0"/>
    <n v="10"/>
    <n v="200"/>
    <n v="100"/>
    <n v="5"/>
    <n v="11.5"/>
    <n v="11"/>
    <x v="0"/>
    <x v="0"/>
    <n v="0"/>
    <n v="0"/>
  </r>
  <r>
    <x v="7"/>
    <x v="11"/>
    <s v="5.1-5.2"/>
    <x v="28"/>
    <n v="5"/>
    <x v="10"/>
    <n v="1"/>
    <n v="200"/>
    <n v="100"/>
    <n v="0.5"/>
    <n v="11.5"/>
    <n v="11"/>
    <x v="1"/>
    <x v="0"/>
    <n v="1"/>
    <n v="1"/>
  </r>
  <r>
    <x v="7"/>
    <x v="11"/>
    <s v="5.1-5.2"/>
    <x v="28"/>
    <n v="5"/>
    <x v="35"/>
    <n v="1"/>
    <n v="200"/>
    <n v="100"/>
    <n v="0.5"/>
    <n v="11.5"/>
    <n v="11"/>
    <x v="1"/>
    <x v="0"/>
    <n v="1"/>
    <n v="0"/>
  </r>
  <r>
    <x v="7"/>
    <x v="11"/>
    <s v="5.1-5.2"/>
    <x v="28"/>
    <n v="5"/>
    <x v="0"/>
    <n v="4"/>
    <n v="200"/>
    <n v="100"/>
    <n v="2"/>
    <n v="11.5"/>
    <n v="11"/>
    <x v="0"/>
    <x v="0"/>
    <n v="0"/>
    <n v="0"/>
  </r>
  <r>
    <x v="7"/>
    <x v="11"/>
    <s v="5.2-5.0"/>
    <x v="29"/>
    <n v="5"/>
    <x v="2"/>
    <n v="13"/>
    <n v="200"/>
    <n v="100"/>
    <n v="6.5"/>
    <n v="11.5"/>
    <n v="11"/>
    <x v="1"/>
    <x v="0"/>
    <n v="1"/>
    <n v="1"/>
  </r>
  <r>
    <x v="7"/>
    <x v="11"/>
    <s v="5.2-5.0"/>
    <x v="29"/>
    <n v="5"/>
    <x v="10"/>
    <n v="4"/>
    <n v="200"/>
    <n v="100"/>
    <n v="2"/>
    <n v="11.5"/>
    <n v="11"/>
    <x v="1"/>
    <x v="0"/>
    <n v="0"/>
    <n v="0"/>
  </r>
  <r>
    <x v="7"/>
    <x v="11"/>
    <s v="5.2-5.0"/>
    <x v="29"/>
    <n v="5"/>
    <x v="0"/>
    <n v="6"/>
    <n v="200"/>
    <n v="100"/>
    <n v="3"/>
    <n v="11.5"/>
    <n v="11"/>
    <x v="0"/>
    <x v="0"/>
    <n v="0"/>
    <n v="0"/>
  </r>
  <r>
    <x v="7"/>
    <x v="11"/>
    <s v="6.1-6.2"/>
    <x v="35"/>
    <n v="6"/>
    <x v="0"/>
    <n v="4"/>
    <n v="200"/>
    <n v="100"/>
    <n v="2"/>
    <n v="11.5"/>
    <n v="11"/>
    <x v="0"/>
    <x v="0"/>
    <n v="0"/>
    <n v="1"/>
  </r>
  <r>
    <x v="7"/>
    <x v="11"/>
    <s v="6.2-6.0"/>
    <x v="36"/>
    <n v="6"/>
    <x v="0"/>
    <n v="5"/>
    <n v="200"/>
    <n v="100"/>
    <n v="2.5"/>
    <n v="11.5"/>
    <n v="11"/>
    <x v="0"/>
    <x v="0"/>
    <n v="0"/>
    <n v="1"/>
  </r>
  <r>
    <x v="7"/>
    <x v="11"/>
    <s v="7.1-7.2"/>
    <x v="42"/>
    <n v="7"/>
    <x v="0"/>
    <n v="3"/>
    <n v="200"/>
    <n v="100"/>
    <n v="1.5"/>
    <n v="11.5"/>
    <n v="11"/>
    <x v="0"/>
    <x v="0"/>
    <n v="0"/>
    <n v="1"/>
  </r>
  <r>
    <x v="7"/>
    <x v="11"/>
    <s v="7.2-7.0"/>
    <x v="43"/>
    <n v="7"/>
    <x v="12"/>
    <n v="0"/>
    <n v="200"/>
    <n v="100"/>
    <n v="0"/>
    <n v="11.5"/>
    <n v="11"/>
    <x v="2"/>
    <x v="0"/>
    <n v="0"/>
    <n v="1"/>
  </r>
  <r>
    <x v="7"/>
    <x v="11"/>
    <s v="8.1-8.2"/>
    <x v="49"/>
    <n v="8"/>
    <x v="1"/>
    <n v="7"/>
    <n v="200"/>
    <n v="100"/>
    <n v="3.5000000000000004"/>
    <n v="11.5"/>
    <n v="11"/>
    <x v="1"/>
    <x v="0"/>
    <n v="0"/>
    <n v="1"/>
  </r>
  <r>
    <x v="7"/>
    <x v="11"/>
    <s v="8.1-8.2"/>
    <x v="49"/>
    <n v="8"/>
    <x v="0"/>
    <n v="5"/>
    <n v="200"/>
    <n v="100"/>
    <n v="2.5"/>
    <n v="11.5"/>
    <n v="11"/>
    <x v="0"/>
    <x v="0"/>
    <n v="0"/>
    <n v="0"/>
  </r>
  <r>
    <x v="7"/>
    <x v="11"/>
    <s v="8.1-8.2"/>
    <x v="49"/>
    <n v="8"/>
    <x v="7"/>
    <n v="1"/>
    <n v="200"/>
    <n v="100"/>
    <n v="0.5"/>
    <n v="11.5"/>
    <n v="11"/>
    <x v="1"/>
    <x v="0"/>
    <n v="1"/>
    <n v="0"/>
  </r>
  <r>
    <x v="7"/>
    <x v="11"/>
    <s v="8.2-8.0"/>
    <x v="50"/>
    <n v="8"/>
    <x v="8"/>
    <n v="1"/>
    <n v="200"/>
    <n v="100"/>
    <n v="0.5"/>
    <n v="11.5"/>
    <n v="11"/>
    <x v="1"/>
    <x v="0"/>
    <n v="1"/>
    <n v="1"/>
  </r>
  <r>
    <x v="7"/>
    <x v="11"/>
    <s v="9.1-9.2"/>
    <x v="55"/>
    <n v="9"/>
    <x v="36"/>
    <n v="6"/>
    <n v="200"/>
    <n v="100"/>
    <n v="3"/>
    <n v="11.5"/>
    <n v="11"/>
    <x v="1"/>
    <x v="0"/>
    <n v="1"/>
    <n v="1"/>
  </r>
  <r>
    <x v="7"/>
    <x v="11"/>
    <s v="9.1-9.2"/>
    <x v="55"/>
    <n v="9"/>
    <x v="37"/>
    <n v="4"/>
    <n v="200"/>
    <n v="100"/>
    <n v="2"/>
    <n v="11.5"/>
    <n v="11"/>
    <x v="1"/>
    <x v="0"/>
    <n v="1"/>
    <n v="0"/>
  </r>
  <r>
    <x v="7"/>
    <x v="11"/>
    <s v="9.1-9.2"/>
    <x v="55"/>
    <n v="9"/>
    <x v="38"/>
    <n v="7"/>
    <n v="200"/>
    <n v="100"/>
    <n v="3.5000000000000004"/>
    <n v="11.5"/>
    <n v="11"/>
    <x v="1"/>
    <x v="0"/>
    <n v="1"/>
    <n v="0"/>
  </r>
  <r>
    <x v="7"/>
    <x v="11"/>
    <s v="9.1-9.2"/>
    <x v="55"/>
    <n v="9"/>
    <x v="1"/>
    <n v="17"/>
    <n v="200"/>
    <n v="100"/>
    <n v="8.5"/>
    <n v="11.5"/>
    <n v="11"/>
    <x v="1"/>
    <x v="0"/>
    <n v="0"/>
    <n v="0"/>
  </r>
  <r>
    <x v="7"/>
    <x v="11"/>
    <s v="9.1-9.2"/>
    <x v="55"/>
    <n v="9"/>
    <x v="34"/>
    <n v="4"/>
    <n v="200"/>
    <n v="100"/>
    <n v="2"/>
    <n v="11.5"/>
    <n v="11"/>
    <x v="0"/>
    <x v="0"/>
    <n v="1"/>
    <n v="0"/>
  </r>
  <r>
    <x v="7"/>
    <x v="11"/>
    <s v="9.1-9.2"/>
    <x v="55"/>
    <n v="9"/>
    <x v="15"/>
    <n v="4"/>
    <n v="200"/>
    <n v="100"/>
    <n v="2"/>
    <n v="11.5"/>
    <n v="11"/>
    <x v="1"/>
    <x v="0"/>
    <n v="1"/>
    <n v="0"/>
  </r>
  <r>
    <x v="7"/>
    <x v="11"/>
    <s v="9.1-9.2"/>
    <x v="55"/>
    <n v="9"/>
    <x v="39"/>
    <n v="5"/>
    <n v="200"/>
    <n v="100"/>
    <n v="2.5"/>
    <n v="11.5"/>
    <n v="11"/>
    <x v="1"/>
    <x v="0"/>
    <n v="1"/>
    <n v="0"/>
  </r>
  <r>
    <x v="7"/>
    <x v="11"/>
    <s v="9.1-9.2"/>
    <x v="55"/>
    <n v="9"/>
    <x v="0"/>
    <n v="3"/>
    <n v="200"/>
    <n v="100"/>
    <n v="1.5"/>
    <n v="11.5"/>
    <n v="11"/>
    <x v="0"/>
    <x v="0"/>
    <n v="0"/>
    <n v="0"/>
  </r>
  <r>
    <x v="7"/>
    <x v="11"/>
    <s v="9.2-9.0"/>
    <x v="56"/>
    <n v="9"/>
    <x v="31"/>
    <n v="3"/>
    <n v="200"/>
    <n v="100"/>
    <n v="1.5"/>
    <n v="11.5"/>
    <n v="11"/>
    <x v="1"/>
    <x v="0"/>
    <n v="0"/>
    <n v="1"/>
  </r>
  <r>
    <x v="7"/>
    <x v="11"/>
    <s v="9.2-9.0"/>
    <x v="56"/>
    <n v="9"/>
    <x v="0"/>
    <n v="13"/>
    <n v="200"/>
    <n v="100"/>
    <n v="6.5"/>
    <n v="11.5"/>
    <n v="11"/>
    <x v="0"/>
    <x v="0"/>
    <n v="0"/>
    <n v="0"/>
  </r>
  <r>
    <x v="8"/>
    <x v="11"/>
    <s v="1.0-1.1"/>
    <x v="0"/>
    <n v="1"/>
    <x v="4"/>
    <n v="2"/>
    <n v="29"/>
    <n v="14.5"/>
    <n v="6.8965517241379306"/>
    <n v="33"/>
    <n v="3"/>
    <x v="1"/>
    <x v="0"/>
    <n v="1"/>
    <n v="1"/>
  </r>
  <r>
    <x v="8"/>
    <x v="11"/>
    <s v="2.0-2.1"/>
    <x v="7"/>
    <n v="2"/>
    <x v="12"/>
    <n v="0"/>
    <n v="32"/>
    <n v="16"/>
    <n v="0"/>
    <n v="33"/>
    <n v="3"/>
    <x v="2"/>
    <x v="0"/>
    <n v="1"/>
    <n v="1"/>
  </r>
  <r>
    <x v="8"/>
    <x v="11"/>
    <s v="3.0-3.1"/>
    <x v="14"/>
    <n v="3"/>
    <x v="12"/>
    <n v="0"/>
    <n v="36"/>
    <n v="18"/>
    <n v="0"/>
    <n v="33"/>
    <n v="3"/>
    <x v="2"/>
    <x v="0"/>
    <n v="0"/>
    <n v="1"/>
  </r>
  <r>
    <x v="8"/>
    <x v="11"/>
    <s v="4.0-4.1"/>
    <x v="21"/>
    <n v="4"/>
    <x v="12"/>
    <n v="0"/>
    <n v="40"/>
    <n v="20"/>
    <n v="0"/>
    <n v="33"/>
    <n v="3"/>
    <x v="2"/>
    <x v="0"/>
    <n v="0"/>
    <n v="1"/>
  </r>
  <r>
    <x v="8"/>
    <x v="11"/>
    <s v="5.0-5.1"/>
    <x v="28"/>
    <n v="5"/>
    <x v="4"/>
    <n v="1"/>
    <n v="44"/>
    <n v="22"/>
    <n v="2.2727272727272729"/>
    <n v="33"/>
    <n v="3"/>
    <x v="1"/>
    <x v="0"/>
    <n v="0"/>
    <n v="1"/>
  </r>
  <r>
    <x v="8"/>
    <x v="11"/>
    <s v="6.0-6.1"/>
    <x v="35"/>
    <n v="6"/>
    <x v="12"/>
    <n v="0"/>
    <n v="48"/>
    <n v="24"/>
    <n v="0"/>
    <n v="33"/>
    <n v="3"/>
    <x v="2"/>
    <x v="0"/>
    <n v="0"/>
    <n v="1"/>
  </r>
  <r>
    <x v="8"/>
    <x v="11"/>
    <s v="7.0-7.1"/>
    <x v="42"/>
    <n v="7"/>
    <x v="9"/>
    <n v="1"/>
    <n v="51"/>
    <n v="25.5"/>
    <n v="1.9607843137254901"/>
    <n v="33"/>
    <n v="3"/>
    <x v="1"/>
    <x v="0"/>
    <n v="1"/>
    <n v="1"/>
  </r>
  <r>
    <x v="8"/>
    <x v="11"/>
    <s v="7.0-7.1"/>
    <x v="42"/>
    <n v="7"/>
    <x v="4"/>
    <n v="1"/>
    <n v="51"/>
    <n v="25.5"/>
    <n v="1.9607843137254901"/>
    <n v="33"/>
    <n v="3"/>
    <x v="1"/>
    <x v="0"/>
    <n v="0"/>
    <n v="0"/>
  </r>
  <r>
    <x v="8"/>
    <x v="11"/>
    <s v="8.0-8.1"/>
    <x v="49"/>
    <n v="8"/>
    <x v="12"/>
    <n v="0"/>
    <n v="48"/>
    <n v="24"/>
    <n v="0"/>
    <n v="33"/>
    <n v="3"/>
    <x v="2"/>
    <x v="0"/>
    <n v="0"/>
    <n v="1"/>
  </r>
  <r>
    <x v="8"/>
    <x v="11"/>
    <s v="9.0-9.1"/>
    <x v="55"/>
    <n v="9"/>
    <x v="12"/>
    <n v="0"/>
    <n v="42"/>
    <n v="21"/>
    <n v="0"/>
    <n v="33"/>
    <n v="3"/>
    <x v="2"/>
    <x v="0"/>
    <n v="0"/>
    <n v="1"/>
  </r>
  <r>
    <x v="8"/>
    <x v="11"/>
    <s v="10.0-10.1"/>
    <x v="57"/>
    <n v="10"/>
    <x v="4"/>
    <n v="1"/>
    <n v="37"/>
    <n v="18.5"/>
    <n v="2.7027027027027026"/>
    <n v="33"/>
    <n v="3"/>
    <x v="1"/>
    <x v="0"/>
    <n v="0"/>
    <n v="1"/>
  </r>
  <r>
    <x v="8"/>
    <x v="11"/>
    <s v="11.0-11.1"/>
    <x v="64"/>
    <n v="11"/>
    <x v="12"/>
    <n v="0"/>
    <n v="32"/>
    <n v="16"/>
    <n v="0"/>
    <n v="33"/>
    <n v="3"/>
    <x v="2"/>
    <x v="0"/>
    <n v="0"/>
    <n v="1"/>
  </r>
  <r>
    <x v="8"/>
    <x v="11"/>
    <s v="12.0-12.1"/>
    <x v="65"/>
    <n v="12"/>
    <x v="12"/>
    <n v="0"/>
    <n v="28"/>
    <n v="14"/>
    <n v="0"/>
    <n v="33"/>
    <n v="3"/>
    <x v="2"/>
    <x v="0"/>
    <n v="0"/>
    <n v="1"/>
  </r>
  <r>
    <x v="8"/>
    <x v="11"/>
    <s v="13.0-13.1"/>
    <x v="66"/>
    <n v="13"/>
    <x v="12"/>
    <n v="0"/>
    <n v="29"/>
    <n v="14.5"/>
    <n v="0"/>
    <n v="33"/>
    <n v="3"/>
    <x v="2"/>
    <x v="0"/>
    <n v="0"/>
    <n v="1"/>
  </r>
  <r>
    <x v="8"/>
    <x v="11"/>
    <s v="14.0-14.1"/>
    <x v="67"/>
    <n v="14"/>
    <x v="12"/>
    <n v="0"/>
    <n v="23"/>
    <n v="11.5"/>
    <n v="0"/>
    <n v="33"/>
    <n v="3"/>
    <x v="2"/>
    <x v="0"/>
    <n v="0"/>
    <n v="1"/>
  </r>
  <r>
    <x v="8"/>
    <x v="11"/>
    <s v="15.0-15.1"/>
    <x v="68"/>
    <n v="15"/>
    <x v="12"/>
    <n v="0"/>
    <n v="18"/>
    <n v="9"/>
    <n v="0"/>
    <n v="33"/>
    <n v="3"/>
    <x v="2"/>
    <x v="0"/>
    <n v="0"/>
    <n v="1"/>
  </r>
  <r>
    <x v="8"/>
    <x v="11"/>
    <s v="16.0-16.1"/>
    <x v="69"/>
    <n v="16"/>
    <x v="12"/>
    <n v="0"/>
    <n v="13"/>
    <n v="6.5"/>
    <n v="0"/>
    <n v="33"/>
    <n v="3"/>
    <x v="2"/>
    <x v="0"/>
    <n v="0"/>
    <n v="1"/>
  </r>
  <r>
    <x v="7"/>
    <x v="12"/>
    <s v="10.1-10.2"/>
    <x v="57"/>
    <n v="10"/>
    <x v="0"/>
    <n v="15"/>
    <n v="200"/>
    <n v="100"/>
    <n v="7.5"/>
    <n v="11.5"/>
    <n v="11"/>
    <x v="0"/>
    <x v="0"/>
    <n v="1"/>
    <n v="1"/>
  </r>
  <r>
    <x v="7"/>
    <x v="12"/>
    <s v="10.1-10.2"/>
    <x v="57"/>
    <n v="10"/>
    <x v="19"/>
    <n v="2"/>
    <n v="200"/>
    <n v="100"/>
    <n v="1"/>
    <n v="11.5"/>
    <n v="11"/>
    <x v="1"/>
    <x v="0"/>
    <n v="1"/>
    <n v="0"/>
  </r>
  <r>
    <x v="7"/>
    <x v="12"/>
    <s v="10.1-10.2"/>
    <x v="57"/>
    <n v="10"/>
    <x v="40"/>
    <n v="1"/>
    <n v="200"/>
    <n v="100"/>
    <n v="0.5"/>
    <n v="11.5"/>
    <n v="11"/>
    <x v="0"/>
    <x v="0"/>
    <n v="1"/>
    <n v="0"/>
  </r>
  <r>
    <x v="7"/>
    <x v="12"/>
    <s v="10.1-10.2"/>
    <x v="57"/>
    <n v="10"/>
    <x v="41"/>
    <n v="6"/>
    <n v="200"/>
    <n v="100"/>
    <n v="3"/>
    <n v="11.5"/>
    <n v="11"/>
    <x v="1"/>
    <x v="0"/>
    <n v="1"/>
    <n v="0"/>
  </r>
  <r>
    <x v="7"/>
    <x v="12"/>
    <s v="10.1-10.2"/>
    <x v="57"/>
    <n v="10"/>
    <x v="42"/>
    <n v="4"/>
    <n v="200"/>
    <n v="100"/>
    <n v="2"/>
    <n v="11.5"/>
    <n v="11"/>
    <x v="5"/>
    <x v="0"/>
    <n v="1"/>
    <n v="0"/>
  </r>
  <r>
    <x v="7"/>
    <x v="12"/>
    <s v="10.1-10.2"/>
    <x v="57"/>
    <n v="10"/>
    <x v="36"/>
    <n v="4"/>
    <n v="200"/>
    <n v="100"/>
    <n v="2"/>
    <n v="11.5"/>
    <n v="11"/>
    <x v="1"/>
    <x v="0"/>
    <n v="1"/>
    <n v="0"/>
  </r>
  <r>
    <x v="7"/>
    <x v="12"/>
    <s v="10.1-10.2"/>
    <x v="57"/>
    <n v="10"/>
    <x v="38"/>
    <n v="54"/>
    <n v="200"/>
    <n v="100"/>
    <n v="27"/>
    <n v="11.5"/>
    <n v="11"/>
    <x v="1"/>
    <x v="0"/>
    <n v="1"/>
    <n v="0"/>
  </r>
  <r>
    <x v="7"/>
    <x v="12"/>
    <s v="10.1-10.2"/>
    <x v="57"/>
    <n v="10"/>
    <x v="18"/>
    <n v="1"/>
    <n v="200"/>
    <n v="100"/>
    <n v="0.5"/>
    <n v="11.5"/>
    <n v="11"/>
    <x v="4"/>
    <x v="3"/>
    <n v="1"/>
    <n v="0"/>
  </r>
  <r>
    <x v="7"/>
    <x v="12"/>
    <s v="10.1-10.2"/>
    <x v="57"/>
    <n v="10"/>
    <x v="43"/>
    <n v="3"/>
    <n v="200"/>
    <n v="100"/>
    <n v="1.5"/>
    <n v="11.5"/>
    <n v="11"/>
    <x v="0"/>
    <x v="0"/>
    <n v="1"/>
    <n v="0"/>
  </r>
  <r>
    <x v="7"/>
    <x v="12"/>
    <s v="10.1-10.2"/>
    <x v="57"/>
    <n v="10"/>
    <x v="44"/>
    <n v="3"/>
    <n v="200"/>
    <n v="100"/>
    <n v="1.5"/>
    <n v="11.5"/>
    <n v="11"/>
    <x v="0"/>
    <x v="0"/>
    <n v="1"/>
    <n v="0"/>
  </r>
  <r>
    <x v="7"/>
    <x v="12"/>
    <s v="10.1-10.2"/>
    <x v="57"/>
    <n v="10"/>
    <x v="3"/>
    <n v="2"/>
    <n v="200"/>
    <n v="100"/>
    <n v="1"/>
    <n v="11.5"/>
    <n v="11"/>
    <x v="1"/>
    <x v="0"/>
    <n v="1"/>
    <n v="0"/>
  </r>
  <r>
    <x v="7"/>
    <x v="12"/>
    <s v="10.1-10.2"/>
    <x v="57"/>
    <n v="10"/>
    <x v="45"/>
    <n v="5"/>
    <n v="200"/>
    <n v="100"/>
    <n v="2.5"/>
    <n v="11.5"/>
    <n v="11"/>
    <x v="1"/>
    <x v="0"/>
    <n v="1"/>
    <n v="0"/>
  </r>
  <r>
    <x v="7"/>
    <x v="12"/>
    <s v="10.1-10.2"/>
    <x v="57"/>
    <n v="10"/>
    <x v="46"/>
    <n v="3"/>
    <n v="200"/>
    <n v="100"/>
    <n v="1.5"/>
    <n v="11.5"/>
    <n v="11"/>
    <x v="1"/>
    <x v="0"/>
    <n v="1"/>
    <n v="0"/>
  </r>
  <r>
    <x v="7"/>
    <x v="12"/>
    <s v="10.1-10.2"/>
    <x v="57"/>
    <n v="10"/>
    <x v="47"/>
    <n v="5"/>
    <n v="200"/>
    <n v="100"/>
    <n v="2.5"/>
    <n v="11.5"/>
    <n v="11"/>
    <x v="1"/>
    <x v="0"/>
    <n v="1"/>
    <n v="0"/>
  </r>
  <r>
    <x v="7"/>
    <x v="12"/>
    <s v="10.1-10.2"/>
    <x v="57"/>
    <n v="10"/>
    <x v="39"/>
    <n v="1"/>
    <n v="200"/>
    <n v="100"/>
    <n v="0.5"/>
    <n v="11.5"/>
    <n v="11"/>
    <x v="1"/>
    <x v="0"/>
    <n v="1"/>
    <n v="0"/>
  </r>
  <r>
    <x v="7"/>
    <x v="12"/>
    <s v="10.1-10.2"/>
    <x v="57"/>
    <n v="10"/>
    <x v="16"/>
    <n v="2"/>
    <n v="200"/>
    <n v="100"/>
    <n v="1"/>
    <n v="11.5"/>
    <n v="11"/>
    <x v="1"/>
    <x v="0"/>
    <n v="1"/>
    <n v="0"/>
  </r>
  <r>
    <x v="7"/>
    <x v="12"/>
    <s v="10.1-10.2"/>
    <x v="57"/>
    <n v="10"/>
    <x v="48"/>
    <n v="1"/>
    <n v="200"/>
    <n v="100"/>
    <n v="0.5"/>
    <n v="11.5"/>
    <n v="11"/>
    <x v="0"/>
    <x v="0"/>
    <n v="1"/>
    <n v="0"/>
  </r>
  <r>
    <x v="7"/>
    <x v="12"/>
    <s v="10.1-10.2"/>
    <x v="57"/>
    <n v="10"/>
    <x v="49"/>
    <n v="1"/>
    <n v="200"/>
    <n v="100"/>
    <n v="0.5"/>
    <n v="11.5"/>
    <n v="11"/>
    <x v="1"/>
    <x v="0"/>
    <n v="1"/>
    <n v="0"/>
  </r>
  <r>
    <x v="7"/>
    <x v="12"/>
    <s v="10.1-10.2"/>
    <x v="57"/>
    <n v="10"/>
    <x v="14"/>
    <n v="1"/>
    <n v="200"/>
    <n v="100"/>
    <n v="0.5"/>
    <n v="11.5"/>
    <n v="11"/>
    <x v="0"/>
    <x v="0"/>
    <n v="1"/>
    <n v="0"/>
  </r>
  <r>
    <x v="7"/>
    <x v="12"/>
    <s v="10.2-10.0"/>
    <x v="58"/>
    <n v="10"/>
    <x v="50"/>
    <n v="3"/>
    <n v="200"/>
    <n v="100"/>
    <n v="1.5"/>
    <n v="11.5"/>
    <n v="11"/>
    <x v="5"/>
    <x v="0"/>
    <n v="1"/>
    <n v="1"/>
  </r>
  <r>
    <x v="7"/>
    <x v="12"/>
    <s v="10.2-10.0"/>
    <x v="58"/>
    <n v="10"/>
    <x v="40"/>
    <n v="4"/>
    <n v="200"/>
    <n v="100"/>
    <n v="2"/>
    <n v="11.5"/>
    <n v="11"/>
    <x v="0"/>
    <x v="0"/>
    <n v="0"/>
    <n v="0"/>
  </r>
  <r>
    <x v="7"/>
    <x v="12"/>
    <s v="10.2-10.0"/>
    <x v="58"/>
    <n v="10"/>
    <x v="14"/>
    <n v="11"/>
    <n v="200"/>
    <n v="100"/>
    <n v="5.5"/>
    <n v="11.5"/>
    <n v="11"/>
    <x v="0"/>
    <x v="0"/>
    <n v="0"/>
    <n v="0"/>
  </r>
  <r>
    <x v="7"/>
    <x v="12"/>
    <s v="10.2-10.0"/>
    <x v="58"/>
    <n v="10"/>
    <x v="42"/>
    <n v="1"/>
    <n v="200"/>
    <n v="100"/>
    <n v="0.5"/>
    <n v="11.5"/>
    <n v="11"/>
    <x v="5"/>
    <x v="0"/>
    <n v="0"/>
    <n v="0"/>
  </r>
  <r>
    <x v="7"/>
    <x v="12"/>
    <s v="10.2-10.0"/>
    <x v="58"/>
    <n v="10"/>
    <x v="51"/>
    <n v="6"/>
    <n v="200"/>
    <n v="100"/>
    <n v="3"/>
    <n v="11.5"/>
    <n v="11"/>
    <x v="0"/>
    <x v="0"/>
    <n v="1"/>
    <n v="0"/>
  </r>
  <r>
    <x v="7"/>
    <x v="12"/>
    <s v="10.2-10.0"/>
    <x v="58"/>
    <n v="10"/>
    <x v="3"/>
    <n v="6"/>
    <n v="200"/>
    <n v="100"/>
    <n v="3"/>
    <n v="11.5"/>
    <n v="11"/>
    <x v="1"/>
    <x v="0"/>
    <n v="0"/>
    <n v="0"/>
  </r>
  <r>
    <x v="7"/>
    <x v="12"/>
    <s v="10.2-10.0"/>
    <x v="58"/>
    <n v="10"/>
    <x v="52"/>
    <n v="2"/>
    <n v="200"/>
    <n v="100"/>
    <n v="1"/>
    <n v="11.5"/>
    <n v="11"/>
    <x v="0"/>
    <x v="0"/>
    <n v="1"/>
    <n v="0"/>
  </r>
  <r>
    <x v="7"/>
    <x v="12"/>
    <s v="10.2-10.0"/>
    <x v="58"/>
    <n v="10"/>
    <x v="53"/>
    <n v="1"/>
    <n v="200"/>
    <n v="100"/>
    <n v="0.5"/>
    <n v="11.5"/>
    <n v="11"/>
    <x v="1"/>
    <x v="0"/>
    <n v="1"/>
    <n v="0"/>
  </r>
  <r>
    <x v="7"/>
    <x v="12"/>
    <s v="10.2-10.0"/>
    <x v="58"/>
    <n v="10"/>
    <x v="39"/>
    <n v="1"/>
    <n v="200"/>
    <n v="100"/>
    <n v="0.5"/>
    <n v="11.5"/>
    <n v="11"/>
    <x v="1"/>
    <x v="0"/>
    <n v="0"/>
    <n v="0"/>
  </r>
  <r>
    <x v="7"/>
    <x v="12"/>
    <s v="10.2-10.0"/>
    <x v="58"/>
    <n v="10"/>
    <x v="43"/>
    <n v="1"/>
    <n v="200"/>
    <n v="100"/>
    <n v="0.5"/>
    <n v="11.5"/>
    <n v="11"/>
    <x v="0"/>
    <x v="0"/>
    <n v="0"/>
    <n v="0"/>
  </r>
  <r>
    <x v="7"/>
    <x v="12"/>
    <s v="10.2-10.0"/>
    <x v="58"/>
    <n v="10"/>
    <x v="38"/>
    <n v="28"/>
    <n v="200"/>
    <n v="100"/>
    <n v="14.000000000000002"/>
    <n v="11.5"/>
    <n v="11"/>
    <x v="1"/>
    <x v="0"/>
    <n v="0"/>
    <n v="0"/>
  </r>
  <r>
    <x v="7"/>
    <x v="12"/>
    <s v="10.2-10.0"/>
    <x v="58"/>
    <n v="10"/>
    <x v="54"/>
    <n v="5"/>
    <n v="200"/>
    <n v="100"/>
    <n v="2.5"/>
    <n v="11.5"/>
    <n v="11"/>
    <x v="3"/>
    <x v="0"/>
    <n v="1"/>
    <n v="0"/>
  </r>
  <r>
    <x v="7"/>
    <x v="12"/>
    <s v="10.2-10.0"/>
    <x v="58"/>
    <n v="10"/>
    <x v="55"/>
    <n v="5"/>
    <n v="200"/>
    <n v="100"/>
    <n v="2.5"/>
    <n v="11.5"/>
    <n v="11"/>
    <x v="0"/>
    <x v="0"/>
    <n v="1"/>
    <n v="0"/>
  </r>
  <r>
    <x v="7"/>
    <x v="12"/>
    <s v="10.2-10.0"/>
    <x v="58"/>
    <n v="10"/>
    <x v="37"/>
    <n v="1"/>
    <n v="200"/>
    <n v="100"/>
    <n v="0.5"/>
    <n v="11.5"/>
    <n v="11"/>
    <x v="1"/>
    <x v="0"/>
    <n v="1"/>
    <n v="0"/>
  </r>
  <r>
    <x v="7"/>
    <x v="12"/>
    <s v="10.2-10.0"/>
    <x v="58"/>
    <n v="10"/>
    <x v="56"/>
    <n v="7"/>
    <n v="200"/>
    <n v="100"/>
    <n v="3.5000000000000004"/>
    <n v="11.5"/>
    <n v="11"/>
    <x v="0"/>
    <x v="0"/>
    <n v="1"/>
    <n v="0"/>
  </r>
  <r>
    <x v="7"/>
    <x v="12"/>
    <s v="10.2-10.0"/>
    <x v="58"/>
    <n v="10"/>
    <x v="1"/>
    <n v="2"/>
    <n v="200"/>
    <n v="100"/>
    <n v="1"/>
    <n v="11.5"/>
    <n v="11"/>
    <x v="1"/>
    <x v="0"/>
    <n v="1"/>
    <n v="0"/>
  </r>
  <r>
    <x v="7"/>
    <x v="12"/>
    <s v="10.2-10.0"/>
    <x v="58"/>
    <n v="10"/>
    <x v="0"/>
    <n v="1"/>
    <n v="200"/>
    <n v="100"/>
    <n v="0.5"/>
    <n v="11.5"/>
    <n v="11"/>
    <x v="0"/>
    <x v="0"/>
    <n v="0"/>
    <n v="0"/>
  </r>
  <r>
    <x v="7"/>
    <x v="12"/>
    <s v="10.2-10.0"/>
    <x v="58"/>
    <n v="10"/>
    <x v="45"/>
    <n v="1"/>
    <n v="200"/>
    <n v="100"/>
    <n v="0.5"/>
    <n v="11.5"/>
    <n v="11"/>
    <x v="1"/>
    <x v="0"/>
    <n v="0"/>
    <n v="0"/>
  </r>
  <r>
    <x v="7"/>
    <x v="12"/>
    <s v="10.2-10.0"/>
    <x v="58"/>
    <n v="10"/>
    <x v="57"/>
    <n v="1"/>
    <n v="200"/>
    <n v="100"/>
    <n v="0.5"/>
    <n v="11.5"/>
    <n v="11"/>
    <x v="1"/>
    <x v="0"/>
    <n v="1"/>
    <n v="0"/>
  </r>
  <r>
    <x v="7"/>
    <x v="12"/>
    <s v="10.2-10.0"/>
    <x v="58"/>
    <n v="10"/>
    <x v="58"/>
    <n v="1"/>
    <n v="200"/>
    <n v="100"/>
    <n v="0.5"/>
    <n v="11.5"/>
    <n v="11"/>
    <x v="1"/>
    <x v="0"/>
    <n v="1"/>
    <n v="0"/>
  </r>
  <r>
    <x v="7"/>
    <x v="12"/>
    <s v="9.1-9.2"/>
    <x v="55"/>
    <n v="9"/>
    <x v="1"/>
    <n v="18"/>
    <n v="200"/>
    <n v="100"/>
    <n v="9"/>
    <n v="11.5"/>
    <n v="11"/>
    <x v="1"/>
    <x v="0"/>
    <n v="0"/>
    <n v="1"/>
  </r>
  <r>
    <x v="7"/>
    <x v="12"/>
    <s v="9.1-9.2"/>
    <x v="55"/>
    <n v="9"/>
    <x v="3"/>
    <n v="6"/>
    <n v="200"/>
    <n v="100"/>
    <n v="3"/>
    <n v="11.5"/>
    <n v="11"/>
    <x v="1"/>
    <x v="0"/>
    <n v="0"/>
    <n v="0"/>
  </r>
  <r>
    <x v="7"/>
    <x v="12"/>
    <s v="9.1-9.2"/>
    <x v="55"/>
    <n v="9"/>
    <x v="42"/>
    <n v="2"/>
    <n v="200"/>
    <n v="100"/>
    <n v="1"/>
    <n v="11.5"/>
    <n v="11"/>
    <x v="5"/>
    <x v="0"/>
    <n v="0"/>
    <n v="0"/>
  </r>
  <r>
    <x v="7"/>
    <x v="12"/>
    <s v="9.1-9.2"/>
    <x v="55"/>
    <n v="9"/>
    <x v="14"/>
    <n v="3"/>
    <n v="200"/>
    <n v="100"/>
    <n v="1.5"/>
    <n v="11.5"/>
    <n v="11"/>
    <x v="0"/>
    <x v="0"/>
    <n v="0"/>
    <n v="0"/>
  </r>
  <r>
    <x v="7"/>
    <x v="12"/>
    <s v="9.1-9.2"/>
    <x v="55"/>
    <n v="9"/>
    <x v="57"/>
    <n v="1"/>
    <n v="200"/>
    <n v="100"/>
    <n v="0.5"/>
    <n v="11.5"/>
    <n v="11"/>
    <x v="1"/>
    <x v="4"/>
    <n v="0"/>
    <n v="0"/>
  </r>
  <r>
    <x v="7"/>
    <x v="12"/>
    <s v="9.1-9.2"/>
    <x v="55"/>
    <n v="9"/>
    <x v="59"/>
    <n v="1"/>
    <n v="200"/>
    <n v="100"/>
    <n v="0.5"/>
    <n v="11.5"/>
    <n v="11"/>
    <x v="1"/>
    <x v="0"/>
    <n v="1"/>
    <n v="0"/>
  </r>
  <r>
    <x v="7"/>
    <x v="12"/>
    <s v="9.1-9.2"/>
    <x v="55"/>
    <n v="9"/>
    <x v="38"/>
    <n v="10"/>
    <n v="200"/>
    <n v="100"/>
    <n v="5"/>
    <n v="11.5"/>
    <n v="11"/>
    <x v="1"/>
    <x v="0"/>
    <n v="0"/>
    <n v="0"/>
  </r>
  <r>
    <x v="7"/>
    <x v="12"/>
    <s v="9.1-9.2"/>
    <x v="55"/>
    <n v="9"/>
    <x v="39"/>
    <n v="6"/>
    <n v="200"/>
    <n v="100"/>
    <n v="3"/>
    <n v="11.5"/>
    <n v="11"/>
    <x v="1"/>
    <x v="0"/>
    <n v="0"/>
    <n v="0"/>
  </r>
  <r>
    <x v="7"/>
    <x v="12"/>
    <s v="9.1-9.2"/>
    <x v="55"/>
    <n v="9"/>
    <x v="60"/>
    <n v="1"/>
    <n v="200"/>
    <n v="100"/>
    <n v="0.5"/>
    <n v="11.5"/>
    <n v="11"/>
    <x v="3"/>
    <x v="0"/>
    <n v="1"/>
    <n v="0"/>
  </r>
  <r>
    <x v="7"/>
    <x v="12"/>
    <s v="9.1-9.2"/>
    <x v="55"/>
    <n v="9"/>
    <x v="50"/>
    <n v="3"/>
    <n v="200"/>
    <n v="100"/>
    <n v="1.5"/>
    <n v="11.5"/>
    <n v="11"/>
    <x v="5"/>
    <x v="0"/>
    <n v="0"/>
    <n v="0"/>
  </r>
  <r>
    <x v="7"/>
    <x v="12"/>
    <s v="9.1-9.2"/>
    <x v="55"/>
    <n v="9"/>
    <x v="18"/>
    <n v="2"/>
    <n v="200"/>
    <n v="100"/>
    <n v="1"/>
    <n v="11.5"/>
    <n v="11"/>
    <x v="4"/>
    <x v="3"/>
    <n v="0"/>
    <n v="0"/>
  </r>
  <r>
    <x v="7"/>
    <x v="12"/>
    <s v="9.1-9.2"/>
    <x v="55"/>
    <n v="9"/>
    <x v="36"/>
    <n v="2"/>
    <n v="200"/>
    <n v="100"/>
    <n v="1"/>
    <n v="11.5"/>
    <n v="11"/>
    <x v="1"/>
    <x v="0"/>
    <n v="0"/>
    <n v="0"/>
  </r>
  <r>
    <x v="7"/>
    <x v="12"/>
    <s v="9.1-9.2"/>
    <x v="55"/>
    <n v="9"/>
    <x v="0"/>
    <n v="32"/>
    <n v="200"/>
    <n v="100"/>
    <n v="16"/>
    <n v="11.5"/>
    <n v="11"/>
    <x v="0"/>
    <x v="0"/>
    <n v="0"/>
    <n v="0"/>
  </r>
  <r>
    <x v="7"/>
    <x v="12"/>
    <s v="9.2-9.0"/>
    <x v="56"/>
    <n v="9"/>
    <x v="0"/>
    <n v="36"/>
    <n v="200"/>
    <n v="100"/>
    <n v="18"/>
    <n v="11.5"/>
    <n v="11"/>
    <x v="0"/>
    <x v="0"/>
    <n v="0"/>
    <n v="1"/>
  </r>
  <r>
    <x v="7"/>
    <x v="12"/>
    <s v="9.2-9.0"/>
    <x v="56"/>
    <n v="9"/>
    <x v="31"/>
    <n v="6"/>
    <n v="200"/>
    <n v="100"/>
    <n v="3"/>
    <n v="11.5"/>
    <n v="11"/>
    <x v="1"/>
    <x v="0"/>
    <n v="1"/>
    <n v="0"/>
  </r>
  <r>
    <x v="7"/>
    <x v="12"/>
    <s v="9.2-9.0"/>
    <x v="56"/>
    <n v="9"/>
    <x v="38"/>
    <n v="1"/>
    <n v="200"/>
    <n v="100"/>
    <n v="0.5"/>
    <n v="11.5"/>
    <n v="11"/>
    <x v="1"/>
    <x v="0"/>
    <n v="0"/>
    <n v="0"/>
  </r>
  <r>
    <x v="7"/>
    <x v="12"/>
    <s v="8.1-8.2"/>
    <x v="49"/>
    <n v="8"/>
    <x v="0"/>
    <n v="69"/>
    <n v="200"/>
    <n v="100"/>
    <n v="34.5"/>
    <n v="11.5"/>
    <n v="11"/>
    <x v="0"/>
    <x v="0"/>
    <n v="0"/>
    <n v="1"/>
  </r>
  <r>
    <x v="7"/>
    <x v="12"/>
    <s v="8.1-8.2"/>
    <x v="49"/>
    <n v="8"/>
    <x v="38"/>
    <n v="4"/>
    <n v="200"/>
    <n v="100"/>
    <n v="2"/>
    <n v="11.5"/>
    <n v="11"/>
    <x v="1"/>
    <x v="0"/>
    <n v="0"/>
    <n v="0"/>
  </r>
  <r>
    <x v="7"/>
    <x v="12"/>
    <s v="8.1-8.2"/>
    <x v="49"/>
    <n v="8"/>
    <x v="1"/>
    <n v="6"/>
    <n v="200"/>
    <n v="100"/>
    <n v="3"/>
    <n v="11.5"/>
    <n v="11"/>
    <x v="1"/>
    <x v="0"/>
    <n v="0"/>
    <n v="0"/>
  </r>
  <r>
    <x v="7"/>
    <x v="12"/>
    <s v="8.1-8.2"/>
    <x v="49"/>
    <n v="8"/>
    <x v="19"/>
    <n v="4"/>
    <n v="200"/>
    <n v="100"/>
    <n v="2"/>
    <n v="11.5"/>
    <n v="11"/>
    <x v="1"/>
    <x v="0"/>
    <n v="0"/>
    <n v="0"/>
  </r>
  <r>
    <x v="7"/>
    <x v="12"/>
    <s v="8.1-8.2"/>
    <x v="49"/>
    <n v="8"/>
    <x v="31"/>
    <n v="14"/>
    <n v="200"/>
    <n v="100"/>
    <n v="7.0000000000000009"/>
    <n v="11.5"/>
    <n v="11"/>
    <x v="1"/>
    <x v="0"/>
    <n v="0"/>
    <n v="0"/>
  </r>
  <r>
    <x v="7"/>
    <x v="12"/>
    <s v="8.2-8.0"/>
    <x v="50"/>
    <n v="8"/>
    <x v="0"/>
    <n v="102"/>
    <n v="200"/>
    <n v="100"/>
    <n v="51"/>
    <n v="11.5"/>
    <n v="11"/>
    <x v="0"/>
    <x v="0"/>
    <n v="0"/>
    <n v="1"/>
  </r>
  <r>
    <x v="7"/>
    <x v="12"/>
    <s v="8.2-8.0"/>
    <x v="50"/>
    <n v="8"/>
    <x v="8"/>
    <n v="3"/>
    <n v="200"/>
    <n v="100"/>
    <n v="1.5"/>
    <n v="11.5"/>
    <n v="11"/>
    <x v="1"/>
    <x v="0"/>
    <n v="1"/>
    <n v="0"/>
  </r>
  <r>
    <x v="7"/>
    <x v="12"/>
    <s v="7.1-7.2"/>
    <x v="42"/>
    <n v="7"/>
    <x v="0"/>
    <n v="49"/>
    <n v="200"/>
    <n v="100"/>
    <n v="24.5"/>
    <n v="11.5"/>
    <n v="11"/>
    <x v="0"/>
    <x v="0"/>
    <n v="0"/>
    <n v="1"/>
  </r>
  <r>
    <x v="7"/>
    <x v="12"/>
    <s v="7.1-7.2"/>
    <x v="42"/>
    <n v="7"/>
    <x v="8"/>
    <n v="1"/>
    <n v="200"/>
    <n v="100"/>
    <n v="0.5"/>
    <n v="11.5"/>
    <n v="11"/>
    <x v="1"/>
    <x v="0"/>
    <n v="0"/>
    <n v="0"/>
  </r>
  <r>
    <x v="7"/>
    <x v="12"/>
    <s v="7.2-7.0"/>
    <x v="43"/>
    <n v="7"/>
    <x v="0"/>
    <n v="51"/>
    <n v="200"/>
    <n v="100"/>
    <n v="25.5"/>
    <n v="11.5"/>
    <n v="11"/>
    <x v="0"/>
    <x v="0"/>
    <n v="0"/>
    <n v="1"/>
  </r>
  <r>
    <x v="7"/>
    <x v="12"/>
    <s v="7.2-7.0"/>
    <x v="43"/>
    <n v="7"/>
    <x v="61"/>
    <n v="12"/>
    <n v="200"/>
    <n v="100"/>
    <n v="6"/>
    <n v="11.5"/>
    <n v="11"/>
    <x v="0"/>
    <x v="0"/>
    <n v="1"/>
    <n v="0"/>
  </r>
  <r>
    <x v="7"/>
    <x v="12"/>
    <s v="6.1-6.2"/>
    <x v="35"/>
    <n v="6"/>
    <x v="0"/>
    <n v="23"/>
    <n v="200"/>
    <n v="100"/>
    <n v="11.5"/>
    <n v="11.5"/>
    <n v="11"/>
    <x v="0"/>
    <x v="0"/>
    <n v="0"/>
    <n v="1"/>
  </r>
  <r>
    <x v="7"/>
    <x v="12"/>
    <s v="6.2-6.0"/>
    <x v="36"/>
    <n v="6"/>
    <x v="0"/>
    <n v="47"/>
    <n v="200"/>
    <n v="100"/>
    <n v="23.5"/>
    <n v="11.5"/>
    <n v="11"/>
    <x v="0"/>
    <x v="0"/>
    <n v="0"/>
    <n v="1"/>
  </r>
  <r>
    <x v="7"/>
    <x v="12"/>
    <s v="5.1-5.2"/>
    <x v="28"/>
    <n v="5"/>
    <x v="0"/>
    <n v="14"/>
    <n v="200"/>
    <n v="100"/>
    <n v="7.0000000000000009"/>
    <n v="11.5"/>
    <n v="11"/>
    <x v="0"/>
    <x v="0"/>
    <n v="0"/>
    <n v="1"/>
  </r>
  <r>
    <x v="7"/>
    <x v="12"/>
    <s v="5.1-5.2"/>
    <x v="28"/>
    <n v="5"/>
    <x v="10"/>
    <n v="3"/>
    <n v="200"/>
    <n v="100"/>
    <n v="1.5"/>
    <n v="11.5"/>
    <n v="11"/>
    <x v="1"/>
    <x v="0"/>
    <n v="1"/>
    <n v="0"/>
  </r>
  <r>
    <x v="7"/>
    <x v="12"/>
    <s v="5.1-5.2"/>
    <x v="28"/>
    <n v="5"/>
    <x v="1"/>
    <n v="2"/>
    <n v="200"/>
    <n v="100"/>
    <n v="1"/>
    <n v="11.5"/>
    <n v="11"/>
    <x v="1"/>
    <x v="0"/>
    <n v="0"/>
    <n v="0"/>
  </r>
  <r>
    <x v="7"/>
    <x v="12"/>
    <s v="5.2-5.0"/>
    <x v="29"/>
    <n v="5"/>
    <x v="0"/>
    <n v="7"/>
    <n v="200"/>
    <n v="100"/>
    <n v="3.5000000000000004"/>
    <n v="11.5"/>
    <n v="11"/>
    <x v="0"/>
    <x v="0"/>
    <n v="0"/>
    <n v="1"/>
  </r>
  <r>
    <x v="7"/>
    <x v="12"/>
    <s v="5.2-5.0"/>
    <x v="29"/>
    <n v="5"/>
    <x v="10"/>
    <n v="5"/>
    <n v="200"/>
    <n v="100"/>
    <n v="2.5"/>
    <n v="11.5"/>
    <n v="11"/>
    <x v="1"/>
    <x v="0"/>
    <n v="0"/>
    <n v="0"/>
  </r>
  <r>
    <x v="7"/>
    <x v="12"/>
    <s v="5.2-5.0"/>
    <x v="29"/>
    <n v="5"/>
    <x v="2"/>
    <n v="10"/>
    <n v="200"/>
    <n v="100"/>
    <n v="5"/>
    <n v="11.5"/>
    <n v="11"/>
    <x v="1"/>
    <x v="0"/>
    <n v="1"/>
    <n v="0"/>
  </r>
  <r>
    <x v="7"/>
    <x v="12"/>
    <s v="5.2-5.0"/>
    <x v="29"/>
    <n v="5"/>
    <x v="31"/>
    <n v="1"/>
    <n v="200"/>
    <n v="100"/>
    <n v="0.5"/>
    <n v="11.5"/>
    <n v="11"/>
    <x v="1"/>
    <x v="0"/>
    <n v="0"/>
    <n v="0"/>
  </r>
  <r>
    <x v="7"/>
    <x v="12"/>
    <s v="4.1-4.0"/>
    <x v="21"/>
    <n v="4"/>
    <x v="2"/>
    <n v="1"/>
    <n v="200"/>
    <n v="100"/>
    <n v="0.5"/>
    <n v="11.5"/>
    <n v="11"/>
    <x v="1"/>
    <x v="0"/>
    <n v="0"/>
    <n v="1"/>
  </r>
  <r>
    <x v="7"/>
    <x v="12"/>
    <s v="4.1-4.0"/>
    <x v="21"/>
    <n v="4"/>
    <x v="0"/>
    <n v="20"/>
    <n v="200"/>
    <n v="100"/>
    <n v="10"/>
    <n v="11.5"/>
    <n v="11"/>
    <x v="0"/>
    <x v="0"/>
    <n v="0"/>
    <n v="0"/>
  </r>
  <r>
    <x v="7"/>
    <x v="12"/>
    <s v="4.1-4.0"/>
    <x v="21"/>
    <n v="4"/>
    <x v="1"/>
    <n v="3"/>
    <n v="200"/>
    <n v="100"/>
    <n v="1.5"/>
    <n v="11.5"/>
    <n v="11"/>
    <x v="1"/>
    <x v="0"/>
    <n v="0"/>
    <n v="0"/>
  </r>
  <r>
    <x v="7"/>
    <x v="12"/>
    <s v="4.1-4.0"/>
    <x v="21"/>
    <n v="4"/>
    <x v="31"/>
    <n v="2"/>
    <n v="200"/>
    <n v="100"/>
    <n v="1"/>
    <n v="11.5"/>
    <n v="11"/>
    <x v="1"/>
    <x v="0"/>
    <n v="0"/>
    <n v="0"/>
  </r>
  <r>
    <x v="7"/>
    <x v="12"/>
    <s v="3.1-3.0"/>
    <x v="14"/>
    <n v="3"/>
    <x v="0"/>
    <n v="36"/>
    <n v="200"/>
    <n v="100"/>
    <n v="18"/>
    <n v="11.5"/>
    <n v="11"/>
    <x v="0"/>
    <x v="0"/>
    <n v="0"/>
    <n v="1"/>
  </r>
  <r>
    <x v="7"/>
    <x v="12"/>
    <s v="3.1-3.0"/>
    <x v="14"/>
    <n v="3"/>
    <x v="1"/>
    <n v="4"/>
    <n v="200"/>
    <n v="100"/>
    <n v="2"/>
    <n v="11.5"/>
    <n v="11"/>
    <x v="1"/>
    <x v="0"/>
    <n v="0"/>
    <n v="0"/>
  </r>
  <r>
    <x v="7"/>
    <x v="12"/>
    <s v="3.1-3.0"/>
    <x v="14"/>
    <n v="3"/>
    <x v="62"/>
    <n v="3"/>
    <n v="200"/>
    <n v="100"/>
    <n v="1.5"/>
    <n v="11.5"/>
    <n v="11"/>
    <x v="0"/>
    <x v="0"/>
    <n v="1"/>
    <n v="0"/>
  </r>
  <r>
    <x v="7"/>
    <x v="12"/>
    <s v="3.2-3.0"/>
    <x v="15"/>
    <n v="3"/>
    <x v="0"/>
    <n v="45"/>
    <n v="200"/>
    <n v="100"/>
    <n v="22.5"/>
    <n v="11.5"/>
    <n v="11"/>
    <x v="0"/>
    <x v="0"/>
    <n v="0"/>
    <n v="1"/>
  </r>
  <r>
    <x v="7"/>
    <x v="12"/>
    <s v="3.2-3.0"/>
    <x v="15"/>
    <n v="3"/>
    <x v="1"/>
    <n v="1"/>
    <n v="200"/>
    <n v="100"/>
    <n v="0.5"/>
    <n v="11.5"/>
    <n v="11"/>
    <x v="1"/>
    <x v="0"/>
    <n v="0"/>
    <n v="0"/>
  </r>
  <r>
    <x v="7"/>
    <x v="12"/>
    <s v="3.2-3.0"/>
    <x v="15"/>
    <n v="3"/>
    <x v="31"/>
    <n v="1"/>
    <n v="200"/>
    <n v="100"/>
    <n v="0.5"/>
    <n v="11.5"/>
    <n v="11"/>
    <x v="1"/>
    <x v="0"/>
    <n v="0"/>
    <n v="0"/>
  </r>
  <r>
    <x v="7"/>
    <x v="12"/>
    <s v="2.1-2.0"/>
    <x v="7"/>
    <n v="2"/>
    <x v="1"/>
    <n v="4"/>
    <n v="150"/>
    <n v="75"/>
    <n v="2.666666666666667"/>
    <n v="11.5"/>
    <n v="11"/>
    <x v="1"/>
    <x v="0"/>
    <n v="0"/>
    <n v="1"/>
  </r>
  <r>
    <x v="7"/>
    <x v="12"/>
    <s v="2.1-2.0"/>
    <x v="7"/>
    <n v="2"/>
    <x v="0"/>
    <n v="30"/>
    <n v="150"/>
    <n v="75"/>
    <n v="20"/>
    <n v="11.5"/>
    <n v="11"/>
    <x v="0"/>
    <x v="0"/>
    <n v="0"/>
    <n v="0"/>
  </r>
  <r>
    <x v="7"/>
    <x v="12"/>
    <s v="2.1-2.0"/>
    <x v="7"/>
    <n v="2"/>
    <x v="62"/>
    <n v="4"/>
    <n v="150"/>
    <n v="75"/>
    <n v="2.666666666666667"/>
    <n v="11.5"/>
    <n v="11"/>
    <x v="0"/>
    <x v="0"/>
    <n v="0"/>
    <n v="0"/>
  </r>
  <r>
    <x v="7"/>
    <x v="12"/>
    <s v="2.1-2.0"/>
    <x v="7"/>
    <n v="2"/>
    <x v="63"/>
    <n v="1"/>
    <n v="150"/>
    <n v="75"/>
    <n v="0.66666666666666674"/>
    <n v="11.5"/>
    <n v="11"/>
    <x v="3"/>
    <x v="0"/>
    <n v="1"/>
    <n v="0"/>
  </r>
  <r>
    <x v="7"/>
    <x v="12"/>
    <s v="2.2-2.0"/>
    <x v="8"/>
    <n v="2"/>
    <x v="0"/>
    <n v="64"/>
    <n v="200"/>
    <n v="100"/>
    <n v="32"/>
    <n v="11.5"/>
    <n v="11"/>
    <x v="0"/>
    <x v="0"/>
    <n v="0"/>
    <n v="1"/>
  </r>
  <r>
    <x v="7"/>
    <x v="12"/>
    <s v="1.1-1.0"/>
    <x v="0"/>
    <n v="1"/>
    <x v="0"/>
    <n v="12"/>
    <n v="119"/>
    <n v="59.5"/>
    <n v="10.084033613445378"/>
    <n v="11.5"/>
    <n v="11"/>
    <x v="0"/>
    <x v="0"/>
    <n v="0"/>
    <n v="1"/>
  </r>
  <r>
    <x v="7"/>
    <x v="12"/>
    <s v="1.1-1.0"/>
    <x v="0"/>
    <n v="1"/>
    <x v="1"/>
    <n v="1"/>
    <n v="119"/>
    <n v="59.5"/>
    <n v="0.84033613445378152"/>
    <n v="11.5"/>
    <n v="11"/>
    <x v="1"/>
    <x v="0"/>
    <n v="0"/>
    <n v="0"/>
  </r>
  <r>
    <x v="7"/>
    <x v="12"/>
    <s v="1.1-1.0"/>
    <x v="0"/>
    <n v="1"/>
    <x v="61"/>
    <n v="2"/>
    <n v="119"/>
    <n v="59.5"/>
    <n v="1.680672268907563"/>
    <n v="11.5"/>
    <n v="11"/>
    <x v="0"/>
    <x v="0"/>
    <n v="0"/>
    <n v="0"/>
  </r>
  <r>
    <x v="7"/>
    <x v="12"/>
    <s v="1.1-1.0"/>
    <x v="0"/>
    <n v="1"/>
    <x v="31"/>
    <n v="3"/>
    <n v="119"/>
    <n v="59.5"/>
    <n v="2.5210084033613445"/>
    <n v="11.5"/>
    <n v="11"/>
    <x v="1"/>
    <x v="0"/>
    <n v="0"/>
    <n v="0"/>
  </r>
  <r>
    <x v="7"/>
    <x v="12"/>
    <s v="1.2-1.0"/>
    <x v="1"/>
    <n v="1"/>
    <x v="0"/>
    <n v="55"/>
    <n v="200"/>
    <n v="100"/>
    <n v="27.500000000000004"/>
    <n v="11.5"/>
    <n v="11"/>
    <x v="0"/>
    <x v="0"/>
    <n v="0"/>
    <n v="1"/>
  </r>
  <r>
    <x v="7"/>
    <x v="12"/>
    <s v="1.2-1.0"/>
    <x v="1"/>
    <n v="1"/>
    <x v="5"/>
    <n v="6"/>
    <n v="200"/>
    <n v="100"/>
    <n v="3"/>
    <n v="11.5"/>
    <n v="11"/>
    <x v="1"/>
    <x v="0"/>
    <n v="1"/>
    <n v="0"/>
  </r>
  <r>
    <x v="7"/>
    <x v="12"/>
    <s v="1.2-1.0"/>
    <x v="1"/>
    <n v="1"/>
    <x v="14"/>
    <n v="1"/>
    <n v="200"/>
    <n v="100"/>
    <n v="0.5"/>
    <n v="11.5"/>
    <n v="11"/>
    <x v="0"/>
    <x v="0"/>
    <n v="0"/>
    <n v="0"/>
  </r>
  <r>
    <x v="7"/>
    <x v="12"/>
    <s v="A1-A2"/>
    <x v="59"/>
    <n v="11"/>
    <x v="31"/>
    <n v="1"/>
    <n v="200"/>
    <n v="100"/>
    <n v="0.5"/>
    <n v="11.5"/>
    <n v="11"/>
    <x v="1"/>
    <x v="0"/>
    <n v="0"/>
    <n v="1"/>
  </r>
  <r>
    <x v="7"/>
    <x v="12"/>
    <s v="A1-A2"/>
    <x v="59"/>
    <n v="11"/>
    <x v="1"/>
    <n v="23"/>
    <n v="200"/>
    <n v="100"/>
    <n v="11.5"/>
    <n v="11.5"/>
    <n v="11"/>
    <x v="1"/>
    <x v="0"/>
    <n v="0"/>
    <n v="0"/>
  </r>
  <r>
    <x v="7"/>
    <x v="12"/>
    <s v="A1-A2"/>
    <x v="59"/>
    <n v="11"/>
    <x v="4"/>
    <n v="3"/>
    <n v="200"/>
    <n v="100"/>
    <n v="1.5"/>
    <n v="11.5"/>
    <n v="11"/>
    <x v="1"/>
    <x v="0"/>
    <n v="1"/>
    <n v="0"/>
  </r>
  <r>
    <x v="7"/>
    <x v="12"/>
    <s v="A1-A2"/>
    <x v="59"/>
    <n v="11"/>
    <x v="0"/>
    <n v="34"/>
    <n v="200"/>
    <n v="100"/>
    <n v="17"/>
    <n v="11.5"/>
    <n v="11"/>
    <x v="0"/>
    <x v="0"/>
    <n v="0"/>
    <n v="0"/>
  </r>
  <r>
    <x v="7"/>
    <x v="12"/>
    <s v="A1-A2"/>
    <x v="59"/>
    <n v="11"/>
    <x v="62"/>
    <n v="1"/>
    <n v="200"/>
    <n v="100"/>
    <n v="0.5"/>
    <n v="11.5"/>
    <n v="11"/>
    <x v="0"/>
    <x v="0"/>
    <n v="0"/>
    <n v="0"/>
  </r>
  <r>
    <x v="7"/>
    <x v="12"/>
    <s v="A2-A0"/>
    <x v="60"/>
    <n v="12"/>
    <x v="0"/>
    <n v="46"/>
    <n v="200"/>
    <n v="100"/>
    <n v="23"/>
    <n v="11.5"/>
    <n v="11"/>
    <x v="0"/>
    <x v="0"/>
    <n v="0"/>
    <n v="1"/>
  </r>
  <r>
    <x v="1"/>
    <x v="12"/>
    <s v="1.1-1.2"/>
    <x v="0"/>
    <n v="1"/>
    <x v="1"/>
    <n v="33"/>
    <n v="200"/>
    <n v="100"/>
    <n v="16.5"/>
    <n v="15"/>
    <n v="12"/>
    <x v="1"/>
    <x v="0"/>
    <n v="1"/>
    <n v="1"/>
  </r>
  <r>
    <x v="1"/>
    <x v="12"/>
    <s v="1.2-1.3"/>
    <x v="0"/>
    <n v="1"/>
    <x v="0"/>
    <n v="1"/>
    <n v="200"/>
    <n v="100"/>
    <n v="0.5"/>
    <n v="15"/>
    <n v="12"/>
    <x v="0"/>
    <x v="0"/>
    <n v="1"/>
    <n v="0"/>
  </r>
  <r>
    <x v="1"/>
    <x v="12"/>
    <s v="1.2-1.3"/>
    <x v="1"/>
    <n v="1"/>
    <x v="1"/>
    <n v="17"/>
    <n v="200"/>
    <n v="100"/>
    <n v="8.5"/>
    <n v="15"/>
    <n v="12"/>
    <x v="1"/>
    <x v="0"/>
    <n v="0"/>
    <n v="1"/>
  </r>
  <r>
    <x v="1"/>
    <x v="12"/>
    <s v="1.3-1.4"/>
    <x v="2"/>
    <n v="1"/>
    <x v="1"/>
    <n v="25"/>
    <n v="200"/>
    <n v="100"/>
    <n v="12.5"/>
    <n v="15"/>
    <n v="12"/>
    <x v="1"/>
    <x v="0"/>
    <n v="0"/>
    <n v="1"/>
  </r>
  <r>
    <x v="1"/>
    <x v="12"/>
    <s v="1.4-1.5"/>
    <x v="3"/>
    <n v="1"/>
    <x v="1"/>
    <n v="55"/>
    <n v="200"/>
    <n v="100"/>
    <n v="27.500000000000004"/>
    <n v="15"/>
    <n v="12"/>
    <x v="1"/>
    <x v="0"/>
    <n v="0"/>
    <n v="1"/>
  </r>
  <r>
    <x v="1"/>
    <x v="12"/>
    <s v="1.5-1.0"/>
    <x v="4"/>
    <n v="1"/>
    <x v="1"/>
    <n v="25"/>
    <n v="200"/>
    <n v="100"/>
    <n v="12.5"/>
    <n v="15"/>
    <n v="12"/>
    <x v="1"/>
    <x v="0"/>
    <n v="0"/>
    <n v="1"/>
  </r>
  <r>
    <x v="1"/>
    <x v="12"/>
    <s v="2.1-2.2"/>
    <x v="7"/>
    <n v="2"/>
    <x v="1"/>
    <n v="11"/>
    <n v="200"/>
    <n v="100"/>
    <n v="5.5"/>
    <n v="15"/>
    <n v="12"/>
    <x v="1"/>
    <x v="0"/>
    <n v="0"/>
    <n v="1"/>
  </r>
  <r>
    <x v="1"/>
    <x v="12"/>
    <s v="2.2-2.3"/>
    <x v="8"/>
    <n v="2"/>
    <x v="1"/>
    <n v="13"/>
    <n v="200"/>
    <n v="100"/>
    <n v="6.5"/>
    <n v="15"/>
    <n v="12"/>
    <x v="1"/>
    <x v="0"/>
    <n v="0"/>
    <n v="1"/>
  </r>
  <r>
    <x v="1"/>
    <x v="12"/>
    <s v="2.2-2.3"/>
    <x v="8"/>
    <n v="2"/>
    <x v="0"/>
    <n v="7"/>
    <n v="200"/>
    <n v="100"/>
    <n v="3.5000000000000004"/>
    <n v="15"/>
    <n v="12"/>
    <x v="0"/>
    <x v="0"/>
    <n v="0"/>
    <n v="0"/>
  </r>
  <r>
    <x v="1"/>
    <x v="12"/>
    <s v="2.2-2.3"/>
    <x v="8"/>
    <n v="2"/>
    <x v="13"/>
    <n v="3"/>
    <n v="200"/>
    <n v="100"/>
    <n v="1.5"/>
    <n v="15"/>
    <n v="12"/>
    <x v="0"/>
    <x v="0"/>
    <n v="1"/>
    <n v="0"/>
  </r>
  <r>
    <x v="1"/>
    <x v="12"/>
    <s v="2.3-2.4"/>
    <x v="9"/>
    <n v="2"/>
    <x v="1"/>
    <n v="14"/>
    <n v="200"/>
    <n v="100"/>
    <n v="7.0000000000000009"/>
    <n v="15"/>
    <n v="12"/>
    <x v="1"/>
    <x v="0"/>
    <n v="0"/>
    <n v="1"/>
  </r>
  <r>
    <x v="1"/>
    <x v="12"/>
    <s v="2.3-2.4"/>
    <x v="9"/>
    <n v="2"/>
    <x v="0"/>
    <n v="3"/>
    <n v="200"/>
    <n v="100"/>
    <n v="1.5"/>
    <n v="15"/>
    <n v="12"/>
    <x v="0"/>
    <x v="0"/>
    <n v="0"/>
    <n v="0"/>
  </r>
  <r>
    <x v="1"/>
    <x v="12"/>
    <s v="2.3-2.4"/>
    <x v="9"/>
    <n v="2"/>
    <x v="13"/>
    <n v="1"/>
    <n v="200"/>
    <n v="100"/>
    <n v="0.5"/>
    <n v="15"/>
    <n v="12"/>
    <x v="0"/>
    <x v="0"/>
    <n v="0"/>
    <n v="0"/>
  </r>
  <r>
    <x v="1"/>
    <x v="12"/>
    <s v="2.4-2.5"/>
    <x v="10"/>
    <n v="2"/>
    <x v="1"/>
    <n v="29"/>
    <n v="200"/>
    <n v="100"/>
    <n v="14.499999999999998"/>
    <n v="15"/>
    <n v="12"/>
    <x v="1"/>
    <x v="0"/>
    <n v="0"/>
    <n v="1"/>
  </r>
  <r>
    <x v="1"/>
    <x v="12"/>
    <s v="2.5-2.6"/>
    <x v="11"/>
    <n v="2"/>
    <x v="1"/>
    <n v="17"/>
    <n v="200"/>
    <n v="100"/>
    <n v="8.5"/>
    <n v="15"/>
    <n v="12"/>
    <x v="1"/>
    <x v="0"/>
    <n v="0"/>
    <n v="1"/>
  </r>
  <r>
    <x v="1"/>
    <x v="12"/>
    <s v="2.6-2.7"/>
    <x v="12"/>
    <n v="2"/>
    <x v="1"/>
    <n v="18"/>
    <n v="200"/>
    <n v="100"/>
    <n v="9"/>
    <n v="15"/>
    <n v="12"/>
    <x v="1"/>
    <x v="0"/>
    <n v="0"/>
    <n v="1"/>
  </r>
  <r>
    <x v="1"/>
    <x v="12"/>
    <s v="2.7-2.8"/>
    <x v="13"/>
    <n v="2"/>
    <x v="1"/>
    <n v="24"/>
    <n v="200"/>
    <n v="100"/>
    <n v="12"/>
    <n v="15"/>
    <n v="12"/>
    <x v="1"/>
    <x v="0"/>
    <n v="0"/>
    <n v="1"/>
  </r>
  <r>
    <x v="1"/>
    <x v="12"/>
    <s v="2.8-2.0"/>
    <x v="54"/>
    <n v="2"/>
    <x v="1"/>
    <n v="29"/>
    <n v="200"/>
    <n v="100"/>
    <n v="14.499999999999998"/>
    <n v="15"/>
    <n v="12"/>
    <x v="1"/>
    <x v="0"/>
    <n v="0"/>
    <n v="1"/>
  </r>
  <r>
    <x v="1"/>
    <x v="12"/>
    <s v="2.8-2.0"/>
    <x v="54"/>
    <n v="2"/>
    <x v="16"/>
    <n v="7"/>
    <n v="200"/>
    <n v="100"/>
    <n v="3.5000000000000004"/>
    <n v="15"/>
    <n v="12"/>
    <x v="1"/>
    <x v="0"/>
    <n v="1"/>
    <n v="0"/>
  </r>
  <r>
    <x v="1"/>
    <x v="12"/>
    <s v="3.1-3.2"/>
    <x v="14"/>
    <n v="3"/>
    <x v="1"/>
    <n v="12"/>
    <n v="200"/>
    <n v="100"/>
    <n v="6"/>
    <n v="15"/>
    <n v="12"/>
    <x v="1"/>
    <x v="0"/>
    <n v="0"/>
    <n v="1"/>
  </r>
  <r>
    <x v="1"/>
    <x v="12"/>
    <s v="3.2-3.3"/>
    <x v="15"/>
    <n v="3"/>
    <x v="1"/>
    <n v="24"/>
    <n v="200"/>
    <n v="100"/>
    <n v="12"/>
    <n v="15"/>
    <n v="12"/>
    <x v="1"/>
    <x v="0"/>
    <n v="0"/>
    <n v="1"/>
  </r>
  <r>
    <x v="1"/>
    <x v="12"/>
    <s v="3.3-3.4"/>
    <x v="16"/>
    <n v="3"/>
    <x v="1"/>
    <n v="6"/>
    <n v="200"/>
    <n v="100"/>
    <n v="3"/>
    <n v="15"/>
    <n v="12"/>
    <x v="1"/>
    <x v="0"/>
    <n v="0"/>
    <n v="1"/>
  </r>
  <r>
    <x v="1"/>
    <x v="12"/>
    <s v="3.4-3.5"/>
    <x v="17"/>
    <n v="3"/>
    <x v="1"/>
    <n v="21"/>
    <n v="200"/>
    <n v="100"/>
    <n v="10.5"/>
    <n v="15"/>
    <n v="12"/>
    <x v="1"/>
    <x v="0"/>
    <n v="0"/>
    <n v="1"/>
  </r>
  <r>
    <x v="1"/>
    <x v="12"/>
    <s v="3.5-3.6"/>
    <x v="18"/>
    <n v="3"/>
    <x v="0"/>
    <n v="5"/>
    <n v="200"/>
    <n v="100"/>
    <n v="2.5"/>
    <n v="15"/>
    <n v="12"/>
    <x v="0"/>
    <x v="0"/>
    <n v="0"/>
    <n v="1"/>
  </r>
  <r>
    <x v="1"/>
    <x v="12"/>
    <s v="3.5-3.6"/>
    <x v="18"/>
    <n v="3"/>
    <x v="1"/>
    <n v="2"/>
    <n v="200"/>
    <n v="100"/>
    <n v="1"/>
    <n v="15"/>
    <n v="12"/>
    <x v="1"/>
    <x v="0"/>
    <n v="0"/>
    <n v="0"/>
  </r>
  <r>
    <x v="1"/>
    <x v="12"/>
    <s v="3.6-3.7"/>
    <x v="19"/>
    <n v="3"/>
    <x v="0"/>
    <n v="2"/>
    <n v="200"/>
    <n v="100"/>
    <n v="1"/>
    <n v="15"/>
    <n v="12"/>
    <x v="0"/>
    <x v="0"/>
    <n v="0"/>
    <n v="1"/>
  </r>
  <r>
    <x v="1"/>
    <x v="12"/>
    <s v="3.6-3.7"/>
    <x v="19"/>
    <n v="3"/>
    <x v="1"/>
    <n v="2"/>
    <n v="200"/>
    <n v="100"/>
    <n v="1"/>
    <n v="15"/>
    <n v="12"/>
    <x v="1"/>
    <x v="0"/>
    <n v="0"/>
    <n v="0"/>
  </r>
  <r>
    <x v="1"/>
    <x v="12"/>
    <s v="3.7-3.0"/>
    <x v="20"/>
    <n v="3"/>
    <x v="1"/>
    <n v="31"/>
    <n v="200"/>
    <n v="100"/>
    <n v="15.5"/>
    <n v="15"/>
    <n v="12"/>
    <x v="1"/>
    <x v="0"/>
    <n v="0"/>
    <n v="1"/>
  </r>
  <r>
    <x v="1"/>
    <x v="12"/>
    <s v="3.7-3.0"/>
    <x v="20"/>
    <n v="3"/>
    <x v="0"/>
    <n v="7"/>
    <n v="200"/>
    <n v="100"/>
    <n v="3.5000000000000004"/>
    <n v="15"/>
    <n v="12"/>
    <x v="0"/>
    <x v="0"/>
    <n v="0"/>
    <n v="0"/>
  </r>
  <r>
    <x v="1"/>
    <x v="12"/>
    <s v="3.7-3.0"/>
    <x v="20"/>
    <n v="3"/>
    <x v="6"/>
    <n v="3"/>
    <n v="200"/>
    <n v="100"/>
    <n v="1.5"/>
    <n v="15"/>
    <n v="12"/>
    <x v="1"/>
    <x v="0"/>
    <n v="1"/>
    <n v="0"/>
  </r>
  <r>
    <x v="1"/>
    <x v="12"/>
    <s v="4.1-4.2"/>
    <x v="21"/>
    <n v="4"/>
    <x v="1"/>
    <n v="35"/>
    <n v="200"/>
    <n v="100"/>
    <n v="17.5"/>
    <n v="15"/>
    <n v="12"/>
    <x v="1"/>
    <x v="0"/>
    <n v="0"/>
    <n v="1"/>
  </r>
  <r>
    <x v="1"/>
    <x v="12"/>
    <s v="4.2-4.3"/>
    <x v="22"/>
    <n v="4"/>
    <x v="1"/>
    <n v="15"/>
    <n v="200"/>
    <n v="100"/>
    <n v="7.5"/>
    <n v="15"/>
    <n v="12"/>
    <x v="1"/>
    <x v="0"/>
    <n v="0"/>
    <n v="1"/>
  </r>
  <r>
    <x v="1"/>
    <x v="12"/>
    <s v="4.3-4.4"/>
    <x v="23"/>
    <n v="4"/>
    <x v="1"/>
    <n v="27"/>
    <n v="200"/>
    <n v="100"/>
    <n v="13.5"/>
    <n v="15"/>
    <n v="12"/>
    <x v="1"/>
    <x v="0"/>
    <n v="0"/>
    <n v="1"/>
  </r>
  <r>
    <x v="1"/>
    <x v="12"/>
    <s v="4.4-4.5"/>
    <x v="24"/>
    <n v="4"/>
    <x v="1"/>
    <n v="15"/>
    <n v="200"/>
    <n v="100"/>
    <n v="7.5"/>
    <n v="15"/>
    <n v="12"/>
    <x v="1"/>
    <x v="0"/>
    <n v="0"/>
    <n v="1"/>
  </r>
  <r>
    <x v="1"/>
    <x v="12"/>
    <s v="4.5-4.6"/>
    <x v="25"/>
    <n v="4"/>
    <x v="1"/>
    <n v="30"/>
    <n v="200"/>
    <n v="100"/>
    <n v="15"/>
    <n v="15"/>
    <n v="12"/>
    <x v="1"/>
    <x v="0"/>
    <n v="0"/>
    <n v="1"/>
  </r>
  <r>
    <x v="1"/>
    <x v="12"/>
    <s v="4.5-4.6"/>
    <x v="25"/>
    <n v="4"/>
    <x v="0"/>
    <n v="1"/>
    <n v="200"/>
    <n v="100"/>
    <n v="0.5"/>
    <n v="15"/>
    <n v="12"/>
    <x v="0"/>
    <x v="0"/>
    <n v="0"/>
    <n v="0"/>
  </r>
  <r>
    <x v="1"/>
    <x v="12"/>
    <s v="4.6-4.7"/>
    <x v="26"/>
    <n v="4"/>
    <x v="1"/>
    <n v="6"/>
    <n v="200"/>
    <n v="100"/>
    <n v="3"/>
    <n v="15"/>
    <n v="12"/>
    <x v="1"/>
    <x v="0"/>
    <n v="0"/>
    <n v="1"/>
  </r>
  <r>
    <x v="1"/>
    <x v="12"/>
    <s v="4.6-4.7"/>
    <x v="26"/>
    <n v="4"/>
    <x v="0"/>
    <n v="2"/>
    <n v="200"/>
    <n v="100"/>
    <n v="1"/>
    <n v="15"/>
    <n v="12"/>
    <x v="0"/>
    <x v="0"/>
    <n v="0"/>
    <n v="0"/>
  </r>
  <r>
    <x v="1"/>
    <x v="12"/>
    <s v="4.7-4.0"/>
    <x v="27"/>
    <n v="4"/>
    <x v="0"/>
    <n v="5"/>
    <n v="189"/>
    <n v="94.5"/>
    <n v="2.6455026455026456"/>
    <n v="15"/>
    <n v="12"/>
    <x v="0"/>
    <x v="0"/>
    <n v="0"/>
    <n v="1"/>
  </r>
  <r>
    <x v="1"/>
    <x v="12"/>
    <s v="4.7-4.0"/>
    <x v="27"/>
    <n v="4"/>
    <x v="1"/>
    <n v="13"/>
    <n v="189"/>
    <n v="94.5"/>
    <n v="6.8783068783068781"/>
    <n v="15"/>
    <n v="12"/>
    <x v="1"/>
    <x v="0"/>
    <n v="0"/>
    <n v="0"/>
  </r>
  <r>
    <x v="1"/>
    <x v="12"/>
    <s v="4.7-4.0"/>
    <x v="27"/>
    <n v="4"/>
    <x v="2"/>
    <n v="12"/>
    <n v="189"/>
    <n v="94.5"/>
    <n v="6.3492063492063489"/>
    <n v="15"/>
    <n v="12"/>
    <x v="1"/>
    <x v="0"/>
    <n v="1"/>
    <n v="0"/>
  </r>
  <r>
    <x v="1"/>
    <x v="12"/>
    <s v="5.1-5.2"/>
    <x v="28"/>
    <n v="5"/>
    <x v="1"/>
    <n v="6"/>
    <n v="200"/>
    <n v="100"/>
    <n v="3"/>
    <n v="15"/>
    <n v="12"/>
    <x v="1"/>
    <x v="0"/>
    <n v="0"/>
    <n v="1"/>
  </r>
  <r>
    <x v="1"/>
    <x v="12"/>
    <s v="5.1-5.2"/>
    <x v="28"/>
    <n v="5"/>
    <x v="2"/>
    <n v="9"/>
    <n v="200"/>
    <n v="100"/>
    <n v="4.5"/>
    <n v="15"/>
    <n v="12"/>
    <x v="1"/>
    <x v="0"/>
    <n v="0"/>
    <n v="0"/>
  </r>
  <r>
    <x v="1"/>
    <x v="12"/>
    <s v="5.2-5.3"/>
    <x v="29"/>
    <n v="5"/>
    <x v="0"/>
    <n v="1"/>
    <n v="200"/>
    <n v="100"/>
    <n v="0.5"/>
    <n v="15"/>
    <n v="12"/>
    <x v="0"/>
    <x v="0"/>
    <n v="0"/>
    <n v="1"/>
  </r>
  <r>
    <x v="1"/>
    <x v="12"/>
    <s v="5.2-5.3"/>
    <x v="29"/>
    <n v="5"/>
    <x v="1"/>
    <n v="28"/>
    <n v="200"/>
    <n v="100"/>
    <n v="14.000000000000002"/>
    <n v="15"/>
    <n v="12"/>
    <x v="1"/>
    <x v="0"/>
    <n v="0"/>
    <n v="0"/>
  </r>
  <r>
    <x v="1"/>
    <x v="12"/>
    <s v="5.2-5.3"/>
    <x v="29"/>
    <n v="5"/>
    <x v="16"/>
    <n v="10"/>
    <n v="200"/>
    <n v="100"/>
    <n v="5"/>
    <n v="15"/>
    <n v="12"/>
    <x v="1"/>
    <x v="0"/>
    <n v="0"/>
    <n v="0"/>
  </r>
  <r>
    <x v="1"/>
    <x v="12"/>
    <s v="5.3-5.4"/>
    <x v="30"/>
    <n v="5"/>
    <x v="0"/>
    <n v="3"/>
    <n v="200"/>
    <n v="100"/>
    <n v="1.5"/>
    <n v="15"/>
    <n v="12"/>
    <x v="0"/>
    <x v="0"/>
    <n v="0"/>
    <n v="1"/>
  </r>
  <r>
    <x v="1"/>
    <x v="12"/>
    <s v="5.3-5.4"/>
    <x v="30"/>
    <n v="5"/>
    <x v="1"/>
    <n v="18"/>
    <n v="200"/>
    <n v="100"/>
    <n v="9"/>
    <n v="15"/>
    <n v="12"/>
    <x v="1"/>
    <x v="0"/>
    <n v="0"/>
    <n v="0"/>
  </r>
  <r>
    <x v="1"/>
    <x v="12"/>
    <s v="5.4-5.5"/>
    <x v="31"/>
    <n v="5"/>
    <x v="1"/>
    <n v="16"/>
    <n v="200"/>
    <n v="100"/>
    <n v="8"/>
    <n v="15"/>
    <n v="12"/>
    <x v="1"/>
    <x v="0"/>
    <n v="0"/>
    <n v="1"/>
  </r>
  <r>
    <x v="1"/>
    <x v="12"/>
    <s v="5.4-5.5"/>
    <x v="31"/>
    <n v="5"/>
    <x v="0"/>
    <n v="1"/>
    <n v="200"/>
    <n v="100"/>
    <n v="0.5"/>
    <n v="15"/>
    <n v="12"/>
    <x v="0"/>
    <x v="0"/>
    <n v="0"/>
    <n v="0"/>
  </r>
  <r>
    <x v="1"/>
    <x v="12"/>
    <s v="5.5-5.6"/>
    <x v="32"/>
    <n v="5"/>
    <x v="1"/>
    <n v="7"/>
    <n v="200"/>
    <n v="100"/>
    <n v="3.5000000000000004"/>
    <n v="15"/>
    <n v="12"/>
    <x v="1"/>
    <x v="0"/>
    <n v="0"/>
    <n v="1"/>
  </r>
  <r>
    <x v="1"/>
    <x v="12"/>
    <s v="5.6-5.0"/>
    <x v="33"/>
    <n v="5"/>
    <x v="1"/>
    <n v="20"/>
    <n v="200"/>
    <n v="100"/>
    <n v="10"/>
    <n v="15"/>
    <n v="12"/>
    <x v="1"/>
    <x v="0"/>
    <n v="0"/>
    <n v="1"/>
  </r>
  <r>
    <x v="1"/>
    <x v="12"/>
    <s v="6.1-6.2"/>
    <x v="35"/>
    <n v="6"/>
    <x v="1"/>
    <n v="7"/>
    <n v="200"/>
    <n v="100"/>
    <n v="3.5000000000000004"/>
    <n v="15"/>
    <n v="12"/>
    <x v="1"/>
    <x v="0"/>
    <n v="0"/>
    <n v="1"/>
  </r>
  <r>
    <x v="1"/>
    <x v="12"/>
    <s v="6.2-6.3"/>
    <x v="36"/>
    <n v="6"/>
    <x v="0"/>
    <n v="1"/>
    <n v="200"/>
    <n v="100"/>
    <n v="0.5"/>
    <n v="15"/>
    <n v="12"/>
    <x v="0"/>
    <x v="0"/>
    <n v="0"/>
    <n v="1"/>
  </r>
  <r>
    <x v="1"/>
    <x v="12"/>
    <s v="6.2-6.3"/>
    <x v="36"/>
    <n v="6"/>
    <x v="1"/>
    <n v="17"/>
    <n v="200"/>
    <n v="100"/>
    <n v="8.5"/>
    <n v="15"/>
    <n v="12"/>
    <x v="1"/>
    <x v="0"/>
    <n v="0"/>
    <n v="0"/>
  </r>
  <r>
    <x v="1"/>
    <x v="12"/>
    <s v="6.3-6.4"/>
    <x v="37"/>
    <n v="6"/>
    <x v="1"/>
    <n v="19"/>
    <n v="200"/>
    <n v="100"/>
    <n v="9.5"/>
    <n v="15"/>
    <n v="12"/>
    <x v="1"/>
    <x v="0"/>
    <n v="0"/>
    <n v="1"/>
  </r>
  <r>
    <x v="1"/>
    <x v="12"/>
    <s v="6.3-6.4"/>
    <x v="37"/>
    <n v="6"/>
    <x v="0"/>
    <n v="8"/>
    <n v="200"/>
    <n v="100"/>
    <n v="4"/>
    <n v="15"/>
    <n v="12"/>
    <x v="0"/>
    <x v="0"/>
    <n v="0"/>
    <n v="0"/>
  </r>
  <r>
    <x v="1"/>
    <x v="12"/>
    <s v="6.4-6.5"/>
    <x v="38"/>
    <n v="6"/>
    <x v="0"/>
    <n v="12"/>
    <n v="200"/>
    <n v="100"/>
    <n v="6"/>
    <n v="15"/>
    <n v="12"/>
    <x v="0"/>
    <x v="0"/>
    <n v="0"/>
    <n v="1"/>
  </r>
  <r>
    <x v="1"/>
    <x v="12"/>
    <s v="6.4-6.5"/>
    <x v="38"/>
    <n v="6"/>
    <x v="1"/>
    <n v="12"/>
    <n v="200"/>
    <n v="100"/>
    <n v="6"/>
    <n v="15"/>
    <n v="12"/>
    <x v="1"/>
    <x v="0"/>
    <n v="0"/>
    <n v="0"/>
  </r>
  <r>
    <x v="1"/>
    <x v="12"/>
    <s v="6.5-6.0"/>
    <x v="39"/>
    <n v="6"/>
    <x v="1"/>
    <n v="3"/>
    <n v="200"/>
    <n v="100"/>
    <n v="1.5"/>
    <n v="15"/>
    <n v="12"/>
    <x v="1"/>
    <x v="0"/>
    <n v="0"/>
    <n v="1"/>
  </r>
  <r>
    <x v="1"/>
    <x v="12"/>
    <s v="7.1-7.2"/>
    <x v="42"/>
    <n v="7"/>
    <x v="0"/>
    <n v="6"/>
    <n v="200"/>
    <n v="100"/>
    <n v="3"/>
    <n v="15"/>
    <n v="12"/>
    <x v="0"/>
    <x v="0"/>
    <n v="0"/>
    <n v="1"/>
  </r>
  <r>
    <x v="1"/>
    <x v="12"/>
    <s v="7.1-7.2"/>
    <x v="42"/>
    <n v="7"/>
    <x v="2"/>
    <n v="2"/>
    <n v="200"/>
    <n v="100"/>
    <n v="1"/>
    <n v="15"/>
    <n v="12"/>
    <x v="1"/>
    <x v="0"/>
    <n v="0"/>
    <n v="0"/>
  </r>
  <r>
    <x v="1"/>
    <x v="12"/>
    <s v="7.1-7.2"/>
    <x v="42"/>
    <n v="7"/>
    <x v="64"/>
    <n v="1"/>
    <n v="200"/>
    <n v="100"/>
    <n v="0.5"/>
    <n v="15"/>
    <n v="12"/>
    <x v="0"/>
    <x v="0"/>
    <n v="1"/>
    <n v="0"/>
  </r>
  <r>
    <x v="1"/>
    <x v="12"/>
    <s v="7.2-7.3"/>
    <x v="43"/>
    <n v="7"/>
    <x v="0"/>
    <n v="4"/>
    <n v="200"/>
    <n v="100"/>
    <n v="2"/>
    <n v="15"/>
    <n v="12"/>
    <x v="0"/>
    <x v="0"/>
    <n v="0"/>
    <n v="1"/>
  </r>
  <r>
    <x v="1"/>
    <x v="12"/>
    <s v="7.2-7.3"/>
    <x v="43"/>
    <n v="7"/>
    <x v="1"/>
    <n v="12"/>
    <n v="200"/>
    <n v="100"/>
    <n v="6"/>
    <n v="15"/>
    <n v="12"/>
    <x v="1"/>
    <x v="0"/>
    <n v="0"/>
    <n v="0"/>
  </r>
  <r>
    <x v="1"/>
    <x v="12"/>
    <s v="7.3-7.4"/>
    <x v="44"/>
    <n v="7"/>
    <x v="1"/>
    <n v="18"/>
    <n v="200"/>
    <n v="100"/>
    <n v="9"/>
    <n v="15"/>
    <n v="12"/>
    <x v="1"/>
    <x v="0"/>
    <n v="0"/>
    <n v="1"/>
  </r>
  <r>
    <x v="1"/>
    <x v="12"/>
    <s v="7.3-7.4"/>
    <x v="44"/>
    <n v="7"/>
    <x v="0"/>
    <n v="1"/>
    <n v="200"/>
    <n v="100"/>
    <n v="0.5"/>
    <n v="15"/>
    <n v="12"/>
    <x v="0"/>
    <x v="0"/>
    <n v="0"/>
    <n v="0"/>
  </r>
  <r>
    <x v="1"/>
    <x v="12"/>
    <s v="7.4-7.0"/>
    <x v="45"/>
    <n v="7"/>
    <x v="0"/>
    <n v="2"/>
    <n v="200"/>
    <n v="100"/>
    <n v="1"/>
    <n v="15"/>
    <n v="12"/>
    <x v="0"/>
    <x v="0"/>
    <n v="0"/>
    <n v="1"/>
  </r>
  <r>
    <x v="1"/>
    <x v="12"/>
    <s v="7.4-7.0"/>
    <x v="45"/>
    <n v="7"/>
    <x v="1"/>
    <n v="30"/>
    <n v="200"/>
    <n v="100"/>
    <n v="15"/>
    <n v="15"/>
    <n v="12"/>
    <x v="1"/>
    <x v="0"/>
    <n v="0"/>
    <n v="0"/>
  </r>
  <r>
    <x v="8"/>
    <x v="12"/>
    <s v="1.0-1.1"/>
    <x v="0"/>
    <n v="1"/>
    <x v="4"/>
    <n v="2"/>
    <n v="29"/>
    <n v="14.5"/>
    <n v="6.8965517241379306"/>
    <n v="33"/>
    <n v="3"/>
    <x v="1"/>
    <x v="0"/>
    <n v="1"/>
    <n v="1"/>
  </r>
  <r>
    <x v="8"/>
    <x v="12"/>
    <s v="1.0-1.1"/>
    <x v="0"/>
    <n v="1"/>
    <x v="0"/>
    <n v="4"/>
    <n v="29"/>
    <n v="14.5"/>
    <n v="13.793103448275861"/>
    <n v="33"/>
    <n v="3"/>
    <x v="0"/>
    <x v="0"/>
    <n v="1"/>
    <n v="0"/>
  </r>
  <r>
    <x v="8"/>
    <x v="12"/>
    <s v="2.0-2.1"/>
    <x v="7"/>
    <n v="2"/>
    <x v="4"/>
    <n v="2"/>
    <n v="32"/>
    <n v="16"/>
    <n v="6.25"/>
    <n v="33"/>
    <n v="3"/>
    <x v="1"/>
    <x v="0"/>
    <n v="0"/>
    <n v="1"/>
  </r>
  <r>
    <x v="8"/>
    <x v="12"/>
    <s v="2.0-2.1"/>
    <x v="7"/>
    <n v="2"/>
    <x v="0"/>
    <n v="2"/>
    <n v="32"/>
    <n v="16"/>
    <n v="6.25"/>
    <n v="33"/>
    <n v="3"/>
    <x v="0"/>
    <x v="0"/>
    <n v="0"/>
    <n v="0"/>
  </r>
  <r>
    <x v="8"/>
    <x v="12"/>
    <s v="2.0-2.1"/>
    <x v="7"/>
    <n v="2"/>
    <x v="13"/>
    <n v="1"/>
    <n v="32"/>
    <n v="16"/>
    <n v="3.125"/>
    <n v="33"/>
    <n v="3"/>
    <x v="0"/>
    <x v="0"/>
    <n v="1"/>
    <n v="0"/>
  </r>
  <r>
    <x v="8"/>
    <x v="12"/>
    <s v="3.0-3.1"/>
    <x v="14"/>
    <n v="3"/>
    <x v="7"/>
    <n v="4"/>
    <n v="35"/>
    <n v="17.5"/>
    <n v="11.428571428571429"/>
    <n v="33"/>
    <n v="3"/>
    <x v="1"/>
    <x v="0"/>
    <n v="1"/>
    <n v="1"/>
  </r>
  <r>
    <x v="8"/>
    <x v="12"/>
    <s v="4.0-4.1"/>
    <x v="21"/>
    <n v="4"/>
    <x v="0"/>
    <n v="6"/>
    <n v="39"/>
    <n v="19.5"/>
    <n v="15.384615384615385"/>
    <n v="33"/>
    <n v="3"/>
    <x v="0"/>
    <x v="0"/>
    <n v="0"/>
    <n v="1"/>
  </r>
  <r>
    <x v="8"/>
    <x v="12"/>
    <s v="5.0-5.1"/>
    <x v="28"/>
    <n v="5"/>
    <x v="0"/>
    <n v="3"/>
    <n v="42"/>
    <n v="21"/>
    <n v="7.1428571428571423"/>
    <n v="33"/>
    <n v="3"/>
    <x v="0"/>
    <x v="0"/>
    <n v="0"/>
    <n v="1"/>
  </r>
  <r>
    <x v="8"/>
    <x v="12"/>
    <s v="5.0-5.1"/>
    <x v="28"/>
    <n v="5"/>
    <x v="7"/>
    <n v="5"/>
    <n v="42"/>
    <n v="21"/>
    <n v="11.904761904761903"/>
    <n v="33"/>
    <n v="3"/>
    <x v="1"/>
    <x v="0"/>
    <n v="0"/>
    <n v="0"/>
  </r>
  <r>
    <x v="8"/>
    <x v="12"/>
    <s v="5.0-5.1"/>
    <x v="28"/>
    <n v="5"/>
    <x v="4"/>
    <n v="1"/>
    <n v="42"/>
    <n v="21"/>
    <n v="2.3809523809523809"/>
    <n v="33"/>
    <n v="3"/>
    <x v="1"/>
    <x v="0"/>
    <n v="0"/>
    <n v="0"/>
  </r>
  <r>
    <x v="8"/>
    <x v="12"/>
    <s v="6.0-6.1"/>
    <x v="35"/>
    <n v="6"/>
    <x v="0"/>
    <n v="7"/>
    <n v="47"/>
    <n v="23.5"/>
    <n v="14.893617021276595"/>
    <n v="33"/>
    <n v="3"/>
    <x v="0"/>
    <x v="0"/>
    <n v="0"/>
    <n v="1"/>
  </r>
  <r>
    <x v="8"/>
    <x v="12"/>
    <s v="6.0-6.1"/>
    <x v="35"/>
    <n v="6"/>
    <x v="4"/>
    <n v="1"/>
    <n v="47"/>
    <n v="23.5"/>
    <n v="2.1276595744680851"/>
    <n v="33"/>
    <n v="3"/>
    <x v="1"/>
    <x v="0"/>
    <n v="0"/>
    <n v="0"/>
  </r>
  <r>
    <x v="8"/>
    <x v="12"/>
    <s v="7.0-7.1"/>
    <x v="42"/>
    <n v="7"/>
    <x v="3"/>
    <n v="2"/>
    <n v="50"/>
    <n v="25"/>
    <n v="4"/>
    <n v="33"/>
    <n v="3"/>
    <x v="1"/>
    <x v="0"/>
    <n v="1"/>
    <n v="1"/>
  </r>
  <r>
    <x v="8"/>
    <x v="12"/>
    <s v="7.0-7.1"/>
    <x v="42"/>
    <n v="7"/>
    <x v="61"/>
    <n v="1"/>
    <n v="50"/>
    <n v="25"/>
    <n v="2"/>
    <n v="33"/>
    <n v="3"/>
    <x v="0"/>
    <x v="0"/>
    <n v="1"/>
    <n v="0"/>
  </r>
  <r>
    <x v="8"/>
    <x v="12"/>
    <s v="7.0-7.1"/>
    <x v="42"/>
    <n v="7"/>
    <x v="0"/>
    <n v="1"/>
    <n v="50"/>
    <n v="25"/>
    <n v="2"/>
    <n v="33"/>
    <n v="3"/>
    <x v="0"/>
    <x v="0"/>
    <n v="0"/>
    <n v="0"/>
  </r>
  <r>
    <x v="8"/>
    <x v="12"/>
    <s v="8.0-8.1"/>
    <x v="49"/>
    <n v="8"/>
    <x v="0"/>
    <n v="5"/>
    <n v="54"/>
    <n v="27"/>
    <n v="9.2592592592592595"/>
    <n v="33"/>
    <n v="3"/>
    <x v="0"/>
    <x v="5"/>
    <n v="0"/>
    <n v="1"/>
  </r>
  <r>
    <x v="8"/>
    <x v="12"/>
    <s v="8.0-8.1"/>
    <x v="49"/>
    <n v="8"/>
    <x v="9"/>
    <n v="1"/>
    <n v="54"/>
    <n v="27"/>
    <n v="1.8518518518518516"/>
    <n v="33"/>
    <n v="3"/>
    <x v="1"/>
    <x v="5"/>
    <n v="1"/>
    <n v="0"/>
  </r>
  <r>
    <x v="8"/>
    <x v="12"/>
    <s v="8.0-8.1"/>
    <x v="49"/>
    <n v="8"/>
    <x v="3"/>
    <n v="1"/>
    <n v="54"/>
    <n v="27"/>
    <n v="1.8518518518518516"/>
    <n v="33"/>
    <n v="3"/>
    <x v="1"/>
    <x v="5"/>
    <n v="0"/>
    <n v="0"/>
  </r>
  <r>
    <x v="8"/>
    <x v="12"/>
    <s v="9.0-9.1"/>
    <x v="55"/>
    <n v="9"/>
    <x v="61"/>
    <n v="1"/>
    <n v="52"/>
    <n v="26"/>
    <n v="1.9230769230769231"/>
    <n v="33"/>
    <n v="3"/>
    <x v="0"/>
    <x v="6"/>
    <n v="0"/>
    <n v="1"/>
  </r>
  <r>
    <x v="8"/>
    <x v="12"/>
    <s v="9.0-9.1"/>
    <x v="55"/>
    <n v="9"/>
    <x v="0"/>
    <n v="2"/>
    <n v="52"/>
    <n v="26"/>
    <n v="3.8461538461538463"/>
    <n v="33"/>
    <n v="3"/>
    <x v="0"/>
    <x v="6"/>
    <n v="0"/>
    <n v="0"/>
  </r>
  <r>
    <x v="8"/>
    <x v="12"/>
    <s v="10.0-10.1"/>
    <x v="57"/>
    <n v="10"/>
    <x v="0"/>
    <n v="6"/>
    <n v="37"/>
    <n v="18.5"/>
    <n v="16.216216216216218"/>
    <n v="33"/>
    <n v="3"/>
    <x v="0"/>
    <x v="7"/>
    <n v="0"/>
    <n v="1"/>
  </r>
  <r>
    <x v="8"/>
    <x v="12"/>
    <s v="10.0-10.1"/>
    <x v="57"/>
    <n v="10"/>
    <x v="7"/>
    <n v="2"/>
    <n v="37"/>
    <n v="18.5"/>
    <n v="5.4054054054054053"/>
    <n v="33"/>
    <n v="3"/>
    <x v="1"/>
    <x v="7"/>
    <n v="0"/>
    <n v="0"/>
  </r>
  <r>
    <x v="8"/>
    <x v="12"/>
    <s v="11.0-11.1"/>
    <x v="64"/>
    <n v="11"/>
    <x v="0"/>
    <n v="2"/>
    <n v="42"/>
    <n v="21"/>
    <n v="4.7619047619047619"/>
    <n v="33"/>
    <n v="3"/>
    <x v="0"/>
    <x v="0"/>
    <n v="0"/>
    <n v="1"/>
  </r>
  <r>
    <x v="8"/>
    <x v="12"/>
    <s v="12.0-12.1"/>
    <x v="65"/>
    <n v="12"/>
    <x v="0"/>
    <n v="9"/>
    <n v="38"/>
    <n v="19"/>
    <n v="23.684210526315788"/>
    <n v="33"/>
    <n v="3"/>
    <x v="0"/>
    <x v="0"/>
    <n v="0"/>
    <n v="1"/>
  </r>
  <r>
    <x v="8"/>
    <x v="12"/>
    <s v="13.0-13.1"/>
    <x v="66"/>
    <n v="13"/>
    <x v="0"/>
    <n v="4"/>
    <n v="29"/>
    <n v="14.5"/>
    <n v="13.793103448275861"/>
    <n v="33"/>
    <n v="3"/>
    <x v="0"/>
    <x v="0"/>
    <n v="0"/>
    <n v="1"/>
  </r>
  <r>
    <x v="8"/>
    <x v="12"/>
    <s v="13.0-13.1"/>
    <x v="66"/>
    <n v="13"/>
    <x v="13"/>
    <n v="1"/>
    <n v="29"/>
    <n v="14.5"/>
    <n v="3.4482758620689653"/>
    <n v="33"/>
    <n v="3"/>
    <x v="0"/>
    <x v="0"/>
    <n v="0"/>
    <n v="0"/>
  </r>
  <r>
    <x v="8"/>
    <x v="12"/>
    <s v="14.0-14.1"/>
    <x v="67"/>
    <n v="14"/>
    <x v="0"/>
    <n v="8"/>
    <n v="23"/>
    <n v="11.5"/>
    <n v="34.782608695652172"/>
    <n v="33"/>
    <n v="3"/>
    <x v="0"/>
    <x v="0"/>
    <n v="0"/>
    <n v="1"/>
  </r>
  <r>
    <x v="8"/>
    <x v="12"/>
    <s v="14.0-14.1"/>
    <x v="67"/>
    <n v="14"/>
    <x v="3"/>
    <n v="1"/>
    <n v="23"/>
    <n v="11.5"/>
    <n v="4.3478260869565215"/>
    <n v="33"/>
    <n v="3"/>
    <x v="1"/>
    <x v="0"/>
    <n v="0"/>
    <n v="0"/>
  </r>
  <r>
    <x v="8"/>
    <x v="12"/>
    <s v="15.0-15.1"/>
    <x v="68"/>
    <n v="15"/>
    <x v="0"/>
    <n v="3"/>
    <n v="19"/>
    <n v="9.5"/>
    <n v="15.789473684210526"/>
    <n v="33"/>
    <n v="3"/>
    <x v="0"/>
    <x v="0"/>
    <n v="0"/>
    <n v="1"/>
  </r>
  <r>
    <x v="8"/>
    <x v="12"/>
    <s v="16.0-16.1"/>
    <x v="69"/>
    <n v="16"/>
    <x v="0"/>
    <n v="5"/>
    <n v="13"/>
    <n v="6.5"/>
    <n v="38.461538461538467"/>
    <n v="33"/>
    <n v="3"/>
    <x v="0"/>
    <x v="0"/>
    <n v="0"/>
    <n v="1"/>
  </r>
  <r>
    <x v="0"/>
    <x v="12"/>
    <s v="1.1-1.2"/>
    <x v="0"/>
    <n v="1"/>
    <x v="2"/>
    <n v="7"/>
    <n v="200"/>
    <n v="100"/>
    <n v="3.5000000000000004"/>
    <n v="17.7"/>
    <n v="10"/>
    <x v="1"/>
    <x v="0"/>
    <n v="1"/>
    <n v="1"/>
  </r>
  <r>
    <x v="0"/>
    <x v="12"/>
    <s v="1.1-1.2"/>
    <x v="0"/>
    <n v="1"/>
    <x v="0"/>
    <n v="15"/>
    <n v="200"/>
    <n v="100"/>
    <n v="7.5"/>
    <n v="17.7"/>
    <n v="10"/>
    <x v="0"/>
    <x v="0"/>
    <n v="1"/>
    <n v="0"/>
  </r>
  <r>
    <x v="0"/>
    <x v="12"/>
    <s v="1.1-1.2"/>
    <x v="0"/>
    <n v="1"/>
    <x v="1"/>
    <n v="27"/>
    <n v="200"/>
    <n v="100"/>
    <n v="13.5"/>
    <n v="17.7"/>
    <n v="10"/>
    <x v="1"/>
    <x v="0"/>
    <n v="1"/>
    <n v="0"/>
  </r>
  <r>
    <x v="0"/>
    <x v="12"/>
    <s v="1.1-1.2"/>
    <x v="1"/>
    <n v="1"/>
    <x v="10"/>
    <n v="1"/>
    <n v="200"/>
    <n v="100"/>
    <n v="0.5"/>
    <n v="17.7"/>
    <n v="10"/>
    <x v="1"/>
    <x v="0"/>
    <n v="1"/>
    <n v="1"/>
  </r>
  <r>
    <x v="0"/>
    <x v="12"/>
    <s v="1.1-1.2"/>
    <x v="1"/>
    <n v="1"/>
    <x v="1"/>
    <n v="19"/>
    <n v="200"/>
    <n v="100"/>
    <n v="9.5"/>
    <n v="17.7"/>
    <n v="10"/>
    <x v="1"/>
    <x v="0"/>
    <n v="0"/>
    <n v="0"/>
  </r>
  <r>
    <x v="0"/>
    <x v="12"/>
    <s v="1.1-1.2"/>
    <x v="1"/>
    <n v="1"/>
    <x v="0"/>
    <n v="7"/>
    <n v="200"/>
    <n v="100"/>
    <n v="3.5000000000000004"/>
    <n v="17.7"/>
    <n v="10"/>
    <x v="0"/>
    <x v="0"/>
    <n v="0"/>
    <n v="0"/>
  </r>
  <r>
    <x v="0"/>
    <x v="12"/>
    <s v="1.2-1.3"/>
    <x v="2"/>
    <n v="1"/>
    <x v="1"/>
    <n v="9"/>
    <n v="200"/>
    <n v="100"/>
    <n v="4.5"/>
    <n v="17.7"/>
    <n v="10"/>
    <x v="1"/>
    <x v="0"/>
    <n v="0"/>
    <n v="1"/>
  </r>
  <r>
    <x v="0"/>
    <x v="12"/>
    <s v="1.2-1.3"/>
    <x v="2"/>
    <n v="1"/>
    <x v="0"/>
    <n v="10"/>
    <n v="200"/>
    <n v="100"/>
    <n v="5"/>
    <n v="17.7"/>
    <n v="10"/>
    <x v="0"/>
    <x v="0"/>
    <n v="0"/>
    <n v="0"/>
  </r>
  <r>
    <x v="0"/>
    <x v="12"/>
    <s v="1.2-1.3"/>
    <x v="2"/>
    <n v="1"/>
    <x v="2"/>
    <n v="12"/>
    <n v="200"/>
    <n v="100"/>
    <n v="6"/>
    <n v="17.7"/>
    <n v="10"/>
    <x v="1"/>
    <x v="0"/>
    <n v="0"/>
    <n v="0"/>
  </r>
  <r>
    <x v="0"/>
    <x v="12"/>
    <s v="1.2-1.3"/>
    <x v="2"/>
    <n v="1"/>
    <x v="4"/>
    <n v="1"/>
    <n v="200"/>
    <n v="100"/>
    <n v="0.5"/>
    <n v="17.7"/>
    <n v="10"/>
    <x v="1"/>
    <x v="0"/>
    <n v="1"/>
    <n v="0"/>
  </r>
  <r>
    <x v="0"/>
    <x v="12"/>
    <s v="1.2-1.3"/>
    <x v="2"/>
    <n v="1"/>
    <x v="10"/>
    <n v="7"/>
    <n v="200"/>
    <n v="100"/>
    <n v="3.5000000000000004"/>
    <n v="17.7"/>
    <n v="10"/>
    <x v="1"/>
    <x v="0"/>
    <n v="0"/>
    <n v="0"/>
  </r>
  <r>
    <x v="0"/>
    <x v="12"/>
    <s v="1.3-1.4"/>
    <x v="3"/>
    <n v="1"/>
    <x v="10"/>
    <n v="2"/>
    <n v="200"/>
    <n v="100"/>
    <n v="1"/>
    <n v="17.7"/>
    <n v="10"/>
    <x v="1"/>
    <x v="0"/>
    <n v="0"/>
    <n v="1"/>
  </r>
  <r>
    <x v="0"/>
    <x v="12"/>
    <s v="1.3-1.4"/>
    <x v="3"/>
    <n v="1"/>
    <x v="1"/>
    <n v="7"/>
    <n v="200"/>
    <n v="100"/>
    <n v="3.5000000000000004"/>
    <n v="17.7"/>
    <n v="10"/>
    <x v="1"/>
    <x v="0"/>
    <n v="0"/>
    <n v="0"/>
  </r>
  <r>
    <x v="0"/>
    <x v="12"/>
    <s v="1.3-1.4"/>
    <x v="3"/>
    <n v="1"/>
    <x v="2"/>
    <n v="2"/>
    <n v="200"/>
    <n v="100"/>
    <n v="1"/>
    <n v="17.7"/>
    <n v="10"/>
    <x v="1"/>
    <x v="0"/>
    <n v="0"/>
    <n v="0"/>
  </r>
  <r>
    <x v="0"/>
    <x v="12"/>
    <s v="1.4-1.5"/>
    <x v="4"/>
    <n v="1"/>
    <x v="1"/>
    <n v="4"/>
    <n v="200"/>
    <n v="100"/>
    <n v="2"/>
    <n v="17.7"/>
    <n v="10"/>
    <x v="1"/>
    <x v="0"/>
    <n v="0"/>
    <n v="1"/>
  </r>
  <r>
    <x v="0"/>
    <x v="12"/>
    <s v="1.4-1.5"/>
    <x v="4"/>
    <n v="1"/>
    <x v="13"/>
    <n v="3"/>
    <n v="200"/>
    <n v="100"/>
    <n v="1.5"/>
    <n v="17.7"/>
    <n v="10"/>
    <x v="0"/>
    <x v="0"/>
    <n v="1"/>
    <n v="0"/>
  </r>
  <r>
    <x v="0"/>
    <x v="12"/>
    <s v="1.4-1.5"/>
    <x v="4"/>
    <n v="1"/>
    <x v="2"/>
    <n v="3"/>
    <n v="200"/>
    <n v="100"/>
    <n v="1.5"/>
    <n v="17.7"/>
    <n v="10"/>
    <x v="1"/>
    <x v="0"/>
    <n v="0"/>
    <n v="0"/>
  </r>
  <r>
    <x v="0"/>
    <x v="12"/>
    <s v="1.4-1.5"/>
    <x v="4"/>
    <n v="1"/>
    <x v="10"/>
    <n v="4"/>
    <n v="200"/>
    <n v="100"/>
    <n v="2"/>
    <n v="17.7"/>
    <n v="10"/>
    <x v="1"/>
    <x v="0"/>
    <n v="0"/>
    <n v="0"/>
  </r>
  <r>
    <x v="0"/>
    <x v="12"/>
    <s v="1.5-1.6"/>
    <x v="5"/>
    <n v="1"/>
    <x v="0"/>
    <n v="1"/>
    <n v="200"/>
    <n v="100"/>
    <n v="0.5"/>
    <n v="17.7"/>
    <n v="10"/>
    <x v="0"/>
    <x v="0"/>
    <n v="0"/>
    <n v="1"/>
  </r>
  <r>
    <x v="0"/>
    <x v="12"/>
    <s v="1.5-1.6"/>
    <x v="5"/>
    <n v="1"/>
    <x v="1"/>
    <n v="4"/>
    <n v="200"/>
    <n v="100"/>
    <n v="2"/>
    <n v="17.7"/>
    <n v="10"/>
    <x v="1"/>
    <x v="0"/>
    <n v="0"/>
    <n v="0"/>
  </r>
  <r>
    <x v="0"/>
    <x v="12"/>
    <s v="1.5-1.6"/>
    <x v="5"/>
    <n v="1"/>
    <x v="2"/>
    <n v="2"/>
    <n v="200"/>
    <n v="100"/>
    <n v="1"/>
    <n v="17.7"/>
    <n v="10"/>
    <x v="1"/>
    <x v="0"/>
    <n v="0"/>
    <n v="0"/>
  </r>
  <r>
    <x v="0"/>
    <x v="12"/>
    <s v="1.5-1.6"/>
    <x v="5"/>
    <n v="1"/>
    <x v="10"/>
    <n v="1"/>
    <n v="200"/>
    <n v="100"/>
    <n v="0.5"/>
    <n v="17.7"/>
    <n v="10"/>
    <x v="1"/>
    <x v="0"/>
    <n v="0"/>
    <n v="0"/>
  </r>
  <r>
    <x v="0"/>
    <x v="12"/>
    <s v="1.6-1.7"/>
    <x v="6"/>
    <n v="1"/>
    <x v="28"/>
    <n v="1"/>
    <n v="200"/>
    <n v="100"/>
    <n v="0.5"/>
    <n v="17.7"/>
    <n v="10"/>
    <x v="1"/>
    <x v="8"/>
    <n v="1"/>
    <n v="1"/>
  </r>
  <r>
    <x v="0"/>
    <x v="12"/>
    <s v="1.6-1.7"/>
    <x v="6"/>
    <n v="1"/>
    <x v="1"/>
    <n v="16"/>
    <n v="200"/>
    <n v="100"/>
    <n v="8"/>
    <n v="17.7"/>
    <n v="10"/>
    <x v="1"/>
    <x v="0"/>
    <n v="0"/>
    <n v="0"/>
  </r>
  <r>
    <x v="0"/>
    <x v="12"/>
    <s v="1.7-1.0"/>
    <x v="6"/>
    <n v="1"/>
    <x v="1"/>
    <n v="17"/>
    <n v="200"/>
    <n v="100"/>
    <n v="8.5"/>
    <n v="17.7"/>
    <n v="10"/>
    <x v="1"/>
    <x v="9"/>
    <n v="0"/>
    <n v="0"/>
  </r>
  <r>
    <x v="0"/>
    <x v="12"/>
    <s v="1.7-1.0"/>
    <x v="6"/>
    <n v="1"/>
    <x v="0"/>
    <n v="2"/>
    <n v="200"/>
    <n v="100"/>
    <n v="1"/>
    <n v="17.7"/>
    <n v="10"/>
    <x v="0"/>
    <x v="9"/>
    <n v="0"/>
    <n v="0"/>
  </r>
  <r>
    <x v="0"/>
    <x v="12"/>
    <s v="2.1-2.2"/>
    <x v="7"/>
    <n v="2"/>
    <x v="0"/>
    <n v="7"/>
    <n v="200"/>
    <n v="100"/>
    <n v="3.5000000000000004"/>
    <n v="17.7"/>
    <n v="10"/>
    <x v="0"/>
    <x v="0"/>
    <n v="0"/>
    <n v="1"/>
  </r>
  <r>
    <x v="0"/>
    <x v="12"/>
    <s v="2.1-2.2"/>
    <x v="7"/>
    <n v="2"/>
    <x v="4"/>
    <n v="5"/>
    <n v="200"/>
    <n v="100"/>
    <n v="2.5"/>
    <n v="17.7"/>
    <n v="10"/>
    <x v="1"/>
    <x v="0"/>
    <n v="0"/>
    <n v="0"/>
  </r>
  <r>
    <x v="0"/>
    <x v="12"/>
    <s v="2.2-2.3"/>
    <x v="8"/>
    <n v="2"/>
    <x v="0"/>
    <n v="7"/>
    <n v="200"/>
    <n v="100"/>
    <n v="3.5000000000000004"/>
    <n v="17.7"/>
    <n v="10"/>
    <x v="0"/>
    <x v="0"/>
    <n v="0"/>
    <n v="1"/>
  </r>
  <r>
    <x v="0"/>
    <x v="12"/>
    <s v="2.2-2.3"/>
    <x v="8"/>
    <n v="2"/>
    <x v="1"/>
    <n v="5"/>
    <n v="200"/>
    <n v="100"/>
    <n v="2.5"/>
    <n v="17.7"/>
    <n v="10"/>
    <x v="1"/>
    <x v="0"/>
    <n v="0"/>
    <n v="0"/>
  </r>
  <r>
    <x v="0"/>
    <x v="12"/>
    <s v="2.3-2.4"/>
    <x v="9"/>
    <n v="2"/>
    <x v="1"/>
    <n v="2"/>
    <n v="200"/>
    <n v="100"/>
    <n v="1"/>
    <n v="17.7"/>
    <n v="10"/>
    <x v="1"/>
    <x v="0"/>
    <n v="0"/>
    <n v="1"/>
  </r>
  <r>
    <x v="0"/>
    <x v="12"/>
    <s v="2.3-2.4"/>
    <x v="9"/>
    <n v="2"/>
    <x v="2"/>
    <n v="1"/>
    <n v="200"/>
    <n v="100"/>
    <n v="0.5"/>
    <n v="17.7"/>
    <n v="10"/>
    <x v="1"/>
    <x v="0"/>
    <n v="0"/>
    <n v="0"/>
  </r>
  <r>
    <x v="0"/>
    <x v="12"/>
    <s v="2.3-2.4"/>
    <x v="9"/>
    <n v="2"/>
    <x v="10"/>
    <n v="1"/>
    <n v="200"/>
    <n v="100"/>
    <n v="0.5"/>
    <n v="17.7"/>
    <n v="10"/>
    <x v="1"/>
    <x v="0"/>
    <n v="0"/>
    <n v="0"/>
  </r>
  <r>
    <x v="0"/>
    <x v="12"/>
    <s v="2.4-2.5"/>
    <x v="10"/>
    <n v="2"/>
    <x v="0"/>
    <n v="1"/>
    <n v="200"/>
    <n v="100"/>
    <n v="0.5"/>
    <n v="17.7"/>
    <n v="10"/>
    <x v="0"/>
    <x v="0"/>
    <n v="0"/>
    <n v="1"/>
  </r>
  <r>
    <x v="0"/>
    <x v="12"/>
    <s v="2.4-2.5"/>
    <x v="10"/>
    <n v="2"/>
    <x v="10"/>
    <n v="1"/>
    <n v="200"/>
    <n v="100"/>
    <n v="0.5"/>
    <n v="17.7"/>
    <n v="10"/>
    <x v="1"/>
    <x v="0"/>
    <n v="0"/>
    <n v="0"/>
  </r>
  <r>
    <x v="0"/>
    <x v="12"/>
    <s v="2.4-2.5"/>
    <x v="10"/>
    <n v="2"/>
    <x v="2"/>
    <n v="2"/>
    <n v="200"/>
    <n v="100"/>
    <n v="1"/>
    <n v="17.7"/>
    <n v="10"/>
    <x v="1"/>
    <x v="0"/>
    <n v="0"/>
    <n v="0"/>
  </r>
  <r>
    <x v="0"/>
    <x v="12"/>
    <s v="2.5-2.6"/>
    <x v="11"/>
    <n v="2"/>
    <x v="0"/>
    <n v="5"/>
    <n v="200"/>
    <n v="100"/>
    <n v="2.5"/>
    <n v="17.7"/>
    <n v="10"/>
    <x v="0"/>
    <x v="0"/>
    <n v="0"/>
    <n v="1"/>
  </r>
  <r>
    <x v="0"/>
    <x v="12"/>
    <s v="2.5-2.6"/>
    <x v="11"/>
    <n v="2"/>
    <x v="1"/>
    <n v="2"/>
    <n v="200"/>
    <n v="100"/>
    <n v="1"/>
    <n v="17.7"/>
    <n v="10"/>
    <x v="1"/>
    <x v="0"/>
    <n v="0"/>
    <n v="0"/>
  </r>
  <r>
    <x v="0"/>
    <x v="12"/>
    <s v="2.5-2.6"/>
    <x v="11"/>
    <n v="2"/>
    <x v="2"/>
    <n v="3"/>
    <n v="200"/>
    <n v="100"/>
    <n v="1.5"/>
    <n v="17.7"/>
    <n v="10"/>
    <x v="1"/>
    <x v="0"/>
    <n v="0"/>
    <n v="0"/>
  </r>
  <r>
    <x v="0"/>
    <x v="12"/>
    <s v="2.5-2.6"/>
    <x v="11"/>
    <n v="2"/>
    <x v="10"/>
    <n v="1"/>
    <n v="200"/>
    <n v="100"/>
    <n v="0.5"/>
    <n v="17.7"/>
    <n v="10"/>
    <x v="1"/>
    <x v="0"/>
    <n v="0"/>
    <n v="0"/>
  </r>
  <r>
    <x v="0"/>
    <x v="12"/>
    <s v="2.5-2.6"/>
    <x v="11"/>
    <n v="2"/>
    <x v="4"/>
    <n v="1"/>
    <n v="200"/>
    <n v="100"/>
    <n v="0.5"/>
    <n v="17.7"/>
    <n v="10"/>
    <x v="1"/>
    <x v="0"/>
    <n v="0"/>
    <n v="0"/>
  </r>
  <r>
    <x v="0"/>
    <x v="12"/>
    <s v="2.6-2.7"/>
    <x v="12"/>
    <n v="2"/>
    <x v="0"/>
    <n v="6"/>
    <n v="200"/>
    <n v="100"/>
    <n v="3"/>
    <n v="17.7"/>
    <n v="10"/>
    <x v="0"/>
    <x v="0"/>
    <n v="0"/>
    <n v="1"/>
  </r>
  <r>
    <x v="0"/>
    <x v="12"/>
    <s v="2.6-2.7"/>
    <x v="12"/>
    <n v="2"/>
    <x v="10"/>
    <n v="2"/>
    <n v="200"/>
    <n v="100"/>
    <n v="1"/>
    <n v="17.7"/>
    <n v="10"/>
    <x v="1"/>
    <x v="0"/>
    <n v="0"/>
    <n v="0"/>
  </r>
  <r>
    <x v="0"/>
    <x v="12"/>
    <s v="2.6-2.7"/>
    <x v="12"/>
    <n v="2"/>
    <x v="2"/>
    <n v="1"/>
    <n v="200"/>
    <n v="100"/>
    <n v="0.5"/>
    <n v="17.7"/>
    <n v="10"/>
    <x v="1"/>
    <x v="0"/>
    <n v="0"/>
    <n v="0"/>
  </r>
  <r>
    <x v="0"/>
    <x v="12"/>
    <s v="2.6-2.7"/>
    <x v="12"/>
    <n v="2"/>
    <x v="13"/>
    <n v="6"/>
    <n v="200"/>
    <n v="100"/>
    <n v="3"/>
    <n v="17.7"/>
    <n v="10"/>
    <x v="0"/>
    <x v="0"/>
    <n v="0"/>
    <n v="0"/>
  </r>
  <r>
    <x v="0"/>
    <x v="12"/>
    <s v="2.6-2.7"/>
    <x v="12"/>
    <n v="2"/>
    <x v="9"/>
    <n v="1"/>
    <n v="200"/>
    <n v="100"/>
    <n v="0.5"/>
    <n v="17.7"/>
    <n v="10"/>
    <x v="1"/>
    <x v="0"/>
    <n v="1"/>
    <n v="0"/>
  </r>
  <r>
    <x v="0"/>
    <x v="12"/>
    <s v="2.7-2.0"/>
    <x v="13"/>
    <n v="2"/>
    <x v="1"/>
    <n v="5"/>
    <n v="200"/>
    <n v="100"/>
    <n v="2.5"/>
    <n v="17.7"/>
    <n v="10"/>
    <x v="1"/>
    <x v="0"/>
    <n v="0"/>
    <n v="1"/>
  </r>
  <r>
    <x v="0"/>
    <x v="12"/>
    <s v="2.7-2.0"/>
    <x v="13"/>
    <n v="2"/>
    <x v="0"/>
    <n v="1"/>
    <n v="200"/>
    <n v="100"/>
    <n v="0.5"/>
    <n v="17.7"/>
    <n v="10"/>
    <x v="0"/>
    <x v="0"/>
    <n v="0"/>
    <n v="0"/>
  </r>
  <r>
    <x v="0"/>
    <x v="12"/>
    <s v="3.1-3.2"/>
    <x v="14"/>
    <n v="3"/>
    <x v="1"/>
    <n v="3"/>
    <n v="200"/>
    <n v="100"/>
    <n v="1.5"/>
    <n v="17.7"/>
    <n v="10"/>
    <x v="1"/>
    <x v="0"/>
    <n v="0"/>
    <n v="1"/>
  </r>
  <r>
    <x v="0"/>
    <x v="12"/>
    <s v="3.1-3.2"/>
    <x v="14"/>
    <n v="3"/>
    <x v="0"/>
    <n v="1"/>
    <n v="200"/>
    <n v="100"/>
    <n v="0.5"/>
    <n v="17.7"/>
    <n v="10"/>
    <x v="0"/>
    <x v="0"/>
    <n v="0"/>
    <n v="0"/>
  </r>
  <r>
    <x v="0"/>
    <x v="12"/>
    <s v="3.2-3.3"/>
    <x v="15"/>
    <n v="3"/>
    <x v="0"/>
    <n v="0"/>
    <n v="200"/>
    <n v="100"/>
    <n v="0"/>
    <n v="17.7"/>
    <n v="10"/>
    <x v="0"/>
    <x v="0"/>
    <n v="0"/>
    <n v="1"/>
  </r>
  <r>
    <x v="0"/>
    <x v="12"/>
    <s v="3.3-3.4"/>
    <x v="16"/>
    <n v="3"/>
    <x v="0"/>
    <n v="0"/>
    <n v="200"/>
    <n v="100"/>
    <n v="0"/>
    <n v="17.7"/>
    <n v="10"/>
    <x v="0"/>
    <x v="0"/>
    <n v="0"/>
    <n v="1"/>
  </r>
  <r>
    <x v="0"/>
    <x v="12"/>
    <s v="3.4-3.5"/>
    <x v="17"/>
    <n v="3"/>
    <x v="2"/>
    <n v="11"/>
    <n v="200"/>
    <n v="100"/>
    <n v="5.5"/>
    <n v="17.7"/>
    <n v="10"/>
    <x v="1"/>
    <x v="0"/>
    <n v="0"/>
    <n v="1"/>
  </r>
  <r>
    <x v="0"/>
    <x v="12"/>
    <s v="3.4-3.5"/>
    <x v="17"/>
    <n v="3"/>
    <x v="9"/>
    <n v="1"/>
    <n v="200"/>
    <n v="100"/>
    <n v="0.5"/>
    <n v="17.7"/>
    <n v="10"/>
    <x v="1"/>
    <x v="0"/>
    <n v="0"/>
    <n v="0"/>
  </r>
  <r>
    <x v="0"/>
    <x v="12"/>
    <s v="3.4-3.5"/>
    <x v="17"/>
    <n v="3"/>
    <x v="10"/>
    <n v="10"/>
    <n v="200"/>
    <n v="100"/>
    <n v="5"/>
    <n v="17.7"/>
    <n v="10"/>
    <x v="1"/>
    <x v="0"/>
    <n v="0"/>
    <n v="0"/>
  </r>
  <r>
    <x v="0"/>
    <x v="12"/>
    <s v="3.5-3.6"/>
    <x v="18"/>
    <n v="3"/>
    <x v="0"/>
    <n v="1"/>
    <n v="200"/>
    <n v="100"/>
    <n v="0.5"/>
    <n v="17.7"/>
    <n v="10"/>
    <x v="0"/>
    <x v="0"/>
    <n v="0"/>
    <n v="1"/>
  </r>
  <r>
    <x v="0"/>
    <x v="12"/>
    <s v="3.5-3.6"/>
    <x v="18"/>
    <n v="3"/>
    <x v="10"/>
    <n v="10"/>
    <n v="200"/>
    <n v="100"/>
    <n v="5"/>
    <n v="17.7"/>
    <n v="10"/>
    <x v="1"/>
    <x v="0"/>
    <n v="0"/>
    <n v="0"/>
  </r>
  <r>
    <x v="0"/>
    <x v="12"/>
    <s v="3.5-3.6"/>
    <x v="18"/>
    <n v="3"/>
    <x v="9"/>
    <n v="3"/>
    <n v="200"/>
    <n v="100"/>
    <n v="1.5"/>
    <n v="17.7"/>
    <n v="10"/>
    <x v="1"/>
    <x v="0"/>
    <n v="0"/>
    <n v="0"/>
  </r>
  <r>
    <x v="0"/>
    <x v="12"/>
    <s v="3.5-3.6"/>
    <x v="18"/>
    <n v="3"/>
    <x v="2"/>
    <n v="2"/>
    <n v="200"/>
    <n v="100"/>
    <n v="1"/>
    <n v="17.7"/>
    <n v="10"/>
    <x v="1"/>
    <x v="0"/>
    <n v="0"/>
    <n v="0"/>
  </r>
  <r>
    <x v="0"/>
    <x v="12"/>
    <s v="3.5-3.6"/>
    <x v="18"/>
    <n v="3"/>
    <x v="1"/>
    <n v="1"/>
    <n v="200"/>
    <n v="100"/>
    <n v="0.5"/>
    <n v="17.7"/>
    <n v="10"/>
    <x v="1"/>
    <x v="0"/>
    <n v="0"/>
    <n v="0"/>
  </r>
  <r>
    <x v="0"/>
    <x v="12"/>
    <s v="3.6-3.7"/>
    <x v="19"/>
    <n v="3"/>
    <x v="0"/>
    <n v="9"/>
    <n v="200"/>
    <n v="100"/>
    <n v="4.5"/>
    <n v="17.7"/>
    <n v="10"/>
    <x v="0"/>
    <x v="0"/>
    <n v="0"/>
    <n v="1"/>
  </r>
  <r>
    <x v="0"/>
    <x v="12"/>
    <s v="3.6-3.7"/>
    <x v="19"/>
    <n v="3"/>
    <x v="5"/>
    <n v="2"/>
    <n v="200"/>
    <n v="100"/>
    <n v="1"/>
    <n v="17.7"/>
    <n v="10"/>
    <x v="1"/>
    <x v="0"/>
    <n v="1"/>
    <n v="0"/>
  </r>
  <r>
    <x v="0"/>
    <x v="12"/>
    <s v="3.6-3.7"/>
    <x v="19"/>
    <n v="3"/>
    <x v="2"/>
    <n v="1"/>
    <n v="200"/>
    <n v="100"/>
    <n v="0.5"/>
    <n v="17.7"/>
    <n v="10"/>
    <x v="1"/>
    <x v="0"/>
    <n v="0"/>
    <n v="0"/>
  </r>
  <r>
    <x v="0"/>
    <x v="12"/>
    <s v="3.7-3.0"/>
    <x v="20"/>
    <n v="3"/>
    <x v="1"/>
    <n v="12"/>
    <n v="200"/>
    <n v="100"/>
    <n v="6"/>
    <n v="17.7"/>
    <n v="10"/>
    <x v="1"/>
    <x v="0"/>
    <n v="0"/>
    <n v="1"/>
  </r>
  <r>
    <x v="0"/>
    <x v="12"/>
    <s v="3.7-3.0"/>
    <x v="20"/>
    <n v="3"/>
    <x v="0"/>
    <n v="3"/>
    <n v="200"/>
    <n v="100"/>
    <n v="1.5"/>
    <n v="17.7"/>
    <n v="10"/>
    <x v="0"/>
    <x v="0"/>
    <n v="0"/>
    <n v="0"/>
  </r>
  <r>
    <x v="0"/>
    <x v="12"/>
    <s v="4.1-4.2"/>
    <x v="21"/>
    <n v="4"/>
    <x v="1"/>
    <n v="14"/>
    <n v="200"/>
    <n v="100"/>
    <n v="7.0000000000000009"/>
    <n v="17.7"/>
    <n v="10"/>
    <x v="1"/>
    <x v="0"/>
    <n v="0"/>
    <n v="1"/>
  </r>
  <r>
    <x v="0"/>
    <x v="12"/>
    <s v="4.1-4.2"/>
    <x v="21"/>
    <n v="4"/>
    <x v="0"/>
    <n v="10"/>
    <n v="200"/>
    <n v="100"/>
    <n v="5"/>
    <n v="17.7"/>
    <n v="10"/>
    <x v="0"/>
    <x v="0"/>
    <n v="0"/>
    <n v="0"/>
  </r>
  <r>
    <x v="0"/>
    <x v="12"/>
    <s v="4.2-4.3"/>
    <x v="22"/>
    <n v="4"/>
    <x v="1"/>
    <n v="3"/>
    <n v="200"/>
    <n v="100"/>
    <n v="1.5"/>
    <n v="17.7"/>
    <n v="10"/>
    <x v="1"/>
    <x v="0"/>
    <n v="0"/>
    <n v="1"/>
  </r>
  <r>
    <x v="0"/>
    <x v="12"/>
    <s v="4.2-4.3"/>
    <x v="22"/>
    <n v="4"/>
    <x v="0"/>
    <n v="3"/>
    <n v="200"/>
    <n v="100"/>
    <n v="1.5"/>
    <n v="17.7"/>
    <n v="10"/>
    <x v="0"/>
    <x v="0"/>
    <n v="0"/>
    <n v="0"/>
  </r>
  <r>
    <x v="0"/>
    <x v="12"/>
    <s v="4.2-4.3"/>
    <x v="22"/>
    <n v="4"/>
    <x v="10"/>
    <n v="1"/>
    <n v="200"/>
    <n v="100"/>
    <n v="0.5"/>
    <n v="17.7"/>
    <n v="10"/>
    <x v="1"/>
    <x v="0"/>
    <n v="0"/>
    <n v="0"/>
  </r>
  <r>
    <x v="0"/>
    <x v="12"/>
    <s v="4.3-4.4"/>
    <x v="23"/>
    <n v="4"/>
    <x v="10"/>
    <n v="4"/>
    <n v="200"/>
    <n v="100"/>
    <n v="2"/>
    <n v="17.7"/>
    <n v="10"/>
    <x v="1"/>
    <x v="0"/>
    <n v="0"/>
    <n v="1"/>
  </r>
  <r>
    <x v="0"/>
    <x v="12"/>
    <s v="4.3-4.4"/>
    <x v="23"/>
    <n v="4"/>
    <x v="1"/>
    <n v="5"/>
    <n v="200"/>
    <n v="100"/>
    <n v="2.5"/>
    <n v="17.7"/>
    <n v="10"/>
    <x v="1"/>
    <x v="0"/>
    <n v="0"/>
    <n v="0"/>
  </r>
  <r>
    <x v="0"/>
    <x v="12"/>
    <s v="4.4-4.5"/>
    <x v="24"/>
    <n v="4"/>
    <x v="10"/>
    <n v="7"/>
    <n v="200"/>
    <n v="100"/>
    <n v="3.5000000000000004"/>
    <n v="17.7"/>
    <n v="10"/>
    <x v="1"/>
    <x v="0"/>
    <n v="0"/>
    <n v="1"/>
  </r>
  <r>
    <x v="0"/>
    <x v="12"/>
    <s v="4.5-4.6"/>
    <x v="25"/>
    <n v="4"/>
    <x v="0"/>
    <n v="7"/>
    <n v="200"/>
    <n v="100"/>
    <n v="3.5000000000000004"/>
    <n v="17.7"/>
    <n v="10"/>
    <x v="0"/>
    <x v="0"/>
    <n v="0"/>
    <n v="1"/>
  </r>
  <r>
    <x v="0"/>
    <x v="12"/>
    <s v="4.5-4.6"/>
    <x v="25"/>
    <n v="4"/>
    <x v="10"/>
    <n v="3"/>
    <n v="200"/>
    <n v="100"/>
    <n v="1.5"/>
    <n v="17.7"/>
    <n v="10"/>
    <x v="1"/>
    <x v="0"/>
    <n v="0"/>
    <n v="0"/>
  </r>
  <r>
    <x v="0"/>
    <x v="12"/>
    <s v="4.5-4.6"/>
    <x v="25"/>
    <n v="4"/>
    <x v="2"/>
    <n v="2"/>
    <n v="200"/>
    <n v="100"/>
    <n v="1"/>
    <n v="17.7"/>
    <n v="10"/>
    <x v="1"/>
    <x v="0"/>
    <n v="0"/>
    <n v="0"/>
  </r>
  <r>
    <x v="0"/>
    <x v="12"/>
    <s v="4.6-4.7"/>
    <x v="26"/>
    <n v="4"/>
    <x v="0"/>
    <n v="6"/>
    <n v="200"/>
    <n v="100"/>
    <n v="3"/>
    <n v="17.7"/>
    <n v="10"/>
    <x v="0"/>
    <x v="0"/>
    <n v="0"/>
    <n v="1"/>
  </r>
  <r>
    <x v="0"/>
    <x v="12"/>
    <s v="4.6-4.7"/>
    <x v="26"/>
    <n v="4"/>
    <x v="6"/>
    <n v="10"/>
    <n v="200"/>
    <n v="100"/>
    <n v="5"/>
    <n v="17.7"/>
    <n v="10"/>
    <x v="1"/>
    <x v="0"/>
    <n v="1"/>
    <n v="0"/>
  </r>
  <r>
    <x v="0"/>
    <x v="12"/>
    <s v="4.6-4.7"/>
    <x v="26"/>
    <n v="4"/>
    <x v="1"/>
    <n v="3"/>
    <n v="200"/>
    <n v="100"/>
    <n v="1.5"/>
    <n v="17.7"/>
    <n v="10"/>
    <x v="1"/>
    <x v="0"/>
    <n v="0"/>
    <n v="0"/>
  </r>
  <r>
    <x v="0"/>
    <x v="12"/>
    <s v="4.7-4.0"/>
    <x v="27"/>
    <n v="4"/>
    <x v="2"/>
    <n v="8"/>
    <n v="200"/>
    <n v="100"/>
    <n v="4"/>
    <n v="17.7"/>
    <n v="10"/>
    <x v="1"/>
    <x v="0"/>
    <n v="0"/>
    <n v="1"/>
  </r>
  <r>
    <x v="0"/>
    <x v="12"/>
    <s v="4.7-4.0"/>
    <x v="27"/>
    <n v="4"/>
    <x v="4"/>
    <n v="2"/>
    <n v="200"/>
    <n v="100"/>
    <n v="1"/>
    <n v="17.7"/>
    <n v="10"/>
    <x v="1"/>
    <x v="0"/>
    <n v="0"/>
    <n v="0"/>
  </r>
  <r>
    <x v="0"/>
    <x v="12"/>
    <s v="4.7-4.0"/>
    <x v="27"/>
    <n v="4"/>
    <x v="0"/>
    <n v="3"/>
    <n v="200"/>
    <n v="100"/>
    <n v="1.5"/>
    <n v="17.7"/>
    <n v="10"/>
    <x v="0"/>
    <x v="0"/>
    <n v="0"/>
    <n v="0"/>
  </r>
  <r>
    <x v="0"/>
    <x v="12"/>
    <s v="5.1-5.2"/>
    <x v="28"/>
    <n v="5"/>
    <x v="4"/>
    <n v="12"/>
    <n v="200"/>
    <n v="100"/>
    <n v="6"/>
    <n v="17.7"/>
    <n v="10"/>
    <x v="1"/>
    <x v="0"/>
    <n v="0"/>
    <n v="1"/>
  </r>
  <r>
    <x v="0"/>
    <x v="12"/>
    <s v="5.1-5.2"/>
    <x v="28"/>
    <n v="5"/>
    <x v="0"/>
    <n v="7"/>
    <n v="200"/>
    <n v="100"/>
    <n v="3.5000000000000004"/>
    <n v="17.7"/>
    <n v="10"/>
    <x v="0"/>
    <x v="0"/>
    <n v="0"/>
    <n v="0"/>
  </r>
  <r>
    <x v="0"/>
    <x v="12"/>
    <s v="5.2-5.3"/>
    <x v="29"/>
    <n v="5"/>
    <x v="0"/>
    <n v="10"/>
    <n v="200"/>
    <n v="100"/>
    <n v="5"/>
    <n v="17.7"/>
    <n v="10"/>
    <x v="0"/>
    <x v="0"/>
    <n v="0"/>
    <n v="1"/>
  </r>
  <r>
    <x v="0"/>
    <x v="12"/>
    <s v="5.2-5.3"/>
    <x v="29"/>
    <n v="5"/>
    <x v="1"/>
    <n v="2"/>
    <n v="200"/>
    <n v="100"/>
    <n v="1"/>
    <n v="17.7"/>
    <n v="10"/>
    <x v="1"/>
    <x v="0"/>
    <n v="0"/>
    <n v="0"/>
  </r>
  <r>
    <x v="0"/>
    <x v="12"/>
    <s v="5.2-5.3"/>
    <x v="29"/>
    <n v="5"/>
    <x v="2"/>
    <n v="2"/>
    <n v="200"/>
    <n v="100"/>
    <n v="1"/>
    <n v="17.7"/>
    <n v="10"/>
    <x v="1"/>
    <x v="0"/>
    <n v="0"/>
    <n v="0"/>
  </r>
  <r>
    <x v="0"/>
    <x v="12"/>
    <s v="5.3-5.4"/>
    <x v="30"/>
    <n v="5"/>
    <x v="1"/>
    <n v="11"/>
    <n v="200"/>
    <n v="100"/>
    <n v="5.5"/>
    <n v="17.7"/>
    <n v="10"/>
    <x v="1"/>
    <x v="0"/>
    <n v="0"/>
    <n v="1"/>
  </r>
  <r>
    <x v="0"/>
    <x v="12"/>
    <s v="5.3-5.4"/>
    <x v="30"/>
    <n v="5"/>
    <x v="0"/>
    <n v="7"/>
    <n v="200"/>
    <n v="100"/>
    <n v="3.5000000000000004"/>
    <n v="17.7"/>
    <n v="10"/>
    <x v="0"/>
    <x v="0"/>
    <n v="0"/>
    <n v="0"/>
  </r>
  <r>
    <x v="0"/>
    <x v="12"/>
    <s v="5.3-5.4"/>
    <x v="30"/>
    <n v="5"/>
    <x v="2"/>
    <n v="1"/>
    <n v="200"/>
    <n v="100"/>
    <n v="0.5"/>
    <n v="17.7"/>
    <n v="10"/>
    <x v="1"/>
    <x v="0"/>
    <n v="0"/>
    <n v="0"/>
  </r>
  <r>
    <x v="0"/>
    <x v="12"/>
    <s v="5.3-5.4"/>
    <x v="30"/>
    <n v="5"/>
    <x v="10"/>
    <n v="2"/>
    <n v="200"/>
    <n v="100"/>
    <n v="1"/>
    <n v="17.7"/>
    <n v="10"/>
    <x v="1"/>
    <x v="0"/>
    <n v="0"/>
    <n v="0"/>
  </r>
  <r>
    <x v="0"/>
    <x v="12"/>
    <s v="5.4-5.5"/>
    <x v="31"/>
    <n v="5"/>
    <x v="0"/>
    <n v="1"/>
    <n v="200"/>
    <n v="100"/>
    <n v="0.5"/>
    <n v="17.7"/>
    <n v="10"/>
    <x v="0"/>
    <x v="0"/>
    <n v="0"/>
    <n v="1"/>
  </r>
  <r>
    <x v="0"/>
    <x v="12"/>
    <s v="5.4-5.5"/>
    <x v="31"/>
    <n v="5"/>
    <x v="10"/>
    <n v="7"/>
    <n v="200"/>
    <n v="100"/>
    <n v="3.5000000000000004"/>
    <n v="17.7"/>
    <n v="10"/>
    <x v="1"/>
    <x v="0"/>
    <n v="0"/>
    <n v="0"/>
  </r>
  <r>
    <x v="0"/>
    <x v="12"/>
    <s v="5.4-5.5"/>
    <x v="31"/>
    <n v="5"/>
    <x v="2"/>
    <n v="1"/>
    <n v="200"/>
    <n v="100"/>
    <n v="0.5"/>
    <n v="17.7"/>
    <n v="10"/>
    <x v="1"/>
    <x v="0"/>
    <n v="0"/>
    <n v="0"/>
  </r>
  <r>
    <x v="0"/>
    <x v="12"/>
    <s v="5.4-5.5"/>
    <x v="31"/>
    <n v="5"/>
    <x v="1"/>
    <n v="1"/>
    <n v="200"/>
    <n v="100"/>
    <n v="0.5"/>
    <n v="17.7"/>
    <n v="10"/>
    <x v="1"/>
    <x v="0"/>
    <n v="0"/>
    <n v="0"/>
  </r>
  <r>
    <x v="0"/>
    <x v="12"/>
    <s v="5.5-5.6"/>
    <x v="32"/>
    <n v="5"/>
    <x v="10"/>
    <n v="3"/>
    <n v="200"/>
    <n v="100"/>
    <n v="1.5"/>
    <n v="17.7"/>
    <n v="10"/>
    <x v="1"/>
    <x v="0"/>
    <n v="0"/>
    <n v="1"/>
  </r>
  <r>
    <x v="0"/>
    <x v="12"/>
    <s v="5.5-5.6"/>
    <x v="32"/>
    <n v="5"/>
    <x v="4"/>
    <n v="1"/>
    <n v="200"/>
    <n v="100"/>
    <n v="0.5"/>
    <n v="17.7"/>
    <n v="10"/>
    <x v="1"/>
    <x v="0"/>
    <n v="0"/>
    <n v="0"/>
  </r>
  <r>
    <x v="0"/>
    <x v="12"/>
    <s v="5.5-5.6"/>
    <x v="32"/>
    <n v="5"/>
    <x v="1"/>
    <n v="4"/>
    <n v="200"/>
    <n v="100"/>
    <n v="2"/>
    <n v="17.7"/>
    <n v="10"/>
    <x v="1"/>
    <x v="0"/>
    <n v="0"/>
    <n v="0"/>
  </r>
  <r>
    <x v="0"/>
    <x v="12"/>
    <s v="5.6-5.7"/>
    <x v="33"/>
    <n v="5"/>
    <x v="10"/>
    <n v="3"/>
    <n v="200"/>
    <n v="100"/>
    <n v="1.5"/>
    <n v="17.7"/>
    <n v="10"/>
    <x v="1"/>
    <x v="0"/>
    <n v="0"/>
    <n v="1"/>
  </r>
  <r>
    <x v="0"/>
    <x v="12"/>
    <s v="5.6-5.7"/>
    <x v="33"/>
    <n v="5"/>
    <x v="1"/>
    <n v="5"/>
    <n v="200"/>
    <n v="100"/>
    <n v="2.5"/>
    <n v="17.7"/>
    <n v="10"/>
    <x v="1"/>
    <x v="0"/>
    <n v="0"/>
    <n v="0"/>
  </r>
  <r>
    <x v="0"/>
    <x v="12"/>
    <s v="5.7-5.0"/>
    <x v="34"/>
    <n v="5"/>
    <x v="0"/>
    <n v="2"/>
    <n v="200"/>
    <n v="100"/>
    <n v="1"/>
    <n v="17.7"/>
    <n v="10"/>
    <x v="0"/>
    <x v="0"/>
    <n v="0"/>
    <n v="1"/>
  </r>
  <r>
    <x v="0"/>
    <x v="12"/>
    <s v="5.7-5.0"/>
    <x v="34"/>
    <n v="5"/>
    <x v="1"/>
    <n v="5"/>
    <n v="200"/>
    <n v="100"/>
    <n v="2.5"/>
    <n v="17.7"/>
    <n v="10"/>
    <x v="1"/>
    <x v="0"/>
    <n v="0"/>
    <n v="0"/>
  </r>
  <r>
    <x v="0"/>
    <x v="12"/>
    <s v="6.1-6.2"/>
    <x v="35"/>
    <n v="6"/>
    <x v="0"/>
    <n v="7"/>
    <n v="200"/>
    <n v="100"/>
    <n v="3.5000000000000004"/>
    <n v="17.7"/>
    <n v="10"/>
    <x v="0"/>
    <x v="0"/>
    <n v="0"/>
    <n v="1"/>
  </r>
  <r>
    <x v="0"/>
    <x v="12"/>
    <s v="6.2-6.3"/>
    <x v="36"/>
    <n v="6"/>
    <x v="0"/>
    <n v="1"/>
    <n v="200"/>
    <n v="100"/>
    <n v="0.5"/>
    <n v="17.7"/>
    <n v="10"/>
    <x v="0"/>
    <x v="0"/>
    <n v="0"/>
    <n v="1"/>
  </r>
  <r>
    <x v="0"/>
    <x v="12"/>
    <s v="6.2-6.3"/>
    <x v="36"/>
    <n v="6"/>
    <x v="10"/>
    <n v="1"/>
    <n v="200"/>
    <n v="100"/>
    <n v="0.5"/>
    <n v="17.7"/>
    <n v="10"/>
    <x v="1"/>
    <x v="0"/>
    <n v="0"/>
    <n v="0"/>
  </r>
  <r>
    <x v="0"/>
    <x v="12"/>
    <s v="6.3-6.4"/>
    <x v="37"/>
    <n v="6"/>
    <x v="0"/>
    <n v="1"/>
    <n v="200"/>
    <n v="100"/>
    <n v="0.5"/>
    <n v="17.7"/>
    <n v="10"/>
    <x v="0"/>
    <x v="0"/>
    <n v="0"/>
    <n v="1"/>
  </r>
  <r>
    <x v="0"/>
    <x v="12"/>
    <s v="6.3-6.4"/>
    <x v="37"/>
    <n v="6"/>
    <x v="1"/>
    <n v="4"/>
    <n v="200"/>
    <n v="100"/>
    <n v="2"/>
    <n v="17.7"/>
    <n v="10"/>
    <x v="1"/>
    <x v="0"/>
    <n v="0"/>
    <n v="0"/>
  </r>
  <r>
    <x v="0"/>
    <x v="12"/>
    <s v="6.3-6.4"/>
    <x v="37"/>
    <n v="6"/>
    <x v="10"/>
    <n v="1"/>
    <n v="200"/>
    <n v="100"/>
    <n v="0.5"/>
    <n v="17.7"/>
    <n v="10"/>
    <x v="1"/>
    <x v="0"/>
    <n v="0"/>
    <n v="0"/>
  </r>
  <r>
    <x v="0"/>
    <x v="12"/>
    <s v="6.4-6.5"/>
    <x v="38"/>
    <n v="6"/>
    <x v="0"/>
    <n v="3"/>
    <n v="200"/>
    <n v="100"/>
    <n v="1.5"/>
    <n v="17.7"/>
    <n v="10"/>
    <x v="0"/>
    <x v="0"/>
    <n v="0"/>
    <n v="1"/>
  </r>
  <r>
    <x v="0"/>
    <x v="12"/>
    <s v="6.4-6.5"/>
    <x v="38"/>
    <n v="6"/>
    <x v="1"/>
    <n v="2"/>
    <n v="200"/>
    <n v="100"/>
    <n v="1"/>
    <n v="17.7"/>
    <n v="10"/>
    <x v="1"/>
    <x v="0"/>
    <n v="0"/>
    <n v="0"/>
  </r>
  <r>
    <x v="0"/>
    <x v="12"/>
    <s v="6.5-6.6"/>
    <x v="39"/>
    <n v="6"/>
    <x v="0"/>
    <n v="1"/>
    <n v="200"/>
    <n v="100"/>
    <n v="0.5"/>
    <n v="17.7"/>
    <n v="10"/>
    <x v="0"/>
    <x v="0"/>
    <n v="0"/>
    <n v="1"/>
  </r>
  <r>
    <x v="0"/>
    <x v="12"/>
    <s v="6.5-6.6"/>
    <x v="39"/>
    <n v="6"/>
    <x v="1"/>
    <n v="9"/>
    <n v="200"/>
    <n v="100"/>
    <n v="4.5"/>
    <n v="17.7"/>
    <n v="10"/>
    <x v="1"/>
    <x v="0"/>
    <n v="0"/>
    <n v="0"/>
  </r>
  <r>
    <x v="0"/>
    <x v="12"/>
    <s v="6.5-6.6"/>
    <x v="39"/>
    <n v="6"/>
    <x v="10"/>
    <n v="1"/>
    <n v="200"/>
    <n v="100"/>
    <n v="0.5"/>
    <n v="17.7"/>
    <n v="10"/>
    <x v="1"/>
    <x v="0"/>
    <n v="0"/>
    <n v="0"/>
  </r>
  <r>
    <x v="0"/>
    <x v="12"/>
    <s v="6.6-6.7"/>
    <x v="40"/>
    <n v="6"/>
    <x v="0"/>
    <n v="3"/>
    <n v="200"/>
    <n v="100"/>
    <n v="1.5"/>
    <n v="17.7"/>
    <n v="10"/>
    <x v="0"/>
    <x v="0"/>
    <n v="0"/>
    <n v="1"/>
  </r>
  <r>
    <x v="0"/>
    <x v="12"/>
    <s v="6.6-6.7"/>
    <x v="40"/>
    <n v="6"/>
    <x v="2"/>
    <n v="1"/>
    <n v="200"/>
    <n v="100"/>
    <n v="0.5"/>
    <n v="17.7"/>
    <n v="10"/>
    <x v="1"/>
    <x v="0"/>
    <n v="0"/>
    <n v="0"/>
  </r>
  <r>
    <x v="0"/>
    <x v="12"/>
    <s v="6.6-6.7"/>
    <x v="40"/>
    <n v="6"/>
    <x v="1"/>
    <n v="2"/>
    <n v="200"/>
    <n v="100"/>
    <n v="1"/>
    <n v="17.7"/>
    <n v="10"/>
    <x v="1"/>
    <x v="0"/>
    <n v="0"/>
    <n v="0"/>
  </r>
  <r>
    <x v="0"/>
    <x v="12"/>
    <s v="6.7-6.0"/>
    <x v="41"/>
    <n v="6"/>
    <x v="0"/>
    <n v="14"/>
    <n v="200"/>
    <n v="100"/>
    <n v="7.0000000000000009"/>
    <n v="17.7"/>
    <n v="10"/>
    <x v="0"/>
    <x v="0"/>
    <n v="0"/>
    <n v="1"/>
  </r>
  <r>
    <x v="0"/>
    <x v="12"/>
    <s v="6.7-6.0"/>
    <x v="41"/>
    <n v="6"/>
    <x v="1"/>
    <n v="7"/>
    <n v="200"/>
    <n v="100"/>
    <n v="3.5000000000000004"/>
    <n v="17.7"/>
    <n v="10"/>
    <x v="1"/>
    <x v="0"/>
    <n v="0"/>
    <n v="0"/>
  </r>
  <r>
    <x v="0"/>
    <x v="12"/>
    <s v="6.7-6.0"/>
    <x v="41"/>
    <n v="6"/>
    <x v="4"/>
    <n v="4"/>
    <n v="200"/>
    <n v="100"/>
    <n v="2"/>
    <n v="17.7"/>
    <n v="10"/>
    <x v="1"/>
    <x v="0"/>
    <n v="0"/>
    <n v="0"/>
  </r>
  <r>
    <x v="0"/>
    <x v="12"/>
    <s v="6.7-6.0"/>
    <x v="41"/>
    <n v="6"/>
    <x v="65"/>
    <n v="1"/>
    <n v="200"/>
    <n v="100"/>
    <n v="0.5"/>
    <n v="17.7"/>
    <n v="10"/>
    <x v="1"/>
    <x v="0"/>
    <n v="1"/>
    <n v="0"/>
  </r>
  <r>
    <x v="0"/>
    <x v="12"/>
    <s v="6.7-6.0"/>
    <x v="41"/>
    <n v="6"/>
    <x v="26"/>
    <n v="1"/>
    <n v="200"/>
    <n v="100"/>
    <n v="0.5"/>
    <n v="17.7"/>
    <n v="10"/>
    <x v="0"/>
    <x v="0"/>
    <n v="1"/>
    <n v="0"/>
  </r>
  <r>
    <x v="0"/>
    <x v="12"/>
    <s v="7.1-7.2"/>
    <x v="42"/>
    <n v="7"/>
    <x v="0"/>
    <n v="3"/>
    <n v="200"/>
    <n v="100"/>
    <n v="1.5"/>
    <n v="17.7"/>
    <n v="10"/>
    <x v="0"/>
    <x v="0"/>
    <n v="0"/>
    <n v="1"/>
  </r>
  <r>
    <x v="0"/>
    <x v="12"/>
    <s v="7.1-7.2"/>
    <x v="42"/>
    <n v="7"/>
    <x v="61"/>
    <n v="4"/>
    <n v="200"/>
    <n v="100"/>
    <n v="2"/>
    <n v="17.7"/>
    <n v="10"/>
    <x v="0"/>
    <x v="0"/>
    <n v="1"/>
    <n v="0"/>
  </r>
  <r>
    <x v="0"/>
    <x v="12"/>
    <s v="7.2-7.3"/>
    <x v="43"/>
    <n v="7"/>
    <x v="0"/>
    <n v="2"/>
    <n v="200"/>
    <n v="100"/>
    <n v="1"/>
    <n v="17.7"/>
    <n v="10"/>
    <x v="0"/>
    <x v="0"/>
    <n v="0"/>
    <n v="1"/>
  </r>
  <r>
    <x v="0"/>
    <x v="12"/>
    <s v="7.2-7.3"/>
    <x v="43"/>
    <n v="7"/>
    <x v="61"/>
    <n v="1"/>
    <n v="200"/>
    <n v="100"/>
    <n v="0.5"/>
    <n v="17.7"/>
    <n v="10"/>
    <x v="0"/>
    <x v="0"/>
    <n v="0"/>
    <n v="0"/>
  </r>
  <r>
    <x v="0"/>
    <x v="12"/>
    <s v="7.3-7.4"/>
    <x v="44"/>
    <n v="7"/>
    <x v="0"/>
    <n v="4"/>
    <n v="200"/>
    <n v="100"/>
    <n v="2"/>
    <n v="17.7"/>
    <n v="10"/>
    <x v="0"/>
    <x v="0"/>
    <n v="0"/>
    <n v="1"/>
  </r>
  <r>
    <x v="0"/>
    <x v="12"/>
    <s v="7.4-7.5"/>
    <x v="45"/>
    <n v="7"/>
    <x v="0"/>
    <n v="4"/>
    <n v="200"/>
    <n v="100"/>
    <n v="2"/>
    <n v="17.7"/>
    <n v="10"/>
    <x v="0"/>
    <x v="0"/>
    <n v="0"/>
    <n v="1"/>
  </r>
  <r>
    <x v="0"/>
    <x v="12"/>
    <s v="7.5-7.6"/>
    <x v="46"/>
    <n v="7"/>
    <x v="0"/>
    <n v="1"/>
    <n v="200"/>
    <n v="100"/>
    <n v="0.5"/>
    <n v="17.7"/>
    <n v="10"/>
    <x v="0"/>
    <x v="0"/>
    <n v="0"/>
    <n v="1"/>
  </r>
  <r>
    <x v="0"/>
    <x v="12"/>
    <s v="7.5-7.6"/>
    <x v="46"/>
    <n v="7"/>
    <x v="6"/>
    <n v="3"/>
    <n v="200"/>
    <n v="100"/>
    <n v="1.5"/>
    <n v="17.7"/>
    <n v="10"/>
    <x v="1"/>
    <x v="0"/>
    <n v="0"/>
    <n v="0"/>
  </r>
  <r>
    <x v="0"/>
    <x v="12"/>
    <s v="7.5-7.6"/>
    <x v="46"/>
    <n v="7"/>
    <x v="1"/>
    <n v="11"/>
    <n v="200"/>
    <n v="100"/>
    <n v="5.5"/>
    <n v="17.7"/>
    <n v="10"/>
    <x v="1"/>
    <x v="0"/>
    <n v="0"/>
    <n v="0"/>
  </r>
  <r>
    <x v="0"/>
    <x v="12"/>
    <s v="7.6-7.7"/>
    <x v="47"/>
    <n v="7"/>
    <x v="0"/>
    <n v="3"/>
    <n v="200"/>
    <n v="100"/>
    <n v="1.5"/>
    <n v="17.7"/>
    <n v="10"/>
    <x v="0"/>
    <x v="0"/>
    <n v="0"/>
    <n v="1"/>
  </r>
  <r>
    <x v="0"/>
    <x v="12"/>
    <s v="7.6-7.7"/>
    <x v="47"/>
    <n v="7"/>
    <x v="1"/>
    <n v="2"/>
    <n v="200"/>
    <n v="100"/>
    <n v="1"/>
    <n v="17.7"/>
    <n v="10"/>
    <x v="1"/>
    <x v="0"/>
    <n v="0"/>
    <n v="0"/>
  </r>
  <r>
    <x v="0"/>
    <x v="12"/>
    <s v="7.7-7.0"/>
    <x v="48"/>
    <n v="7"/>
    <x v="7"/>
    <n v="1"/>
    <n v="200"/>
    <n v="100"/>
    <n v="0.5"/>
    <n v="17.7"/>
    <n v="10"/>
    <x v="1"/>
    <x v="0"/>
    <n v="1"/>
    <n v="1"/>
  </r>
  <r>
    <x v="0"/>
    <x v="12"/>
    <s v="7.7-7.0"/>
    <x v="48"/>
    <n v="7"/>
    <x v="4"/>
    <n v="8"/>
    <n v="200"/>
    <n v="100"/>
    <n v="4"/>
    <n v="17.7"/>
    <n v="10"/>
    <x v="1"/>
    <x v="0"/>
    <n v="0"/>
    <n v="0"/>
  </r>
  <r>
    <x v="0"/>
    <x v="12"/>
    <s v="7.7-7.0"/>
    <x v="48"/>
    <n v="7"/>
    <x v="1"/>
    <n v="3"/>
    <n v="200"/>
    <n v="100"/>
    <n v="1.5"/>
    <n v="17.7"/>
    <n v="10"/>
    <x v="1"/>
    <x v="0"/>
    <n v="0"/>
    <n v="0"/>
  </r>
  <r>
    <x v="0"/>
    <x v="12"/>
    <s v="7.7-7.0"/>
    <x v="48"/>
    <n v="7"/>
    <x v="0"/>
    <n v="2"/>
    <n v="200"/>
    <n v="100"/>
    <n v="1"/>
    <n v="17.7"/>
    <n v="10"/>
    <x v="0"/>
    <x v="0"/>
    <n v="0"/>
    <n v="0"/>
  </r>
  <r>
    <x v="0"/>
    <x v="12"/>
    <s v="8.1-8.2"/>
    <x v="49"/>
    <n v="8"/>
    <x v="7"/>
    <n v="31"/>
    <n v="200"/>
    <n v="100"/>
    <n v="15.5"/>
    <n v="17.7"/>
    <n v="10"/>
    <x v="1"/>
    <x v="0"/>
    <n v="0"/>
    <n v="1"/>
  </r>
  <r>
    <x v="0"/>
    <x v="12"/>
    <s v="8.1-8.2"/>
    <x v="49"/>
    <n v="8"/>
    <x v="3"/>
    <n v="1"/>
    <n v="200"/>
    <n v="100"/>
    <n v="0.5"/>
    <n v="17.7"/>
    <n v="10"/>
    <x v="1"/>
    <x v="0"/>
    <n v="1"/>
    <n v="0"/>
  </r>
  <r>
    <x v="0"/>
    <x v="12"/>
    <s v="8.2-8.3"/>
    <x v="50"/>
    <n v="8"/>
    <x v="0"/>
    <n v="4"/>
    <n v="200"/>
    <n v="100"/>
    <n v="2"/>
    <n v="17.7"/>
    <n v="10"/>
    <x v="0"/>
    <x v="0"/>
    <n v="0"/>
    <n v="1"/>
  </r>
  <r>
    <x v="0"/>
    <x v="12"/>
    <s v="8.2-8.3"/>
    <x v="50"/>
    <n v="8"/>
    <x v="4"/>
    <n v="5"/>
    <n v="200"/>
    <n v="100"/>
    <n v="2.5"/>
    <n v="17.7"/>
    <n v="10"/>
    <x v="1"/>
    <x v="0"/>
    <n v="0"/>
    <n v="0"/>
  </r>
  <r>
    <x v="0"/>
    <x v="12"/>
    <s v="8.2-8.3"/>
    <x v="50"/>
    <n v="8"/>
    <x v="20"/>
    <n v="1"/>
    <n v="200"/>
    <n v="100"/>
    <n v="0.5"/>
    <n v="17.7"/>
    <n v="10"/>
    <x v="1"/>
    <x v="0"/>
    <n v="1"/>
    <n v="0"/>
  </r>
  <r>
    <x v="0"/>
    <x v="12"/>
    <s v="8.3-8.4"/>
    <x v="51"/>
    <n v="8"/>
    <x v="0"/>
    <n v="15"/>
    <n v="200"/>
    <n v="100"/>
    <n v="7.5"/>
    <n v="17.7"/>
    <n v="10"/>
    <x v="0"/>
    <x v="0"/>
    <n v="0"/>
    <n v="1"/>
  </r>
  <r>
    <x v="0"/>
    <x v="12"/>
    <s v="8.3-8.4"/>
    <x v="51"/>
    <n v="8"/>
    <x v="4"/>
    <n v="2"/>
    <n v="200"/>
    <n v="100"/>
    <n v="1"/>
    <n v="17.7"/>
    <n v="10"/>
    <x v="1"/>
    <x v="0"/>
    <n v="0"/>
    <n v="0"/>
  </r>
  <r>
    <x v="0"/>
    <x v="12"/>
    <s v="8.3-8.4"/>
    <x v="51"/>
    <n v="8"/>
    <x v="10"/>
    <n v="2"/>
    <n v="200"/>
    <n v="100"/>
    <n v="1"/>
    <n v="17.7"/>
    <n v="10"/>
    <x v="1"/>
    <x v="0"/>
    <n v="0"/>
    <n v="0"/>
  </r>
  <r>
    <x v="0"/>
    <x v="12"/>
    <s v="8.4-8.5"/>
    <x v="52"/>
    <n v="8"/>
    <x v="4"/>
    <n v="1"/>
    <n v="200"/>
    <n v="100"/>
    <n v="0.5"/>
    <n v="17.7"/>
    <n v="10"/>
    <x v="1"/>
    <x v="0"/>
    <n v="0"/>
    <n v="1"/>
  </r>
  <r>
    <x v="0"/>
    <x v="12"/>
    <s v="8.4-8.5"/>
    <x v="52"/>
    <n v="8"/>
    <x v="0"/>
    <n v="1"/>
    <n v="200"/>
    <n v="100"/>
    <n v="0.5"/>
    <n v="17.7"/>
    <n v="10"/>
    <x v="0"/>
    <x v="0"/>
    <n v="0"/>
    <n v="0"/>
  </r>
  <r>
    <x v="0"/>
    <x v="12"/>
    <s v="8.4-8.5"/>
    <x v="52"/>
    <n v="8"/>
    <x v="10"/>
    <n v="29"/>
    <n v="200"/>
    <n v="100"/>
    <n v="14.499999999999998"/>
    <n v="17.7"/>
    <n v="10"/>
    <x v="1"/>
    <x v="0"/>
    <n v="0"/>
    <n v="0"/>
  </r>
  <r>
    <x v="0"/>
    <x v="12"/>
    <s v="8.5-8.0"/>
    <x v="53"/>
    <n v="8"/>
    <x v="10"/>
    <n v="14"/>
    <n v="200"/>
    <n v="100"/>
    <n v="7.0000000000000009"/>
    <n v="17.7"/>
    <n v="10"/>
    <x v="1"/>
    <x v="0"/>
    <n v="0"/>
    <n v="1"/>
  </r>
  <r>
    <x v="0"/>
    <x v="12"/>
    <s v="8.5-8.0"/>
    <x v="53"/>
    <n v="8"/>
    <x v="0"/>
    <n v="3"/>
    <n v="200"/>
    <n v="100"/>
    <n v="1.5"/>
    <n v="17.7"/>
    <n v="10"/>
    <x v="0"/>
    <x v="0"/>
    <n v="0"/>
    <n v="0"/>
  </r>
  <r>
    <x v="0"/>
    <x v="12"/>
    <s v="8.5-8.0"/>
    <x v="53"/>
    <n v="8"/>
    <x v="11"/>
    <n v="1"/>
    <n v="200"/>
    <n v="100"/>
    <n v="0.5"/>
    <n v="17.7"/>
    <n v="10"/>
    <x v="1"/>
    <x v="0"/>
    <n v="1"/>
    <n v="0"/>
  </r>
  <r>
    <x v="0"/>
    <x v="12"/>
    <s v="8.5-8.0"/>
    <x v="53"/>
    <n v="8"/>
    <x v="4"/>
    <n v="4"/>
    <n v="200"/>
    <n v="100"/>
    <n v="2"/>
    <n v="17.7"/>
    <n v="10"/>
    <x v="1"/>
    <x v="0"/>
    <n v="0"/>
    <n v="0"/>
  </r>
  <r>
    <x v="9"/>
    <x v="12"/>
    <s v="1.0-1.1"/>
    <x v="70"/>
    <n v="1"/>
    <x v="0"/>
    <n v="34"/>
    <n v="200"/>
    <n v="100"/>
    <n v="17"/>
    <n v="17.7"/>
    <n v="10"/>
    <x v="0"/>
    <x v="0"/>
    <n v="1"/>
    <n v="1"/>
  </r>
  <r>
    <x v="9"/>
    <x v="12"/>
    <s v="1.0-1.1"/>
    <x v="70"/>
    <n v="1"/>
    <x v="1"/>
    <n v="12"/>
    <n v="200"/>
    <n v="100"/>
    <n v="6"/>
    <n v="17.7"/>
    <n v="10"/>
    <x v="1"/>
    <x v="0"/>
    <n v="1"/>
    <n v="0"/>
  </r>
  <r>
    <x v="9"/>
    <x v="12"/>
    <s v="1.1-1.2"/>
    <x v="0"/>
    <n v="1"/>
    <x v="0"/>
    <n v="37"/>
    <n v="180"/>
    <n v="90"/>
    <n v="20.555555555555554"/>
    <n v="17.7"/>
    <n v="10"/>
    <x v="0"/>
    <x v="0"/>
    <n v="0"/>
    <n v="1"/>
  </r>
  <r>
    <x v="9"/>
    <x v="12"/>
    <s v="1.1-1.2"/>
    <x v="0"/>
    <n v="1"/>
    <x v="1"/>
    <n v="4"/>
    <n v="180"/>
    <n v="90"/>
    <n v="2.2222222222222223"/>
    <n v="17.7"/>
    <n v="10"/>
    <x v="1"/>
    <x v="0"/>
    <n v="0"/>
    <n v="0"/>
  </r>
  <r>
    <x v="9"/>
    <x v="12"/>
    <s v="2.0-2.1"/>
    <x v="71"/>
    <n v="2"/>
    <x v="0"/>
    <n v="13"/>
    <n v="200"/>
    <n v="100"/>
    <n v="6.5"/>
    <n v="17.7"/>
    <n v="10"/>
    <x v="0"/>
    <x v="0"/>
    <n v="0"/>
    <n v="1"/>
  </r>
  <r>
    <x v="9"/>
    <x v="12"/>
    <s v="2.0-2.1"/>
    <x v="71"/>
    <n v="2"/>
    <x v="1"/>
    <n v="4"/>
    <n v="200"/>
    <n v="100"/>
    <n v="2"/>
    <n v="17.7"/>
    <n v="10"/>
    <x v="1"/>
    <x v="0"/>
    <n v="0"/>
    <n v="0"/>
  </r>
  <r>
    <x v="9"/>
    <x v="12"/>
    <s v="2.1-2.2"/>
    <x v="7"/>
    <n v="2"/>
    <x v="1"/>
    <n v="15"/>
    <n v="149"/>
    <n v="74.5"/>
    <n v="10.067114093959731"/>
    <n v="17.7"/>
    <n v="10"/>
    <x v="1"/>
    <x v="0"/>
    <n v="0"/>
    <n v="1"/>
  </r>
  <r>
    <x v="9"/>
    <x v="12"/>
    <s v="2.1-2.2"/>
    <x v="7"/>
    <n v="2"/>
    <x v="0"/>
    <n v="6"/>
    <n v="149"/>
    <n v="74.5"/>
    <n v="4.0268456375838921"/>
    <n v="17.7"/>
    <n v="10"/>
    <x v="0"/>
    <x v="0"/>
    <n v="0"/>
    <n v="0"/>
  </r>
  <r>
    <x v="9"/>
    <x v="12"/>
    <s v="3.0-3.1"/>
    <x v="72"/>
    <n v="3"/>
    <x v="0"/>
    <n v="32"/>
    <n v="200"/>
    <n v="100"/>
    <n v="16"/>
    <n v="17.7"/>
    <n v="10"/>
    <x v="0"/>
    <x v="0"/>
    <n v="0"/>
    <n v="1"/>
  </r>
  <r>
    <x v="9"/>
    <x v="12"/>
    <s v="3.1-3.2"/>
    <x v="14"/>
    <n v="3"/>
    <x v="0"/>
    <n v="27"/>
    <n v="119"/>
    <n v="59.5"/>
    <n v="22.689075630252102"/>
    <n v="17.7"/>
    <n v="10"/>
    <x v="0"/>
    <x v="0"/>
    <n v="0"/>
    <n v="1"/>
  </r>
  <r>
    <x v="9"/>
    <x v="12"/>
    <s v="4.0-4.1"/>
    <x v="73"/>
    <n v="4"/>
    <x v="0"/>
    <n v="47"/>
    <n v="200"/>
    <n v="100"/>
    <n v="23.5"/>
    <n v="17.7"/>
    <n v="10"/>
    <x v="0"/>
    <x v="0"/>
    <n v="0"/>
    <n v="1"/>
  </r>
  <r>
    <x v="9"/>
    <x v="12"/>
    <s v="4.0-4.1"/>
    <x v="73"/>
    <n v="4"/>
    <x v="1"/>
    <n v="1"/>
    <n v="200"/>
    <n v="100"/>
    <n v="0.5"/>
    <n v="17.7"/>
    <n v="10"/>
    <x v="1"/>
    <x v="0"/>
    <n v="0"/>
    <n v="0"/>
  </r>
  <r>
    <x v="9"/>
    <x v="12"/>
    <s v="4.1-4.2"/>
    <x v="21"/>
    <n v="4"/>
    <x v="0"/>
    <n v="17"/>
    <n v="92"/>
    <n v="46"/>
    <n v="18.478260869565215"/>
    <n v="17.7"/>
    <n v="10"/>
    <x v="0"/>
    <x v="0"/>
    <n v="0"/>
    <n v="1"/>
  </r>
  <r>
    <x v="6"/>
    <x v="12"/>
    <s v="1.1-1.2"/>
    <x v="0"/>
    <n v="1"/>
    <x v="10"/>
    <n v="46"/>
    <n v="200"/>
    <n v="100"/>
    <n v="23"/>
    <n v="17"/>
    <n v="4"/>
    <x v="1"/>
    <x v="0"/>
    <n v="1"/>
    <n v="1"/>
  </r>
  <r>
    <x v="6"/>
    <x v="12"/>
    <s v="1.2-1.3"/>
    <x v="1"/>
    <n v="1"/>
    <x v="10"/>
    <n v="5"/>
    <n v="200"/>
    <n v="100"/>
    <n v="2.5"/>
    <n v="17"/>
    <n v="4"/>
    <x v="1"/>
    <x v="0"/>
    <n v="0"/>
    <n v="1"/>
  </r>
  <r>
    <x v="6"/>
    <x v="12"/>
    <s v="1.2-1.3"/>
    <x v="1"/>
    <n v="1"/>
    <x v="0"/>
    <n v="30"/>
    <n v="200"/>
    <n v="100"/>
    <n v="15"/>
    <n v="17"/>
    <n v="4"/>
    <x v="0"/>
    <x v="0"/>
    <n v="1"/>
    <n v="0"/>
  </r>
  <r>
    <x v="6"/>
    <x v="12"/>
    <s v="1.2-1.3"/>
    <x v="1"/>
    <n v="1"/>
    <x v="1"/>
    <n v="4"/>
    <n v="200"/>
    <n v="100"/>
    <n v="2"/>
    <n v="17"/>
    <n v="4"/>
    <x v="1"/>
    <x v="0"/>
    <n v="1"/>
    <n v="0"/>
  </r>
  <r>
    <x v="6"/>
    <x v="12"/>
    <s v="1.3-1.4"/>
    <x v="2"/>
    <n v="1"/>
    <x v="0"/>
    <n v="23"/>
    <n v="200"/>
    <n v="100"/>
    <n v="11.5"/>
    <n v="17"/>
    <n v="4"/>
    <x v="0"/>
    <x v="0"/>
    <n v="0"/>
    <n v="1"/>
  </r>
  <r>
    <x v="6"/>
    <x v="12"/>
    <s v="1.3-1.4"/>
    <x v="2"/>
    <n v="1"/>
    <x v="1"/>
    <n v="5"/>
    <n v="200"/>
    <n v="100"/>
    <n v="2.5"/>
    <n v="17"/>
    <n v="4"/>
    <x v="1"/>
    <x v="0"/>
    <n v="0"/>
    <n v="0"/>
  </r>
  <r>
    <x v="6"/>
    <x v="12"/>
    <s v="1.3-1.4"/>
    <x v="2"/>
    <n v="1"/>
    <x v="13"/>
    <n v="2"/>
    <n v="200"/>
    <n v="100"/>
    <n v="1"/>
    <n v="17"/>
    <n v="4"/>
    <x v="0"/>
    <x v="0"/>
    <n v="1"/>
    <n v="0"/>
  </r>
  <r>
    <x v="6"/>
    <x v="12"/>
    <s v="1.4-1.5"/>
    <x v="3"/>
    <n v="1"/>
    <x v="0"/>
    <n v="17"/>
    <n v="200"/>
    <n v="100"/>
    <n v="8.5"/>
    <n v="17"/>
    <n v="4"/>
    <x v="0"/>
    <x v="0"/>
    <n v="0"/>
    <n v="1"/>
  </r>
  <r>
    <x v="6"/>
    <x v="12"/>
    <s v="1.4-1.5"/>
    <x v="3"/>
    <n v="1"/>
    <x v="13"/>
    <n v="1"/>
    <n v="200"/>
    <n v="100"/>
    <n v="0.5"/>
    <n v="17"/>
    <n v="4"/>
    <x v="0"/>
    <x v="0"/>
    <n v="0"/>
    <n v="0"/>
  </r>
  <r>
    <x v="6"/>
    <x v="12"/>
    <s v="1.5-1.6"/>
    <x v="4"/>
    <n v="1"/>
    <x v="13"/>
    <n v="3"/>
    <n v="200"/>
    <n v="100"/>
    <n v="1.5"/>
    <n v="17"/>
    <n v="4"/>
    <x v="0"/>
    <x v="0"/>
    <n v="0"/>
    <n v="1"/>
  </r>
  <r>
    <x v="6"/>
    <x v="12"/>
    <s v="1.5-1.6"/>
    <x v="4"/>
    <n v="1"/>
    <x v="0"/>
    <n v="6"/>
    <n v="200"/>
    <n v="100"/>
    <n v="3"/>
    <n v="17"/>
    <n v="4"/>
    <x v="0"/>
    <x v="0"/>
    <n v="0"/>
    <n v="0"/>
  </r>
  <r>
    <x v="6"/>
    <x v="12"/>
    <s v="1.5-1.6"/>
    <x v="4"/>
    <n v="1"/>
    <x v="1"/>
    <n v="3"/>
    <n v="200"/>
    <n v="100"/>
    <n v="1.5"/>
    <n v="17"/>
    <n v="4"/>
    <x v="1"/>
    <x v="0"/>
    <n v="0"/>
    <n v="0"/>
  </r>
  <r>
    <x v="6"/>
    <x v="12"/>
    <s v="1.5-1.6"/>
    <x v="4"/>
    <n v="1"/>
    <x v="6"/>
    <n v="3"/>
    <n v="200"/>
    <n v="100"/>
    <n v="1.5"/>
    <n v="17"/>
    <n v="4"/>
    <x v="1"/>
    <x v="0"/>
    <n v="1"/>
    <n v="0"/>
  </r>
  <r>
    <x v="6"/>
    <x v="12"/>
    <s v="1.6-1.0"/>
    <x v="5"/>
    <n v="1"/>
    <x v="6"/>
    <n v="1"/>
    <n v="168"/>
    <n v="84"/>
    <n v="0.59523809523809523"/>
    <n v="17"/>
    <n v="4"/>
    <x v="1"/>
    <x v="0"/>
    <n v="0"/>
    <n v="1"/>
  </r>
  <r>
    <x v="6"/>
    <x v="12"/>
    <s v="1.6-1.0"/>
    <x v="5"/>
    <n v="1"/>
    <x v="0"/>
    <n v="3"/>
    <n v="168"/>
    <n v="84"/>
    <n v="1.7857142857142856"/>
    <n v="17"/>
    <n v="4"/>
    <x v="0"/>
    <x v="0"/>
    <n v="0"/>
    <n v="0"/>
  </r>
  <r>
    <x v="6"/>
    <x v="12"/>
    <s v="1.6-1.0"/>
    <x v="5"/>
    <n v="1"/>
    <x v="1"/>
    <n v="5"/>
    <n v="168"/>
    <n v="84"/>
    <n v="2.9761904761904758"/>
    <n v="17"/>
    <n v="4"/>
    <x v="1"/>
    <x v="0"/>
    <n v="0"/>
    <n v="0"/>
  </r>
  <r>
    <x v="6"/>
    <x v="12"/>
    <s v="2.1-2.2"/>
    <x v="7"/>
    <n v="2"/>
    <x v="0"/>
    <n v="3"/>
    <n v="200"/>
    <n v="100"/>
    <n v="1.5"/>
    <n v="17"/>
    <n v="4"/>
    <x v="0"/>
    <x v="0"/>
    <n v="0"/>
    <n v="1"/>
  </r>
  <r>
    <x v="6"/>
    <x v="12"/>
    <s v="2.1-2.2"/>
    <x v="7"/>
    <n v="2"/>
    <x v="2"/>
    <n v="5"/>
    <n v="200"/>
    <n v="100"/>
    <n v="2.5"/>
    <n v="17"/>
    <n v="4"/>
    <x v="1"/>
    <x v="0"/>
    <n v="1"/>
    <n v="0"/>
  </r>
  <r>
    <x v="6"/>
    <x v="12"/>
    <s v="2.1-2.2"/>
    <x v="7"/>
    <n v="2"/>
    <x v="10"/>
    <n v="21"/>
    <n v="200"/>
    <n v="100"/>
    <n v="10.5"/>
    <n v="17"/>
    <n v="4"/>
    <x v="1"/>
    <x v="0"/>
    <n v="0"/>
    <n v="0"/>
  </r>
  <r>
    <x v="6"/>
    <x v="12"/>
    <s v="2.2-2.3"/>
    <x v="8"/>
    <n v="2"/>
    <x v="10"/>
    <n v="8"/>
    <n v="200"/>
    <n v="100"/>
    <n v="4"/>
    <n v="17"/>
    <n v="4"/>
    <x v="1"/>
    <x v="0"/>
    <n v="0"/>
    <n v="1"/>
  </r>
  <r>
    <x v="6"/>
    <x v="12"/>
    <s v="2.2-2.3"/>
    <x v="8"/>
    <n v="2"/>
    <x v="4"/>
    <n v="1"/>
    <n v="200"/>
    <n v="100"/>
    <n v="0.5"/>
    <n v="17"/>
    <n v="4"/>
    <x v="1"/>
    <x v="0"/>
    <n v="1"/>
    <n v="0"/>
  </r>
  <r>
    <x v="6"/>
    <x v="12"/>
    <s v="2.2-2.3"/>
    <x v="8"/>
    <n v="2"/>
    <x v="0"/>
    <n v="10"/>
    <n v="200"/>
    <n v="100"/>
    <n v="5"/>
    <n v="17"/>
    <n v="4"/>
    <x v="0"/>
    <x v="0"/>
    <n v="0"/>
    <n v="0"/>
  </r>
  <r>
    <x v="6"/>
    <x v="12"/>
    <s v="2.2-2.3"/>
    <x v="8"/>
    <n v="2"/>
    <x v="13"/>
    <n v="1"/>
    <n v="200"/>
    <n v="100"/>
    <n v="0.5"/>
    <n v="17"/>
    <n v="4"/>
    <x v="0"/>
    <x v="0"/>
    <n v="0"/>
    <n v="0"/>
  </r>
  <r>
    <x v="6"/>
    <x v="12"/>
    <s v="2.2-2.3"/>
    <x v="8"/>
    <n v="2"/>
    <x v="1"/>
    <n v="2"/>
    <n v="200"/>
    <n v="100"/>
    <n v="1"/>
    <n v="17"/>
    <n v="4"/>
    <x v="1"/>
    <x v="0"/>
    <n v="0"/>
    <n v="0"/>
  </r>
  <r>
    <x v="6"/>
    <x v="12"/>
    <s v="2.3-2.4"/>
    <x v="9"/>
    <n v="2"/>
    <x v="10"/>
    <n v="3"/>
    <n v="200"/>
    <n v="100"/>
    <n v="1.5"/>
    <n v="17"/>
    <n v="4"/>
    <x v="1"/>
    <x v="0"/>
    <n v="0"/>
    <n v="1"/>
  </r>
  <r>
    <x v="6"/>
    <x v="12"/>
    <s v="2.3-2.4"/>
    <x v="9"/>
    <n v="2"/>
    <x v="0"/>
    <n v="20"/>
    <n v="200"/>
    <n v="100"/>
    <n v="10"/>
    <n v="17"/>
    <n v="4"/>
    <x v="0"/>
    <x v="0"/>
    <n v="0"/>
    <n v="0"/>
  </r>
  <r>
    <x v="6"/>
    <x v="12"/>
    <s v="2.3-2.4"/>
    <x v="9"/>
    <n v="2"/>
    <x v="2"/>
    <n v="5"/>
    <n v="200"/>
    <n v="100"/>
    <n v="2.5"/>
    <n v="17"/>
    <n v="4"/>
    <x v="1"/>
    <x v="0"/>
    <n v="0"/>
    <n v="0"/>
  </r>
  <r>
    <x v="6"/>
    <x v="12"/>
    <s v="2.3-2.4"/>
    <x v="9"/>
    <n v="2"/>
    <x v="13"/>
    <n v="4"/>
    <n v="200"/>
    <n v="100"/>
    <n v="2"/>
    <n v="17"/>
    <n v="4"/>
    <x v="0"/>
    <x v="0"/>
    <n v="0"/>
    <n v="0"/>
  </r>
  <r>
    <x v="6"/>
    <x v="12"/>
    <s v="2.4-2.5"/>
    <x v="10"/>
    <n v="2"/>
    <x v="13"/>
    <n v="10"/>
    <n v="200"/>
    <n v="100"/>
    <n v="5"/>
    <n v="17"/>
    <n v="4"/>
    <x v="0"/>
    <x v="0"/>
    <n v="0"/>
    <n v="1"/>
  </r>
  <r>
    <x v="6"/>
    <x v="12"/>
    <s v="2.4-2.5"/>
    <x v="10"/>
    <n v="2"/>
    <x v="0"/>
    <n v="31"/>
    <n v="200"/>
    <n v="100"/>
    <n v="15.5"/>
    <n v="17"/>
    <n v="4"/>
    <x v="0"/>
    <x v="0"/>
    <n v="0"/>
    <n v="0"/>
  </r>
  <r>
    <x v="6"/>
    <x v="12"/>
    <s v="2.5-2.6"/>
    <x v="11"/>
    <n v="2"/>
    <x v="13"/>
    <n v="15"/>
    <n v="200"/>
    <n v="100"/>
    <n v="7.5"/>
    <n v="17"/>
    <n v="4"/>
    <x v="0"/>
    <x v="0"/>
    <n v="0"/>
    <n v="1"/>
  </r>
  <r>
    <x v="6"/>
    <x v="12"/>
    <s v="2.5-2.6"/>
    <x v="11"/>
    <n v="2"/>
    <x v="1"/>
    <n v="6"/>
    <n v="200"/>
    <n v="100"/>
    <n v="3"/>
    <n v="17"/>
    <n v="4"/>
    <x v="1"/>
    <x v="0"/>
    <n v="0"/>
    <n v="0"/>
  </r>
  <r>
    <x v="6"/>
    <x v="12"/>
    <s v="2.5-2.6"/>
    <x v="11"/>
    <n v="2"/>
    <x v="0"/>
    <n v="30"/>
    <n v="200"/>
    <n v="100"/>
    <n v="15"/>
    <n v="17"/>
    <n v="4"/>
    <x v="0"/>
    <x v="0"/>
    <n v="0"/>
    <n v="0"/>
  </r>
  <r>
    <x v="6"/>
    <x v="12"/>
    <s v="2.6-2.7"/>
    <x v="12"/>
    <n v="2"/>
    <x v="0"/>
    <n v="7"/>
    <n v="200"/>
    <n v="100"/>
    <n v="3.5000000000000004"/>
    <n v="17"/>
    <n v="4"/>
    <x v="0"/>
    <x v="0"/>
    <n v="0"/>
    <n v="1"/>
  </r>
  <r>
    <x v="6"/>
    <x v="12"/>
    <s v="2.6-2.7"/>
    <x v="12"/>
    <n v="2"/>
    <x v="1"/>
    <n v="11"/>
    <n v="200"/>
    <n v="100"/>
    <n v="5.5"/>
    <n v="17"/>
    <n v="4"/>
    <x v="1"/>
    <x v="0"/>
    <n v="0"/>
    <n v="0"/>
  </r>
  <r>
    <x v="6"/>
    <x v="12"/>
    <s v="2.6-2.7"/>
    <x v="12"/>
    <n v="2"/>
    <x v="13"/>
    <n v="1"/>
    <n v="200"/>
    <n v="100"/>
    <n v="0.5"/>
    <n v="17"/>
    <n v="4"/>
    <x v="0"/>
    <x v="0"/>
    <n v="0"/>
    <n v="0"/>
  </r>
  <r>
    <x v="6"/>
    <x v="12"/>
    <s v="2.7-2.0"/>
    <x v="13"/>
    <n v="2"/>
    <x v="1"/>
    <n v="1"/>
    <n v="75"/>
    <n v="37.5"/>
    <n v="1.3333333333333335"/>
    <n v="17"/>
    <n v="4"/>
    <x v="1"/>
    <x v="0"/>
    <n v="0"/>
    <n v="1"/>
  </r>
  <r>
    <x v="6"/>
    <x v="12"/>
    <s v="3.1-3.2"/>
    <x v="14"/>
    <n v="3"/>
    <x v="10"/>
    <n v="45"/>
    <n v="200"/>
    <n v="100"/>
    <n v="22.5"/>
    <n v="17"/>
    <n v="4"/>
    <x v="1"/>
    <x v="0"/>
    <n v="0"/>
    <n v="1"/>
  </r>
  <r>
    <x v="6"/>
    <x v="12"/>
    <s v="3.1-3.2"/>
    <x v="14"/>
    <n v="3"/>
    <x v="13"/>
    <n v="3"/>
    <n v="200"/>
    <n v="100"/>
    <n v="1.5"/>
    <n v="17"/>
    <n v="4"/>
    <x v="0"/>
    <x v="0"/>
    <n v="0"/>
    <n v="0"/>
  </r>
  <r>
    <x v="6"/>
    <x v="12"/>
    <s v="3.1-3.2"/>
    <x v="14"/>
    <n v="3"/>
    <x v="1"/>
    <n v="7"/>
    <n v="200"/>
    <n v="100"/>
    <n v="3.5000000000000004"/>
    <n v="17"/>
    <n v="4"/>
    <x v="1"/>
    <x v="0"/>
    <n v="0"/>
    <n v="0"/>
  </r>
  <r>
    <x v="6"/>
    <x v="12"/>
    <s v="3.1-3.2"/>
    <x v="14"/>
    <n v="3"/>
    <x v="2"/>
    <n v="4"/>
    <n v="200"/>
    <n v="100"/>
    <n v="2"/>
    <n v="17"/>
    <n v="4"/>
    <x v="1"/>
    <x v="0"/>
    <n v="0"/>
    <n v="0"/>
  </r>
  <r>
    <x v="6"/>
    <x v="12"/>
    <s v="3.1-3.2"/>
    <x v="14"/>
    <n v="3"/>
    <x v="0"/>
    <n v="3"/>
    <n v="200"/>
    <n v="100"/>
    <n v="1.5"/>
    <n v="17"/>
    <n v="4"/>
    <x v="0"/>
    <x v="0"/>
    <n v="0"/>
    <n v="0"/>
  </r>
  <r>
    <x v="6"/>
    <x v="12"/>
    <s v="3.2-3.3"/>
    <x v="15"/>
    <n v="3"/>
    <x v="2"/>
    <n v="22"/>
    <n v="200"/>
    <n v="100"/>
    <n v="11"/>
    <n v="17"/>
    <n v="4"/>
    <x v="1"/>
    <x v="0"/>
    <n v="0"/>
    <n v="1"/>
  </r>
  <r>
    <x v="6"/>
    <x v="12"/>
    <s v="3.2-3.3"/>
    <x v="15"/>
    <n v="3"/>
    <x v="0"/>
    <n v="22"/>
    <n v="200"/>
    <n v="100"/>
    <n v="11"/>
    <n v="17"/>
    <n v="4"/>
    <x v="0"/>
    <x v="0"/>
    <n v="0"/>
    <n v="0"/>
  </r>
  <r>
    <x v="6"/>
    <x v="12"/>
    <s v="3.2-3.3"/>
    <x v="15"/>
    <n v="3"/>
    <x v="13"/>
    <n v="4"/>
    <n v="200"/>
    <n v="100"/>
    <n v="2"/>
    <n v="17"/>
    <n v="4"/>
    <x v="0"/>
    <x v="0"/>
    <n v="0"/>
    <n v="0"/>
  </r>
  <r>
    <x v="6"/>
    <x v="12"/>
    <s v="3.2-3.3"/>
    <x v="15"/>
    <n v="3"/>
    <x v="1"/>
    <n v="4"/>
    <n v="200"/>
    <n v="100"/>
    <n v="2"/>
    <n v="17"/>
    <n v="4"/>
    <x v="1"/>
    <x v="0"/>
    <n v="0"/>
    <n v="0"/>
  </r>
  <r>
    <x v="6"/>
    <x v="12"/>
    <s v="3.3-3.4"/>
    <x v="16"/>
    <n v="3"/>
    <x v="0"/>
    <n v="33"/>
    <n v="200"/>
    <n v="100"/>
    <n v="16.5"/>
    <n v="17"/>
    <n v="4"/>
    <x v="0"/>
    <x v="0"/>
    <n v="0"/>
    <n v="1"/>
  </r>
  <r>
    <x v="6"/>
    <x v="12"/>
    <s v="3.3-3.4"/>
    <x v="16"/>
    <n v="3"/>
    <x v="13"/>
    <n v="4"/>
    <n v="200"/>
    <n v="100"/>
    <n v="2"/>
    <n v="17"/>
    <n v="4"/>
    <x v="0"/>
    <x v="0"/>
    <n v="0"/>
    <n v="0"/>
  </r>
  <r>
    <x v="6"/>
    <x v="12"/>
    <s v="3.3-3.4"/>
    <x v="16"/>
    <n v="3"/>
    <x v="1"/>
    <n v="4"/>
    <n v="200"/>
    <n v="100"/>
    <n v="2"/>
    <n v="17"/>
    <n v="4"/>
    <x v="1"/>
    <x v="0"/>
    <n v="0"/>
    <n v="0"/>
  </r>
  <r>
    <x v="6"/>
    <x v="12"/>
    <s v="3.3-3.4"/>
    <x v="16"/>
    <n v="3"/>
    <x v="2"/>
    <n v="2"/>
    <n v="200"/>
    <n v="100"/>
    <n v="1"/>
    <n v="17"/>
    <n v="4"/>
    <x v="1"/>
    <x v="0"/>
    <n v="0"/>
    <n v="0"/>
  </r>
  <r>
    <x v="6"/>
    <x v="12"/>
    <s v="3.4-3.5"/>
    <x v="17"/>
    <n v="3"/>
    <x v="1"/>
    <n v="9"/>
    <n v="200"/>
    <n v="100"/>
    <n v="4.5"/>
    <n v="17"/>
    <n v="4"/>
    <x v="1"/>
    <x v="0"/>
    <n v="0"/>
    <n v="1"/>
  </r>
  <r>
    <x v="6"/>
    <x v="12"/>
    <s v="3.4-3.5"/>
    <x v="17"/>
    <n v="3"/>
    <x v="0"/>
    <n v="4"/>
    <n v="200"/>
    <n v="100"/>
    <n v="2"/>
    <n v="17"/>
    <n v="4"/>
    <x v="0"/>
    <x v="0"/>
    <n v="0"/>
    <n v="0"/>
  </r>
  <r>
    <x v="6"/>
    <x v="12"/>
    <s v="3.5-3.6"/>
    <x v="18"/>
    <n v="3"/>
    <x v="13"/>
    <n v="44"/>
    <n v="200"/>
    <n v="100"/>
    <n v="22"/>
    <n v="17"/>
    <n v="4"/>
    <x v="0"/>
    <x v="0"/>
    <n v="0"/>
    <n v="1"/>
  </r>
  <r>
    <x v="6"/>
    <x v="12"/>
    <s v="3.5-3.6"/>
    <x v="18"/>
    <n v="3"/>
    <x v="1"/>
    <n v="4"/>
    <n v="200"/>
    <n v="100"/>
    <n v="2"/>
    <n v="17"/>
    <n v="4"/>
    <x v="1"/>
    <x v="0"/>
    <n v="0"/>
    <n v="0"/>
  </r>
  <r>
    <x v="6"/>
    <x v="12"/>
    <s v="3.5-3.6"/>
    <x v="18"/>
    <n v="3"/>
    <x v="0"/>
    <n v="17"/>
    <n v="200"/>
    <n v="100"/>
    <n v="8.5"/>
    <n v="17"/>
    <n v="4"/>
    <x v="0"/>
    <x v="0"/>
    <n v="0"/>
    <n v="0"/>
  </r>
  <r>
    <x v="6"/>
    <x v="12"/>
    <s v="3.6-3.7"/>
    <x v="19"/>
    <n v="3"/>
    <x v="13"/>
    <n v="7"/>
    <n v="200"/>
    <n v="100"/>
    <n v="3.5000000000000004"/>
    <n v="17"/>
    <n v="4"/>
    <x v="0"/>
    <x v="0"/>
    <n v="0"/>
    <n v="1"/>
  </r>
  <r>
    <x v="6"/>
    <x v="12"/>
    <s v="3.6-3.7"/>
    <x v="19"/>
    <n v="3"/>
    <x v="0"/>
    <n v="10"/>
    <n v="200"/>
    <n v="100"/>
    <n v="5"/>
    <n v="17"/>
    <n v="4"/>
    <x v="0"/>
    <x v="0"/>
    <n v="0"/>
    <n v="0"/>
  </r>
  <r>
    <x v="6"/>
    <x v="12"/>
    <s v="3.6-3.7"/>
    <x v="19"/>
    <n v="3"/>
    <x v="4"/>
    <n v="12"/>
    <n v="200"/>
    <n v="100"/>
    <n v="6"/>
    <n v="17"/>
    <n v="4"/>
    <x v="1"/>
    <x v="0"/>
    <n v="0"/>
    <n v="0"/>
  </r>
  <r>
    <x v="6"/>
    <x v="12"/>
    <s v="3.7-3.0"/>
    <x v="20"/>
    <n v="3"/>
    <x v="4"/>
    <n v="11"/>
    <n v="47"/>
    <n v="23.5"/>
    <n v="23.404255319148938"/>
    <n v="17"/>
    <n v="4"/>
    <x v="1"/>
    <x v="0"/>
    <n v="0"/>
    <n v="1"/>
  </r>
  <r>
    <x v="6"/>
    <x v="12"/>
    <s v="4.1-4.2"/>
    <x v="21"/>
    <n v="4"/>
    <x v="0"/>
    <n v="17"/>
    <n v="200"/>
    <n v="100"/>
    <n v="8.5"/>
    <n v="17"/>
    <n v="4"/>
    <x v="0"/>
    <x v="0"/>
    <n v="0"/>
    <n v="1"/>
  </r>
  <r>
    <x v="6"/>
    <x v="12"/>
    <s v="4.1-4.2"/>
    <x v="21"/>
    <n v="4"/>
    <x v="6"/>
    <n v="1"/>
    <n v="200"/>
    <n v="100"/>
    <n v="0.5"/>
    <n v="17"/>
    <n v="4"/>
    <x v="1"/>
    <x v="0"/>
    <n v="0"/>
    <n v="0"/>
  </r>
  <r>
    <x v="6"/>
    <x v="12"/>
    <s v="4.1-4.2"/>
    <x v="21"/>
    <n v="4"/>
    <x v="1"/>
    <n v="7"/>
    <n v="200"/>
    <n v="100"/>
    <n v="3.5000000000000004"/>
    <n v="17"/>
    <n v="4"/>
    <x v="1"/>
    <x v="0"/>
    <n v="0"/>
    <n v="0"/>
  </r>
  <r>
    <x v="6"/>
    <x v="12"/>
    <s v="4.1-4.2"/>
    <x v="21"/>
    <n v="4"/>
    <x v="13"/>
    <n v="25"/>
    <n v="200"/>
    <n v="100"/>
    <n v="12.5"/>
    <n v="17"/>
    <n v="4"/>
    <x v="0"/>
    <x v="0"/>
    <n v="0"/>
    <n v="0"/>
  </r>
  <r>
    <x v="6"/>
    <x v="12"/>
    <s v="4.1-4.2"/>
    <x v="21"/>
    <n v="4"/>
    <x v="2"/>
    <n v="5"/>
    <n v="200"/>
    <n v="100"/>
    <n v="2.5"/>
    <n v="17"/>
    <n v="4"/>
    <x v="1"/>
    <x v="0"/>
    <n v="0"/>
    <n v="0"/>
  </r>
  <r>
    <x v="6"/>
    <x v="12"/>
    <s v="4.2-4.0"/>
    <x v="22"/>
    <n v="4"/>
    <x v="0"/>
    <n v="7"/>
    <n v="88"/>
    <n v="44"/>
    <n v="7.9545454545454541"/>
    <n v="17"/>
    <n v="4"/>
    <x v="0"/>
    <x v="0"/>
    <n v="0"/>
    <n v="1"/>
  </r>
  <r>
    <x v="6"/>
    <x v="12"/>
    <s v="4.2-4.0"/>
    <x v="22"/>
    <n v="4"/>
    <x v="13"/>
    <n v="5"/>
    <n v="88"/>
    <n v="44"/>
    <n v="5.6818181818181817"/>
    <n v="17"/>
    <n v="4"/>
    <x v="0"/>
    <x v="0"/>
    <n v="0"/>
    <n v="0"/>
  </r>
  <r>
    <x v="6"/>
    <x v="12"/>
    <s v="4.2-4.0"/>
    <x v="22"/>
    <n v="4"/>
    <x v="4"/>
    <n v="26"/>
    <n v="88"/>
    <n v="44"/>
    <n v="29.545454545454547"/>
    <n v="17"/>
    <n v="4"/>
    <x v="1"/>
    <x v="0"/>
    <n v="0"/>
    <n v="0"/>
  </r>
  <r>
    <x v="6"/>
    <x v="12"/>
    <s v="5.1-5.0"/>
    <x v="28"/>
    <n v="5"/>
    <x v="1"/>
    <n v="11"/>
    <n v="200"/>
    <n v="100"/>
    <n v="5.5"/>
    <n v="17"/>
    <n v="4"/>
    <x v="1"/>
    <x v="0"/>
    <n v="0"/>
    <n v="1"/>
  </r>
  <r>
    <x v="6"/>
    <x v="12"/>
    <s v="5.1-5.0"/>
    <x v="28"/>
    <n v="5"/>
    <x v="0"/>
    <n v="3"/>
    <n v="200"/>
    <n v="100"/>
    <n v="1.5"/>
    <n v="17"/>
    <n v="4"/>
    <x v="0"/>
    <x v="0"/>
    <n v="0"/>
    <n v="0"/>
  </r>
  <r>
    <x v="6"/>
    <x v="12"/>
    <s v="5.1-5.0"/>
    <x v="28"/>
    <n v="5"/>
    <x v="13"/>
    <n v="2"/>
    <n v="200"/>
    <n v="100"/>
    <n v="1"/>
    <n v="17"/>
    <n v="4"/>
    <x v="0"/>
    <x v="0"/>
    <n v="0"/>
    <n v="0"/>
  </r>
  <r>
    <x v="6"/>
    <x v="12"/>
    <s v="5.1-5.0"/>
    <x v="28"/>
    <n v="5"/>
    <x v="4"/>
    <n v="44"/>
    <n v="200"/>
    <n v="100"/>
    <n v="22"/>
    <n v="17"/>
    <n v="4"/>
    <x v="1"/>
    <x v="0"/>
    <n v="0"/>
    <n v="0"/>
  </r>
  <r>
    <x v="6"/>
    <x v="12"/>
    <s v="5.1-5.0"/>
    <x v="28"/>
    <n v="5"/>
    <x v="29"/>
    <n v="2"/>
    <n v="200"/>
    <n v="100"/>
    <n v="1"/>
    <n v="17"/>
    <n v="4"/>
    <x v="1"/>
    <x v="0"/>
    <n v="1"/>
    <n v="0"/>
  </r>
  <r>
    <x v="3"/>
    <x v="12"/>
    <s v="1.1-1.2"/>
    <x v="0"/>
    <n v="1"/>
    <x v="10"/>
    <n v="39"/>
    <n v="200"/>
    <n v="100"/>
    <n v="19.5"/>
    <n v="17"/>
    <n v="4"/>
    <x v="1"/>
    <x v="0"/>
    <n v="1"/>
    <n v="1"/>
  </r>
  <r>
    <x v="3"/>
    <x v="12"/>
    <s v="1.2-1.0"/>
    <x v="1"/>
    <n v="1"/>
    <x v="10"/>
    <n v="33"/>
    <n v="220"/>
    <n v="110"/>
    <n v="15"/>
    <n v="17"/>
    <n v="4"/>
    <x v="1"/>
    <x v="0"/>
    <n v="0"/>
    <n v="1"/>
  </r>
  <r>
    <x v="3"/>
    <x v="12"/>
    <s v="1.2-1.0"/>
    <x v="1"/>
    <n v="1"/>
    <x v="4"/>
    <n v="14"/>
    <n v="220"/>
    <n v="110"/>
    <n v="6.3636363636363633"/>
    <n v="17"/>
    <n v="4"/>
    <x v="1"/>
    <x v="0"/>
    <n v="1"/>
    <n v="0"/>
  </r>
  <r>
    <x v="3"/>
    <x v="12"/>
    <s v="2.1-2.2"/>
    <x v="7"/>
    <n v="2"/>
    <x v="10"/>
    <n v="4"/>
    <n v="200"/>
    <n v="100"/>
    <n v="2"/>
    <n v="17"/>
    <n v="4"/>
    <x v="1"/>
    <x v="0"/>
    <n v="0"/>
    <n v="1"/>
  </r>
  <r>
    <x v="3"/>
    <x v="12"/>
    <s v="2.1-2.2"/>
    <x v="7"/>
    <n v="2"/>
    <x v="4"/>
    <n v="15"/>
    <n v="200"/>
    <n v="100"/>
    <n v="7.5"/>
    <n v="17"/>
    <n v="4"/>
    <x v="1"/>
    <x v="0"/>
    <n v="0"/>
    <n v="0"/>
  </r>
  <r>
    <x v="3"/>
    <x v="12"/>
    <s v="2.1-2.2"/>
    <x v="7"/>
    <n v="2"/>
    <x v="2"/>
    <n v="3"/>
    <n v="200"/>
    <n v="100"/>
    <n v="1.5"/>
    <n v="17"/>
    <n v="4"/>
    <x v="1"/>
    <x v="0"/>
    <n v="1"/>
    <n v="0"/>
  </r>
  <r>
    <x v="3"/>
    <x v="12"/>
    <s v="2.2-2.0"/>
    <x v="8"/>
    <n v="2"/>
    <x v="10"/>
    <n v="33"/>
    <n v="208"/>
    <n v="104"/>
    <n v="15.865384615384615"/>
    <n v="17"/>
    <n v="4"/>
    <x v="1"/>
    <x v="0"/>
    <n v="0"/>
    <n v="1"/>
  </r>
  <r>
    <x v="3"/>
    <x v="12"/>
    <s v="2.2-2.0"/>
    <x v="8"/>
    <n v="2"/>
    <x v="4"/>
    <n v="10"/>
    <n v="208"/>
    <n v="104"/>
    <n v="4.8076923076923084"/>
    <n v="17"/>
    <n v="4"/>
    <x v="1"/>
    <x v="0"/>
    <n v="0"/>
    <n v="0"/>
  </r>
  <r>
    <x v="3"/>
    <x v="12"/>
    <s v="3.1-3.2"/>
    <x v="14"/>
    <n v="3"/>
    <x v="10"/>
    <n v="10"/>
    <n v="200"/>
    <n v="100"/>
    <n v="5"/>
    <n v="17"/>
    <n v="4"/>
    <x v="1"/>
    <x v="0"/>
    <n v="0"/>
    <n v="1"/>
  </r>
  <r>
    <x v="3"/>
    <x v="12"/>
    <s v="3.1-3.2"/>
    <x v="14"/>
    <n v="3"/>
    <x v="4"/>
    <n v="18"/>
    <n v="200"/>
    <n v="100"/>
    <n v="9"/>
    <n v="17"/>
    <n v="4"/>
    <x v="1"/>
    <x v="0"/>
    <n v="0"/>
    <n v="0"/>
  </r>
  <r>
    <x v="3"/>
    <x v="12"/>
    <s v="3.2-3.0"/>
    <x v="15"/>
    <n v="3"/>
    <x v="10"/>
    <n v="55"/>
    <n v="191"/>
    <n v="95.5"/>
    <n v="28.795811518324609"/>
    <n v="17"/>
    <n v="4"/>
    <x v="1"/>
    <x v="0"/>
    <n v="0"/>
    <n v="1"/>
  </r>
  <r>
    <x v="3"/>
    <x v="12"/>
    <s v="3.2-3.0"/>
    <x v="15"/>
    <n v="3"/>
    <x v="4"/>
    <n v="7"/>
    <n v="191"/>
    <n v="95.5"/>
    <n v="3.664921465968586"/>
    <n v="17"/>
    <n v="4"/>
    <x v="1"/>
    <x v="0"/>
    <n v="0"/>
    <n v="0"/>
  </r>
  <r>
    <x v="3"/>
    <x v="12"/>
    <s v="4.1-4.2"/>
    <x v="21"/>
    <n v="4"/>
    <x v="2"/>
    <n v="3"/>
    <n v="200"/>
    <n v="100"/>
    <n v="1.5"/>
    <n v="17"/>
    <n v="4"/>
    <x v="1"/>
    <x v="0"/>
    <n v="0"/>
    <n v="1"/>
  </r>
  <r>
    <x v="3"/>
    <x v="12"/>
    <s v="4.1-4.2"/>
    <x v="21"/>
    <n v="4"/>
    <x v="10"/>
    <n v="4"/>
    <n v="200"/>
    <n v="100"/>
    <n v="2"/>
    <n v="17"/>
    <n v="4"/>
    <x v="1"/>
    <x v="0"/>
    <n v="0"/>
    <n v="0"/>
  </r>
  <r>
    <x v="3"/>
    <x v="12"/>
    <s v="4.1-4.2"/>
    <x v="21"/>
    <n v="4"/>
    <x v="4"/>
    <n v="18"/>
    <n v="200"/>
    <n v="100"/>
    <n v="9"/>
    <n v="17"/>
    <n v="4"/>
    <x v="1"/>
    <x v="0"/>
    <n v="0"/>
    <n v="0"/>
  </r>
  <r>
    <x v="3"/>
    <x v="12"/>
    <s v="4.2-4.0"/>
    <x v="22"/>
    <n v="4"/>
    <x v="2"/>
    <n v="1"/>
    <n v="176"/>
    <n v="88"/>
    <n v="0.56818181818181823"/>
    <n v="17"/>
    <n v="4"/>
    <x v="1"/>
    <x v="0"/>
    <n v="0"/>
    <n v="1"/>
  </r>
  <r>
    <x v="3"/>
    <x v="12"/>
    <s v="4.2-4.0"/>
    <x v="22"/>
    <n v="4"/>
    <x v="10"/>
    <n v="42"/>
    <n v="176"/>
    <n v="88"/>
    <n v="23.863636363636363"/>
    <n v="17"/>
    <n v="4"/>
    <x v="1"/>
    <x v="0"/>
    <n v="0"/>
    <n v="0"/>
  </r>
  <r>
    <x v="3"/>
    <x v="12"/>
    <s v="4.2-4.0"/>
    <x v="22"/>
    <n v="4"/>
    <x v="4"/>
    <n v="18"/>
    <n v="176"/>
    <n v="88"/>
    <n v="10.227272727272728"/>
    <n v="17"/>
    <n v="4"/>
    <x v="1"/>
    <x v="0"/>
    <n v="0"/>
    <n v="0"/>
  </r>
  <r>
    <x v="3"/>
    <x v="12"/>
    <s v="5.1-5.2"/>
    <x v="28"/>
    <n v="5"/>
    <x v="4"/>
    <n v="46"/>
    <n v="200"/>
    <n v="100"/>
    <n v="23"/>
    <n v="17"/>
    <n v="4"/>
    <x v="1"/>
    <x v="0"/>
    <n v="0"/>
    <n v="1"/>
  </r>
  <r>
    <x v="3"/>
    <x v="12"/>
    <s v="5.2-5.0"/>
    <x v="29"/>
    <n v="5"/>
    <x v="2"/>
    <n v="5"/>
    <n v="157"/>
    <n v="78.5"/>
    <n v="3.1847133757961785"/>
    <n v="17"/>
    <n v="4"/>
    <x v="1"/>
    <x v="0"/>
    <n v="0"/>
    <n v="1"/>
  </r>
  <r>
    <x v="3"/>
    <x v="12"/>
    <s v="5.2-5.0"/>
    <x v="29"/>
    <n v="5"/>
    <x v="10"/>
    <n v="5"/>
    <n v="157"/>
    <n v="78.5"/>
    <n v="3.1847133757961785"/>
    <n v="17"/>
    <n v="4"/>
    <x v="1"/>
    <x v="0"/>
    <n v="0"/>
    <n v="0"/>
  </r>
  <r>
    <x v="3"/>
    <x v="12"/>
    <s v="5.2-5.0"/>
    <x v="29"/>
    <n v="5"/>
    <x v="4"/>
    <n v="45"/>
    <n v="157"/>
    <n v="78.5"/>
    <n v="28.662420382165603"/>
    <n v="17"/>
    <n v="4"/>
    <x v="1"/>
    <x v="0"/>
    <n v="0"/>
    <n v="0"/>
  </r>
  <r>
    <x v="3"/>
    <x v="12"/>
    <s v="6.1-6.2"/>
    <x v="35"/>
    <n v="6"/>
    <x v="2"/>
    <n v="2"/>
    <n v="200"/>
    <n v="100"/>
    <n v="1"/>
    <n v="17"/>
    <n v="4"/>
    <x v="1"/>
    <x v="0"/>
    <n v="0"/>
    <n v="1"/>
  </r>
  <r>
    <x v="3"/>
    <x v="12"/>
    <s v="6.1-6.2"/>
    <x v="35"/>
    <n v="6"/>
    <x v="4"/>
    <n v="32"/>
    <n v="200"/>
    <n v="100"/>
    <n v="16"/>
    <n v="17"/>
    <n v="4"/>
    <x v="1"/>
    <x v="0"/>
    <n v="0"/>
    <n v="0"/>
  </r>
  <r>
    <x v="3"/>
    <x v="12"/>
    <s v="6.2-6.0"/>
    <x v="36"/>
    <n v="6"/>
    <x v="4"/>
    <n v="42"/>
    <n v="134"/>
    <n v="67"/>
    <n v="31.343283582089555"/>
    <n v="17"/>
    <n v="4"/>
    <x v="1"/>
    <x v="0"/>
    <n v="0"/>
    <n v="1"/>
  </r>
  <r>
    <x v="0"/>
    <x v="13"/>
    <s v="1.1-1.2"/>
    <x v="0"/>
    <n v="1"/>
    <x v="2"/>
    <n v="10"/>
    <n v="200"/>
    <n v="100"/>
    <n v="5"/>
    <n v="17.7"/>
    <n v="10"/>
    <x v="1"/>
    <x v="0"/>
    <n v="1"/>
    <n v="1"/>
  </r>
  <r>
    <x v="0"/>
    <x v="13"/>
    <s v="1.1-1.2"/>
    <x v="0"/>
    <n v="1"/>
    <x v="0"/>
    <n v="9"/>
    <n v="200"/>
    <n v="100"/>
    <n v="4.5"/>
    <n v="17.7"/>
    <n v="10"/>
    <x v="0"/>
    <x v="0"/>
    <n v="1"/>
    <n v="0"/>
  </r>
  <r>
    <x v="0"/>
    <x v="13"/>
    <s v="1.1-1.2"/>
    <x v="0"/>
    <n v="1"/>
    <x v="1"/>
    <n v="24"/>
    <n v="200"/>
    <n v="100"/>
    <n v="12"/>
    <n v="17.7"/>
    <n v="10"/>
    <x v="1"/>
    <x v="0"/>
    <n v="1"/>
    <n v="0"/>
  </r>
  <r>
    <x v="0"/>
    <x v="13"/>
    <s v="1.2-1.3"/>
    <x v="1"/>
    <n v="1"/>
    <x v="1"/>
    <n v="32"/>
    <n v="200"/>
    <n v="100"/>
    <n v="16"/>
    <n v="17.7"/>
    <n v="10"/>
    <x v="1"/>
    <x v="0"/>
    <n v="0"/>
    <n v="1"/>
  </r>
  <r>
    <x v="0"/>
    <x v="13"/>
    <s v="1.2-1.3"/>
    <x v="1"/>
    <n v="1"/>
    <x v="0"/>
    <n v="10"/>
    <n v="200"/>
    <n v="100"/>
    <n v="5"/>
    <n v="17.7"/>
    <n v="10"/>
    <x v="0"/>
    <x v="0"/>
    <n v="0"/>
    <n v="0"/>
  </r>
  <r>
    <x v="0"/>
    <x v="13"/>
    <s v="1.2-1.3"/>
    <x v="1"/>
    <n v="1"/>
    <x v="2"/>
    <n v="2"/>
    <n v="200"/>
    <n v="100"/>
    <n v="1"/>
    <n v="17.7"/>
    <n v="10"/>
    <x v="1"/>
    <x v="0"/>
    <n v="0"/>
    <n v="0"/>
  </r>
  <r>
    <x v="0"/>
    <x v="13"/>
    <s v="1.3-1.4"/>
    <x v="2"/>
    <n v="1"/>
    <x v="1"/>
    <n v="4"/>
    <n v="200"/>
    <n v="100"/>
    <n v="2"/>
    <n v="17.7"/>
    <n v="10"/>
    <x v="1"/>
    <x v="0"/>
    <n v="0"/>
    <n v="1"/>
  </r>
  <r>
    <x v="0"/>
    <x v="13"/>
    <s v="1.3-1.4"/>
    <x v="2"/>
    <n v="1"/>
    <x v="0"/>
    <n v="4"/>
    <n v="200"/>
    <n v="100"/>
    <n v="2"/>
    <n v="17.7"/>
    <n v="10"/>
    <x v="0"/>
    <x v="0"/>
    <n v="0"/>
    <n v="0"/>
  </r>
  <r>
    <x v="0"/>
    <x v="13"/>
    <s v="1.3-1.4"/>
    <x v="2"/>
    <n v="1"/>
    <x v="10"/>
    <n v="12"/>
    <n v="200"/>
    <n v="100"/>
    <n v="6"/>
    <n v="17.7"/>
    <n v="10"/>
    <x v="1"/>
    <x v="0"/>
    <n v="1"/>
    <n v="0"/>
  </r>
  <r>
    <x v="0"/>
    <x v="13"/>
    <s v="1.3-1.4"/>
    <x v="2"/>
    <n v="1"/>
    <x v="2"/>
    <n v="13"/>
    <n v="200"/>
    <n v="100"/>
    <n v="6.5"/>
    <n v="17.7"/>
    <n v="10"/>
    <x v="1"/>
    <x v="0"/>
    <n v="0"/>
    <n v="0"/>
  </r>
  <r>
    <x v="0"/>
    <x v="13"/>
    <s v="1.4-1.5"/>
    <x v="3"/>
    <n v="1"/>
    <x v="1"/>
    <n v="5"/>
    <n v="200"/>
    <n v="100"/>
    <n v="2.5"/>
    <n v="17.7"/>
    <n v="10"/>
    <x v="1"/>
    <x v="0"/>
    <n v="0"/>
    <n v="1"/>
  </r>
  <r>
    <x v="0"/>
    <x v="13"/>
    <s v="1.4-1.5"/>
    <x v="3"/>
    <n v="1"/>
    <x v="0"/>
    <n v="12"/>
    <n v="200"/>
    <n v="100"/>
    <n v="6"/>
    <n v="17.7"/>
    <n v="10"/>
    <x v="0"/>
    <x v="0"/>
    <n v="0"/>
    <n v="0"/>
  </r>
  <r>
    <x v="0"/>
    <x v="13"/>
    <s v="1.4-1.5"/>
    <x v="3"/>
    <n v="1"/>
    <x v="10"/>
    <n v="6"/>
    <n v="200"/>
    <n v="100"/>
    <n v="3"/>
    <n v="17.7"/>
    <n v="10"/>
    <x v="1"/>
    <x v="0"/>
    <n v="0"/>
    <n v="0"/>
  </r>
  <r>
    <x v="0"/>
    <x v="13"/>
    <s v="1.4-1.5"/>
    <x v="3"/>
    <n v="1"/>
    <x v="2"/>
    <n v="13"/>
    <n v="200"/>
    <n v="100"/>
    <n v="6.5"/>
    <n v="17.7"/>
    <n v="10"/>
    <x v="1"/>
    <x v="0"/>
    <n v="0"/>
    <n v="0"/>
  </r>
  <r>
    <x v="0"/>
    <x v="13"/>
    <s v="1.4-1.5"/>
    <x v="3"/>
    <n v="1"/>
    <x v="4"/>
    <n v="2"/>
    <n v="200"/>
    <n v="100"/>
    <n v="1"/>
    <n v="17.7"/>
    <n v="10"/>
    <x v="1"/>
    <x v="0"/>
    <n v="1"/>
    <n v="0"/>
  </r>
  <r>
    <x v="0"/>
    <x v="13"/>
    <s v="1.5-1.6"/>
    <x v="4"/>
    <n v="1"/>
    <x v="0"/>
    <n v="19"/>
    <n v="200"/>
    <n v="100"/>
    <n v="9.5"/>
    <n v="17.7"/>
    <n v="10"/>
    <x v="0"/>
    <x v="0"/>
    <n v="0"/>
    <n v="1"/>
  </r>
  <r>
    <x v="0"/>
    <x v="13"/>
    <s v="1.5-1.6"/>
    <x v="4"/>
    <n v="1"/>
    <x v="2"/>
    <n v="13"/>
    <n v="200"/>
    <n v="100"/>
    <n v="6.5"/>
    <n v="17.7"/>
    <n v="10"/>
    <x v="1"/>
    <x v="0"/>
    <n v="0"/>
    <n v="0"/>
  </r>
  <r>
    <x v="0"/>
    <x v="13"/>
    <s v="1.5-1.6"/>
    <x v="4"/>
    <n v="1"/>
    <x v="1"/>
    <n v="7"/>
    <n v="200"/>
    <n v="100"/>
    <n v="3.5000000000000004"/>
    <n v="17.7"/>
    <n v="10"/>
    <x v="1"/>
    <x v="0"/>
    <n v="0"/>
    <n v="0"/>
  </r>
  <r>
    <x v="0"/>
    <x v="13"/>
    <s v="1.5-1.6"/>
    <x v="4"/>
    <n v="1"/>
    <x v="10"/>
    <n v="1"/>
    <n v="200"/>
    <n v="100"/>
    <n v="0.5"/>
    <n v="17.7"/>
    <n v="10"/>
    <x v="1"/>
    <x v="0"/>
    <n v="0"/>
    <n v="0"/>
  </r>
  <r>
    <x v="0"/>
    <x v="13"/>
    <s v="1.5-1.6"/>
    <x v="4"/>
    <n v="1"/>
    <x v="3"/>
    <n v="4"/>
    <n v="200"/>
    <n v="100"/>
    <n v="2"/>
    <n v="17.7"/>
    <n v="10"/>
    <x v="1"/>
    <x v="0"/>
    <n v="1"/>
    <n v="0"/>
  </r>
  <r>
    <x v="0"/>
    <x v="13"/>
    <s v="1.5-1.6"/>
    <x v="4"/>
    <n v="1"/>
    <x v="13"/>
    <n v="4"/>
    <n v="200"/>
    <n v="100"/>
    <n v="2"/>
    <n v="17.7"/>
    <n v="10"/>
    <x v="0"/>
    <x v="0"/>
    <n v="1"/>
    <n v="0"/>
  </r>
  <r>
    <x v="0"/>
    <x v="13"/>
    <s v="1.6-1.7"/>
    <x v="5"/>
    <n v="1"/>
    <x v="0"/>
    <n v="24"/>
    <n v="200"/>
    <n v="100"/>
    <n v="12"/>
    <n v="17.7"/>
    <n v="10"/>
    <x v="0"/>
    <x v="0"/>
    <n v="0"/>
    <n v="1"/>
  </r>
  <r>
    <x v="0"/>
    <x v="13"/>
    <s v="1.6-1.7"/>
    <x v="5"/>
    <n v="1"/>
    <x v="10"/>
    <n v="3"/>
    <n v="200"/>
    <n v="100"/>
    <n v="1.5"/>
    <n v="17.7"/>
    <n v="10"/>
    <x v="1"/>
    <x v="0"/>
    <n v="0"/>
    <n v="0"/>
  </r>
  <r>
    <x v="0"/>
    <x v="13"/>
    <s v="1.6-1.7"/>
    <x v="5"/>
    <n v="1"/>
    <x v="2"/>
    <n v="2"/>
    <n v="200"/>
    <n v="100"/>
    <n v="1"/>
    <n v="17.7"/>
    <n v="10"/>
    <x v="1"/>
    <x v="0"/>
    <n v="0"/>
    <n v="0"/>
  </r>
  <r>
    <x v="0"/>
    <x v="13"/>
    <s v="1.6-1.7"/>
    <x v="5"/>
    <n v="1"/>
    <x v="1"/>
    <n v="10"/>
    <n v="200"/>
    <n v="100"/>
    <n v="5"/>
    <n v="17.7"/>
    <n v="10"/>
    <x v="1"/>
    <x v="0"/>
    <n v="0"/>
    <n v="0"/>
  </r>
  <r>
    <x v="0"/>
    <x v="13"/>
    <s v="1.7-1.0"/>
    <x v="6"/>
    <n v="1"/>
    <x v="1"/>
    <n v="26"/>
    <n v="200"/>
    <n v="100"/>
    <n v="13"/>
    <n v="17.7"/>
    <n v="10"/>
    <x v="1"/>
    <x v="0"/>
    <n v="0"/>
    <n v="1"/>
  </r>
  <r>
    <x v="0"/>
    <x v="13"/>
    <s v="1.7-1.0"/>
    <x v="6"/>
    <n v="1"/>
    <x v="0"/>
    <n v="15"/>
    <n v="200"/>
    <n v="100"/>
    <n v="7.5"/>
    <n v="17.7"/>
    <n v="10"/>
    <x v="0"/>
    <x v="0"/>
    <n v="0"/>
    <n v="0"/>
  </r>
  <r>
    <x v="0"/>
    <x v="13"/>
    <s v="2.1-2.2"/>
    <x v="7"/>
    <n v="2"/>
    <x v="0"/>
    <n v="20"/>
    <n v="200"/>
    <n v="100"/>
    <n v="10"/>
    <n v="17.7"/>
    <n v="10"/>
    <x v="0"/>
    <x v="0"/>
    <n v="0"/>
    <n v="1"/>
  </r>
  <r>
    <x v="0"/>
    <x v="13"/>
    <s v="2.1-2.2"/>
    <x v="7"/>
    <n v="2"/>
    <x v="4"/>
    <n v="17"/>
    <n v="200"/>
    <n v="100"/>
    <n v="8.5"/>
    <n v="17.7"/>
    <n v="10"/>
    <x v="1"/>
    <x v="0"/>
    <n v="0"/>
    <n v="0"/>
  </r>
  <r>
    <x v="0"/>
    <x v="13"/>
    <s v="2.1-2.2"/>
    <x v="7"/>
    <n v="2"/>
    <x v="14"/>
    <n v="1"/>
    <n v="200"/>
    <n v="100"/>
    <n v="0.5"/>
    <n v="17.7"/>
    <n v="10"/>
    <x v="0"/>
    <x v="0"/>
    <n v="1"/>
    <n v="0"/>
  </r>
  <r>
    <x v="0"/>
    <x v="13"/>
    <s v="2.2-2.3"/>
    <x v="8"/>
    <n v="2"/>
    <x v="0"/>
    <n v="34"/>
    <n v="200"/>
    <n v="100"/>
    <n v="17"/>
    <n v="17.7"/>
    <n v="10"/>
    <x v="0"/>
    <x v="0"/>
    <n v="0"/>
    <n v="1"/>
  </r>
  <r>
    <x v="0"/>
    <x v="13"/>
    <s v="2.2-2.3"/>
    <x v="8"/>
    <n v="2"/>
    <x v="19"/>
    <n v="1"/>
    <n v="200"/>
    <n v="100"/>
    <n v="0.5"/>
    <n v="17.7"/>
    <n v="10"/>
    <x v="1"/>
    <x v="0"/>
    <n v="1"/>
    <n v="0"/>
  </r>
  <r>
    <x v="0"/>
    <x v="13"/>
    <s v="2.2-2.3"/>
    <x v="8"/>
    <n v="2"/>
    <x v="1"/>
    <n v="7"/>
    <n v="200"/>
    <n v="100"/>
    <n v="3.5000000000000004"/>
    <n v="17.7"/>
    <n v="10"/>
    <x v="1"/>
    <x v="0"/>
    <n v="0"/>
    <n v="0"/>
  </r>
  <r>
    <x v="0"/>
    <x v="13"/>
    <s v="2.3-2.4"/>
    <x v="9"/>
    <n v="2"/>
    <x v="1"/>
    <n v="4"/>
    <n v="200"/>
    <n v="100"/>
    <n v="2"/>
    <n v="17.7"/>
    <n v="10"/>
    <x v="1"/>
    <x v="0"/>
    <n v="0"/>
    <n v="1"/>
  </r>
  <r>
    <x v="0"/>
    <x v="13"/>
    <s v="2.3-2.4"/>
    <x v="9"/>
    <n v="2"/>
    <x v="0"/>
    <n v="28"/>
    <n v="200"/>
    <n v="100"/>
    <n v="14.000000000000002"/>
    <n v="17.7"/>
    <n v="10"/>
    <x v="0"/>
    <x v="0"/>
    <n v="0"/>
    <n v="0"/>
  </r>
  <r>
    <x v="0"/>
    <x v="13"/>
    <s v="2.3-2.4"/>
    <x v="9"/>
    <n v="2"/>
    <x v="2"/>
    <n v="9"/>
    <n v="200"/>
    <n v="100"/>
    <n v="4.5"/>
    <n v="17.7"/>
    <n v="10"/>
    <x v="1"/>
    <x v="0"/>
    <n v="0"/>
    <n v="0"/>
  </r>
  <r>
    <x v="0"/>
    <x v="13"/>
    <s v="2.3-2.4"/>
    <x v="9"/>
    <n v="2"/>
    <x v="10"/>
    <n v="3"/>
    <n v="200"/>
    <n v="100"/>
    <n v="1.5"/>
    <n v="17.7"/>
    <n v="10"/>
    <x v="1"/>
    <x v="0"/>
    <n v="0"/>
    <n v="0"/>
  </r>
  <r>
    <x v="0"/>
    <x v="13"/>
    <s v="2.3-2.4"/>
    <x v="9"/>
    <n v="2"/>
    <x v="6"/>
    <n v="1"/>
    <n v="200"/>
    <n v="100"/>
    <n v="0.5"/>
    <n v="17.7"/>
    <n v="10"/>
    <x v="1"/>
    <x v="0"/>
    <n v="1"/>
    <n v="0"/>
  </r>
  <r>
    <x v="0"/>
    <x v="13"/>
    <s v="2.4-2.5"/>
    <x v="10"/>
    <n v="2"/>
    <x v="0"/>
    <n v="25"/>
    <n v="200"/>
    <n v="100"/>
    <n v="12.5"/>
    <n v="17.7"/>
    <n v="10"/>
    <x v="0"/>
    <x v="0"/>
    <n v="0"/>
    <n v="1"/>
  </r>
  <r>
    <x v="0"/>
    <x v="13"/>
    <s v="2.4-2.5"/>
    <x v="10"/>
    <n v="2"/>
    <x v="2"/>
    <n v="7"/>
    <n v="200"/>
    <n v="100"/>
    <n v="3.5000000000000004"/>
    <n v="17.7"/>
    <n v="10"/>
    <x v="1"/>
    <x v="0"/>
    <n v="0"/>
    <n v="0"/>
  </r>
  <r>
    <x v="0"/>
    <x v="13"/>
    <s v="2.4-2.5"/>
    <x v="10"/>
    <n v="2"/>
    <x v="10"/>
    <n v="3"/>
    <n v="200"/>
    <n v="100"/>
    <n v="1.5"/>
    <n v="17.7"/>
    <n v="10"/>
    <x v="1"/>
    <x v="0"/>
    <n v="0"/>
    <n v="0"/>
  </r>
  <r>
    <x v="0"/>
    <x v="13"/>
    <s v="2.5-2.6"/>
    <x v="11"/>
    <n v="2"/>
    <x v="0"/>
    <n v="32"/>
    <n v="200"/>
    <n v="100"/>
    <n v="16"/>
    <n v="17.7"/>
    <n v="10"/>
    <x v="0"/>
    <x v="0"/>
    <n v="0"/>
    <n v="1"/>
  </r>
  <r>
    <x v="0"/>
    <x v="13"/>
    <s v="2.5-2.6"/>
    <x v="11"/>
    <n v="2"/>
    <x v="10"/>
    <n v="12"/>
    <n v="200"/>
    <n v="100"/>
    <n v="6"/>
    <n v="17.7"/>
    <n v="10"/>
    <x v="1"/>
    <x v="0"/>
    <n v="0"/>
    <n v="0"/>
  </r>
  <r>
    <x v="0"/>
    <x v="13"/>
    <s v="2.5-2.6"/>
    <x v="11"/>
    <n v="2"/>
    <x v="13"/>
    <n v="2"/>
    <n v="200"/>
    <n v="100"/>
    <n v="1"/>
    <n v="17.7"/>
    <n v="10"/>
    <x v="0"/>
    <x v="0"/>
    <n v="0"/>
    <n v="0"/>
  </r>
  <r>
    <x v="0"/>
    <x v="13"/>
    <s v="2.5-2.6"/>
    <x v="11"/>
    <n v="2"/>
    <x v="1"/>
    <n v="3"/>
    <n v="200"/>
    <n v="100"/>
    <n v="1.5"/>
    <n v="17.7"/>
    <n v="10"/>
    <x v="1"/>
    <x v="0"/>
    <n v="0"/>
    <n v="0"/>
  </r>
  <r>
    <x v="0"/>
    <x v="13"/>
    <s v="2.5-2.6"/>
    <x v="11"/>
    <n v="2"/>
    <x v="2"/>
    <n v="4"/>
    <n v="200"/>
    <n v="100"/>
    <n v="2"/>
    <n v="17.7"/>
    <n v="10"/>
    <x v="1"/>
    <x v="0"/>
    <n v="0"/>
    <n v="0"/>
  </r>
  <r>
    <x v="0"/>
    <x v="13"/>
    <s v="2.6-2.7"/>
    <x v="12"/>
    <n v="2"/>
    <x v="0"/>
    <n v="23"/>
    <n v="200"/>
    <n v="100"/>
    <n v="11.5"/>
    <n v="17.7"/>
    <n v="10"/>
    <x v="0"/>
    <x v="0"/>
    <n v="0"/>
    <n v="1"/>
  </r>
  <r>
    <x v="0"/>
    <x v="13"/>
    <s v="2.6-2.7"/>
    <x v="12"/>
    <n v="2"/>
    <x v="4"/>
    <n v="3"/>
    <n v="200"/>
    <n v="100"/>
    <n v="1.5"/>
    <n v="17.7"/>
    <n v="10"/>
    <x v="1"/>
    <x v="0"/>
    <n v="0"/>
    <n v="0"/>
  </r>
  <r>
    <x v="0"/>
    <x v="13"/>
    <s v="2.6-2.7"/>
    <x v="12"/>
    <n v="2"/>
    <x v="2"/>
    <n v="4"/>
    <n v="200"/>
    <n v="100"/>
    <n v="2"/>
    <n v="17.7"/>
    <n v="10"/>
    <x v="1"/>
    <x v="0"/>
    <n v="0"/>
    <n v="0"/>
  </r>
  <r>
    <x v="0"/>
    <x v="13"/>
    <s v="2.6-2.7"/>
    <x v="12"/>
    <n v="2"/>
    <x v="10"/>
    <n v="4"/>
    <n v="200"/>
    <n v="100"/>
    <n v="2"/>
    <n v="17.7"/>
    <n v="10"/>
    <x v="1"/>
    <x v="0"/>
    <n v="0"/>
    <n v="0"/>
  </r>
  <r>
    <x v="0"/>
    <x v="13"/>
    <s v="2.6-2.7"/>
    <x v="12"/>
    <n v="2"/>
    <x v="1"/>
    <n v="1"/>
    <n v="200"/>
    <n v="100"/>
    <n v="0.5"/>
    <n v="17.7"/>
    <n v="10"/>
    <x v="1"/>
    <x v="0"/>
    <n v="0"/>
    <n v="0"/>
  </r>
  <r>
    <x v="0"/>
    <x v="13"/>
    <s v="2.7-2.0"/>
    <x v="13"/>
    <n v="2"/>
    <x v="0"/>
    <n v="20"/>
    <n v="200"/>
    <n v="100"/>
    <n v="10"/>
    <n v="17.7"/>
    <n v="10"/>
    <x v="0"/>
    <x v="0"/>
    <n v="0"/>
    <n v="1"/>
  </r>
  <r>
    <x v="0"/>
    <x v="13"/>
    <s v="2.7-2.0"/>
    <x v="13"/>
    <n v="2"/>
    <x v="1"/>
    <n v="10"/>
    <n v="200"/>
    <n v="100"/>
    <n v="5"/>
    <n v="17.7"/>
    <n v="10"/>
    <x v="1"/>
    <x v="0"/>
    <n v="0"/>
    <n v="0"/>
  </r>
  <r>
    <x v="0"/>
    <x v="13"/>
    <s v="3.1-3.2"/>
    <x v="14"/>
    <n v="3"/>
    <x v="1"/>
    <n v="7"/>
    <n v="200"/>
    <n v="100"/>
    <n v="3.5000000000000004"/>
    <n v="17.7"/>
    <n v="10"/>
    <x v="1"/>
    <x v="0"/>
    <n v="0"/>
    <n v="1"/>
  </r>
  <r>
    <x v="0"/>
    <x v="13"/>
    <s v="3.1-3.2"/>
    <x v="14"/>
    <n v="3"/>
    <x v="0"/>
    <n v="35"/>
    <n v="200"/>
    <n v="100"/>
    <n v="17.5"/>
    <n v="17.7"/>
    <n v="10"/>
    <x v="0"/>
    <x v="0"/>
    <n v="0"/>
    <n v="0"/>
  </r>
  <r>
    <x v="0"/>
    <x v="13"/>
    <s v="3.1-3.2"/>
    <x v="14"/>
    <n v="3"/>
    <x v="2"/>
    <n v="5"/>
    <n v="200"/>
    <n v="100"/>
    <n v="2.5"/>
    <n v="17.7"/>
    <n v="10"/>
    <x v="1"/>
    <x v="0"/>
    <n v="0"/>
    <n v="0"/>
  </r>
  <r>
    <x v="0"/>
    <x v="13"/>
    <s v="3.2-3.3"/>
    <x v="15"/>
    <n v="3"/>
    <x v="0"/>
    <n v="30"/>
    <n v="200"/>
    <n v="100"/>
    <n v="15"/>
    <n v="17.7"/>
    <n v="10"/>
    <x v="0"/>
    <x v="0"/>
    <n v="0"/>
    <n v="1"/>
  </r>
  <r>
    <x v="0"/>
    <x v="13"/>
    <s v="3.2-3.3"/>
    <x v="15"/>
    <n v="3"/>
    <x v="2"/>
    <n v="9"/>
    <n v="200"/>
    <n v="100"/>
    <n v="4.5"/>
    <n v="17.7"/>
    <n v="10"/>
    <x v="1"/>
    <x v="0"/>
    <n v="0"/>
    <n v="0"/>
  </r>
  <r>
    <x v="0"/>
    <x v="13"/>
    <s v="3.2-3.3"/>
    <x v="15"/>
    <n v="3"/>
    <x v="9"/>
    <n v="1"/>
    <n v="200"/>
    <n v="100"/>
    <n v="0.5"/>
    <n v="17.7"/>
    <n v="10"/>
    <x v="1"/>
    <x v="0"/>
    <n v="1"/>
    <n v="0"/>
  </r>
  <r>
    <x v="0"/>
    <x v="13"/>
    <s v="3.2-3.3"/>
    <x v="15"/>
    <n v="3"/>
    <x v="10"/>
    <n v="2"/>
    <n v="200"/>
    <n v="100"/>
    <n v="1"/>
    <n v="17.7"/>
    <n v="10"/>
    <x v="1"/>
    <x v="0"/>
    <n v="0"/>
    <n v="0"/>
  </r>
  <r>
    <x v="0"/>
    <x v="13"/>
    <s v="3.3-3.4"/>
    <x v="16"/>
    <n v="3"/>
    <x v="0"/>
    <n v="20"/>
    <n v="200"/>
    <n v="100"/>
    <n v="10"/>
    <n v="17.7"/>
    <n v="10"/>
    <x v="0"/>
    <x v="0"/>
    <n v="0"/>
    <n v="1"/>
  </r>
  <r>
    <x v="0"/>
    <x v="13"/>
    <s v="3.3-3.4"/>
    <x v="16"/>
    <n v="3"/>
    <x v="2"/>
    <n v="5"/>
    <n v="200"/>
    <n v="100"/>
    <n v="2.5"/>
    <n v="17.7"/>
    <n v="10"/>
    <x v="1"/>
    <x v="0"/>
    <n v="0"/>
    <n v="0"/>
  </r>
  <r>
    <x v="0"/>
    <x v="13"/>
    <s v="3.3-3.4"/>
    <x v="16"/>
    <n v="3"/>
    <x v="10"/>
    <n v="7"/>
    <n v="200"/>
    <n v="100"/>
    <n v="3.5000000000000004"/>
    <n v="17.7"/>
    <n v="10"/>
    <x v="1"/>
    <x v="0"/>
    <n v="0"/>
    <n v="0"/>
  </r>
  <r>
    <x v="0"/>
    <x v="13"/>
    <s v="3.3-3.4"/>
    <x v="16"/>
    <n v="3"/>
    <x v="9"/>
    <n v="1"/>
    <n v="200"/>
    <n v="100"/>
    <n v="0.5"/>
    <n v="17.7"/>
    <n v="10"/>
    <x v="1"/>
    <x v="0"/>
    <n v="0"/>
    <n v="0"/>
  </r>
  <r>
    <x v="0"/>
    <x v="13"/>
    <s v="3.4-3.5"/>
    <x v="17"/>
    <n v="3"/>
    <x v="10"/>
    <n v="26"/>
    <n v="200"/>
    <n v="100"/>
    <n v="13"/>
    <n v="17.7"/>
    <n v="10"/>
    <x v="1"/>
    <x v="0"/>
    <n v="0"/>
    <n v="1"/>
  </r>
  <r>
    <x v="0"/>
    <x v="13"/>
    <s v="3.4-3.5"/>
    <x v="17"/>
    <n v="3"/>
    <x v="2"/>
    <n v="17"/>
    <n v="200"/>
    <n v="100"/>
    <n v="8.5"/>
    <n v="17.7"/>
    <n v="10"/>
    <x v="1"/>
    <x v="0"/>
    <n v="0"/>
    <n v="0"/>
  </r>
  <r>
    <x v="0"/>
    <x v="13"/>
    <s v="3.4-3.5"/>
    <x v="17"/>
    <n v="3"/>
    <x v="9"/>
    <n v="6"/>
    <n v="200"/>
    <n v="100"/>
    <n v="3"/>
    <n v="17.7"/>
    <n v="10"/>
    <x v="1"/>
    <x v="0"/>
    <n v="0"/>
    <n v="0"/>
  </r>
  <r>
    <x v="0"/>
    <x v="13"/>
    <s v="3.4-3.5"/>
    <x v="17"/>
    <n v="3"/>
    <x v="0"/>
    <n v="2"/>
    <n v="200"/>
    <n v="100"/>
    <n v="1"/>
    <n v="17.7"/>
    <n v="10"/>
    <x v="0"/>
    <x v="0"/>
    <n v="0"/>
    <n v="0"/>
  </r>
  <r>
    <x v="0"/>
    <x v="13"/>
    <s v="3.5-3.6"/>
    <x v="18"/>
    <n v="3"/>
    <x v="2"/>
    <n v="12"/>
    <n v="200"/>
    <n v="100"/>
    <n v="6"/>
    <n v="17.7"/>
    <n v="10"/>
    <x v="1"/>
    <x v="0"/>
    <n v="0"/>
    <n v="1"/>
  </r>
  <r>
    <x v="0"/>
    <x v="13"/>
    <s v="3.5-3.6"/>
    <x v="18"/>
    <n v="3"/>
    <x v="10"/>
    <n v="34"/>
    <n v="200"/>
    <n v="100"/>
    <n v="17"/>
    <n v="17.7"/>
    <n v="10"/>
    <x v="1"/>
    <x v="0"/>
    <n v="0"/>
    <n v="0"/>
  </r>
  <r>
    <x v="0"/>
    <x v="13"/>
    <s v="3.5-3.6"/>
    <x v="18"/>
    <n v="3"/>
    <x v="9"/>
    <n v="8"/>
    <n v="200"/>
    <n v="100"/>
    <n v="4"/>
    <n v="17.7"/>
    <n v="10"/>
    <x v="1"/>
    <x v="0"/>
    <n v="0"/>
    <n v="0"/>
  </r>
  <r>
    <x v="0"/>
    <x v="13"/>
    <s v="3.5-3.6"/>
    <x v="18"/>
    <n v="3"/>
    <x v="1"/>
    <n v="6"/>
    <n v="200"/>
    <n v="100"/>
    <n v="3"/>
    <n v="17.7"/>
    <n v="10"/>
    <x v="1"/>
    <x v="0"/>
    <n v="0"/>
    <n v="0"/>
  </r>
  <r>
    <x v="0"/>
    <x v="13"/>
    <s v="3.5-3.6"/>
    <x v="18"/>
    <n v="3"/>
    <x v="4"/>
    <n v="2"/>
    <n v="200"/>
    <n v="100"/>
    <n v="1"/>
    <n v="17.7"/>
    <n v="10"/>
    <x v="1"/>
    <x v="0"/>
    <n v="0"/>
    <n v="0"/>
  </r>
  <r>
    <x v="0"/>
    <x v="13"/>
    <s v="3.5-3.6"/>
    <x v="18"/>
    <n v="3"/>
    <x v="0"/>
    <n v="7"/>
    <n v="200"/>
    <n v="100"/>
    <n v="3.5000000000000004"/>
    <n v="17.7"/>
    <n v="10"/>
    <x v="0"/>
    <x v="0"/>
    <n v="0"/>
    <n v="0"/>
  </r>
  <r>
    <x v="0"/>
    <x v="13"/>
    <s v="3.6-3.7"/>
    <x v="19"/>
    <n v="3"/>
    <x v="2"/>
    <n v="7"/>
    <n v="200"/>
    <n v="100"/>
    <n v="3.5000000000000004"/>
    <n v="17.7"/>
    <n v="10"/>
    <x v="1"/>
    <x v="0"/>
    <n v="0"/>
    <n v="1"/>
  </r>
  <r>
    <x v="0"/>
    <x v="13"/>
    <s v="3.6-3.7"/>
    <x v="19"/>
    <n v="3"/>
    <x v="0"/>
    <n v="71"/>
    <n v="200"/>
    <n v="100"/>
    <n v="35.5"/>
    <n v="17.7"/>
    <n v="10"/>
    <x v="0"/>
    <x v="0"/>
    <n v="0"/>
    <n v="0"/>
  </r>
  <r>
    <x v="0"/>
    <x v="13"/>
    <s v="3.6-3.7"/>
    <x v="19"/>
    <n v="3"/>
    <x v="26"/>
    <n v="2"/>
    <n v="200"/>
    <n v="100"/>
    <n v="1"/>
    <n v="17.7"/>
    <n v="10"/>
    <x v="0"/>
    <x v="0"/>
    <n v="1"/>
    <n v="0"/>
  </r>
  <r>
    <x v="0"/>
    <x v="13"/>
    <s v="3.6-3.7"/>
    <x v="19"/>
    <n v="3"/>
    <x v="5"/>
    <n v="2"/>
    <n v="200"/>
    <n v="100"/>
    <n v="1"/>
    <n v="17.7"/>
    <n v="10"/>
    <x v="1"/>
    <x v="0"/>
    <n v="1"/>
    <n v="0"/>
  </r>
  <r>
    <x v="0"/>
    <x v="13"/>
    <s v="3.7-3.0"/>
    <x v="20"/>
    <n v="3"/>
    <x v="0"/>
    <n v="33"/>
    <n v="200"/>
    <n v="100"/>
    <n v="16.5"/>
    <n v="17.7"/>
    <n v="10"/>
    <x v="0"/>
    <x v="0"/>
    <n v="0"/>
    <n v="1"/>
  </r>
  <r>
    <x v="0"/>
    <x v="13"/>
    <s v="3.7-3.0"/>
    <x v="20"/>
    <n v="3"/>
    <x v="1"/>
    <n v="26"/>
    <n v="200"/>
    <n v="100"/>
    <n v="13"/>
    <n v="17.7"/>
    <n v="10"/>
    <x v="1"/>
    <x v="0"/>
    <n v="0"/>
    <n v="0"/>
  </r>
  <r>
    <x v="0"/>
    <x v="13"/>
    <s v="4.1-4.2"/>
    <x v="21"/>
    <n v="4"/>
    <x v="0"/>
    <n v="49"/>
    <n v="200"/>
    <n v="100"/>
    <n v="24.5"/>
    <n v="17.7"/>
    <n v="10"/>
    <x v="0"/>
    <x v="0"/>
    <n v="0"/>
    <n v="1"/>
  </r>
  <r>
    <x v="0"/>
    <x v="13"/>
    <s v="4.1-4.2"/>
    <x v="21"/>
    <n v="4"/>
    <x v="1"/>
    <n v="13"/>
    <n v="200"/>
    <n v="100"/>
    <n v="6.5"/>
    <n v="17.7"/>
    <n v="10"/>
    <x v="1"/>
    <x v="0"/>
    <n v="0"/>
    <n v="0"/>
  </r>
  <r>
    <x v="0"/>
    <x v="13"/>
    <s v="4.1-4.2"/>
    <x v="21"/>
    <n v="4"/>
    <x v="7"/>
    <n v="1"/>
    <n v="200"/>
    <n v="100"/>
    <n v="0.5"/>
    <n v="17.7"/>
    <n v="10"/>
    <x v="1"/>
    <x v="0"/>
    <n v="1"/>
    <n v="0"/>
  </r>
  <r>
    <x v="0"/>
    <x v="13"/>
    <s v="4.2-4.3"/>
    <x v="22"/>
    <n v="4"/>
    <x v="0"/>
    <n v="36"/>
    <n v="200"/>
    <n v="100"/>
    <n v="18"/>
    <n v="17.7"/>
    <n v="10"/>
    <x v="0"/>
    <x v="0"/>
    <n v="0"/>
    <n v="1"/>
  </r>
  <r>
    <x v="0"/>
    <x v="13"/>
    <s v="4.2-4.3"/>
    <x v="22"/>
    <n v="4"/>
    <x v="2"/>
    <n v="1"/>
    <n v="200"/>
    <n v="100"/>
    <n v="0.5"/>
    <n v="17.7"/>
    <n v="10"/>
    <x v="1"/>
    <x v="0"/>
    <n v="0"/>
    <n v="0"/>
  </r>
  <r>
    <x v="0"/>
    <x v="13"/>
    <s v="4.2-4.3"/>
    <x v="22"/>
    <n v="4"/>
    <x v="1"/>
    <n v="5"/>
    <n v="200"/>
    <n v="100"/>
    <n v="2.5"/>
    <n v="17.7"/>
    <n v="10"/>
    <x v="1"/>
    <x v="0"/>
    <n v="0"/>
    <n v="0"/>
  </r>
  <r>
    <x v="0"/>
    <x v="13"/>
    <s v="4.2-4.3"/>
    <x v="22"/>
    <n v="4"/>
    <x v="10"/>
    <n v="2"/>
    <n v="200"/>
    <n v="100"/>
    <n v="1"/>
    <n v="17.7"/>
    <n v="10"/>
    <x v="1"/>
    <x v="0"/>
    <n v="0"/>
    <n v="0"/>
  </r>
  <r>
    <x v="0"/>
    <x v="13"/>
    <s v="4.3-4.4"/>
    <x v="23"/>
    <n v="4"/>
    <x v="0"/>
    <n v="29"/>
    <n v="200"/>
    <n v="100"/>
    <n v="14.499999999999998"/>
    <n v="17.7"/>
    <n v="10"/>
    <x v="0"/>
    <x v="0"/>
    <n v="0"/>
    <n v="1"/>
  </r>
  <r>
    <x v="0"/>
    <x v="13"/>
    <s v="4.3-4.4"/>
    <x v="23"/>
    <n v="4"/>
    <x v="66"/>
    <n v="12"/>
    <n v="200"/>
    <n v="100"/>
    <n v="6"/>
    <n v="17.7"/>
    <n v="10"/>
    <x v="6"/>
    <x v="0"/>
    <n v="1"/>
    <n v="0"/>
  </r>
  <r>
    <x v="0"/>
    <x v="13"/>
    <s v="4.3-4.4"/>
    <x v="23"/>
    <n v="4"/>
    <x v="2"/>
    <n v="12"/>
    <n v="200"/>
    <n v="100"/>
    <n v="6"/>
    <n v="17.7"/>
    <n v="10"/>
    <x v="1"/>
    <x v="0"/>
    <n v="0"/>
    <n v="0"/>
  </r>
  <r>
    <x v="0"/>
    <x v="13"/>
    <s v="4.3-4.4"/>
    <x v="23"/>
    <n v="4"/>
    <x v="10"/>
    <n v="10"/>
    <n v="200"/>
    <n v="100"/>
    <n v="5"/>
    <n v="17.7"/>
    <n v="10"/>
    <x v="1"/>
    <x v="0"/>
    <n v="0"/>
    <n v="0"/>
  </r>
  <r>
    <x v="0"/>
    <x v="13"/>
    <s v="4.3-4.4"/>
    <x v="23"/>
    <n v="4"/>
    <x v="4"/>
    <n v="1"/>
    <n v="200"/>
    <n v="100"/>
    <n v="0.5"/>
    <n v="17.7"/>
    <n v="10"/>
    <x v="1"/>
    <x v="0"/>
    <n v="0"/>
    <n v="0"/>
  </r>
  <r>
    <x v="0"/>
    <x v="13"/>
    <s v="4.4-4.5"/>
    <x v="24"/>
    <n v="4"/>
    <x v="10"/>
    <n v="22"/>
    <n v="200"/>
    <n v="100"/>
    <n v="11"/>
    <n v="17.7"/>
    <n v="10"/>
    <x v="1"/>
    <x v="0"/>
    <n v="0"/>
    <n v="1"/>
  </r>
  <r>
    <x v="0"/>
    <x v="13"/>
    <s v="4.4-4.5"/>
    <x v="24"/>
    <n v="4"/>
    <x v="0"/>
    <n v="31"/>
    <n v="200"/>
    <n v="100"/>
    <n v="15.5"/>
    <n v="17.7"/>
    <n v="10"/>
    <x v="0"/>
    <x v="0"/>
    <n v="0"/>
    <n v="0"/>
  </r>
  <r>
    <x v="0"/>
    <x v="13"/>
    <s v="4.4-4.5"/>
    <x v="24"/>
    <n v="4"/>
    <x v="4"/>
    <n v="2"/>
    <n v="200"/>
    <n v="100"/>
    <n v="1"/>
    <n v="17.7"/>
    <n v="10"/>
    <x v="1"/>
    <x v="0"/>
    <n v="0"/>
    <n v="0"/>
  </r>
  <r>
    <x v="0"/>
    <x v="13"/>
    <s v="4.4-4.5"/>
    <x v="24"/>
    <n v="4"/>
    <x v="2"/>
    <n v="1"/>
    <n v="200"/>
    <n v="100"/>
    <n v="0.5"/>
    <n v="17.7"/>
    <n v="10"/>
    <x v="1"/>
    <x v="0"/>
    <n v="0"/>
    <n v="0"/>
  </r>
  <r>
    <x v="0"/>
    <x v="13"/>
    <s v="4.5-4.6"/>
    <x v="25"/>
    <n v="4"/>
    <x v="0"/>
    <n v="37"/>
    <n v="200"/>
    <n v="100"/>
    <n v="18.5"/>
    <n v="17.7"/>
    <n v="10"/>
    <x v="0"/>
    <x v="0"/>
    <n v="0"/>
    <n v="1"/>
  </r>
  <r>
    <x v="0"/>
    <x v="13"/>
    <s v="4.5-4.6"/>
    <x v="25"/>
    <n v="4"/>
    <x v="10"/>
    <n v="17"/>
    <n v="200"/>
    <n v="100"/>
    <n v="8.5"/>
    <n v="17.7"/>
    <n v="10"/>
    <x v="1"/>
    <x v="0"/>
    <n v="0"/>
    <n v="0"/>
  </r>
  <r>
    <x v="0"/>
    <x v="13"/>
    <s v="4.5-4.6"/>
    <x v="25"/>
    <n v="4"/>
    <x v="2"/>
    <n v="7"/>
    <n v="200"/>
    <n v="100"/>
    <n v="3.5000000000000004"/>
    <n v="17.7"/>
    <n v="10"/>
    <x v="1"/>
    <x v="0"/>
    <n v="0"/>
    <n v="0"/>
  </r>
  <r>
    <x v="0"/>
    <x v="13"/>
    <s v="4.6-4.7"/>
    <x v="26"/>
    <n v="4"/>
    <x v="0"/>
    <n v="49"/>
    <n v="200"/>
    <n v="100"/>
    <n v="24.5"/>
    <n v="17.7"/>
    <n v="10"/>
    <x v="0"/>
    <x v="0"/>
    <n v="0"/>
    <n v="1"/>
  </r>
  <r>
    <x v="0"/>
    <x v="13"/>
    <s v="4.6-4.7"/>
    <x v="26"/>
    <n v="4"/>
    <x v="66"/>
    <n v="5"/>
    <n v="200"/>
    <n v="100"/>
    <n v="2.5"/>
    <n v="17.7"/>
    <n v="10"/>
    <x v="6"/>
    <x v="0"/>
    <n v="0"/>
    <n v="0"/>
  </r>
  <r>
    <x v="0"/>
    <x v="13"/>
    <s v="4.6-4.7"/>
    <x v="26"/>
    <n v="4"/>
    <x v="2"/>
    <n v="2"/>
    <n v="200"/>
    <n v="100"/>
    <n v="1"/>
    <n v="17.7"/>
    <n v="10"/>
    <x v="1"/>
    <x v="0"/>
    <n v="0"/>
    <n v="0"/>
  </r>
  <r>
    <x v="0"/>
    <x v="13"/>
    <s v="4.6-4.7"/>
    <x v="26"/>
    <n v="4"/>
    <x v="9"/>
    <n v="1"/>
    <n v="200"/>
    <n v="100"/>
    <n v="0.5"/>
    <n v="17.7"/>
    <n v="10"/>
    <x v="1"/>
    <x v="0"/>
    <n v="0"/>
    <n v="0"/>
  </r>
  <r>
    <x v="0"/>
    <x v="13"/>
    <s v="4.6-4.7"/>
    <x v="26"/>
    <n v="4"/>
    <x v="6"/>
    <n v="16"/>
    <n v="200"/>
    <n v="100"/>
    <n v="8"/>
    <n v="17.7"/>
    <n v="10"/>
    <x v="1"/>
    <x v="0"/>
    <n v="0"/>
    <n v="0"/>
  </r>
  <r>
    <x v="0"/>
    <x v="13"/>
    <s v="4.7-4.0"/>
    <x v="27"/>
    <n v="4"/>
    <x v="0"/>
    <n v="30"/>
    <n v="200"/>
    <n v="100"/>
    <n v="15"/>
    <n v="17.7"/>
    <n v="10"/>
    <x v="0"/>
    <x v="0"/>
    <n v="0"/>
    <n v="1"/>
  </r>
  <r>
    <x v="0"/>
    <x v="13"/>
    <s v="4.7-4.0"/>
    <x v="27"/>
    <n v="4"/>
    <x v="4"/>
    <n v="6"/>
    <n v="200"/>
    <n v="100"/>
    <n v="3"/>
    <n v="17.7"/>
    <n v="10"/>
    <x v="1"/>
    <x v="0"/>
    <n v="0"/>
    <n v="0"/>
  </r>
  <r>
    <x v="0"/>
    <x v="13"/>
    <s v="4.7-4.0"/>
    <x v="27"/>
    <n v="4"/>
    <x v="2"/>
    <n v="11"/>
    <n v="200"/>
    <n v="100"/>
    <n v="5.5"/>
    <n v="17.7"/>
    <n v="10"/>
    <x v="1"/>
    <x v="0"/>
    <n v="0"/>
    <n v="0"/>
  </r>
  <r>
    <x v="0"/>
    <x v="13"/>
    <s v="5.1-5.2"/>
    <x v="28"/>
    <n v="5"/>
    <x v="0"/>
    <n v="26"/>
    <n v="200"/>
    <n v="100"/>
    <n v="13"/>
    <n v="17.7"/>
    <n v="10"/>
    <x v="0"/>
    <x v="0"/>
    <n v="0"/>
    <n v="1"/>
  </r>
  <r>
    <x v="0"/>
    <x v="13"/>
    <s v="5.1-5.2"/>
    <x v="28"/>
    <n v="5"/>
    <x v="4"/>
    <n v="23"/>
    <n v="200"/>
    <n v="100"/>
    <n v="11.5"/>
    <n v="17.7"/>
    <n v="10"/>
    <x v="1"/>
    <x v="0"/>
    <n v="0"/>
    <n v="0"/>
  </r>
  <r>
    <x v="0"/>
    <x v="13"/>
    <s v="5.1-5.2"/>
    <x v="28"/>
    <n v="5"/>
    <x v="1"/>
    <n v="1"/>
    <n v="200"/>
    <n v="100"/>
    <n v="0.5"/>
    <n v="17.7"/>
    <n v="10"/>
    <x v="1"/>
    <x v="0"/>
    <n v="0"/>
    <n v="0"/>
  </r>
  <r>
    <x v="0"/>
    <x v="13"/>
    <s v="5.1-5.2"/>
    <x v="28"/>
    <n v="5"/>
    <x v="2"/>
    <n v="2"/>
    <n v="200"/>
    <n v="100"/>
    <n v="1"/>
    <n v="17.7"/>
    <n v="10"/>
    <x v="1"/>
    <x v="0"/>
    <n v="0"/>
    <n v="0"/>
  </r>
  <r>
    <x v="0"/>
    <x v="13"/>
    <s v="5.1-5.2"/>
    <x v="28"/>
    <n v="5"/>
    <x v="10"/>
    <n v="3"/>
    <n v="200"/>
    <n v="100"/>
    <n v="1.5"/>
    <n v="17.7"/>
    <n v="10"/>
    <x v="1"/>
    <x v="0"/>
    <n v="0"/>
    <n v="0"/>
  </r>
  <r>
    <x v="0"/>
    <x v="13"/>
    <s v="5.2-5.3"/>
    <x v="29"/>
    <n v="5"/>
    <x v="0"/>
    <n v="36"/>
    <n v="200"/>
    <n v="100"/>
    <n v="18"/>
    <n v="17.7"/>
    <n v="10"/>
    <x v="0"/>
    <x v="0"/>
    <n v="0"/>
    <n v="1"/>
  </r>
  <r>
    <x v="0"/>
    <x v="13"/>
    <s v="5.2-5.3"/>
    <x v="29"/>
    <n v="5"/>
    <x v="2"/>
    <n v="2"/>
    <n v="200"/>
    <n v="100"/>
    <n v="1"/>
    <n v="17.7"/>
    <n v="10"/>
    <x v="1"/>
    <x v="0"/>
    <n v="0"/>
    <n v="0"/>
  </r>
  <r>
    <x v="0"/>
    <x v="13"/>
    <s v="5.2-5.3"/>
    <x v="29"/>
    <n v="5"/>
    <x v="1"/>
    <n v="4"/>
    <n v="200"/>
    <n v="100"/>
    <n v="2"/>
    <n v="17.7"/>
    <n v="10"/>
    <x v="1"/>
    <x v="0"/>
    <n v="0"/>
    <n v="0"/>
  </r>
  <r>
    <x v="0"/>
    <x v="13"/>
    <s v="5.3-5.4"/>
    <x v="30"/>
    <n v="5"/>
    <x v="1"/>
    <n v="15"/>
    <n v="200"/>
    <n v="100"/>
    <n v="7.5"/>
    <n v="17.7"/>
    <n v="10"/>
    <x v="1"/>
    <x v="0"/>
    <n v="0"/>
    <n v="1"/>
  </r>
  <r>
    <x v="0"/>
    <x v="13"/>
    <s v="5.3-5.4"/>
    <x v="30"/>
    <n v="5"/>
    <x v="0"/>
    <n v="21"/>
    <n v="200"/>
    <n v="100"/>
    <n v="10.5"/>
    <n v="17.7"/>
    <n v="10"/>
    <x v="0"/>
    <x v="0"/>
    <n v="0"/>
    <n v="0"/>
  </r>
  <r>
    <x v="0"/>
    <x v="13"/>
    <s v="5.3-5.4"/>
    <x v="30"/>
    <n v="5"/>
    <x v="10"/>
    <n v="6"/>
    <n v="200"/>
    <n v="100"/>
    <n v="3"/>
    <n v="17.7"/>
    <n v="10"/>
    <x v="1"/>
    <x v="0"/>
    <n v="0"/>
    <n v="0"/>
  </r>
  <r>
    <x v="0"/>
    <x v="13"/>
    <s v="5.4-5.5"/>
    <x v="31"/>
    <n v="5"/>
    <x v="0"/>
    <n v="5"/>
    <n v="200"/>
    <n v="100"/>
    <n v="2.5"/>
    <n v="17.7"/>
    <n v="10"/>
    <x v="0"/>
    <x v="0"/>
    <n v="0"/>
    <n v="1"/>
  </r>
  <r>
    <x v="0"/>
    <x v="13"/>
    <s v="5.4-5.5"/>
    <x v="31"/>
    <n v="5"/>
    <x v="10"/>
    <n v="19"/>
    <n v="200"/>
    <n v="100"/>
    <n v="9.5"/>
    <n v="17.7"/>
    <n v="10"/>
    <x v="1"/>
    <x v="0"/>
    <n v="0"/>
    <n v="0"/>
  </r>
  <r>
    <x v="0"/>
    <x v="13"/>
    <s v="5.4-5.5"/>
    <x v="31"/>
    <n v="5"/>
    <x v="2"/>
    <n v="8"/>
    <n v="200"/>
    <n v="100"/>
    <n v="4"/>
    <n v="17.7"/>
    <n v="10"/>
    <x v="1"/>
    <x v="0"/>
    <n v="0"/>
    <n v="0"/>
  </r>
  <r>
    <x v="0"/>
    <x v="13"/>
    <s v="5.5-5.6"/>
    <x v="32"/>
    <n v="5"/>
    <x v="10"/>
    <n v="15"/>
    <n v="200"/>
    <n v="100"/>
    <n v="7.5"/>
    <n v="17.7"/>
    <n v="10"/>
    <x v="1"/>
    <x v="0"/>
    <n v="0"/>
    <n v="1"/>
  </r>
  <r>
    <x v="0"/>
    <x v="13"/>
    <s v="5.5-5.6"/>
    <x v="32"/>
    <n v="5"/>
    <x v="2"/>
    <n v="12"/>
    <n v="200"/>
    <n v="100"/>
    <n v="6"/>
    <n v="17.7"/>
    <n v="10"/>
    <x v="1"/>
    <x v="0"/>
    <n v="0"/>
    <n v="0"/>
  </r>
  <r>
    <x v="0"/>
    <x v="13"/>
    <s v="5.5-5.6"/>
    <x v="32"/>
    <n v="5"/>
    <x v="0"/>
    <n v="4"/>
    <n v="200"/>
    <n v="100"/>
    <n v="2"/>
    <n v="17.7"/>
    <n v="10"/>
    <x v="0"/>
    <x v="0"/>
    <n v="0"/>
    <n v="0"/>
  </r>
  <r>
    <x v="0"/>
    <x v="13"/>
    <s v="5.5-5.6"/>
    <x v="32"/>
    <n v="5"/>
    <x v="1"/>
    <n v="3"/>
    <n v="200"/>
    <n v="100"/>
    <n v="1.5"/>
    <n v="17.7"/>
    <n v="10"/>
    <x v="1"/>
    <x v="0"/>
    <n v="0"/>
    <n v="0"/>
  </r>
  <r>
    <x v="0"/>
    <x v="13"/>
    <s v="5.5-5.6"/>
    <x v="32"/>
    <n v="5"/>
    <x v="9"/>
    <n v="2"/>
    <n v="200"/>
    <n v="100"/>
    <n v="1"/>
    <n v="17.7"/>
    <n v="10"/>
    <x v="1"/>
    <x v="0"/>
    <n v="0"/>
    <n v="0"/>
  </r>
  <r>
    <x v="0"/>
    <x v="13"/>
    <s v="5.6-5.7"/>
    <x v="33"/>
    <n v="5"/>
    <x v="1"/>
    <n v="1"/>
    <n v="200"/>
    <n v="100"/>
    <n v="0.5"/>
    <n v="17.7"/>
    <n v="10"/>
    <x v="1"/>
    <x v="0"/>
    <n v="0"/>
    <n v="1"/>
  </r>
  <r>
    <x v="0"/>
    <x v="13"/>
    <s v="5.6-5.7"/>
    <x v="33"/>
    <n v="5"/>
    <x v="0"/>
    <n v="23"/>
    <n v="200"/>
    <n v="100"/>
    <n v="11.5"/>
    <n v="17.7"/>
    <n v="10"/>
    <x v="0"/>
    <x v="0"/>
    <n v="0"/>
    <n v="0"/>
  </r>
  <r>
    <x v="0"/>
    <x v="13"/>
    <s v="5.6-5.7"/>
    <x v="33"/>
    <n v="5"/>
    <x v="10"/>
    <n v="15"/>
    <n v="200"/>
    <n v="100"/>
    <n v="7.5"/>
    <n v="17.7"/>
    <n v="10"/>
    <x v="1"/>
    <x v="0"/>
    <n v="0"/>
    <n v="0"/>
  </r>
  <r>
    <x v="0"/>
    <x v="13"/>
    <s v="5.6-5.7"/>
    <x v="33"/>
    <n v="5"/>
    <x v="2"/>
    <n v="1"/>
    <n v="200"/>
    <n v="100"/>
    <n v="0.5"/>
    <n v="17.7"/>
    <n v="10"/>
    <x v="1"/>
    <x v="0"/>
    <n v="0"/>
    <n v="0"/>
  </r>
  <r>
    <x v="0"/>
    <x v="13"/>
    <s v="5.7-5.0"/>
    <x v="34"/>
    <n v="5"/>
    <x v="0"/>
    <n v="31"/>
    <n v="200"/>
    <n v="100"/>
    <n v="15.5"/>
    <n v="17.7"/>
    <n v="10"/>
    <x v="0"/>
    <x v="0"/>
    <n v="0"/>
    <n v="1"/>
  </r>
  <r>
    <x v="0"/>
    <x v="13"/>
    <s v="5.7-5.0"/>
    <x v="34"/>
    <n v="5"/>
    <x v="1"/>
    <n v="13"/>
    <n v="200"/>
    <n v="100"/>
    <n v="6.5"/>
    <n v="17.7"/>
    <n v="10"/>
    <x v="1"/>
    <x v="0"/>
    <n v="0"/>
    <n v="0"/>
  </r>
  <r>
    <x v="0"/>
    <x v="13"/>
    <s v="6.1-6.2"/>
    <x v="35"/>
    <n v="6"/>
    <x v="0"/>
    <n v="25"/>
    <n v="200"/>
    <n v="100"/>
    <n v="12.5"/>
    <n v="17.7"/>
    <n v="10"/>
    <x v="0"/>
    <x v="0"/>
    <n v="0"/>
    <n v="1"/>
  </r>
  <r>
    <x v="0"/>
    <x v="13"/>
    <s v="6.2-6.3"/>
    <x v="36"/>
    <n v="6"/>
    <x v="2"/>
    <n v="8"/>
    <n v="200"/>
    <n v="100"/>
    <n v="4"/>
    <n v="17.7"/>
    <n v="10"/>
    <x v="1"/>
    <x v="0"/>
    <n v="0"/>
    <n v="1"/>
  </r>
  <r>
    <x v="0"/>
    <x v="13"/>
    <s v="6.2-6.3"/>
    <x v="36"/>
    <n v="6"/>
    <x v="0"/>
    <n v="13"/>
    <n v="200"/>
    <n v="100"/>
    <n v="6.5"/>
    <n v="17.7"/>
    <n v="10"/>
    <x v="0"/>
    <x v="0"/>
    <n v="0"/>
    <n v="0"/>
  </r>
  <r>
    <x v="0"/>
    <x v="13"/>
    <s v="6.2-6.3"/>
    <x v="36"/>
    <n v="6"/>
    <x v="10"/>
    <n v="2"/>
    <n v="200"/>
    <n v="100"/>
    <n v="1"/>
    <n v="17.7"/>
    <n v="10"/>
    <x v="1"/>
    <x v="0"/>
    <n v="0"/>
    <n v="0"/>
  </r>
  <r>
    <x v="0"/>
    <x v="13"/>
    <s v="6.2-6.3"/>
    <x v="36"/>
    <n v="6"/>
    <x v="1"/>
    <n v="1"/>
    <n v="200"/>
    <n v="100"/>
    <n v="0.5"/>
    <n v="17.7"/>
    <n v="10"/>
    <x v="1"/>
    <x v="0"/>
    <n v="0"/>
    <n v="0"/>
  </r>
  <r>
    <x v="0"/>
    <x v="13"/>
    <s v="6.3-6.4"/>
    <x v="37"/>
    <n v="6"/>
    <x v="0"/>
    <n v="3"/>
    <n v="200"/>
    <n v="100"/>
    <n v="1.5"/>
    <n v="17.7"/>
    <n v="10"/>
    <x v="0"/>
    <x v="0"/>
    <n v="0"/>
    <n v="1"/>
  </r>
  <r>
    <x v="0"/>
    <x v="13"/>
    <s v="6.3-6.4"/>
    <x v="37"/>
    <n v="6"/>
    <x v="10"/>
    <n v="12"/>
    <n v="200"/>
    <n v="100"/>
    <n v="6"/>
    <n v="17.7"/>
    <n v="10"/>
    <x v="1"/>
    <x v="0"/>
    <n v="0"/>
    <n v="0"/>
  </r>
  <r>
    <x v="0"/>
    <x v="13"/>
    <s v="6.3-6.4"/>
    <x v="37"/>
    <n v="6"/>
    <x v="1"/>
    <n v="4"/>
    <n v="200"/>
    <n v="100"/>
    <n v="2"/>
    <n v="17.7"/>
    <n v="10"/>
    <x v="1"/>
    <x v="0"/>
    <n v="0"/>
    <n v="0"/>
  </r>
  <r>
    <x v="0"/>
    <x v="13"/>
    <s v="6.3-6.4"/>
    <x v="37"/>
    <n v="6"/>
    <x v="2"/>
    <n v="7"/>
    <n v="200"/>
    <n v="100"/>
    <n v="3.5000000000000004"/>
    <n v="17.7"/>
    <n v="10"/>
    <x v="1"/>
    <x v="0"/>
    <n v="0"/>
    <n v="0"/>
  </r>
  <r>
    <x v="0"/>
    <x v="13"/>
    <s v="6.4-6.5"/>
    <x v="38"/>
    <n v="6"/>
    <x v="0"/>
    <n v="18"/>
    <n v="200"/>
    <n v="100"/>
    <n v="9"/>
    <n v="17.7"/>
    <n v="10"/>
    <x v="0"/>
    <x v="0"/>
    <n v="0"/>
    <n v="1"/>
  </r>
  <r>
    <x v="0"/>
    <x v="13"/>
    <s v="6.4-6.5"/>
    <x v="38"/>
    <n v="6"/>
    <x v="10"/>
    <n v="2"/>
    <n v="200"/>
    <n v="100"/>
    <n v="1"/>
    <n v="17.7"/>
    <n v="10"/>
    <x v="1"/>
    <x v="0"/>
    <n v="0"/>
    <n v="0"/>
  </r>
  <r>
    <x v="0"/>
    <x v="13"/>
    <s v="6.4-6.5"/>
    <x v="38"/>
    <n v="6"/>
    <x v="2"/>
    <n v="1"/>
    <n v="200"/>
    <n v="100"/>
    <n v="0.5"/>
    <n v="17.7"/>
    <n v="10"/>
    <x v="1"/>
    <x v="0"/>
    <n v="0"/>
    <n v="0"/>
  </r>
  <r>
    <x v="0"/>
    <x v="13"/>
    <s v="6.4-6.5"/>
    <x v="38"/>
    <n v="6"/>
    <x v="1"/>
    <n v="3"/>
    <n v="200"/>
    <n v="100"/>
    <n v="1.5"/>
    <n v="17.7"/>
    <n v="10"/>
    <x v="1"/>
    <x v="0"/>
    <n v="0"/>
    <n v="0"/>
  </r>
  <r>
    <x v="0"/>
    <x v="13"/>
    <s v="6.5-6.6"/>
    <x v="39"/>
    <n v="6"/>
    <x v="1"/>
    <n v="14"/>
    <n v="200"/>
    <n v="100"/>
    <n v="7.0000000000000009"/>
    <n v="17.7"/>
    <n v="10"/>
    <x v="1"/>
    <x v="0"/>
    <n v="0"/>
    <n v="1"/>
  </r>
  <r>
    <x v="0"/>
    <x v="13"/>
    <s v="6.5-6.6"/>
    <x v="39"/>
    <n v="6"/>
    <x v="0"/>
    <n v="33"/>
    <n v="200"/>
    <n v="100"/>
    <n v="16.5"/>
    <n v="17.7"/>
    <n v="10"/>
    <x v="0"/>
    <x v="0"/>
    <n v="0"/>
    <n v="0"/>
  </r>
  <r>
    <x v="0"/>
    <x v="13"/>
    <s v="6.5-6.6"/>
    <x v="39"/>
    <n v="6"/>
    <x v="10"/>
    <n v="7"/>
    <n v="200"/>
    <n v="100"/>
    <n v="3.5000000000000004"/>
    <n v="17.7"/>
    <n v="10"/>
    <x v="1"/>
    <x v="0"/>
    <n v="0"/>
    <n v="0"/>
  </r>
  <r>
    <x v="0"/>
    <x v="13"/>
    <s v="6.5-6.6"/>
    <x v="39"/>
    <n v="6"/>
    <x v="2"/>
    <n v="1"/>
    <n v="200"/>
    <n v="100"/>
    <n v="0.5"/>
    <n v="17.7"/>
    <n v="10"/>
    <x v="1"/>
    <x v="0"/>
    <n v="0"/>
    <n v="0"/>
  </r>
  <r>
    <x v="0"/>
    <x v="13"/>
    <s v="6.6-6.7"/>
    <x v="40"/>
    <n v="6"/>
    <x v="10"/>
    <n v="3"/>
    <n v="200"/>
    <n v="100"/>
    <n v="1.5"/>
    <n v="17.7"/>
    <n v="10"/>
    <x v="1"/>
    <x v="0"/>
    <n v="0"/>
    <n v="1"/>
  </r>
  <r>
    <x v="0"/>
    <x v="13"/>
    <s v="6.6-6.7"/>
    <x v="40"/>
    <n v="6"/>
    <x v="2"/>
    <n v="3"/>
    <n v="200"/>
    <n v="100"/>
    <n v="1.5"/>
    <n v="17.7"/>
    <n v="10"/>
    <x v="1"/>
    <x v="0"/>
    <n v="0"/>
    <n v="0"/>
  </r>
  <r>
    <x v="0"/>
    <x v="13"/>
    <s v="6.6-6.7"/>
    <x v="40"/>
    <n v="6"/>
    <x v="0"/>
    <n v="20"/>
    <n v="200"/>
    <n v="100"/>
    <n v="10"/>
    <n v="17.7"/>
    <n v="10"/>
    <x v="0"/>
    <x v="0"/>
    <n v="0"/>
    <n v="0"/>
  </r>
  <r>
    <x v="0"/>
    <x v="13"/>
    <s v="6.6-6.7"/>
    <x v="40"/>
    <n v="6"/>
    <x v="1"/>
    <n v="3"/>
    <n v="200"/>
    <n v="100"/>
    <n v="1.5"/>
    <n v="17.7"/>
    <n v="10"/>
    <x v="1"/>
    <x v="0"/>
    <n v="0"/>
    <n v="0"/>
  </r>
  <r>
    <x v="0"/>
    <x v="13"/>
    <s v="6.7-6.0"/>
    <x v="41"/>
    <n v="6"/>
    <x v="0"/>
    <n v="43"/>
    <n v="200"/>
    <n v="100"/>
    <n v="21.5"/>
    <n v="17.7"/>
    <n v="10"/>
    <x v="0"/>
    <x v="0"/>
    <n v="0"/>
    <n v="1"/>
  </r>
  <r>
    <x v="0"/>
    <x v="13"/>
    <s v="6.7-6.0"/>
    <x v="41"/>
    <n v="6"/>
    <x v="1"/>
    <n v="8"/>
    <n v="200"/>
    <n v="100"/>
    <n v="4"/>
    <n v="17.7"/>
    <n v="10"/>
    <x v="1"/>
    <x v="0"/>
    <n v="0"/>
    <n v="0"/>
  </r>
  <r>
    <x v="0"/>
    <x v="13"/>
    <s v="6.7-6.0"/>
    <x v="41"/>
    <n v="6"/>
    <x v="4"/>
    <n v="7"/>
    <n v="200"/>
    <n v="100"/>
    <n v="3.5000000000000004"/>
    <n v="17.7"/>
    <n v="10"/>
    <x v="1"/>
    <x v="0"/>
    <n v="0"/>
    <n v="0"/>
  </r>
  <r>
    <x v="0"/>
    <x v="13"/>
    <s v="7.1-7.2"/>
    <x v="42"/>
    <n v="7"/>
    <x v="0"/>
    <n v="56"/>
    <n v="200"/>
    <n v="100"/>
    <n v="28.000000000000004"/>
    <n v="17.7"/>
    <n v="10"/>
    <x v="0"/>
    <x v="0"/>
    <n v="0"/>
    <n v="1"/>
  </r>
  <r>
    <x v="0"/>
    <x v="13"/>
    <s v="7.1-7.2"/>
    <x v="42"/>
    <n v="7"/>
    <x v="1"/>
    <n v="7"/>
    <n v="200"/>
    <n v="100"/>
    <n v="3.5000000000000004"/>
    <n v="17.7"/>
    <n v="10"/>
    <x v="1"/>
    <x v="0"/>
    <n v="0"/>
    <n v="0"/>
  </r>
  <r>
    <x v="0"/>
    <x v="13"/>
    <s v="7.1-7.2"/>
    <x v="42"/>
    <n v="7"/>
    <x v="66"/>
    <n v="5"/>
    <n v="200"/>
    <n v="100"/>
    <n v="2.5"/>
    <n v="17.7"/>
    <n v="10"/>
    <x v="6"/>
    <x v="0"/>
    <n v="0"/>
    <n v="0"/>
  </r>
  <r>
    <x v="0"/>
    <x v="13"/>
    <s v="7.2-7.3"/>
    <x v="43"/>
    <n v="7"/>
    <x v="0"/>
    <n v="50"/>
    <n v="200"/>
    <n v="100"/>
    <n v="25"/>
    <n v="17.7"/>
    <n v="10"/>
    <x v="0"/>
    <x v="0"/>
    <n v="0"/>
    <n v="1"/>
  </r>
  <r>
    <x v="0"/>
    <x v="13"/>
    <s v="7.2-7.3"/>
    <x v="43"/>
    <n v="7"/>
    <x v="1"/>
    <n v="12"/>
    <n v="200"/>
    <n v="100"/>
    <n v="6"/>
    <n v="17.7"/>
    <n v="10"/>
    <x v="1"/>
    <x v="0"/>
    <n v="0"/>
    <n v="0"/>
  </r>
  <r>
    <x v="0"/>
    <x v="13"/>
    <s v="7.2-7.3"/>
    <x v="43"/>
    <n v="7"/>
    <x v="10"/>
    <n v="3"/>
    <n v="200"/>
    <n v="100"/>
    <n v="1.5"/>
    <n v="17.7"/>
    <n v="10"/>
    <x v="1"/>
    <x v="0"/>
    <n v="0"/>
    <n v="0"/>
  </r>
  <r>
    <x v="0"/>
    <x v="13"/>
    <s v="7.2-7.3"/>
    <x v="43"/>
    <n v="7"/>
    <x v="2"/>
    <n v="2"/>
    <n v="200"/>
    <n v="100"/>
    <n v="1"/>
    <n v="17.7"/>
    <n v="10"/>
    <x v="1"/>
    <x v="0"/>
    <n v="0"/>
    <n v="0"/>
  </r>
  <r>
    <x v="0"/>
    <x v="13"/>
    <s v="7.3-7.4"/>
    <x v="44"/>
    <n v="7"/>
    <x v="0"/>
    <n v="47"/>
    <n v="200"/>
    <n v="100"/>
    <n v="23.5"/>
    <n v="17.7"/>
    <n v="10"/>
    <x v="0"/>
    <x v="0"/>
    <n v="0"/>
    <n v="1"/>
  </r>
  <r>
    <x v="0"/>
    <x v="13"/>
    <s v="7.3-7.4"/>
    <x v="44"/>
    <n v="7"/>
    <x v="66"/>
    <n v="2"/>
    <n v="200"/>
    <n v="100"/>
    <n v="1"/>
    <n v="17.7"/>
    <n v="10"/>
    <x v="6"/>
    <x v="0"/>
    <n v="0"/>
    <n v="0"/>
  </r>
  <r>
    <x v="0"/>
    <x v="13"/>
    <s v="7.3-7.4"/>
    <x v="44"/>
    <n v="7"/>
    <x v="1"/>
    <n v="6"/>
    <n v="200"/>
    <n v="100"/>
    <n v="3"/>
    <n v="17.7"/>
    <n v="10"/>
    <x v="1"/>
    <x v="0"/>
    <n v="0"/>
    <n v="0"/>
  </r>
  <r>
    <x v="0"/>
    <x v="13"/>
    <s v="7.4-7.5"/>
    <x v="45"/>
    <n v="7"/>
    <x v="0"/>
    <n v="26"/>
    <n v="200"/>
    <n v="100"/>
    <n v="13"/>
    <n v="17.7"/>
    <n v="10"/>
    <x v="0"/>
    <x v="0"/>
    <n v="0"/>
    <n v="1"/>
  </r>
  <r>
    <x v="0"/>
    <x v="13"/>
    <s v="7.4-7.5"/>
    <x v="45"/>
    <n v="7"/>
    <x v="1"/>
    <n v="4"/>
    <n v="200"/>
    <n v="100"/>
    <n v="2"/>
    <n v="17.7"/>
    <n v="10"/>
    <x v="1"/>
    <x v="0"/>
    <n v="0"/>
    <n v="0"/>
  </r>
  <r>
    <x v="0"/>
    <x v="13"/>
    <s v="7.5-7.6"/>
    <x v="46"/>
    <n v="7"/>
    <x v="0"/>
    <n v="44"/>
    <n v="200"/>
    <n v="100"/>
    <n v="22"/>
    <n v="17.7"/>
    <n v="10"/>
    <x v="0"/>
    <x v="0"/>
    <n v="0"/>
    <n v="1"/>
  </r>
  <r>
    <x v="0"/>
    <x v="13"/>
    <s v="7.5-7.6"/>
    <x v="46"/>
    <n v="7"/>
    <x v="6"/>
    <n v="4"/>
    <n v="200"/>
    <n v="100"/>
    <n v="2"/>
    <n v="17.7"/>
    <n v="10"/>
    <x v="1"/>
    <x v="0"/>
    <n v="0"/>
    <n v="0"/>
  </r>
  <r>
    <x v="0"/>
    <x v="13"/>
    <s v="7.5-7.6"/>
    <x v="46"/>
    <n v="7"/>
    <x v="1"/>
    <n v="19"/>
    <n v="200"/>
    <n v="100"/>
    <n v="9.5"/>
    <n v="17.7"/>
    <n v="10"/>
    <x v="1"/>
    <x v="0"/>
    <n v="0"/>
    <n v="0"/>
  </r>
  <r>
    <x v="0"/>
    <x v="13"/>
    <s v="7.5-7.6"/>
    <x v="46"/>
    <n v="7"/>
    <x v="66"/>
    <n v="11"/>
    <n v="200"/>
    <n v="100"/>
    <n v="5.5"/>
    <n v="17.7"/>
    <n v="10"/>
    <x v="6"/>
    <x v="0"/>
    <n v="0"/>
    <n v="0"/>
  </r>
  <r>
    <x v="0"/>
    <x v="13"/>
    <s v="7.6-7.7"/>
    <x v="47"/>
    <n v="7"/>
    <x v="0"/>
    <n v="31"/>
    <n v="200"/>
    <n v="100"/>
    <n v="15.5"/>
    <n v="17.7"/>
    <n v="10"/>
    <x v="0"/>
    <x v="0"/>
    <n v="0"/>
    <n v="1"/>
  </r>
  <r>
    <x v="0"/>
    <x v="13"/>
    <s v="7.6-7.7"/>
    <x v="47"/>
    <n v="7"/>
    <x v="1"/>
    <n v="10"/>
    <n v="200"/>
    <n v="100"/>
    <n v="5"/>
    <n v="17.7"/>
    <n v="10"/>
    <x v="1"/>
    <x v="0"/>
    <n v="0"/>
    <n v="0"/>
  </r>
  <r>
    <x v="0"/>
    <x v="13"/>
    <s v="7.6-7.7"/>
    <x v="47"/>
    <n v="7"/>
    <x v="66"/>
    <n v="2"/>
    <n v="200"/>
    <n v="100"/>
    <n v="1"/>
    <n v="17.7"/>
    <n v="10"/>
    <x v="6"/>
    <x v="0"/>
    <n v="0"/>
    <n v="0"/>
  </r>
  <r>
    <x v="0"/>
    <x v="13"/>
    <s v="7.7-7.0"/>
    <x v="48"/>
    <n v="7"/>
    <x v="0"/>
    <n v="7"/>
    <n v="200"/>
    <n v="100"/>
    <n v="3.5000000000000004"/>
    <n v="17.7"/>
    <n v="10"/>
    <x v="0"/>
    <x v="0"/>
    <n v="0"/>
    <n v="1"/>
  </r>
  <r>
    <x v="0"/>
    <x v="13"/>
    <s v="7.7-7.0"/>
    <x v="48"/>
    <n v="7"/>
    <x v="4"/>
    <n v="19"/>
    <n v="200"/>
    <n v="100"/>
    <n v="9.5"/>
    <n v="17.7"/>
    <n v="10"/>
    <x v="1"/>
    <x v="0"/>
    <n v="0"/>
    <n v="0"/>
  </r>
  <r>
    <x v="0"/>
    <x v="13"/>
    <s v="7.7-7.0"/>
    <x v="48"/>
    <n v="7"/>
    <x v="7"/>
    <n v="4"/>
    <n v="200"/>
    <n v="100"/>
    <n v="2"/>
    <n v="17.7"/>
    <n v="10"/>
    <x v="1"/>
    <x v="0"/>
    <n v="0"/>
    <n v="0"/>
  </r>
  <r>
    <x v="0"/>
    <x v="13"/>
    <s v="7.7-7.0"/>
    <x v="48"/>
    <n v="7"/>
    <x v="1"/>
    <n v="3"/>
    <n v="200"/>
    <n v="100"/>
    <n v="1.5"/>
    <n v="17.7"/>
    <n v="10"/>
    <x v="1"/>
    <x v="0"/>
    <n v="0"/>
    <n v="0"/>
  </r>
  <r>
    <x v="0"/>
    <x v="13"/>
    <s v="8.1-8.2"/>
    <x v="49"/>
    <n v="8"/>
    <x v="7"/>
    <n v="38"/>
    <n v="200"/>
    <n v="100"/>
    <n v="19"/>
    <n v="17.7"/>
    <n v="10"/>
    <x v="1"/>
    <x v="0"/>
    <n v="0"/>
    <n v="1"/>
  </r>
  <r>
    <x v="0"/>
    <x v="13"/>
    <s v="8.2-8.3"/>
    <x v="50"/>
    <n v="8"/>
    <x v="4"/>
    <n v="6"/>
    <n v="200"/>
    <n v="100"/>
    <n v="3"/>
    <n v="17.7"/>
    <n v="10"/>
    <x v="1"/>
    <x v="0"/>
    <n v="0"/>
    <n v="1"/>
  </r>
  <r>
    <x v="0"/>
    <x v="13"/>
    <s v="8.2-8.3"/>
    <x v="50"/>
    <n v="8"/>
    <x v="0"/>
    <n v="8"/>
    <n v="200"/>
    <n v="100"/>
    <n v="4"/>
    <n v="17.7"/>
    <n v="10"/>
    <x v="0"/>
    <x v="0"/>
    <n v="0"/>
    <n v="0"/>
  </r>
  <r>
    <x v="0"/>
    <x v="13"/>
    <s v="8.2-8.3"/>
    <x v="50"/>
    <n v="8"/>
    <x v="3"/>
    <n v="1"/>
    <n v="200"/>
    <n v="100"/>
    <n v="0.5"/>
    <n v="17.7"/>
    <n v="10"/>
    <x v="1"/>
    <x v="0"/>
    <n v="0"/>
    <n v="0"/>
  </r>
  <r>
    <x v="0"/>
    <x v="13"/>
    <s v="8.3-8.4"/>
    <x v="51"/>
    <n v="8"/>
    <x v="0"/>
    <n v="25"/>
    <n v="200"/>
    <n v="100"/>
    <n v="12.5"/>
    <n v="17.7"/>
    <n v="10"/>
    <x v="0"/>
    <x v="0"/>
    <n v="0"/>
    <n v="1"/>
  </r>
  <r>
    <x v="0"/>
    <x v="13"/>
    <s v="8.3-8.4"/>
    <x v="51"/>
    <n v="8"/>
    <x v="4"/>
    <n v="2"/>
    <n v="200"/>
    <n v="100"/>
    <n v="1"/>
    <n v="17.7"/>
    <n v="10"/>
    <x v="1"/>
    <x v="0"/>
    <n v="0"/>
    <n v="0"/>
  </r>
  <r>
    <x v="0"/>
    <x v="13"/>
    <s v="8.3-8.4"/>
    <x v="51"/>
    <n v="8"/>
    <x v="10"/>
    <n v="2"/>
    <n v="200"/>
    <n v="100"/>
    <n v="1"/>
    <n v="17.7"/>
    <n v="10"/>
    <x v="1"/>
    <x v="0"/>
    <n v="0"/>
    <n v="0"/>
  </r>
  <r>
    <x v="0"/>
    <x v="13"/>
    <s v="8.4-8.5"/>
    <x v="52"/>
    <n v="8"/>
    <x v="0"/>
    <n v="4"/>
    <n v="200"/>
    <n v="100"/>
    <n v="2"/>
    <n v="17.7"/>
    <n v="10"/>
    <x v="0"/>
    <x v="0"/>
    <n v="0"/>
    <n v="1"/>
  </r>
  <r>
    <x v="0"/>
    <x v="13"/>
    <s v="8.4-8.5"/>
    <x v="52"/>
    <n v="8"/>
    <x v="4"/>
    <n v="1"/>
    <n v="200"/>
    <n v="100"/>
    <n v="0.5"/>
    <n v="17.7"/>
    <n v="10"/>
    <x v="1"/>
    <x v="0"/>
    <n v="0"/>
    <n v="0"/>
  </r>
  <r>
    <x v="0"/>
    <x v="13"/>
    <s v="8.4-8.5"/>
    <x v="52"/>
    <n v="8"/>
    <x v="10"/>
    <n v="43"/>
    <n v="200"/>
    <n v="100"/>
    <n v="21.5"/>
    <n v="17.7"/>
    <n v="10"/>
    <x v="1"/>
    <x v="0"/>
    <n v="0"/>
    <n v="0"/>
  </r>
  <r>
    <x v="0"/>
    <x v="13"/>
    <s v="8.5-8.0"/>
    <x v="53"/>
    <n v="8"/>
    <x v="10"/>
    <n v="20"/>
    <n v="200"/>
    <n v="100"/>
    <n v="10"/>
    <n v="17.7"/>
    <n v="10"/>
    <x v="1"/>
    <x v="0"/>
    <n v="0"/>
    <n v="1"/>
  </r>
  <r>
    <x v="0"/>
    <x v="13"/>
    <s v="8.5-8.0"/>
    <x v="53"/>
    <n v="8"/>
    <x v="0"/>
    <n v="13"/>
    <n v="200"/>
    <n v="100"/>
    <n v="6.5"/>
    <n v="17.7"/>
    <n v="10"/>
    <x v="0"/>
    <x v="0"/>
    <n v="0"/>
    <n v="0"/>
  </r>
  <r>
    <x v="0"/>
    <x v="13"/>
    <s v="8.5-8.0"/>
    <x v="53"/>
    <n v="8"/>
    <x v="4"/>
    <n v="6"/>
    <n v="200"/>
    <n v="100"/>
    <n v="3"/>
    <n v="17.7"/>
    <n v="10"/>
    <x v="1"/>
    <x v="0"/>
    <n v="0"/>
    <n v="0"/>
  </r>
  <r>
    <x v="0"/>
    <x v="13"/>
    <s v="8.5-8.0"/>
    <x v="53"/>
    <n v="8"/>
    <x v="11"/>
    <n v="1"/>
    <n v="200"/>
    <n v="100"/>
    <n v="0.5"/>
    <n v="17.7"/>
    <n v="10"/>
    <x v="1"/>
    <x v="0"/>
    <n v="1"/>
    <n v="0"/>
  </r>
  <r>
    <x v="10"/>
    <x v="13"/>
    <s v="1.1-1.0"/>
    <x v="0"/>
    <n v="1"/>
    <x v="0"/>
    <n v="28"/>
    <n v="200"/>
    <n v="100"/>
    <n v="14.000000000000002"/>
    <e v="#N/A"/>
    <e v="#N/A"/>
    <x v="0"/>
    <x v="0"/>
    <n v="1"/>
    <n v="1"/>
  </r>
  <r>
    <x v="10"/>
    <x v="13"/>
    <s v="1.1-1.0"/>
    <x v="0"/>
    <n v="1"/>
    <x v="3"/>
    <n v="10"/>
    <n v="200"/>
    <n v="100"/>
    <n v="5"/>
    <e v="#N/A"/>
    <e v="#N/A"/>
    <x v="1"/>
    <x v="0"/>
    <n v="1"/>
    <n v="0"/>
  </r>
  <r>
    <x v="10"/>
    <x v="13"/>
    <s v="1.1-1.0"/>
    <x v="0"/>
    <n v="1"/>
    <x v="4"/>
    <n v="10"/>
    <n v="200"/>
    <n v="100"/>
    <n v="5"/>
    <e v="#N/A"/>
    <e v="#N/A"/>
    <x v="1"/>
    <x v="0"/>
    <n v="1"/>
    <n v="0"/>
  </r>
  <r>
    <x v="10"/>
    <x v="13"/>
    <s v="1.1-1.0"/>
    <x v="0"/>
    <n v="1"/>
    <x v="13"/>
    <n v="1"/>
    <n v="200"/>
    <n v="100"/>
    <n v="0.5"/>
    <e v="#N/A"/>
    <e v="#N/A"/>
    <x v="0"/>
    <x v="0"/>
    <n v="1"/>
    <n v="0"/>
  </r>
  <r>
    <x v="10"/>
    <x v="13"/>
    <s v="2.1-2.2"/>
    <x v="7"/>
    <n v="2"/>
    <x v="0"/>
    <n v="25"/>
    <n v="200"/>
    <n v="100"/>
    <n v="12.5"/>
    <e v="#N/A"/>
    <e v="#N/A"/>
    <x v="0"/>
    <x v="0"/>
    <n v="0"/>
    <n v="1"/>
  </r>
  <r>
    <x v="10"/>
    <x v="13"/>
    <s v="2.1-2.2"/>
    <x v="7"/>
    <n v="2"/>
    <x v="4"/>
    <n v="2"/>
    <n v="200"/>
    <n v="100"/>
    <n v="1"/>
    <e v="#N/A"/>
    <e v="#N/A"/>
    <x v="1"/>
    <x v="0"/>
    <n v="0"/>
    <n v="0"/>
  </r>
  <r>
    <x v="10"/>
    <x v="13"/>
    <s v="2.1-2.2"/>
    <x v="7"/>
    <n v="2"/>
    <x v="3"/>
    <n v="6"/>
    <n v="200"/>
    <n v="100"/>
    <n v="3"/>
    <e v="#N/A"/>
    <e v="#N/A"/>
    <x v="1"/>
    <x v="0"/>
    <n v="0"/>
    <n v="0"/>
  </r>
  <r>
    <x v="10"/>
    <x v="13"/>
    <s v="2.1-2.2"/>
    <x v="7"/>
    <n v="2"/>
    <x v="31"/>
    <n v="1"/>
    <n v="200"/>
    <n v="100"/>
    <n v="0.5"/>
    <e v="#N/A"/>
    <e v="#N/A"/>
    <x v="1"/>
    <x v="0"/>
    <n v="1"/>
    <n v="0"/>
  </r>
  <r>
    <x v="10"/>
    <x v="13"/>
    <s v="2.2-2.0"/>
    <x v="8"/>
    <n v="2"/>
    <x v="0"/>
    <n v="4"/>
    <n v="48"/>
    <n v="24"/>
    <n v="8.3333333333333321"/>
    <e v="#N/A"/>
    <e v="#N/A"/>
    <x v="0"/>
    <x v="0"/>
    <n v="0"/>
    <n v="1"/>
  </r>
  <r>
    <x v="10"/>
    <x v="13"/>
    <s v="3.1-3.2"/>
    <x v="14"/>
    <n v="3"/>
    <x v="0"/>
    <n v="12"/>
    <n v="200"/>
    <n v="100"/>
    <n v="6"/>
    <e v="#N/A"/>
    <e v="#N/A"/>
    <x v="0"/>
    <x v="0"/>
    <n v="0"/>
    <n v="1"/>
  </r>
  <r>
    <x v="10"/>
    <x v="13"/>
    <s v="3.1-3.2"/>
    <x v="14"/>
    <n v="3"/>
    <x v="3"/>
    <n v="8"/>
    <n v="200"/>
    <n v="100"/>
    <n v="4"/>
    <e v="#N/A"/>
    <e v="#N/A"/>
    <x v="1"/>
    <x v="0"/>
    <n v="0"/>
    <n v="0"/>
  </r>
  <r>
    <x v="10"/>
    <x v="13"/>
    <s v="3.1-3.2"/>
    <x v="14"/>
    <n v="3"/>
    <x v="13"/>
    <n v="14"/>
    <n v="200"/>
    <n v="100"/>
    <n v="7.0000000000000009"/>
    <e v="#N/A"/>
    <e v="#N/A"/>
    <x v="0"/>
    <x v="0"/>
    <n v="0"/>
    <n v="0"/>
  </r>
  <r>
    <x v="10"/>
    <x v="13"/>
    <s v="3.2-3.0"/>
    <x v="15"/>
    <n v="3"/>
    <x v="0"/>
    <n v="20"/>
    <n v="106"/>
    <n v="53"/>
    <n v="18.867924528301888"/>
    <e v="#N/A"/>
    <e v="#N/A"/>
    <x v="0"/>
    <x v="0"/>
    <n v="0"/>
    <n v="1"/>
  </r>
  <r>
    <x v="10"/>
    <x v="13"/>
    <s v="3.2-3.0"/>
    <x v="15"/>
    <n v="3"/>
    <x v="13"/>
    <n v="27"/>
    <n v="106"/>
    <n v="53"/>
    <n v="25.471698113207548"/>
    <e v="#N/A"/>
    <e v="#N/A"/>
    <x v="0"/>
    <x v="0"/>
    <n v="0"/>
    <n v="0"/>
  </r>
  <r>
    <x v="10"/>
    <x v="13"/>
    <s v="3.2-3.0"/>
    <x v="15"/>
    <n v="3"/>
    <x v="3"/>
    <n v="15"/>
    <n v="106"/>
    <n v="53"/>
    <n v="14.150943396226415"/>
    <e v="#N/A"/>
    <e v="#N/A"/>
    <x v="1"/>
    <x v="0"/>
    <n v="0"/>
    <n v="0"/>
  </r>
  <r>
    <x v="10"/>
    <x v="13"/>
    <s v="4.1-4.2"/>
    <x v="21"/>
    <n v="4"/>
    <x v="0"/>
    <n v="29"/>
    <n v="200"/>
    <n v="100"/>
    <n v="14.499999999999998"/>
    <e v="#N/A"/>
    <e v="#N/A"/>
    <x v="0"/>
    <x v="0"/>
    <n v="0"/>
    <n v="1"/>
  </r>
  <r>
    <x v="10"/>
    <x v="13"/>
    <s v="4.1-4.2"/>
    <x v="21"/>
    <n v="4"/>
    <x v="13"/>
    <n v="36"/>
    <n v="200"/>
    <n v="100"/>
    <n v="18"/>
    <e v="#N/A"/>
    <e v="#N/A"/>
    <x v="0"/>
    <x v="0"/>
    <n v="0"/>
    <n v="0"/>
  </r>
  <r>
    <x v="10"/>
    <x v="13"/>
    <s v="4.1-4.2"/>
    <x v="21"/>
    <n v="4"/>
    <x v="2"/>
    <n v="10"/>
    <n v="200"/>
    <n v="100"/>
    <n v="5"/>
    <e v="#N/A"/>
    <e v="#N/A"/>
    <x v="1"/>
    <x v="0"/>
    <n v="1"/>
    <n v="0"/>
  </r>
  <r>
    <x v="10"/>
    <x v="13"/>
    <s v="4.1-4.2"/>
    <x v="21"/>
    <n v="4"/>
    <x v="3"/>
    <n v="12"/>
    <n v="200"/>
    <n v="100"/>
    <n v="6"/>
    <e v="#N/A"/>
    <e v="#N/A"/>
    <x v="1"/>
    <x v="0"/>
    <n v="0"/>
    <n v="0"/>
  </r>
  <r>
    <x v="10"/>
    <x v="13"/>
    <s v="4.2-4.0"/>
    <x v="22"/>
    <n v="4"/>
    <x v="0"/>
    <n v="20"/>
    <n v="146"/>
    <n v="73"/>
    <n v="13.698630136986301"/>
    <e v="#N/A"/>
    <e v="#N/A"/>
    <x v="0"/>
    <x v="0"/>
    <n v="0"/>
    <n v="1"/>
  </r>
  <r>
    <x v="10"/>
    <x v="13"/>
    <s v="4.2-4.0"/>
    <x v="22"/>
    <n v="4"/>
    <x v="13"/>
    <n v="1"/>
    <n v="146"/>
    <n v="73"/>
    <n v="0.68493150684931503"/>
    <e v="#N/A"/>
    <e v="#N/A"/>
    <x v="0"/>
    <x v="0"/>
    <n v="0"/>
    <n v="0"/>
  </r>
  <r>
    <x v="10"/>
    <x v="13"/>
    <s v="4.2-4.0"/>
    <x v="22"/>
    <n v="4"/>
    <x v="2"/>
    <n v="13"/>
    <n v="146"/>
    <n v="73"/>
    <n v="8.9041095890410951"/>
    <e v="#N/A"/>
    <e v="#N/A"/>
    <x v="1"/>
    <x v="0"/>
    <n v="0"/>
    <n v="0"/>
  </r>
  <r>
    <x v="10"/>
    <x v="13"/>
    <s v="4.2-4.0"/>
    <x v="22"/>
    <n v="4"/>
    <x v="3"/>
    <n v="9"/>
    <n v="146"/>
    <n v="73"/>
    <n v="6.1643835616438354"/>
    <e v="#N/A"/>
    <e v="#N/A"/>
    <x v="1"/>
    <x v="0"/>
    <n v="0"/>
    <n v="0"/>
  </r>
  <r>
    <x v="10"/>
    <x v="13"/>
    <s v="4.2-4.0"/>
    <x v="22"/>
    <n v="4"/>
    <x v="66"/>
    <n v="2"/>
    <n v="146"/>
    <n v="73"/>
    <n v="1.3698630136986301"/>
    <e v="#N/A"/>
    <e v="#N/A"/>
    <x v="6"/>
    <x v="0"/>
    <n v="1"/>
    <n v="0"/>
  </r>
  <r>
    <x v="10"/>
    <x v="13"/>
    <s v="4.2-4.0"/>
    <x v="22"/>
    <n v="4"/>
    <x v="1"/>
    <n v="1"/>
    <n v="146"/>
    <n v="73"/>
    <n v="0.68493150684931503"/>
    <e v="#N/A"/>
    <e v="#N/A"/>
    <x v="1"/>
    <x v="0"/>
    <n v="1"/>
    <n v="0"/>
  </r>
  <r>
    <x v="10"/>
    <x v="13"/>
    <s v="5.1-5.2"/>
    <x v="28"/>
    <n v="5"/>
    <x v="3"/>
    <n v="20"/>
    <n v="200"/>
    <n v="100"/>
    <n v="10"/>
    <e v="#N/A"/>
    <e v="#N/A"/>
    <x v="1"/>
    <x v="0"/>
    <n v="0"/>
    <n v="1"/>
  </r>
  <r>
    <x v="10"/>
    <x v="13"/>
    <s v="5.1-5.2"/>
    <x v="28"/>
    <n v="5"/>
    <x v="0"/>
    <n v="12"/>
    <n v="200"/>
    <n v="100"/>
    <n v="6"/>
    <e v="#N/A"/>
    <e v="#N/A"/>
    <x v="0"/>
    <x v="0"/>
    <n v="0"/>
    <n v="0"/>
  </r>
  <r>
    <x v="10"/>
    <x v="13"/>
    <s v="5.1-5.2"/>
    <x v="28"/>
    <n v="5"/>
    <x v="13"/>
    <n v="3"/>
    <n v="200"/>
    <n v="100"/>
    <n v="1.5"/>
    <e v="#N/A"/>
    <e v="#N/A"/>
    <x v="0"/>
    <x v="0"/>
    <n v="0"/>
    <n v="0"/>
  </r>
  <r>
    <x v="10"/>
    <x v="13"/>
    <s v="5.1-5.2"/>
    <x v="28"/>
    <n v="5"/>
    <x v="2"/>
    <n v="1"/>
    <n v="200"/>
    <n v="100"/>
    <n v="0.5"/>
    <e v="#N/A"/>
    <e v="#N/A"/>
    <x v="1"/>
    <x v="0"/>
    <n v="0"/>
    <n v="0"/>
  </r>
  <r>
    <x v="10"/>
    <x v="13"/>
    <s v="5.2-5.0"/>
    <x v="29"/>
    <n v="5"/>
    <x v="0"/>
    <n v="7"/>
    <n v="160"/>
    <n v="80"/>
    <n v="4.375"/>
    <e v="#N/A"/>
    <e v="#N/A"/>
    <x v="0"/>
    <x v="0"/>
    <n v="0"/>
    <n v="1"/>
  </r>
  <r>
    <x v="10"/>
    <x v="13"/>
    <s v="5.2-5.0"/>
    <x v="29"/>
    <n v="5"/>
    <x v="13"/>
    <n v="59"/>
    <n v="160"/>
    <n v="80"/>
    <n v="36.875"/>
    <e v="#N/A"/>
    <e v="#N/A"/>
    <x v="0"/>
    <x v="0"/>
    <n v="0"/>
    <n v="0"/>
  </r>
  <r>
    <x v="10"/>
    <x v="13"/>
    <s v="5.2-5.0"/>
    <x v="29"/>
    <n v="5"/>
    <x v="7"/>
    <n v="6"/>
    <n v="160"/>
    <n v="80"/>
    <n v="3.75"/>
    <e v="#N/A"/>
    <e v="#N/A"/>
    <x v="1"/>
    <x v="0"/>
    <n v="1"/>
    <n v="0"/>
  </r>
  <r>
    <x v="10"/>
    <x v="13"/>
    <s v="5.2-5.0"/>
    <x v="29"/>
    <n v="5"/>
    <x v="2"/>
    <n v="10"/>
    <n v="160"/>
    <n v="80"/>
    <n v="6.25"/>
    <e v="#N/A"/>
    <e v="#N/A"/>
    <x v="1"/>
    <x v="0"/>
    <n v="0"/>
    <n v="0"/>
  </r>
  <r>
    <x v="10"/>
    <x v="13"/>
    <s v="5.2-5.0"/>
    <x v="29"/>
    <n v="5"/>
    <x v="3"/>
    <n v="3"/>
    <n v="160"/>
    <n v="80"/>
    <n v="1.875"/>
    <e v="#N/A"/>
    <e v="#N/A"/>
    <x v="1"/>
    <x v="0"/>
    <n v="0"/>
    <n v="0"/>
  </r>
  <r>
    <x v="9"/>
    <x v="13"/>
    <s v="1.1-1.0"/>
    <x v="0"/>
    <n v="1"/>
    <x v="1"/>
    <n v="16"/>
    <n v="200"/>
    <n v="100"/>
    <n v="8"/>
    <n v="17.7"/>
    <n v="10"/>
    <x v="1"/>
    <x v="0"/>
    <n v="1"/>
    <n v="1"/>
  </r>
  <r>
    <x v="9"/>
    <x v="13"/>
    <s v="1.1-1.0"/>
    <x v="0"/>
    <n v="1"/>
    <x v="0"/>
    <n v="45"/>
    <n v="200"/>
    <n v="100"/>
    <n v="22.5"/>
    <n v="17.7"/>
    <n v="10"/>
    <x v="0"/>
    <x v="0"/>
    <n v="1"/>
    <n v="0"/>
  </r>
  <r>
    <x v="9"/>
    <x v="13"/>
    <s v="1.2-1.1"/>
    <x v="1"/>
    <n v="1"/>
    <x v="0"/>
    <n v="45"/>
    <n v="180"/>
    <n v="90"/>
    <n v="25"/>
    <n v="17.7"/>
    <n v="10"/>
    <x v="0"/>
    <x v="0"/>
    <n v="0"/>
    <n v="1"/>
  </r>
  <r>
    <x v="9"/>
    <x v="13"/>
    <s v="1.2-1.1"/>
    <x v="1"/>
    <n v="1"/>
    <x v="1"/>
    <n v="5"/>
    <n v="180"/>
    <n v="90"/>
    <n v="2.7777777777777777"/>
    <n v="17.7"/>
    <n v="10"/>
    <x v="1"/>
    <x v="0"/>
    <n v="0"/>
    <n v="0"/>
  </r>
  <r>
    <x v="9"/>
    <x v="13"/>
    <s v="2.1-2.0"/>
    <x v="7"/>
    <n v="2"/>
    <x v="0"/>
    <n v="36"/>
    <n v="200"/>
    <n v="100"/>
    <n v="18"/>
    <n v="17.7"/>
    <n v="10"/>
    <x v="0"/>
    <x v="0"/>
    <n v="0"/>
    <n v="1"/>
  </r>
  <r>
    <x v="9"/>
    <x v="13"/>
    <s v="2.1-2.0"/>
    <x v="7"/>
    <n v="2"/>
    <x v="1"/>
    <n v="8"/>
    <n v="200"/>
    <n v="100"/>
    <n v="4"/>
    <n v="17.7"/>
    <n v="10"/>
    <x v="1"/>
    <x v="0"/>
    <n v="0"/>
    <n v="0"/>
  </r>
  <r>
    <x v="9"/>
    <x v="13"/>
    <s v="2.2-2.1"/>
    <x v="8"/>
    <n v="2"/>
    <x v="0"/>
    <n v="11"/>
    <n v="149"/>
    <n v="74.5"/>
    <n v="7.3825503355704702"/>
    <n v="17.7"/>
    <n v="10"/>
    <x v="0"/>
    <x v="0"/>
    <n v="0"/>
    <n v="1"/>
  </r>
  <r>
    <x v="9"/>
    <x v="13"/>
    <s v="2.2-2.1"/>
    <x v="8"/>
    <n v="2"/>
    <x v="1"/>
    <n v="9"/>
    <n v="149"/>
    <n v="74.5"/>
    <n v="6.0402684563758395"/>
    <n v="17.7"/>
    <n v="10"/>
    <x v="1"/>
    <x v="0"/>
    <n v="0"/>
    <n v="0"/>
  </r>
  <r>
    <x v="9"/>
    <x v="13"/>
    <s v="3.2-3.1"/>
    <x v="15"/>
    <n v="3"/>
    <x v="0"/>
    <n v="6"/>
    <n v="119"/>
    <n v="59.5"/>
    <n v="5.0420168067226889"/>
    <n v="17.7"/>
    <n v="10"/>
    <x v="0"/>
    <x v="0"/>
    <n v="0"/>
    <n v="1"/>
  </r>
  <r>
    <x v="9"/>
    <x v="13"/>
    <s v="3.2-3.1"/>
    <x v="15"/>
    <n v="3"/>
    <x v="10"/>
    <n v="3"/>
    <n v="119"/>
    <n v="59.5"/>
    <n v="2.5210084033613445"/>
    <n v="17.7"/>
    <n v="10"/>
    <x v="1"/>
    <x v="0"/>
    <n v="1"/>
    <n v="0"/>
  </r>
  <r>
    <x v="9"/>
    <x v="13"/>
    <s v="3.1-3.0"/>
    <x v="14"/>
    <n v="3"/>
    <x v="0"/>
    <n v="15"/>
    <n v="200"/>
    <n v="100"/>
    <n v="7.5"/>
    <n v="17.7"/>
    <n v="10"/>
    <x v="0"/>
    <x v="0"/>
    <n v="0"/>
    <n v="1"/>
  </r>
  <r>
    <x v="9"/>
    <x v="13"/>
    <s v="3.1-3.0"/>
    <x v="14"/>
    <n v="3"/>
    <x v="10"/>
    <n v="1"/>
    <n v="200"/>
    <n v="100"/>
    <n v="0.5"/>
    <n v="17.7"/>
    <n v="10"/>
    <x v="1"/>
    <x v="0"/>
    <n v="0"/>
    <n v="0"/>
  </r>
  <r>
    <x v="9"/>
    <x v="13"/>
    <s v="3.1-3.0"/>
    <x v="14"/>
    <n v="3"/>
    <x v="2"/>
    <n v="4"/>
    <n v="200"/>
    <n v="100"/>
    <n v="2"/>
    <n v="17.7"/>
    <n v="10"/>
    <x v="1"/>
    <x v="0"/>
    <n v="1"/>
    <n v="0"/>
  </r>
  <r>
    <x v="9"/>
    <x v="13"/>
    <s v="4.2-4.1"/>
    <x v="22"/>
    <n v="4"/>
    <x v="0"/>
    <n v="10"/>
    <n v="92"/>
    <n v="46"/>
    <n v="10.869565217391305"/>
    <n v="17.7"/>
    <n v="10"/>
    <x v="0"/>
    <x v="0"/>
    <n v="0"/>
    <n v="1"/>
  </r>
  <r>
    <x v="9"/>
    <x v="13"/>
    <s v="4.1-4.0"/>
    <x v="21"/>
    <n v="4"/>
    <x v="0"/>
    <n v="15"/>
    <n v="200"/>
    <n v="100"/>
    <n v="7.5"/>
    <n v="17.7"/>
    <n v="10"/>
    <x v="0"/>
    <x v="0"/>
    <n v="0"/>
    <n v="1"/>
  </r>
  <r>
    <x v="9"/>
    <x v="13"/>
    <s v="4.1-4.0"/>
    <x v="21"/>
    <n v="4"/>
    <x v="2"/>
    <n v="1"/>
    <n v="200"/>
    <n v="100"/>
    <n v="0.5"/>
    <n v="17.7"/>
    <n v="10"/>
    <x v="1"/>
    <x v="0"/>
    <n v="0"/>
    <n v="0"/>
  </r>
  <r>
    <x v="9"/>
    <x v="13"/>
    <s v="4.1-4.0"/>
    <x v="21"/>
    <n v="4"/>
    <x v="10"/>
    <n v="1"/>
    <n v="200"/>
    <n v="100"/>
    <n v="0.5"/>
    <n v="17.7"/>
    <n v="10"/>
    <x v="1"/>
    <x v="0"/>
    <n v="0"/>
    <n v="0"/>
  </r>
  <r>
    <x v="7"/>
    <x v="13"/>
    <s v="A3.2-A3.0"/>
    <x v="63"/>
    <s v="A3.2"/>
    <x v="0"/>
    <n v="39"/>
    <n v="200"/>
    <n v="100"/>
    <n v="19.5"/>
    <n v="11.5"/>
    <n v="11"/>
    <x v="0"/>
    <x v="0"/>
    <n v="1"/>
    <n v="1"/>
  </r>
  <r>
    <x v="7"/>
    <x v="13"/>
    <s v="A3.2-A3.0"/>
    <x v="63"/>
    <s v="A3.2"/>
    <x v="28"/>
    <n v="1"/>
    <n v="200"/>
    <n v="100"/>
    <n v="0.5"/>
    <n v="11.5"/>
    <n v="11"/>
    <x v="1"/>
    <x v="0"/>
    <n v="1"/>
    <n v="0"/>
  </r>
  <r>
    <x v="7"/>
    <x v="13"/>
    <s v="A3.2-A3.0"/>
    <x v="63"/>
    <s v="A3.2"/>
    <x v="34"/>
    <n v="2"/>
    <n v="200"/>
    <n v="100"/>
    <n v="1"/>
    <n v="11.5"/>
    <n v="11"/>
    <x v="0"/>
    <x v="0"/>
    <n v="1"/>
    <n v="0"/>
  </r>
  <r>
    <x v="7"/>
    <x v="13"/>
    <s v="A3.2-A3.0"/>
    <x v="63"/>
    <s v="A3.2"/>
    <x v="1"/>
    <n v="12"/>
    <n v="200"/>
    <n v="100"/>
    <n v="6"/>
    <n v="11.5"/>
    <n v="11"/>
    <x v="1"/>
    <x v="0"/>
    <n v="1"/>
    <n v="0"/>
  </r>
  <r>
    <x v="7"/>
    <x v="13"/>
    <s v="A3.2-A3.0"/>
    <x v="63"/>
    <s v="A3.2"/>
    <x v="31"/>
    <n v="1"/>
    <n v="200"/>
    <n v="100"/>
    <n v="0.5"/>
    <n v="11.5"/>
    <n v="11"/>
    <x v="1"/>
    <x v="0"/>
    <n v="1"/>
    <n v="0"/>
  </r>
  <r>
    <x v="7"/>
    <x v="13"/>
    <s v="A1.2-A1.0"/>
    <x v="61"/>
    <s v="A1.2"/>
    <x v="5"/>
    <n v="9"/>
    <n v="200"/>
    <n v="100"/>
    <n v="4.5"/>
    <n v="11.5"/>
    <n v="11"/>
    <x v="1"/>
    <x v="0"/>
    <n v="1"/>
    <n v="1"/>
  </r>
  <r>
    <x v="7"/>
    <x v="13"/>
    <s v="A1.2-A1.0"/>
    <x v="61"/>
    <s v="A1.2"/>
    <x v="0"/>
    <n v="88"/>
    <n v="200"/>
    <n v="100"/>
    <n v="44"/>
    <n v="11.5"/>
    <n v="11"/>
    <x v="0"/>
    <x v="0"/>
    <n v="0"/>
    <n v="0"/>
  </r>
  <r>
    <x v="7"/>
    <x v="13"/>
    <s v="A1.2-A1.0"/>
    <x v="61"/>
    <s v="A1.2"/>
    <x v="1"/>
    <n v="3"/>
    <n v="200"/>
    <n v="100"/>
    <n v="1.5"/>
    <n v="11.5"/>
    <n v="11"/>
    <x v="1"/>
    <x v="0"/>
    <n v="0"/>
    <n v="0"/>
  </r>
  <r>
    <x v="7"/>
    <x v="13"/>
    <s v="A1.2-A1.0"/>
    <x v="61"/>
    <s v="A1.2"/>
    <x v="34"/>
    <n v="3"/>
    <n v="200"/>
    <n v="100"/>
    <n v="1.5"/>
    <n v="11.5"/>
    <n v="11"/>
    <x v="0"/>
    <x v="0"/>
    <n v="0"/>
    <n v="0"/>
  </r>
  <r>
    <x v="7"/>
    <x v="13"/>
    <s v="A2.2-A2.0"/>
    <x v="62"/>
    <s v="A2.2"/>
    <x v="0"/>
    <n v="97"/>
    <n v="200"/>
    <n v="100"/>
    <n v="48.5"/>
    <n v="11.5"/>
    <n v="11"/>
    <x v="0"/>
    <x v="0"/>
    <n v="0"/>
    <n v="1"/>
  </r>
  <r>
    <x v="7"/>
    <x v="13"/>
    <s v="A2.2-A2.0"/>
    <x v="62"/>
    <s v="A2.2"/>
    <x v="34"/>
    <n v="3"/>
    <n v="200"/>
    <n v="100"/>
    <n v="1.5"/>
    <n v="11.5"/>
    <n v="11"/>
    <x v="0"/>
    <x v="0"/>
    <n v="0"/>
    <n v="0"/>
  </r>
  <r>
    <x v="7"/>
    <x v="13"/>
    <s v="A2.2-A2.0"/>
    <x v="62"/>
    <s v="A2.2"/>
    <x v="1"/>
    <n v="1"/>
    <n v="200"/>
    <n v="100"/>
    <n v="0.5"/>
    <n v="11.5"/>
    <n v="11"/>
    <x v="1"/>
    <x v="0"/>
    <n v="0"/>
    <n v="0"/>
  </r>
  <r>
    <x v="7"/>
    <x v="13"/>
    <s v="A2.2-A2.0"/>
    <x v="62"/>
    <s v="A2.2"/>
    <x v="50"/>
    <n v="2"/>
    <n v="200"/>
    <n v="100"/>
    <n v="1"/>
    <n v="11.5"/>
    <n v="11"/>
    <x v="5"/>
    <x v="0"/>
    <n v="1"/>
    <n v="0"/>
  </r>
  <r>
    <x v="7"/>
    <x v="13"/>
    <s v="A2.2-A2.0"/>
    <x v="62"/>
    <s v="A2.2"/>
    <x v="67"/>
    <n v="1"/>
    <n v="200"/>
    <n v="100"/>
    <n v="0.5"/>
    <n v="11.5"/>
    <n v="11"/>
    <x v="6"/>
    <x v="0"/>
    <n v="1"/>
    <n v="0"/>
  </r>
  <r>
    <x v="7"/>
    <x v="13"/>
    <s v="A1-A2"/>
    <x v="59"/>
    <s v="A1"/>
    <x v="1"/>
    <n v="30"/>
    <n v="200"/>
    <n v="100"/>
    <n v="15"/>
    <n v="11.5"/>
    <n v="11"/>
    <x v="1"/>
    <x v="0"/>
    <n v="0"/>
    <n v="1"/>
  </r>
  <r>
    <x v="7"/>
    <x v="13"/>
    <s v="A1-A2"/>
    <x v="59"/>
    <s v="A1"/>
    <x v="19"/>
    <n v="1"/>
    <n v="200"/>
    <n v="100"/>
    <n v="0.5"/>
    <n v="11.5"/>
    <n v="11"/>
    <x v="1"/>
    <x v="0"/>
    <n v="1"/>
    <n v="0"/>
  </r>
  <r>
    <x v="7"/>
    <x v="13"/>
    <s v="A1-A2"/>
    <x v="59"/>
    <s v="A1"/>
    <x v="4"/>
    <n v="2"/>
    <n v="200"/>
    <n v="100"/>
    <n v="1"/>
    <n v="11.5"/>
    <n v="11"/>
    <x v="1"/>
    <x v="0"/>
    <n v="1"/>
    <n v="0"/>
  </r>
  <r>
    <x v="7"/>
    <x v="13"/>
    <s v="A1-A2"/>
    <x v="59"/>
    <s v="A1"/>
    <x v="0"/>
    <n v="80"/>
    <n v="200"/>
    <n v="100"/>
    <n v="40"/>
    <n v="11.5"/>
    <n v="11"/>
    <x v="0"/>
    <x v="0"/>
    <n v="0"/>
    <n v="0"/>
  </r>
  <r>
    <x v="7"/>
    <x v="13"/>
    <s v="A1-A2"/>
    <x v="59"/>
    <s v="A1"/>
    <x v="66"/>
    <n v="3"/>
    <n v="200"/>
    <n v="100"/>
    <n v="1.5"/>
    <n v="11.5"/>
    <n v="11"/>
    <x v="6"/>
    <x v="0"/>
    <n v="1"/>
    <n v="0"/>
  </r>
  <r>
    <x v="7"/>
    <x v="13"/>
    <s v="A1-A2"/>
    <x v="59"/>
    <s v="A1"/>
    <x v="62"/>
    <n v="6"/>
    <n v="200"/>
    <n v="100"/>
    <n v="3"/>
    <n v="11.5"/>
    <n v="11"/>
    <x v="0"/>
    <x v="0"/>
    <n v="1"/>
    <n v="0"/>
  </r>
  <r>
    <x v="7"/>
    <x v="13"/>
    <s v="A2-A0"/>
    <x v="60"/>
    <s v="A2"/>
    <x v="0"/>
    <n v="98"/>
    <n v="200"/>
    <n v="100"/>
    <n v="49"/>
    <n v="11.5"/>
    <n v="11"/>
    <x v="0"/>
    <x v="0"/>
    <n v="0"/>
    <n v="1"/>
  </r>
  <r>
    <x v="7"/>
    <x v="13"/>
    <s v="A2-A0"/>
    <x v="60"/>
    <s v="A2"/>
    <x v="66"/>
    <n v="2"/>
    <n v="200"/>
    <n v="100"/>
    <n v="1"/>
    <n v="11.5"/>
    <n v="11"/>
    <x v="6"/>
    <x v="0"/>
    <n v="0"/>
    <n v="0"/>
  </r>
  <r>
    <x v="7"/>
    <x v="13"/>
    <s v="A2-A0"/>
    <x v="60"/>
    <s v="A2"/>
    <x v="1"/>
    <n v="5"/>
    <n v="200"/>
    <n v="100"/>
    <n v="2.5"/>
    <n v="11.5"/>
    <n v="11"/>
    <x v="1"/>
    <x v="0"/>
    <n v="0"/>
    <n v="0"/>
  </r>
  <r>
    <x v="7"/>
    <x v="13"/>
    <s v="A2-A0"/>
    <x v="60"/>
    <s v="A2"/>
    <x v="62"/>
    <n v="1"/>
    <n v="200"/>
    <n v="100"/>
    <n v="0.5"/>
    <n v="11.5"/>
    <n v="11"/>
    <x v="0"/>
    <x v="0"/>
    <n v="0"/>
    <n v="0"/>
  </r>
  <r>
    <x v="7"/>
    <x v="13"/>
    <s v="A2-A0"/>
    <x v="60"/>
    <s v="A2"/>
    <x v="67"/>
    <n v="2"/>
    <n v="200"/>
    <n v="100"/>
    <n v="1"/>
    <n v="11.5"/>
    <n v="11"/>
    <x v="6"/>
    <x v="0"/>
    <n v="0"/>
    <n v="0"/>
  </r>
  <r>
    <x v="7"/>
    <x v="13"/>
    <s v="A2-A0"/>
    <x v="60"/>
    <s v="A2"/>
    <x v="34"/>
    <n v="2"/>
    <n v="200"/>
    <n v="100"/>
    <n v="1"/>
    <n v="11.5"/>
    <n v="11"/>
    <x v="0"/>
    <x v="0"/>
    <n v="0"/>
    <n v="0"/>
  </r>
  <r>
    <x v="7"/>
    <x v="13"/>
    <s v="10.1-10.0"/>
    <x v="74"/>
    <n v="10"/>
    <x v="39"/>
    <n v="26"/>
    <n v="200"/>
    <n v="100"/>
    <n v="13"/>
    <n v="11.5"/>
    <n v="11"/>
    <x v="1"/>
    <x v="0"/>
    <n v="1"/>
    <n v="1"/>
  </r>
  <r>
    <x v="7"/>
    <x v="13"/>
    <s v="10.1-10.0"/>
    <x v="74"/>
    <n v="10"/>
    <x v="68"/>
    <n v="11"/>
    <n v="200"/>
    <n v="100"/>
    <n v="5.5"/>
    <n v="11.5"/>
    <n v="11"/>
    <x v="6"/>
    <x v="0"/>
    <n v="1"/>
    <n v="0"/>
  </r>
  <r>
    <x v="7"/>
    <x v="13"/>
    <s v="10.1-10.0"/>
    <x v="74"/>
    <n v="10"/>
    <x v="57"/>
    <n v="32"/>
    <n v="200"/>
    <n v="100"/>
    <n v="16"/>
    <n v="11.5"/>
    <n v="11"/>
    <x v="1"/>
    <x v="0"/>
    <n v="1"/>
    <n v="0"/>
  </r>
  <r>
    <x v="7"/>
    <x v="13"/>
    <s v="10.1-10.0"/>
    <x v="74"/>
    <n v="10"/>
    <x v="50"/>
    <n v="1"/>
    <n v="200"/>
    <n v="100"/>
    <n v="0.5"/>
    <n v="11.5"/>
    <n v="11"/>
    <x v="5"/>
    <x v="0"/>
    <n v="0"/>
    <n v="0"/>
  </r>
  <r>
    <x v="7"/>
    <x v="13"/>
    <s v="10.1-10.0"/>
    <x v="74"/>
    <n v="10"/>
    <x v="69"/>
    <n v="1"/>
    <n v="200"/>
    <n v="100"/>
    <n v="0.5"/>
    <n v="11.5"/>
    <n v="11"/>
    <x v="6"/>
    <x v="0"/>
    <n v="1"/>
    <n v="0"/>
  </r>
  <r>
    <x v="7"/>
    <x v="13"/>
    <s v="10.1-10.0"/>
    <x v="74"/>
    <n v="10"/>
    <x v="70"/>
    <n v="4"/>
    <n v="200"/>
    <n v="100"/>
    <n v="2"/>
    <n v="11.5"/>
    <n v="11"/>
    <x v="6"/>
    <x v="0"/>
    <n v="1"/>
    <n v="0"/>
  </r>
  <r>
    <x v="7"/>
    <x v="13"/>
    <s v="10.1-10.0"/>
    <x v="74"/>
    <n v="10"/>
    <x v="67"/>
    <n v="33"/>
    <n v="200"/>
    <n v="100"/>
    <n v="16.5"/>
    <n v="11.5"/>
    <n v="11"/>
    <x v="6"/>
    <x v="0"/>
    <n v="0"/>
    <n v="0"/>
  </r>
  <r>
    <x v="7"/>
    <x v="13"/>
    <s v="10.1-10.0"/>
    <x v="74"/>
    <n v="10"/>
    <x v="38"/>
    <n v="18"/>
    <n v="200"/>
    <n v="100"/>
    <n v="9"/>
    <n v="11.5"/>
    <n v="11"/>
    <x v="1"/>
    <x v="0"/>
    <n v="1"/>
    <n v="0"/>
  </r>
  <r>
    <x v="7"/>
    <x v="13"/>
    <s v="10.1-10.0"/>
    <x v="74"/>
    <n v="10"/>
    <x v="49"/>
    <n v="6"/>
    <n v="200"/>
    <n v="100"/>
    <n v="3"/>
    <n v="11.5"/>
    <n v="11"/>
    <x v="1"/>
    <x v="0"/>
    <n v="1"/>
    <n v="0"/>
  </r>
  <r>
    <x v="7"/>
    <x v="13"/>
    <s v="10.1-10.0"/>
    <x v="74"/>
    <n v="10"/>
    <x v="42"/>
    <n v="3"/>
    <n v="200"/>
    <n v="100"/>
    <n v="1.5"/>
    <n v="11.5"/>
    <n v="11"/>
    <x v="5"/>
    <x v="0"/>
    <n v="1"/>
    <n v="0"/>
  </r>
  <r>
    <x v="7"/>
    <x v="13"/>
    <s v="10.1-10.0"/>
    <x v="74"/>
    <n v="10"/>
    <x v="48"/>
    <n v="2"/>
    <n v="200"/>
    <n v="100"/>
    <n v="1"/>
    <n v="11.5"/>
    <n v="11"/>
    <x v="0"/>
    <x v="0"/>
    <n v="1"/>
    <n v="0"/>
  </r>
  <r>
    <x v="7"/>
    <x v="13"/>
    <s v="10.1-10.0"/>
    <x v="74"/>
    <n v="10"/>
    <x v="71"/>
    <n v="12"/>
    <n v="200"/>
    <n v="100"/>
    <n v="6"/>
    <n v="11.5"/>
    <n v="11"/>
    <x v="6"/>
    <x v="0"/>
    <n v="1"/>
    <n v="0"/>
  </r>
  <r>
    <x v="7"/>
    <x v="13"/>
    <s v="10.1-10.0"/>
    <x v="74"/>
    <n v="10"/>
    <x v="1"/>
    <n v="1"/>
    <n v="200"/>
    <n v="100"/>
    <n v="0.5"/>
    <n v="11.5"/>
    <n v="11"/>
    <x v="1"/>
    <x v="0"/>
    <n v="0"/>
    <n v="0"/>
  </r>
  <r>
    <x v="7"/>
    <x v="13"/>
    <s v="10.1-10.0"/>
    <x v="75"/>
    <n v="10"/>
    <x v="38"/>
    <n v="79"/>
    <n v="200"/>
    <n v="100"/>
    <n v="39.5"/>
    <n v="11.5"/>
    <n v="11"/>
    <x v="1"/>
    <x v="0"/>
    <n v="0"/>
    <n v="1"/>
  </r>
  <r>
    <x v="7"/>
    <x v="13"/>
    <s v="10.1-10.0"/>
    <x v="75"/>
    <n v="10"/>
    <x v="57"/>
    <n v="25"/>
    <n v="200"/>
    <n v="100"/>
    <n v="12.5"/>
    <n v="11.5"/>
    <n v="11"/>
    <x v="1"/>
    <x v="0"/>
    <n v="0"/>
    <n v="0"/>
  </r>
  <r>
    <x v="7"/>
    <x v="13"/>
    <s v="10.1-10.0"/>
    <x v="75"/>
    <n v="10"/>
    <x v="39"/>
    <n v="22"/>
    <n v="200"/>
    <n v="100"/>
    <n v="11"/>
    <n v="11.5"/>
    <n v="11"/>
    <x v="1"/>
    <x v="0"/>
    <n v="0"/>
    <n v="0"/>
  </r>
  <r>
    <x v="7"/>
    <x v="13"/>
    <s v="10.1-10.0"/>
    <x v="75"/>
    <n v="10"/>
    <x v="1"/>
    <n v="9"/>
    <n v="200"/>
    <n v="100"/>
    <n v="4.5"/>
    <n v="11.5"/>
    <n v="11"/>
    <x v="1"/>
    <x v="0"/>
    <n v="0"/>
    <n v="0"/>
  </r>
  <r>
    <x v="7"/>
    <x v="13"/>
    <s v="10.1-10.0"/>
    <x v="75"/>
    <n v="10"/>
    <x v="58"/>
    <n v="6"/>
    <n v="200"/>
    <n v="100"/>
    <n v="3"/>
    <n v="11.5"/>
    <n v="11"/>
    <x v="1"/>
    <x v="0"/>
    <n v="1"/>
    <n v="0"/>
  </r>
  <r>
    <x v="7"/>
    <x v="13"/>
    <s v="10.1-10.0"/>
    <x v="75"/>
    <n v="10"/>
    <x v="14"/>
    <n v="1"/>
    <n v="200"/>
    <n v="100"/>
    <n v="0.5"/>
    <n v="11.5"/>
    <n v="11"/>
    <x v="0"/>
    <x v="0"/>
    <n v="1"/>
    <n v="0"/>
  </r>
  <r>
    <x v="7"/>
    <x v="13"/>
    <s v="10.1-10.0"/>
    <x v="75"/>
    <n v="10"/>
    <x v="72"/>
    <n v="1"/>
    <n v="200"/>
    <n v="100"/>
    <n v="0.5"/>
    <n v="11.5"/>
    <n v="11"/>
    <x v="6"/>
    <x v="0"/>
    <n v="1"/>
    <n v="0"/>
  </r>
  <r>
    <x v="7"/>
    <x v="13"/>
    <s v="10.1-10.0"/>
    <x v="75"/>
    <n v="10"/>
    <x v="67"/>
    <n v="14"/>
    <n v="200"/>
    <n v="100"/>
    <n v="7.0000000000000009"/>
    <n v="11.5"/>
    <n v="11"/>
    <x v="6"/>
    <x v="0"/>
    <n v="0"/>
    <n v="0"/>
  </r>
  <r>
    <x v="7"/>
    <x v="13"/>
    <s v="10.1-10.0"/>
    <x v="75"/>
    <n v="10"/>
    <x v="19"/>
    <n v="8"/>
    <n v="200"/>
    <n v="100"/>
    <n v="4"/>
    <n v="11.5"/>
    <n v="11"/>
    <x v="1"/>
    <x v="0"/>
    <n v="0"/>
    <n v="0"/>
  </r>
  <r>
    <x v="7"/>
    <x v="13"/>
    <s v="10.1-10.0"/>
    <x v="75"/>
    <n v="10"/>
    <x v="70"/>
    <n v="1"/>
    <n v="200"/>
    <n v="100"/>
    <n v="0.5"/>
    <n v="11.5"/>
    <n v="11"/>
    <x v="6"/>
    <x v="0"/>
    <n v="0"/>
    <n v="0"/>
  </r>
  <r>
    <x v="7"/>
    <x v="13"/>
    <s v="10.1-10.0"/>
    <x v="75"/>
    <n v="10"/>
    <x v="49"/>
    <n v="3"/>
    <n v="200"/>
    <n v="100"/>
    <n v="1.5"/>
    <n v="11.5"/>
    <n v="11"/>
    <x v="1"/>
    <x v="0"/>
    <n v="0"/>
    <n v="0"/>
  </r>
  <r>
    <x v="7"/>
    <x v="13"/>
    <s v="10.1-10.0"/>
    <x v="75"/>
    <n v="10"/>
    <x v="25"/>
    <n v="3"/>
    <n v="200"/>
    <n v="100"/>
    <n v="1.5"/>
    <n v="11.5"/>
    <n v="11"/>
    <x v="1"/>
    <x v="0"/>
    <n v="1"/>
    <n v="0"/>
  </r>
  <r>
    <x v="7"/>
    <x v="13"/>
    <s v="10.1-10.0"/>
    <x v="75"/>
    <n v="10"/>
    <x v="73"/>
    <n v="3"/>
    <n v="200"/>
    <n v="100"/>
    <n v="1.5"/>
    <n v="11.5"/>
    <n v="11"/>
    <x v="6"/>
    <x v="0"/>
    <n v="1"/>
    <n v="0"/>
  </r>
  <r>
    <x v="7"/>
    <x v="13"/>
    <s v="9.2-9.0"/>
    <x v="56"/>
    <n v="9"/>
    <x v="0"/>
    <n v="48"/>
    <n v="200"/>
    <n v="100"/>
    <n v="24"/>
    <n v="11.5"/>
    <n v="11"/>
    <x v="0"/>
    <x v="0"/>
    <n v="0"/>
    <n v="1"/>
  </r>
  <r>
    <x v="7"/>
    <x v="13"/>
    <s v="9.2-9.0"/>
    <x v="56"/>
    <n v="9"/>
    <x v="31"/>
    <n v="13"/>
    <n v="200"/>
    <n v="100"/>
    <n v="6.5"/>
    <n v="11.5"/>
    <n v="11"/>
    <x v="1"/>
    <x v="0"/>
    <n v="0"/>
    <n v="0"/>
  </r>
  <r>
    <x v="7"/>
    <x v="13"/>
    <s v="9.2-9.0"/>
    <x v="56"/>
    <n v="9"/>
    <x v="19"/>
    <n v="2"/>
    <n v="200"/>
    <n v="100"/>
    <n v="1"/>
    <n v="11.5"/>
    <n v="11"/>
    <x v="1"/>
    <x v="0"/>
    <n v="0"/>
    <n v="0"/>
  </r>
  <r>
    <x v="7"/>
    <x v="13"/>
    <s v="9.2-9.0"/>
    <x v="56"/>
    <n v="9"/>
    <x v="14"/>
    <n v="2"/>
    <n v="200"/>
    <n v="100"/>
    <n v="1"/>
    <n v="11.5"/>
    <n v="11"/>
    <x v="0"/>
    <x v="0"/>
    <n v="0"/>
    <n v="0"/>
  </r>
  <r>
    <x v="7"/>
    <x v="13"/>
    <s v="9.2-9.0"/>
    <x v="56"/>
    <n v="9"/>
    <x v="34"/>
    <n v="3"/>
    <n v="200"/>
    <n v="100"/>
    <n v="1.5"/>
    <n v="11.5"/>
    <n v="11"/>
    <x v="0"/>
    <x v="0"/>
    <n v="0"/>
    <n v="0"/>
  </r>
  <r>
    <x v="7"/>
    <x v="13"/>
    <s v="9.2-9.0"/>
    <x v="56"/>
    <n v="9"/>
    <x v="49"/>
    <n v="10"/>
    <n v="200"/>
    <n v="100"/>
    <n v="5"/>
    <n v="11.5"/>
    <n v="11"/>
    <x v="1"/>
    <x v="0"/>
    <n v="0"/>
    <n v="0"/>
  </r>
  <r>
    <x v="7"/>
    <x v="13"/>
    <s v="9.1-9.2"/>
    <x v="55"/>
    <n v="9"/>
    <x v="39"/>
    <n v="51"/>
    <n v="200"/>
    <n v="100"/>
    <n v="25.5"/>
    <n v="11.5"/>
    <n v="11"/>
    <x v="1"/>
    <x v="0"/>
    <n v="0"/>
    <n v="1"/>
  </r>
  <r>
    <x v="7"/>
    <x v="13"/>
    <s v="9.1-9.2"/>
    <x v="55"/>
    <n v="9"/>
    <x v="14"/>
    <n v="2"/>
    <n v="200"/>
    <n v="100"/>
    <n v="1"/>
    <n v="11.5"/>
    <n v="11"/>
    <x v="0"/>
    <x v="0"/>
    <n v="0"/>
    <n v="0"/>
  </r>
  <r>
    <x v="7"/>
    <x v="13"/>
    <s v="9.1-9.2"/>
    <x v="55"/>
    <n v="9"/>
    <x v="38"/>
    <n v="15"/>
    <n v="200"/>
    <n v="100"/>
    <n v="7.5"/>
    <n v="11.5"/>
    <n v="11"/>
    <x v="1"/>
    <x v="0"/>
    <n v="0"/>
    <n v="0"/>
  </r>
  <r>
    <x v="7"/>
    <x v="13"/>
    <s v="9.1-9.2"/>
    <x v="55"/>
    <n v="9"/>
    <x v="1"/>
    <n v="49"/>
    <n v="200"/>
    <n v="100"/>
    <n v="24.5"/>
    <n v="11.5"/>
    <n v="11"/>
    <x v="1"/>
    <x v="0"/>
    <n v="0"/>
    <n v="0"/>
  </r>
  <r>
    <x v="7"/>
    <x v="13"/>
    <s v="9.1-9.2"/>
    <x v="55"/>
    <n v="9"/>
    <x v="19"/>
    <n v="4"/>
    <n v="200"/>
    <n v="100"/>
    <n v="2"/>
    <n v="11.5"/>
    <n v="11"/>
    <x v="1"/>
    <x v="0"/>
    <n v="0"/>
    <n v="0"/>
  </r>
  <r>
    <x v="7"/>
    <x v="13"/>
    <s v="9.1-9.2"/>
    <x v="55"/>
    <n v="9"/>
    <x v="36"/>
    <n v="1"/>
    <n v="200"/>
    <n v="100"/>
    <n v="0.5"/>
    <n v="11.5"/>
    <n v="11"/>
    <x v="1"/>
    <x v="0"/>
    <n v="1"/>
    <n v="0"/>
  </r>
  <r>
    <x v="7"/>
    <x v="13"/>
    <s v="9.1-9.2"/>
    <x v="55"/>
    <n v="9"/>
    <x v="31"/>
    <n v="1"/>
    <n v="200"/>
    <n v="100"/>
    <n v="0.5"/>
    <n v="11.5"/>
    <n v="11"/>
    <x v="1"/>
    <x v="0"/>
    <n v="0"/>
    <n v="0"/>
  </r>
  <r>
    <x v="7"/>
    <x v="13"/>
    <s v="9.1-9.2"/>
    <x v="55"/>
    <n v="9"/>
    <x v="0"/>
    <n v="15"/>
    <n v="200"/>
    <n v="100"/>
    <n v="7.5"/>
    <n v="11.5"/>
    <n v="11"/>
    <x v="0"/>
    <x v="0"/>
    <n v="0"/>
    <n v="0"/>
  </r>
  <r>
    <x v="7"/>
    <x v="13"/>
    <s v="9.1-9.2"/>
    <x v="55"/>
    <n v="9"/>
    <x v="34"/>
    <n v="1"/>
    <n v="200"/>
    <n v="100"/>
    <n v="0.5"/>
    <n v="11.5"/>
    <n v="11"/>
    <x v="0"/>
    <x v="0"/>
    <n v="0"/>
    <n v="0"/>
  </r>
  <r>
    <x v="7"/>
    <x v="13"/>
    <s v="2.1-2.0"/>
    <x v="7"/>
    <n v="2"/>
    <x v="1"/>
    <n v="6"/>
    <n v="200"/>
    <n v="100"/>
    <n v="3"/>
    <n v="11.5"/>
    <n v="11"/>
    <x v="1"/>
    <x v="0"/>
    <n v="0"/>
    <n v="1"/>
  </r>
  <r>
    <x v="7"/>
    <x v="13"/>
    <s v="2.1-2.0"/>
    <x v="7"/>
    <n v="2"/>
    <x v="0"/>
    <n v="17"/>
    <n v="200"/>
    <n v="100"/>
    <n v="8.5"/>
    <n v="11.5"/>
    <n v="11"/>
    <x v="0"/>
    <x v="0"/>
    <n v="0"/>
    <n v="0"/>
  </r>
  <r>
    <x v="7"/>
    <x v="13"/>
    <s v="2.1-2.0"/>
    <x v="7"/>
    <n v="2"/>
    <x v="31"/>
    <n v="4"/>
    <n v="200"/>
    <n v="100"/>
    <n v="2"/>
    <n v="11.5"/>
    <n v="11"/>
    <x v="1"/>
    <x v="0"/>
    <n v="0"/>
    <n v="0"/>
  </r>
  <r>
    <x v="7"/>
    <x v="13"/>
    <s v="1.1-1.0"/>
    <x v="0"/>
    <n v="1"/>
    <x v="0"/>
    <n v="11"/>
    <n v="119"/>
    <n v="59.5"/>
    <n v="9.2436974789915975"/>
    <n v="11.5"/>
    <n v="11"/>
    <x v="0"/>
    <x v="0"/>
    <n v="0"/>
    <n v="1"/>
  </r>
  <r>
    <x v="7"/>
    <x v="13"/>
    <s v="1.1-1.0"/>
    <x v="0"/>
    <n v="1"/>
    <x v="1"/>
    <n v="5"/>
    <n v="119"/>
    <n v="59.5"/>
    <n v="4.2016806722689077"/>
    <n v="11.5"/>
    <n v="11"/>
    <x v="1"/>
    <x v="0"/>
    <n v="0"/>
    <n v="0"/>
  </r>
  <r>
    <x v="7"/>
    <x v="13"/>
    <s v="1.1-1.0"/>
    <x v="0"/>
    <n v="1"/>
    <x v="31"/>
    <n v="2"/>
    <n v="119"/>
    <n v="59.5"/>
    <n v="1.680672268907563"/>
    <n v="11.5"/>
    <n v="11"/>
    <x v="1"/>
    <x v="0"/>
    <n v="0"/>
    <n v="0"/>
  </r>
  <r>
    <x v="7"/>
    <x v="13"/>
    <s v="5.1-5.2"/>
    <x v="28"/>
    <n v="5"/>
    <x v="0"/>
    <n v="14"/>
    <n v="200"/>
    <n v="100"/>
    <n v="7.0000000000000009"/>
    <n v="11.5"/>
    <n v="11"/>
    <x v="0"/>
    <x v="0"/>
    <n v="0"/>
    <n v="1"/>
  </r>
  <r>
    <x v="7"/>
    <x v="13"/>
    <s v="5.1-5.2"/>
    <x v="28"/>
    <n v="5"/>
    <x v="32"/>
    <n v="1"/>
    <n v="200"/>
    <n v="100"/>
    <n v="0.5"/>
    <n v="11.5"/>
    <n v="11"/>
    <x v="1"/>
    <x v="0"/>
    <n v="1"/>
    <n v="0"/>
  </r>
  <r>
    <x v="7"/>
    <x v="13"/>
    <s v="5.1-5.2"/>
    <x v="28"/>
    <n v="5"/>
    <x v="2"/>
    <n v="2"/>
    <n v="200"/>
    <n v="100"/>
    <n v="1"/>
    <n v="11.5"/>
    <n v="11"/>
    <x v="1"/>
    <x v="0"/>
    <n v="1"/>
    <n v="0"/>
  </r>
  <r>
    <x v="7"/>
    <x v="13"/>
    <s v="5.1-5.2"/>
    <x v="28"/>
    <n v="5"/>
    <x v="3"/>
    <n v="2"/>
    <n v="200"/>
    <n v="100"/>
    <n v="1"/>
    <n v="11.5"/>
    <n v="11"/>
    <x v="1"/>
    <x v="0"/>
    <n v="1"/>
    <n v="0"/>
  </r>
  <r>
    <x v="7"/>
    <x v="13"/>
    <s v="5.2-5.0"/>
    <x v="29"/>
    <n v="5"/>
    <x v="0"/>
    <n v="21"/>
    <n v="200"/>
    <n v="100"/>
    <n v="10.5"/>
    <n v="11.5"/>
    <n v="11"/>
    <x v="0"/>
    <x v="0"/>
    <n v="0"/>
    <n v="1"/>
  </r>
  <r>
    <x v="7"/>
    <x v="13"/>
    <s v="5.2-5.0"/>
    <x v="29"/>
    <n v="5"/>
    <x v="32"/>
    <n v="2"/>
    <n v="200"/>
    <n v="100"/>
    <n v="1"/>
    <n v="11.5"/>
    <n v="11"/>
    <x v="1"/>
    <x v="0"/>
    <n v="0"/>
    <n v="0"/>
  </r>
  <r>
    <x v="7"/>
    <x v="13"/>
    <s v="5.2-5.0"/>
    <x v="29"/>
    <n v="5"/>
    <x v="2"/>
    <n v="8"/>
    <n v="200"/>
    <n v="100"/>
    <n v="4"/>
    <n v="11.5"/>
    <n v="11"/>
    <x v="1"/>
    <x v="0"/>
    <n v="0"/>
    <n v="0"/>
  </r>
  <r>
    <x v="7"/>
    <x v="13"/>
    <s v="5.2-5.0"/>
    <x v="29"/>
    <n v="5"/>
    <x v="3"/>
    <n v="1"/>
    <n v="200"/>
    <n v="100"/>
    <n v="0.5"/>
    <n v="11.5"/>
    <n v="11"/>
    <x v="1"/>
    <x v="0"/>
    <n v="0"/>
    <n v="0"/>
  </r>
  <r>
    <x v="7"/>
    <x v="13"/>
    <s v="6.1-6.2"/>
    <x v="35"/>
    <n v="6"/>
    <x v="0"/>
    <n v="31"/>
    <n v="200"/>
    <n v="100"/>
    <n v="15.5"/>
    <n v="11.5"/>
    <n v="11"/>
    <x v="0"/>
    <x v="0"/>
    <n v="0"/>
    <n v="1"/>
  </r>
  <r>
    <x v="7"/>
    <x v="13"/>
    <s v="6.2-6.0"/>
    <x v="36"/>
    <n v="6"/>
    <x v="0"/>
    <n v="29"/>
    <n v="200"/>
    <n v="100"/>
    <n v="14.499999999999998"/>
    <n v="11.5"/>
    <n v="11"/>
    <x v="0"/>
    <x v="0"/>
    <n v="0"/>
    <n v="1"/>
  </r>
  <r>
    <x v="7"/>
    <x v="13"/>
    <s v="4.1-4.0"/>
    <x v="21"/>
    <n v="4"/>
    <x v="0"/>
    <n v="21"/>
    <n v="200"/>
    <n v="100"/>
    <n v="10.5"/>
    <n v="11.5"/>
    <n v="11"/>
    <x v="0"/>
    <x v="0"/>
    <n v="0"/>
    <n v="1"/>
  </r>
  <r>
    <x v="7"/>
    <x v="13"/>
    <s v="4.1-4.0"/>
    <x v="21"/>
    <n v="4"/>
    <x v="1"/>
    <n v="3"/>
    <n v="200"/>
    <n v="100"/>
    <n v="1.5"/>
    <n v="11.5"/>
    <n v="11"/>
    <x v="1"/>
    <x v="0"/>
    <n v="0"/>
    <n v="0"/>
  </r>
  <r>
    <x v="7"/>
    <x v="13"/>
    <s v="4.1-4.0"/>
    <x v="21"/>
    <n v="4"/>
    <x v="2"/>
    <n v="2"/>
    <n v="200"/>
    <n v="100"/>
    <n v="1"/>
    <n v="11.5"/>
    <n v="11"/>
    <x v="1"/>
    <x v="0"/>
    <n v="0"/>
    <n v="0"/>
  </r>
  <r>
    <x v="7"/>
    <x v="13"/>
    <s v="4.1-4.0"/>
    <x v="21"/>
    <n v="4"/>
    <x v="32"/>
    <n v="2"/>
    <n v="200"/>
    <n v="100"/>
    <n v="1"/>
    <n v="11.5"/>
    <n v="11"/>
    <x v="1"/>
    <x v="0"/>
    <n v="0"/>
    <n v="0"/>
  </r>
  <r>
    <x v="7"/>
    <x v="13"/>
    <s v="3.1-3.0"/>
    <x v="14"/>
    <n v="3"/>
    <x v="0"/>
    <n v="28"/>
    <n v="200"/>
    <n v="100"/>
    <n v="14.000000000000002"/>
    <n v="11.5"/>
    <n v="11"/>
    <x v="0"/>
    <x v="0"/>
    <n v="0"/>
    <n v="1"/>
  </r>
  <r>
    <x v="7"/>
    <x v="13"/>
    <s v="3.1-3.0"/>
    <x v="14"/>
    <n v="3"/>
    <x v="1"/>
    <n v="9"/>
    <n v="200"/>
    <n v="100"/>
    <n v="4.5"/>
    <n v="11.5"/>
    <n v="11"/>
    <x v="1"/>
    <x v="0"/>
    <n v="0"/>
    <n v="0"/>
  </r>
  <r>
    <x v="7"/>
    <x v="13"/>
    <s v="3.1-3.0"/>
    <x v="14"/>
    <n v="3"/>
    <x v="67"/>
    <n v="1"/>
    <n v="200"/>
    <n v="100"/>
    <n v="0.5"/>
    <n v="11.5"/>
    <n v="11"/>
    <x v="6"/>
    <x v="0"/>
    <n v="0"/>
    <n v="0"/>
  </r>
  <r>
    <x v="7"/>
    <x v="13"/>
    <s v="8.1-8.2"/>
    <x v="49"/>
    <n v="8"/>
    <x v="8"/>
    <n v="1"/>
    <n v="200"/>
    <n v="100"/>
    <n v="0.5"/>
    <n v="11.5"/>
    <n v="11"/>
    <x v="1"/>
    <x v="0"/>
    <n v="1"/>
    <n v="1"/>
  </r>
  <r>
    <x v="7"/>
    <x v="13"/>
    <s v="8.1-8.2"/>
    <x v="49"/>
    <n v="8"/>
    <x v="4"/>
    <n v="2"/>
    <n v="200"/>
    <n v="100"/>
    <n v="1"/>
    <n v="11.5"/>
    <n v="11"/>
    <x v="1"/>
    <x v="0"/>
    <n v="0"/>
    <n v="0"/>
  </r>
  <r>
    <x v="7"/>
    <x v="13"/>
    <s v="8.1-8.2"/>
    <x v="49"/>
    <n v="8"/>
    <x v="7"/>
    <n v="3"/>
    <n v="200"/>
    <n v="100"/>
    <n v="1.5"/>
    <n v="11.5"/>
    <n v="11"/>
    <x v="1"/>
    <x v="0"/>
    <n v="1"/>
    <n v="0"/>
  </r>
  <r>
    <x v="7"/>
    <x v="13"/>
    <s v="8.1-8.2"/>
    <x v="49"/>
    <n v="8"/>
    <x v="1"/>
    <n v="11"/>
    <n v="200"/>
    <n v="100"/>
    <n v="5.5"/>
    <n v="11.5"/>
    <n v="11"/>
    <x v="1"/>
    <x v="0"/>
    <n v="0"/>
    <n v="0"/>
  </r>
  <r>
    <x v="7"/>
    <x v="13"/>
    <s v="8.1-8.2"/>
    <x v="49"/>
    <n v="8"/>
    <x v="0"/>
    <n v="67"/>
    <n v="200"/>
    <n v="100"/>
    <n v="33.5"/>
    <n v="11.5"/>
    <n v="11"/>
    <x v="0"/>
    <x v="0"/>
    <n v="0"/>
    <n v="0"/>
  </r>
  <r>
    <x v="7"/>
    <x v="13"/>
    <s v="8.1-8.2"/>
    <x v="49"/>
    <n v="8"/>
    <x v="19"/>
    <n v="1"/>
    <n v="200"/>
    <n v="100"/>
    <n v="0.5"/>
    <n v="11.5"/>
    <n v="11"/>
    <x v="1"/>
    <x v="0"/>
    <n v="0"/>
    <n v="0"/>
  </r>
  <r>
    <x v="7"/>
    <x v="13"/>
    <s v="8.1-8.2"/>
    <x v="49"/>
    <n v="8"/>
    <x v="31"/>
    <n v="9"/>
    <n v="200"/>
    <n v="100"/>
    <n v="4.5"/>
    <n v="11.5"/>
    <n v="11"/>
    <x v="1"/>
    <x v="0"/>
    <n v="0"/>
    <n v="0"/>
  </r>
  <r>
    <x v="7"/>
    <x v="13"/>
    <s v="8.2-8.0"/>
    <x v="50"/>
    <n v="8"/>
    <x v="0"/>
    <n v="129"/>
    <n v="200"/>
    <n v="100"/>
    <n v="64.5"/>
    <n v="11.5"/>
    <n v="11"/>
    <x v="0"/>
    <x v="0"/>
    <n v="0"/>
    <n v="1"/>
  </r>
  <r>
    <x v="7"/>
    <x v="13"/>
    <s v="8.2-8.0"/>
    <x v="50"/>
    <n v="8"/>
    <x v="34"/>
    <n v="1"/>
    <n v="200"/>
    <n v="100"/>
    <n v="0.5"/>
    <n v="11.5"/>
    <n v="11"/>
    <x v="0"/>
    <x v="0"/>
    <n v="0"/>
    <n v="0"/>
  </r>
  <r>
    <x v="7"/>
    <x v="13"/>
    <s v="8.2-8.0"/>
    <x v="50"/>
    <n v="8"/>
    <x v="14"/>
    <n v="3"/>
    <n v="200"/>
    <n v="100"/>
    <n v="1.5"/>
    <n v="11.5"/>
    <n v="11"/>
    <x v="0"/>
    <x v="0"/>
    <n v="0"/>
    <n v="0"/>
  </r>
  <r>
    <x v="7"/>
    <x v="13"/>
    <s v="8.2-8.0"/>
    <x v="50"/>
    <n v="8"/>
    <x v="8"/>
    <n v="1"/>
    <n v="200"/>
    <n v="100"/>
    <n v="0.5"/>
    <n v="11.5"/>
    <n v="11"/>
    <x v="1"/>
    <x v="0"/>
    <n v="0"/>
    <n v="0"/>
  </r>
  <r>
    <x v="7"/>
    <x v="13"/>
    <s v="7.1-7.2"/>
    <x v="42"/>
    <n v="7"/>
    <x v="0"/>
    <n v="59"/>
    <n v="200"/>
    <n v="100"/>
    <n v="29.5"/>
    <n v="11.5"/>
    <n v="11"/>
    <x v="0"/>
    <x v="0"/>
    <n v="0"/>
    <n v="1"/>
  </r>
  <r>
    <x v="7"/>
    <x v="13"/>
    <s v="7.1-7.2"/>
    <x v="42"/>
    <n v="7"/>
    <x v="28"/>
    <n v="2"/>
    <n v="200"/>
    <n v="100"/>
    <n v="1"/>
    <n v="11.5"/>
    <n v="11"/>
    <x v="1"/>
    <x v="0"/>
    <n v="0"/>
    <n v="0"/>
  </r>
  <r>
    <x v="7"/>
    <x v="13"/>
    <s v="7.2-7.0"/>
    <x v="43"/>
    <n v="7"/>
    <x v="0"/>
    <n v="41"/>
    <n v="200"/>
    <n v="100"/>
    <n v="20.5"/>
    <n v="11.5"/>
    <n v="11"/>
    <x v="0"/>
    <x v="0"/>
    <n v="0"/>
    <n v="1"/>
  </r>
  <r>
    <x v="7"/>
    <x v="13"/>
    <s v="7.2-7.0"/>
    <x v="43"/>
    <n v="7"/>
    <x v="14"/>
    <n v="6"/>
    <n v="200"/>
    <n v="100"/>
    <n v="3"/>
    <n v="11.5"/>
    <n v="11"/>
    <x v="0"/>
    <x v="0"/>
    <n v="0"/>
    <n v="0"/>
  </r>
  <r>
    <x v="7"/>
    <x v="13"/>
    <s v="7.2-7.0"/>
    <x v="43"/>
    <n v="7"/>
    <x v="8"/>
    <n v="3"/>
    <n v="200"/>
    <n v="100"/>
    <n v="1.5"/>
    <n v="11.5"/>
    <n v="11"/>
    <x v="1"/>
    <x v="0"/>
    <n v="0"/>
    <n v="0"/>
  </r>
  <r>
    <x v="7"/>
    <x v="13"/>
    <s v="7.2-7.0"/>
    <x v="43"/>
    <n v="7"/>
    <x v="66"/>
    <n v="10"/>
    <n v="200"/>
    <n v="100"/>
    <n v="5"/>
    <n v="11.5"/>
    <n v="11"/>
    <x v="6"/>
    <x v="0"/>
    <n v="0"/>
    <n v="0"/>
  </r>
  <r>
    <x v="7"/>
    <x v="13"/>
    <s v="7.2-7.0"/>
    <x v="43"/>
    <n v="7"/>
    <x v="3"/>
    <n v="1"/>
    <n v="200"/>
    <n v="100"/>
    <n v="0.5"/>
    <n v="11.5"/>
    <n v="11"/>
    <x v="1"/>
    <x v="0"/>
    <n v="0"/>
    <n v="0"/>
  </r>
  <r>
    <x v="7"/>
    <x v="13"/>
    <s v="7.2-7.0"/>
    <x v="43"/>
    <n v="7"/>
    <x v="2"/>
    <n v="5"/>
    <n v="200"/>
    <n v="100"/>
    <n v="2.5"/>
    <n v="11.5"/>
    <n v="11"/>
    <x v="1"/>
    <x v="0"/>
    <n v="0"/>
    <n v="0"/>
  </r>
  <r>
    <x v="7"/>
    <x v="13"/>
    <s v="7.2-7.0"/>
    <x v="43"/>
    <n v="7"/>
    <x v="1"/>
    <n v="4"/>
    <n v="200"/>
    <n v="100"/>
    <n v="2"/>
    <n v="11.5"/>
    <n v="11"/>
    <x v="1"/>
    <x v="0"/>
    <n v="0"/>
    <n v="0"/>
  </r>
  <r>
    <x v="7"/>
    <x v="13"/>
    <s v="7.2-7.0"/>
    <x v="43"/>
    <n v="7"/>
    <x v="67"/>
    <n v="1"/>
    <n v="200"/>
    <n v="100"/>
    <n v="0.5"/>
    <n v="11.5"/>
    <n v="11"/>
    <x v="6"/>
    <x v="0"/>
    <n v="0"/>
    <n v="0"/>
  </r>
  <r>
    <x v="7"/>
    <x v="13"/>
    <s v="7.2-7.0"/>
    <x v="43"/>
    <n v="7"/>
    <x v="65"/>
    <n v="1"/>
    <n v="200"/>
    <n v="100"/>
    <n v="0.5"/>
    <n v="11.5"/>
    <n v="11"/>
    <x v="1"/>
    <x v="0"/>
    <n v="1"/>
    <n v="0"/>
  </r>
  <r>
    <x v="1"/>
    <x v="13"/>
    <s v="1.1-1.2"/>
    <x v="0"/>
    <n v="1"/>
    <x v="1"/>
    <n v="43"/>
    <n v="200"/>
    <n v="100"/>
    <n v="21.5"/>
    <n v="15"/>
    <n v="12"/>
    <x v="1"/>
    <x v="0"/>
    <n v="1"/>
    <n v="1"/>
  </r>
  <r>
    <x v="1"/>
    <x v="13"/>
    <s v="1.2-1.3"/>
    <x v="1"/>
    <n v="1"/>
    <x v="1"/>
    <n v="29"/>
    <n v="200"/>
    <n v="100"/>
    <n v="14.499999999999998"/>
    <n v="15"/>
    <n v="12"/>
    <x v="1"/>
    <x v="0"/>
    <n v="0"/>
    <n v="1"/>
  </r>
  <r>
    <x v="1"/>
    <x v="13"/>
    <s v="1.3-1.4"/>
    <x v="2"/>
    <n v="1"/>
    <x v="0"/>
    <n v="4"/>
    <n v="200"/>
    <n v="100"/>
    <n v="2"/>
    <n v="15"/>
    <n v="12"/>
    <x v="0"/>
    <x v="0"/>
    <n v="1"/>
    <n v="1"/>
  </r>
  <r>
    <x v="1"/>
    <x v="13"/>
    <s v="1.3-1.4"/>
    <x v="2"/>
    <n v="1"/>
    <x v="1"/>
    <n v="38"/>
    <n v="200"/>
    <n v="100"/>
    <n v="19"/>
    <n v="15"/>
    <n v="12"/>
    <x v="1"/>
    <x v="0"/>
    <n v="0"/>
    <n v="0"/>
  </r>
  <r>
    <x v="1"/>
    <x v="13"/>
    <s v="1.4-1.5"/>
    <x v="3"/>
    <n v="1"/>
    <x v="1"/>
    <n v="52"/>
    <n v="200"/>
    <n v="100"/>
    <n v="26"/>
    <n v="15"/>
    <n v="12"/>
    <x v="1"/>
    <x v="0"/>
    <n v="0"/>
    <n v="1"/>
  </r>
  <r>
    <x v="1"/>
    <x v="13"/>
    <s v="1.5-1.0"/>
    <x v="4"/>
    <n v="1"/>
    <x v="1"/>
    <n v="33"/>
    <n v="200"/>
    <n v="100"/>
    <n v="16.5"/>
    <n v="15"/>
    <n v="12"/>
    <x v="1"/>
    <x v="0"/>
    <n v="0"/>
    <n v="1"/>
  </r>
  <r>
    <x v="1"/>
    <x v="13"/>
    <s v="1.5-1.0"/>
    <x v="4"/>
    <n v="1"/>
    <x v="0"/>
    <n v="6"/>
    <n v="200"/>
    <n v="100"/>
    <n v="3"/>
    <n v="15"/>
    <n v="12"/>
    <x v="0"/>
    <x v="0"/>
    <n v="0"/>
    <n v="0"/>
  </r>
  <r>
    <x v="1"/>
    <x v="13"/>
    <s v="2.1-2.2"/>
    <x v="7"/>
    <n v="2"/>
    <x v="1"/>
    <n v="17"/>
    <n v="200"/>
    <n v="100"/>
    <n v="8.5"/>
    <n v="15"/>
    <n v="12"/>
    <x v="1"/>
    <x v="0"/>
    <n v="0"/>
    <n v="1"/>
  </r>
  <r>
    <x v="1"/>
    <x v="13"/>
    <s v="2.1-2.2"/>
    <x v="7"/>
    <n v="2"/>
    <x v="0"/>
    <n v="3"/>
    <n v="200"/>
    <n v="100"/>
    <n v="1.5"/>
    <n v="15"/>
    <n v="12"/>
    <x v="0"/>
    <x v="0"/>
    <n v="0"/>
    <n v="0"/>
  </r>
  <r>
    <x v="1"/>
    <x v="13"/>
    <s v="2.2-2.3"/>
    <x v="8"/>
    <n v="2"/>
    <x v="1"/>
    <n v="9"/>
    <n v="200"/>
    <n v="100"/>
    <n v="4.5"/>
    <n v="15"/>
    <n v="12"/>
    <x v="1"/>
    <x v="0"/>
    <n v="0"/>
    <n v="1"/>
  </r>
  <r>
    <x v="1"/>
    <x v="13"/>
    <s v="2.2-2.3"/>
    <x v="8"/>
    <n v="2"/>
    <x v="2"/>
    <n v="1"/>
    <n v="200"/>
    <n v="100"/>
    <n v="0.5"/>
    <n v="15"/>
    <n v="12"/>
    <x v="1"/>
    <x v="0"/>
    <n v="1"/>
    <n v="0"/>
  </r>
  <r>
    <x v="1"/>
    <x v="13"/>
    <s v="2.2-2.3"/>
    <x v="8"/>
    <n v="2"/>
    <x v="0"/>
    <n v="1"/>
    <n v="200"/>
    <n v="100"/>
    <n v="0.5"/>
    <n v="15"/>
    <n v="12"/>
    <x v="0"/>
    <x v="0"/>
    <n v="0"/>
    <n v="0"/>
  </r>
  <r>
    <x v="1"/>
    <x v="13"/>
    <s v="2.3-2.4"/>
    <x v="9"/>
    <n v="2"/>
    <x v="0"/>
    <n v="3"/>
    <n v="200"/>
    <n v="100"/>
    <n v="1.5"/>
    <n v="15"/>
    <n v="12"/>
    <x v="0"/>
    <x v="0"/>
    <n v="0"/>
    <n v="1"/>
  </r>
  <r>
    <x v="1"/>
    <x v="13"/>
    <s v="2.3-2.4"/>
    <x v="9"/>
    <n v="2"/>
    <x v="1"/>
    <n v="17"/>
    <n v="200"/>
    <n v="100"/>
    <n v="8.5"/>
    <n v="15"/>
    <n v="12"/>
    <x v="1"/>
    <x v="0"/>
    <n v="0"/>
    <n v="0"/>
  </r>
  <r>
    <x v="1"/>
    <x v="13"/>
    <s v="2.4-2.5"/>
    <x v="10"/>
    <n v="2"/>
    <x v="1"/>
    <n v="30"/>
    <n v="200"/>
    <n v="100"/>
    <n v="15"/>
    <n v="15"/>
    <n v="12"/>
    <x v="1"/>
    <x v="0"/>
    <n v="0"/>
    <n v="1"/>
  </r>
  <r>
    <x v="1"/>
    <x v="13"/>
    <s v="2.5-2.6"/>
    <x v="11"/>
    <n v="2"/>
    <x v="1"/>
    <n v="30"/>
    <n v="200"/>
    <n v="100"/>
    <n v="15"/>
    <n v="15"/>
    <n v="12"/>
    <x v="1"/>
    <x v="0"/>
    <n v="0"/>
    <n v="1"/>
  </r>
  <r>
    <x v="1"/>
    <x v="13"/>
    <s v="2.5-2.6"/>
    <x v="12"/>
    <n v="2"/>
    <x v="1"/>
    <n v="28"/>
    <n v="200"/>
    <n v="100"/>
    <n v="14.000000000000002"/>
    <n v="15"/>
    <n v="12"/>
    <x v="1"/>
    <x v="0"/>
    <n v="0"/>
    <n v="1"/>
  </r>
  <r>
    <x v="1"/>
    <x v="13"/>
    <s v="2.7-2.8"/>
    <x v="13"/>
    <n v="2"/>
    <x v="1"/>
    <n v="30"/>
    <n v="200"/>
    <n v="100"/>
    <n v="15"/>
    <n v="15"/>
    <n v="12"/>
    <x v="1"/>
    <x v="0"/>
    <n v="0"/>
    <n v="1"/>
  </r>
  <r>
    <x v="1"/>
    <x v="13"/>
    <s v="2.8-2.0"/>
    <x v="54"/>
    <n v="2"/>
    <x v="1"/>
    <n v="39"/>
    <n v="200"/>
    <n v="100"/>
    <n v="19.5"/>
    <n v="15"/>
    <n v="12"/>
    <x v="1"/>
    <x v="0"/>
    <n v="0"/>
    <n v="1"/>
  </r>
  <r>
    <x v="1"/>
    <x v="13"/>
    <s v="2.8-2.0"/>
    <x v="54"/>
    <n v="2"/>
    <x v="73"/>
    <n v="10"/>
    <n v="200"/>
    <n v="100"/>
    <n v="5"/>
    <n v="15"/>
    <n v="12"/>
    <x v="6"/>
    <x v="0"/>
    <n v="1"/>
    <n v="0"/>
  </r>
  <r>
    <x v="1"/>
    <x v="13"/>
    <s v="4.1-4.2"/>
    <x v="21"/>
    <n v="4"/>
    <x v="1"/>
    <n v="56"/>
    <n v="200"/>
    <n v="100"/>
    <n v="28.000000000000004"/>
    <n v="15"/>
    <n v="12"/>
    <x v="1"/>
    <x v="0"/>
    <n v="0"/>
    <n v="1"/>
  </r>
  <r>
    <x v="1"/>
    <x v="13"/>
    <s v="4.2-4.3"/>
    <x v="22"/>
    <n v="4"/>
    <x v="1"/>
    <n v="23"/>
    <n v="200"/>
    <n v="100"/>
    <n v="11.5"/>
    <n v="15"/>
    <n v="12"/>
    <x v="1"/>
    <x v="0"/>
    <n v="0"/>
    <n v="1"/>
  </r>
  <r>
    <x v="1"/>
    <x v="13"/>
    <s v="4.3-4.4"/>
    <x v="23"/>
    <n v="4"/>
    <x v="1"/>
    <n v="44"/>
    <n v="200"/>
    <n v="100"/>
    <n v="22"/>
    <n v="15"/>
    <n v="12"/>
    <x v="1"/>
    <x v="0"/>
    <n v="0"/>
    <n v="1"/>
  </r>
  <r>
    <x v="1"/>
    <x v="13"/>
    <s v="4.3-4.4"/>
    <x v="23"/>
    <n v="4"/>
    <x v="0"/>
    <n v="2"/>
    <n v="200"/>
    <n v="100"/>
    <n v="1"/>
    <n v="15"/>
    <n v="12"/>
    <x v="0"/>
    <x v="0"/>
    <n v="0"/>
    <n v="0"/>
  </r>
  <r>
    <x v="1"/>
    <x v="13"/>
    <s v="4.4-4.5"/>
    <x v="24"/>
    <n v="4"/>
    <x v="1"/>
    <n v="22"/>
    <n v="200"/>
    <n v="100"/>
    <n v="11"/>
    <n v="15"/>
    <n v="12"/>
    <x v="1"/>
    <x v="0"/>
    <n v="0"/>
    <n v="1"/>
  </r>
  <r>
    <x v="1"/>
    <x v="13"/>
    <s v="4.4-4.5"/>
    <x v="24"/>
    <n v="4"/>
    <x v="0"/>
    <n v="5"/>
    <n v="200"/>
    <n v="100"/>
    <n v="2.5"/>
    <n v="15"/>
    <n v="12"/>
    <x v="0"/>
    <x v="0"/>
    <n v="0"/>
    <n v="0"/>
  </r>
  <r>
    <x v="1"/>
    <x v="13"/>
    <s v="4.5-4.6"/>
    <x v="25"/>
    <n v="4"/>
    <x v="1"/>
    <n v="34"/>
    <n v="200"/>
    <n v="100"/>
    <n v="17"/>
    <n v="15"/>
    <n v="12"/>
    <x v="1"/>
    <x v="0"/>
    <n v="0"/>
    <n v="1"/>
  </r>
  <r>
    <x v="1"/>
    <x v="13"/>
    <s v="4.5-4.6"/>
    <x v="25"/>
    <n v="4"/>
    <x v="0"/>
    <n v="14"/>
    <n v="200"/>
    <n v="100"/>
    <n v="7.0000000000000009"/>
    <n v="15"/>
    <n v="12"/>
    <x v="0"/>
    <x v="0"/>
    <n v="0"/>
    <n v="0"/>
  </r>
  <r>
    <x v="1"/>
    <x v="13"/>
    <s v="4.6-4.7"/>
    <x v="26"/>
    <n v="4"/>
    <x v="1"/>
    <n v="9"/>
    <n v="200"/>
    <n v="100"/>
    <n v="4.5"/>
    <n v="15"/>
    <n v="12"/>
    <x v="1"/>
    <x v="0"/>
    <n v="0"/>
    <n v="1"/>
  </r>
  <r>
    <x v="1"/>
    <x v="13"/>
    <s v="4.6-4.7"/>
    <x v="26"/>
    <n v="4"/>
    <x v="0"/>
    <n v="42"/>
    <n v="200"/>
    <n v="100"/>
    <n v="21"/>
    <n v="15"/>
    <n v="12"/>
    <x v="0"/>
    <x v="0"/>
    <n v="0"/>
    <n v="0"/>
  </r>
  <r>
    <x v="1"/>
    <x v="13"/>
    <s v="4.7-4.0"/>
    <x v="27"/>
    <n v="4"/>
    <x v="1"/>
    <n v="23"/>
    <n v="200"/>
    <n v="100"/>
    <n v="11.5"/>
    <n v="15"/>
    <n v="12"/>
    <x v="1"/>
    <x v="0"/>
    <n v="0"/>
    <n v="1"/>
  </r>
  <r>
    <x v="1"/>
    <x v="13"/>
    <s v="4.7-4.0"/>
    <x v="27"/>
    <n v="4"/>
    <x v="0"/>
    <n v="46"/>
    <n v="200"/>
    <n v="100"/>
    <n v="23"/>
    <n v="15"/>
    <n v="12"/>
    <x v="0"/>
    <x v="0"/>
    <n v="0"/>
    <n v="0"/>
  </r>
  <r>
    <x v="1"/>
    <x v="13"/>
    <s v="4.7-4.0"/>
    <x v="27"/>
    <n v="4"/>
    <x v="2"/>
    <n v="6"/>
    <n v="200"/>
    <n v="100"/>
    <n v="3"/>
    <n v="15"/>
    <n v="12"/>
    <x v="1"/>
    <x v="0"/>
    <n v="0"/>
    <n v="0"/>
  </r>
  <r>
    <x v="1"/>
    <x v="13"/>
    <s v="4.7-4.0"/>
    <x v="27"/>
    <n v="4"/>
    <x v="66"/>
    <n v="1"/>
    <n v="200"/>
    <n v="100"/>
    <n v="0.5"/>
    <n v="15"/>
    <n v="12"/>
    <x v="6"/>
    <x v="0"/>
    <n v="1"/>
    <n v="0"/>
  </r>
  <r>
    <x v="1"/>
    <x v="13"/>
    <s v="4.7-4.0"/>
    <x v="27"/>
    <n v="4"/>
    <x v="28"/>
    <n v="1"/>
    <n v="200"/>
    <n v="100"/>
    <n v="0.5"/>
    <n v="15"/>
    <n v="12"/>
    <x v="1"/>
    <x v="0"/>
    <n v="1"/>
    <n v="0"/>
  </r>
  <r>
    <x v="1"/>
    <x v="13"/>
    <s v="5.1-5.2"/>
    <x v="28"/>
    <n v="5"/>
    <x v="1"/>
    <n v="13"/>
    <n v="200"/>
    <n v="100"/>
    <n v="6.5"/>
    <n v="15"/>
    <n v="12"/>
    <x v="1"/>
    <x v="0"/>
    <n v="0"/>
    <n v="1"/>
  </r>
  <r>
    <x v="1"/>
    <x v="13"/>
    <s v="5.1-5.2"/>
    <x v="28"/>
    <n v="5"/>
    <x v="2"/>
    <n v="20"/>
    <n v="200"/>
    <n v="100"/>
    <n v="10"/>
    <n v="15"/>
    <n v="12"/>
    <x v="1"/>
    <x v="0"/>
    <n v="0"/>
    <n v="0"/>
  </r>
  <r>
    <x v="1"/>
    <x v="13"/>
    <s v="5.1-5.2"/>
    <x v="28"/>
    <n v="5"/>
    <x v="0"/>
    <n v="2"/>
    <n v="200"/>
    <n v="100"/>
    <n v="1"/>
    <n v="15"/>
    <n v="12"/>
    <x v="0"/>
    <x v="0"/>
    <n v="0"/>
    <n v="0"/>
  </r>
  <r>
    <x v="1"/>
    <x v="13"/>
    <s v="5.2-5.3"/>
    <x v="29"/>
    <n v="5"/>
    <x v="2"/>
    <n v="1"/>
    <n v="200"/>
    <n v="100"/>
    <n v="0.5"/>
    <n v="15"/>
    <n v="12"/>
    <x v="1"/>
    <x v="0"/>
    <n v="0"/>
    <n v="1"/>
  </r>
  <r>
    <x v="1"/>
    <x v="13"/>
    <s v="5.2-5.3"/>
    <x v="29"/>
    <n v="5"/>
    <x v="1"/>
    <n v="19"/>
    <n v="200"/>
    <n v="100"/>
    <n v="9.5"/>
    <n v="15"/>
    <n v="12"/>
    <x v="1"/>
    <x v="0"/>
    <n v="0"/>
    <n v="0"/>
  </r>
  <r>
    <x v="1"/>
    <x v="13"/>
    <s v="5.2-5.3"/>
    <x v="29"/>
    <n v="5"/>
    <x v="0"/>
    <n v="9"/>
    <n v="200"/>
    <n v="100"/>
    <n v="4.5"/>
    <n v="15"/>
    <n v="12"/>
    <x v="0"/>
    <x v="0"/>
    <n v="0"/>
    <n v="0"/>
  </r>
  <r>
    <x v="1"/>
    <x v="13"/>
    <s v="5.2-5.3"/>
    <x v="29"/>
    <n v="5"/>
    <x v="28"/>
    <n v="1"/>
    <n v="200"/>
    <n v="100"/>
    <n v="0.5"/>
    <n v="15"/>
    <n v="12"/>
    <x v="1"/>
    <x v="0"/>
    <n v="0"/>
    <n v="0"/>
  </r>
  <r>
    <x v="1"/>
    <x v="13"/>
    <s v="5.2-5.3"/>
    <x v="29"/>
    <n v="5"/>
    <x v="73"/>
    <n v="10"/>
    <n v="200"/>
    <n v="100"/>
    <n v="5"/>
    <n v="15"/>
    <n v="12"/>
    <x v="6"/>
    <x v="0"/>
    <n v="0"/>
    <n v="0"/>
  </r>
  <r>
    <x v="1"/>
    <x v="13"/>
    <s v="5.3-5.4"/>
    <x v="30"/>
    <n v="5"/>
    <x v="1"/>
    <n v="26"/>
    <n v="200"/>
    <n v="100"/>
    <n v="13"/>
    <n v="15"/>
    <n v="12"/>
    <x v="1"/>
    <x v="0"/>
    <n v="0"/>
    <n v="1"/>
  </r>
  <r>
    <x v="1"/>
    <x v="13"/>
    <s v="5.3-5.4"/>
    <x v="30"/>
    <n v="5"/>
    <x v="0"/>
    <n v="19"/>
    <n v="200"/>
    <n v="100"/>
    <n v="9.5"/>
    <n v="15"/>
    <n v="12"/>
    <x v="0"/>
    <x v="0"/>
    <n v="0"/>
    <n v="0"/>
  </r>
  <r>
    <x v="1"/>
    <x v="13"/>
    <s v="5.4-5.5"/>
    <x v="31"/>
    <n v="5"/>
    <x v="1"/>
    <n v="23"/>
    <n v="200"/>
    <n v="100"/>
    <n v="11.5"/>
    <n v="15"/>
    <n v="12"/>
    <x v="1"/>
    <x v="0"/>
    <n v="0"/>
    <n v="1"/>
  </r>
  <r>
    <x v="1"/>
    <x v="13"/>
    <s v="5.4-5.5"/>
    <x v="31"/>
    <n v="5"/>
    <x v="0"/>
    <n v="14"/>
    <n v="200"/>
    <n v="100"/>
    <n v="7.0000000000000009"/>
    <n v="15"/>
    <n v="12"/>
    <x v="0"/>
    <x v="0"/>
    <n v="0"/>
    <n v="0"/>
  </r>
  <r>
    <x v="1"/>
    <x v="13"/>
    <s v="5.6-5.0"/>
    <x v="33"/>
    <n v="5"/>
    <x v="1"/>
    <n v="48"/>
    <n v="200"/>
    <n v="100"/>
    <n v="24"/>
    <n v="15"/>
    <n v="12"/>
    <x v="1"/>
    <x v="0"/>
    <n v="0"/>
    <n v="1"/>
  </r>
  <r>
    <x v="1"/>
    <x v="13"/>
    <s v="5.6-5.0"/>
    <x v="33"/>
    <n v="5"/>
    <x v="0"/>
    <n v="1"/>
    <n v="200"/>
    <n v="100"/>
    <n v="0.5"/>
    <n v="15"/>
    <n v="12"/>
    <x v="0"/>
    <x v="0"/>
    <n v="0"/>
    <n v="0"/>
  </r>
  <r>
    <x v="1"/>
    <x v="13"/>
    <s v="5.5-5.6"/>
    <x v="32"/>
    <n v="5"/>
    <x v="1"/>
    <n v="19"/>
    <n v="200"/>
    <n v="100"/>
    <n v="9.5"/>
    <n v="15"/>
    <n v="12"/>
    <x v="1"/>
    <x v="0"/>
    <n v="0"/>
    <n v="1"/>
  </r>
  <r>
    <x v="1"/>
    <x v="13"/>
    <s v="5.5-5.6"/>
    <x v="32"/>
    <n v="5"/>
    <x v="0"/>
    <n v="6"/>
    <n v="200"/>
    <n v="100"/>
    <n v="3"/>
    <n v="15"/>
    <n v="12"/>
    <x v="0"/>
    <x v="0"/>
    <n v="0"/>
    <n v="0"/>
  </r>
  <r>
    <x v="1"/>
    <x v="13"/>
    <s v="3.1-3.2"/>
    <x v="14"/>
    <n v="3"/>
    <x v="1"/>
    <n v="23"/>
    <n v="200"/>
    <n v="100"/>
    <n v="11.5"/>
    <n v="15"/>
    <n v="12"/>
    <x v="1"/>
    <x v="0"/>
    <n v="0"/>
    <n v="1"/>
  </r>
  <r>
    <x v="1"/>
    <x v="13"/>
    <s v="3.2-3.3"/>
    <x v="16"/>
    <n v="3"/>
    <x v="1"/>
    <n v="15"/>
    <n v="200"/>
    <n v="100"/>
    <n v="7.5"/>
    <n v="15"/>
    <n v="12"/>
    <x v="1"/>
    <x v="0"/>
    <n v="0"/>
    <n v="1"/>
  </r>
  <r>
    <x v="1"/>
    <x v="13"/>
    <s v="3.3-3.2"/>
    <x v="16"/>
    <n v="3"/>
    <x v="0"/>
    <n v="1"/>
    <n v="200"/>
    <n v="100"/>
    <n v="0.5"/>
    <n v="15"/>
    <n v="12"/>
    <x v="0"/>
    <x v="0"/>
    <n v="0"/>
    <n v="0"/>
  </r>
  <r>
    <x v="1"/>
    <x v="13"/>
    <s v="3.5-3.6"/>
    <x v="18"/>
    <n v="3"/>
    <x v="0"/>
    <n v="20"/>
    <n v="200"/>
    <n v="100"/>
    <n v="10"/>
    <n v="15"/>
    <n v="12"/>
    <x v="0"/>
    <x v="0"/>
    <n v="0"/>
    <n v="1"/>
  </r>
  <r>
    <x v="1"/>
    <x v="13"/>
    <s v="3.5-3.6"/>
    <x v="18"/>
    <n v="3"/>
    <x v="1"/>
    <n v="4"/>
    <n v="200"/>
    <n v="100"/>
    <n v="2"/>
    <n v="15"/>
    <n v="12"/>
    <x v="1"/>
    <x v="0"/>
    <n v="0"/>
    <n v="0"/>
  </r>
  <r>
    <x v="1"/>
    <x v="13"/>
    <s v="3.7-3.0"/>
    <x v="20"/>
    <n v="3"/>
    <x v="0"/>
    <n v="15"/>
    <n v="200"/>
    <n v="100"/>
    <n v="7.5"/>
    <n v="15"/>
    <n v="12"/>
    <x v="0"/>
    <x v="0"/>
    <n v="0"/>
    <n v="1"/>
  </r>
  <r>
    <x v="1"/>
    <x v="13"/>
    <s v="3.7-3.0"/>
    <x v="20"/>
    <n v="3"/>
    <x v="1"/>
    <n v="46"/>
    <n v="200"/>
    <n v="100"/>
    <n v="23"/>
    <n v="15"/>
    <n v="12"/>
    <x v="1"/>
    <x v="0"/>
    <n v="0"/>
    <n v="0"/>
  </r>
  <r>
    <x v="1"/>
    <x v="13"/>
    <s v="3.7-3.0"/>
    <x v="20"/>
    <n v="3"/>
    <x v="2"/>
    <n v="1"/>
    <n v="200"/>
    <n v="100"/>
    <n v="0.5"/>
    <n v="15"/>
    <n v="12"/>
    <x v="1"/>
    <x v="0"/>
    <n v="0"/>
    <n v="0"/>
  </r>
  <r>
    <x v="1"/>
    <x v="13"/>
    <s v="3.7-3.0"/>
    <x v="20"/>
    <n v="3"/>
    <x v="6"/>
    <n v="6"/>
    <n v="200"/>
    <n v="100"/>
    <n v="3"/>
    <n v="15"/>
    <n v="12"/>
    <x v="1"/>
    <x v="0"/>
    <n v="1"/>
    <n v="0"/>
  </r>
  <r>
    <x v="1"/>
    <x v="13"/>
    <s v="6.1-6.2"/>
    <x v="35"/>
    <n v="6"/>
    <x v="1"/>
    <n v="14"/>
    <n v="200"/>
    <n v="100"/>
    <n v="7.0000000000000009"/>
    <n v="15"/>
    <n v="12"/>
    <x v="1"/>
    <x v="0"/>
    <n v="0"/>
    <n v="1"/>
  </r>
  <r>
    <x v="1"/>
    <x v="13"/>
    <s v="6.1-6.2"/>
    <x v="35"/>
    <n v="6"/>
    <x v="0"/>
    <n v="19"/>
    <n v="200"/>
    <n v="100"/>
    <n v="9.5"/>
    <n v="15"/>
    <n v="12"/>
    <x v="0"/>
    <x v="0"/>
    <n v="0"/>
    <n v="0"/>
  </r>
  <r>
    <x v="1"/>
    <x v="13"/>
    <s v="6.2-6.3"/>
    <x v="36"/>
    <n v="6"/>
    <x v="1"/>
    <n v="42"/>
    <n v="200"/>
    <n v="100"/>
    <n v="21"/>
    <n v="15"/>
    <n v="12"/>
    <x v="1"/>
    <x v="0"/>
    <n v="0"/>
    <n v="1"/>
  </r>
  <r>
    <x v="1"/>
    <x v="13"/>
    <s v="6.2-6.3"/>
    <x v="36"/>
    <n v="6"/>
    <x v="0"/>
    <n v="6"/>
    <n v="200"/>
    <n v="100"/>
    <n v="3"/>
    <n v="15"/>
    <n v="12"/>
    <x v="0"/>
    <x v="0"/>
    <n v="0"/>
    <n v="0"/>
  </r>
  <r>
    <x v="1"/>
    <x v="13"/>
    <s v="6.3-6.4"/>
    <x v="37"/>
    <n v="6"/>
    <x v="1"/>
    <n v="32"/>
    <n v="200"/>
    <n v="100"/>
    <n v="16"/>
    <n v="15"/>
    <n v="12"/>
    <x v="1"/>
    <x v="0"/>
    <n v="0"/>
    <n v="1"/>
  </r>
  <r>
    <x v="1"/>
    <x v="13"/>
    <s v="6.3-6.4"/>
    <x v="37"/>
    <n v="6"/>
    <x v="0"/>
    <n v="11"/>
    <n v="200"/>
    <n v="100"/>
    <n v="5.5"/>
    <n v="15"/>
    <n v="12"/>
    <x v="0"/>
    <x v="0"/>
    <n v="0"/>
    <n v="0"/>
  </r>
  <r>
    <x v="1"/>
    <x v="13"/>
    <s v="6.4-6.5"/>
    <x v="38"/>
    <n v="6"/>
    <x v="0"/>
    <n v="8"/>
    <n v="200"/>
    <n v="100"/>
    <n v="4"/>
    <n v="15"/>
    <n v="12"/>
    <x v="0"/>
    <x v="0"/>
    <n v="0"/>
    <n v="1"/>
  </r>
  <r>
    <x v="1"/>
    <x v="13"/>
    <s v="6.4-6.5"/>
    <x v="38"/>
    <n v="6"/>
    <x v="1"/>
    <n v="19"/>
    <n v="200"/>
    <n v="100"/>
    <n v="9.5"/>
    <n v="15"/>
    <n v="12"/>
    <x v="1"/>
    <x v="0"/>
    <n v="0"/>
    <n v="0"/>
  </r>
  <r>
    <x v="1"/>
    <x v="13"/>
    <s v="6.5-6.0"/>
    <x v="39"/>
    <n v="6"/>
    <x v="1"/>
    <n v="6"/>
    <n v="200"/>
    <n v="100"/>
    <n v="3"/>
    <n v="15"/>
    <n v="12"/>
    <x v="1"/>
    <x v="0"/>
    <n v="0"/>
    <n v="1"/>
  </r>
  <r>
    <x v="1"/>
    <x v="13"/>
    <s v="7.1-7.2"/>
    <x v="42"/>
    <n v="7"/>
    <x v="0"/>
    <n v="15"/>
    <n v="200"/>
    <n v="100"/>
    <n v="7.5"/>
    <n v="15"/>
    <n v="12"/>
    <x v="0"/>
    <x v="0"/>
    <n v="0"/>
    <n v="1"/>
  </r>
  <r>
    <x v="1"/>
    <x v="13"/>
    <s v="7.1-7.2"/>
    <x v="42"/>
    <n v="7"/>
    <x v="1"/>
    <n v="2"/>
    <n v="200"/>
    <n v="100"/>
    <n v="1"/>
    <n v="15"/>
    <n v="12"/>
    <x v="1"/>
    <x v="0"/>
    <n v="0"/>
    <n v="0"/>
  </r>
  <r>
    <x v="1"/>
    <x v="13"/>
    <s v="7.1-7.2"/>
    <x v="42"/>
    <n v="7"/>
    <x v="2"/>
    <n v="3"/>
    <n v="200"/>
    <n v="100"/>
    <n v="1.5"/>
    <n v="15"/>
    <n v="12"/>
    <x v="1"/>
    <x v="0"/>
    <n v="0"/>
    <n v="0"/>
  </r>
  <r>
    <x v="1"/>
    <x v="13"/>
    <s v="7.2-7.3"/>
    <x v="43"/>
    <n v="7"/>
    <x v="1"/>
    <n v="16"/>
    <n v="200"/>
    <n v="100"/>
    <n v="8"/>
    <n v="15"/>
    <n v="12"/>
    <x v="1"/>
    <x v="0"/>
    <n v="0"/>
    <n v="1"/>
  </r>
  <r>
    <x v="1"/>
    <x v="13"/>
    <s v="7.2-7.3"/>
    <x v="43"/>
    <n v="7"/>
    <x v="0"/>
    <n v="3"/>
    <n v="200"/>
    <n v="100"/>
    <n v="1.5"/>
    <n v="15"/>
    <n v="12"/>
    <x v="0"/>
    <x v="0"/>
    <n v="0"/>
    <n v="0"/>
  </r>
  <r>
    <x v="1"/>
    <x v="13"/>
    <s v="7.3-7.4"/>
    <x v="44"/>
    <n v="7"/>
    <x v="1"/>
    <n v="45"/>
    <n v="200"/>
    <n v="100"/>
    <n v="22.5"/>
    <n v="15"/>
    <n v="12"/>
    <x v="1"/>
    <x v="0"/>
    <n v="0"/>
    <n v="1"/>
  </r>
  <r>
    <x v="1"/>
    <x v="13"/>
    <s v="7.4-7.5"/>
    <x v="45"/>
    <n v="7"/>
    <x v="1"/>
    <n v="70"/>
    <n v="200"/>
    <n v="100"/>
    <n v="35"/>
    <n v="15"/>
    <n v="12"/>
    <x v="1"/>
    <x v="0"/>
    <n v="0"/>
    <n v="1"/>
  </r>
  <r>
    <x v="1"/>
    <x v="13"/>
    <s v="7.4-7.5"/>
    <x v="45"/>
    <n v="7"/>
    <x v="0"/>
    <n v="6"/>
    <n v="200"/>
    <n v="100"/>
    <n v="3"/>
    <n v="15"/>
    <n v="12"/>
    <x v="0"/>
    <x v="0"/>
    <n v="0"/>
    <n v="0"/>
  </r>
  <r>
    <x v="1"/>
    <x v="13"/>
    <s v="3.2-3.3"/>
    <x v="15"/>
    <n v="3"/>
    <x v="1"/>
    <n v="35"/>
    <n v="200"/>
    <n v="100"/>
    <n v="17.5"/>
    <n v="15"/>
    <n v="12"/>
    <x v="1"/>
    <x v="0"/>
    <n v="0"/>
    <n v="1"/>
  </r>
  <r>
    <x v="1"/>
    <x v="13"/>
    <s v="3.4-3.5"/>
    <x v="17"/>
    <n v="3"/>
    <x v="1"/>
    <n v="36"/>
    <n v="200"/>
    <n v="100"/>
    <n v="18"/>
    <n v="15"/>
    <n v="12"/>
    <x v="1"/>
    <x v="0"/>
    <n v="0"/>
    <n v="1"/>
  </r>
  <r>
    <x v="1"/>
    <x v="13"/>
    <s v="3.6-3.7"/>
    <x v="19"/>
    <n v="3"/>
    <x v="0"/>
    <n v="19"/>
    <n v="200"/>
    <n v="100"/>
    <n v="9.5"/>
    <n v="15"/>
    <n v="12"/>
    <x v="0"/>
    <x v="0"/>
    <n v="0"/>
    <n v="1"/>
  </r>
  <r>
    <x v="1"/>
    <x v="13"/>
    <s v="3.6-3.7"/>
    <x v="19"/>
    <n v="3"/>
    <x v="1"/>
    <n v="5"/>
    <n v="200"/>
    <n v="100"/>
    <n v="2.5"/>
    <n v="15"/>
    <n v="12"/>
    <x v="1"/>
    <x v="0"/>
    <n v="0"/>
    <n v="0"/>
  </r>
</pivotCacheRecords>
</file>

<file path=xl/pivotCache/pivotCacheRecords2.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103">
  <r>
    <s v="BLK016E"/>
    <x v="0"/>
    <m/>
    <x v="0"/>
    <n v="1"/>
    <x v="0"/>
    <n v="7"/>
    <n v="144"/>
    <m/>
    <n v="4.8611111111111116"/>
    <n v="34"/>
    <n v="6"/>
    <x v="0"/>
    <m/>
    <n v="1"/>
    <n v="0"/>
  </r>
  <r>
    <s v="BLK016E"/>
    <x v="0"/>
    <m/>
    <x v="0"/>
    <n v="1"/>
    <x v="1"/>
    <n v="2"/>
    <n v="144"/>
    <m/>
    <n v="1.3888888888888888"/>
    <n v="34"/>
    <n v="6"/>
    <x v="0"/>
    <m/>
    <n v="1"/>
    <n v="0"/>
  </r>
  <r>
    <s v="BLK016E"/>
    <x v="0"/>
    <m/>
    <x v="0"/>
    <n v="1"/>
    <x v="2"/>
    <n v="1"/>
    <n v="144"/>
    <m/>
    <n v="0.69444444444444442"/>
    <n v="34"/>
    <n v="6"/>
    <x v="0"/>
    <m/>
    <n v="1"/>
    <n v="0"/>
  </r>
  <r>
    <s v="BLK016E"/>
    <x v="0"/>
    <m/>
    <x v="1"/>
    <n v="2"/>
    <x v="3"/>
    <n v="2"/>
    <n v="130"/>
    <m/>
    <n v="1.5384615384615385"/>
    <n v="34"/>
    <n v="6"/>
    <x v="0"/>
    <m/>
    <n v="1"/>
    <n v="0"/>
  </r>
  <r>
    <s v="BLK016E"/>
    <x v="0"/>
    <m/>
    <x v="2"/>
    <n v="2"/>
    <x v="3"/>
    <n v="3"/>
    <n v="66"/>
    <m/>
    <n v="4.5454545454545459"/>
    <n v="34"/>
    <n v="6"/>
    <x v="0"/>
    <m/>
    <n v="0"/>
    <n v="0"/>
  </r>
  <r>
    <s v="BLK016E"/>
    <x v="0"/>
    <m/>
    <x v="2"/>
    <n v="2"/>
    <x v="0"/>
    <n v="2"/>
    <n v="66"/>
    <m/>
    <n v="3.0303030303030303"/>
    <n v="34"/>
    <n v="6"/>
    <x v="0"/>
    <m/>
    <n v="0"/>
    <n v="0"/>
  </r>
  <r>
    <s v="BLK016E"/>
    <x v="0"/>
    <m/>
    <x v="3"/>
    <n v="3"/>
    <x v="3"/>
    <n v="1"/>
    <n v="83"/>
    <m/>
    <n v="1.2048192771084338"/>
    <n v="34"/>
    <n v="6"/>
    <x v="0"/>
    <m/>
    <n v="0"/>
    <n v="0"/>
  </r>
  <r>
    <s v="BLK016E"/>
    <x v="0"/>
    <m/>
    <x v="4"/>
    <n v="3"/>
    <x v="0"/>
    <n v="6"/>
    <n v="35"/>
    <m/>
    <n v="17.142857142857142"/>
    <n v="34"/>
    <n v="6"/>
    <x v="0"/>
    <m/>
    <n v="0"/>
    <n v="1"/>
  </r>
  <r>
    <s v="BLK016E"/>
    <x v="0"/>
    <m/>
    <x v="4"/>
    <n v="3"/>
    <x v="1"/>
    <n v="2"/>
    <n v="35"/>
    <m/>
    <n v="5.7142857142857144"/>
    <n v="34"/>
    <n v="6"/>
    <x v="0"/>
    <m/>
    <n v="0"/>
    <n v="0"/>
  </r>
  <r>
    <s v="BLK016E"/>
    <x v="0"/>
    <m/>
    <x v="5"/>
    <n v="4"/>
    <x v="4"/>
    <n v="3"/>
    <n v="114"/>
    <m/>
    <n v="2.6315789473684208"/>
    <n v="34"/>
    <n v="6"/>
    <x v="0"/>
    <m/>
    <n v="1"/>
    <n v="1"/>
  </r>
  <r>
    <s v="BLK016E"/>
    <x v="0"/>
    <m/>
    <x v="5"/>
    <n v="4"/>
    <x v="1"/>
    <n v="1"/>
    <n v="114"/>
    <m/>
    <n v="0.8771929824561403"/>
    <n v="34"/>
    <n v="6"/>
    <x v="0"/>
    <m/>
    <n v="0"/>
    <n v="0"/>
  </r>
  <r>
    <s v="BLK016E"/>
    <x v="0"/>
    <m/>
    <x v="5"/>
    <n v="4"/>
    <x v="0"/>
    <n v="1"/>
    <n v="114"/>
    <m/>
    <n v="0.8771929824561403"/>
    <n v="34"/>
    <n v="6"/>
    <x v="0"/>
    <m/>
    <n v="0"/>
    <n v="0"/>
  </r>
  <r>
    <s v="BLK016E"/>
    <x v="0"/>
    <m/>
    <x v="6"/>
    <n v="5"/>
    <x v="5"/>
    <n v="3"/>
    <n v="164"/>
    <m/>
    <n v="1.8292682926829267"/>
    <n v="34"/>
    <n v="6"/>
    <x v="0"/>
    <m/>
    <n v="1"/>
    <n v="1"/>
  </r>
  <r>
    <s v="BLK016E"/>
    <x v="0"/>
    <m/>
    <x v="6"/>
    <n v="5"/>
    <x v="2"/>
    <n v="2"/>
    <n v="164"/>
    <m/>
    <n v="1.2195121951219512"/>
    <n v="34"/>
    <n v="6"/>
    <x v="0"/>
    <m/>
    <n v="0"/>
    <n v="0"/>
  </r>
  <r>
    <s v="BLK016E"/>
    <x v="0"/>
    <m/>
    <x v="6"/>
    <n v="5"/>
    <x v="0"/>
    <n v="2"/>
    <n v="164"/>
    <m/>
    <n v="1.2195121951219512"/>
    <n v="34"/>
    <n v="6"/>
    <x v="0"/>
    <m/>
    <n v="0"/>
    <n v="0"/>
  </r>
  <r>
    <s v="BLK016E"/>
    <x v="0"/>
    <m/>
    <x v="6"/>
    <n v="5"/>
    <x v="1"/>
    <n v="1"/>
    <n v="164"/>
    <m/>
    <n v="0.6097560975609756"/>
    <n v="34"/>
    <n v="6"/>
    <x v="0"/>
    <m/>
    <n v="0"/>
    <n v="0"/>
  </r>
  <r>
    <s v="BLK016E"/>
    <x v="0"/>
    <m/>
    <x v="6"/>
    <n v="5"/>
    <x v="3"/>
    <n v="1"/>
    <n v="164"/>
    <m/>
    <n v="0.6097560975609756"/>
    <n v="34"/>
    <n v="6"/>
    <x v="0"/>
    <m/>
    <n v="0"/>
    <n v="0"/>
  </r>
  <r>
    <s v="BLK016E"/>
    <x v="0"/>
    <m/>
    <x v="7"/>
    <n v="6"/>
    <x v="6"/>
    <n v="4"/>
    <n v="197"/>
    <m/>
    <n v="2.030456852791878"/>
    <n v="34"/>
    <n v="6"/>
    <x v="0"/>
    <m/>
    <n v="1"/>
    <n v="1"/>
  </r>
  <r>
    <s v="BLK016E"/>
    <x v="0"/>
    <m/>
    <x v="7"/>
    <n v="6"/>
    <x v="0"/>
    <n v="2"/>
    <n v="197"/>
    <m/>
    <n v="1.015228426395939"/>
    <n v="34"/>
    <n v="6"/>
    <x v="0"/>
    <m/>
    <n v="0"/>
    <n v="0"/>
  </r>
  <r>
    <s v="BLK016E"/>
    <x v="0"/>
    <m/>
    <x v="7"/>
    <n v="6"/>
    <x v="2"/>
    <n v="1"/>
    <n v="197"/>
    <m/>
    <n v="0.50761421319796951"/>
    <n v="34"/>
    <n v="6"/>
    <x v="0"/>
    <m/>
    <n v="0"/>
    <n v="0"/>
  </r>
  <r>
    <s v="BLK016E"/>
    <x v="0"/>
    <m/>
    <x v="7"/>
    <n v="6"/>
    <x v="1"/>
    <n v="1"/>
    <n v="197"/>
    <m/>
    <n v="0.50761421319796951"/>
    <n v="34"/>
    <n v="6"/>
    <x v="0"/>
    <m/>
    <n v="0"/>
    <n v="0"/>
  </r>
  <r>
    <s v="BLK016E"/>
    <x v="0"/>
    <m/>
    <x v="8"/>
    <n v="7"/>
    <x v="5"/>
    <n v="7"/>
    <n v="117"/>
    <m/>
    <n v="5.982905982905983"/>
    <n v="34"/>
    <n v="6"/>
    <x v="0"/>
    <m/>
    <n v="0"/>
    <n v="1"/>
  </r>
  <r>
    <s v="BLK016E"/>
    <x v="0"/>
    <m/>
    <x v="8"/>
    <n v="7"/>
    <x v="1"/>
    <n v="1"/>
    <n v="117"/>
    <m/>
    <n v="0.85470085470085477"/>
    <n v="34"/>
    <n v="6"/>
    <x v="0"/>
    <m/>
    <n v="0"/>
    <n v="0"/>
  </r>
  <r>
    <s v="BLK016E"/>
    <x v="1"/>
    <m/>
    <x v="0"/>
    <n v="1"/>
    <x v="0"/>
    <n v="13"/>
    <n v="144"/>
    <m/>
    <n v="9.0277777777777768"/>
    <n v="34"/>
    <n v="6"/>
    <x v="0"/>
    <m/>
    <n v="1"/>
    <n v="1"/>
  </r>
  <r>
    <s v="BLK016E"/>
    <x v="1"/>
    <m/>
    <x v="0"/>
    <n v="1"/>
    <x v="1"/>
    <n v="3"/>
    <n v="144"/>
    <m/>
    <n v="2.083333333333333"/>
    <n v="34"/>
    <n v="6"/>
    <x v="0"/>
    <m/>
    <n v="1"/>
    <n v="0"/>
  </r>
  <r>
    <s v="BLK016E"/>
    <x v="1"/>
    <m/>
    <x v="1"/>
    <n v="2"/>
    <x v="0"/>
    <n v="6"/>
    <n v="130"/>
    <m/>
    <n v="4.6153846153846159"/>
    <n v="34"/>
    <n v="6"/>
    <x v="0"/>
    <m/>
    <n v="0"/>
    <n v="1"/>
  </r>
  <r>
    <s v="BLK016E"/>
    <x v="1"/>
    <m/>
    <x v="1"/>
    <n v="2"/>
    <x v="7"/>
    <n v="4"/>
    <n v="130"/>
    <m/>
    <n v="3.0769230769230771"/>
    <n v="34"/>
    <n v="6"/>
    <x v="0"/>
    <m/>
    <n v="1"/>
    <n v="0"/>
  </r>
  <r>
    <s v="BLK016E"/>
    <x v="1"/>
    <m/>
    <x v="1"/>
    <n v="2"/>
    <x v="3"/>
    <n v="4"/>
    <n v="130"/>
    <m/>
    <n v="3.0769230769230771"/>
    <n v="34"/>
    <n v="6"/>
    <x v="0"/>
    <m/>
    <n v="1"/>
    <n v="0"/>
  </r>
  <r>
    <s v="BLK016E"/>
    <x v="1"/>
    <m/>
    <x v="2"/>
    <n v="2"/>
    <x v="0"/>
    <n v="8"/>
    <n v="66"/>
    <m/>
    <n v="12.121212121212121"/>
    <n v="34"/>
    <n v="6"/>
    <x v="0"/>
    <m/>
    <n v="0"/>
    <n v="1"/>
  </r>
  <r>
    <s v="BLK016E"/>
    <x v="1"/>
    <m/>
    <x v="2"/>
    <n v="2"/>
    <x v="3"/>
    <n v="3"/>
    <n v="66"/>
    <m/>
    <n v="4.5454545454545459"/>
    <n v="34"/>
    <n v="6"/>
    <x v="0"/>
    <m/>
    <n v="0"/>
    <n v="0"/>
  </r>
  <r>
    <s v="BLK016E"/>
    <x v="1"/>
    <m/>
    <x v="3"/>
    <n v="3"/>
    <x v="1"/>
    <n v="7"/>
    <n v="83"/>
    <m/>
    <n v="8.4337349397590362"/>
    <n v="34"/>
    <n v="6"/>
    <x v="0"/>
    <m/>
    <n v="0"/>
    <n v="1"/>
  </r>
  <r>
    <s v="BLK016E"/>
    <x v="1"/>
    <m/>
    <x v="3"/>
    <n v="3"/>
    <x v="0"/>
    <n v="7"/>
    <n v="83"/>
    <m/>
    <n v="8.4337349397590362"/>
    <n v="34"/>
    <n v="6"/>
    <x v="0"/>
    <m/>
    <n v="0"/>
    <n v="0"/>
  </r>
  <r>
    <s v="BLK016E"/>
    <x v="1"/>
    <m/>
    <x v="3"/>
    <n v="3"/>
    <x v="3"/>
    <n v="3"/>
    <n v="83"/>
    <m/>
    <n v="3.6144578313253009"/>
    <n v="34"/>
    <n v="6"/>
    <x v="0"/>
    <m/>
    <n v="0"/>
    <n v="0"/>
  </r>
  <r>
    <s v="BLK016E"/>
    <x v="1"/>
    <m/>
    <x v="4"/>
    <n v="3"/>
    <x v="1"/>
    <n v="7"/>
    <n v="35"/>
    <m/>
    <n v="20"/>
    <n v="34"/>
    <n v="6"/>
    <x v="0"/>
    <m/>
    <n v="0"/>
    <n v="1"/>
  </r>
  <r>
    <s v="BLK016E"/>
    <x v="1"/>
    <m/>
    <x v="4"/>
    <n v="3"/>
    <x v="0"/>
    <n v="4"/>
    <n v="35"/>
    <m/>
    <n v="11.428571428571429"/>
    <n v="34"/>
    <n v="6"/>
    <x v="0"/>
    <m/>
    <n v="0"/>
    <n v="0"/>
  </r>
  <r>
    <s v="BLK016E"/>
    <x v="1"/>
    <m/>
    <x v="5"/>
    <n v="4"/>
    <x v="1"/>
    <n v="5"/>
    <n v="114"/>
    <m/>
    <n v="4.3859649122807012"/>
    <n v="34"/>
    <n v="6"/>
    <x v="0"/>
    <m/>
    <n v="0"/>
    <n v="1"/>
  </r>
  <r>
    <s v="BLK016E"/>
    <x v="1"/>
    <m/>
    <x v="5"/>
    <n v="4"/>
    <x v="0"/>
    <n v="2"/>
    <n v="114"/>
    <m/>
    <n v="1.7543859649122806"/>
    <n v="34"/>
    <n v="6"/>
    <x v="0"/>
    <m/>
    <n v="0"/>
    <n v="0"/>
  </r>
  <r>
    <s v="BLK016E"/>
    <x v="1"/>
    <m/>
    <x v="6"/>
    <n v="5"/>
    <x v="1"/>
    <n v="13"/>
    <n v="164"/>
    <m/>
    <n v="7.9268292682926829"/>
    <n v="34"/>
    <n v="6"/>
    <x v="0"/>
    <m/>
    <n v="0"/>
    <n v="1"/>
  </r>
  <r>
    <s v="BLK016E"/>
    <x v="1"/>
    <m/>
    <x v="6"/>
    <n v="5"/>
    <x v="2"/>
    <n v="10"/>
    <n v="164"/>
    <m/>
    <n v="6.0975609756097562"/>
    <n v="34"/>
    <n v="6"/>
    <x v="0"/>
    <m/>
    <n v="1"/>
    <n v="0"/>
  </r>
  <r>
    <s v="BLK016E"/>
    <x v="1"/>
    <m/>
    <x v="6"/>
    <n v="5"/>
    <x v="3"/>
    <n v="8"/>
    <n v="164"/>
    <m/>
    <n v="4.8780487804878048"/>
    <n v="34"/>
    <n v="6"/>
    <x v="0"/>
    <m/>
    <n v="0"/>
    <n v="0"/>
  </r>
  <r>
    <s v="BLK016E"/>
    <x v="1"/>
    <m/>
    <x v="6"/>
    <n v="5"/>
    <x v="0"/>
    <n v="4"/>
    <n v="164"/>
    <m/>
    <n v="2.4390243902439024"/>
    <n v="34"/>
    <n v="6"/>
    <x v="0"/>
    <m/>
    <n v="0"/>
    <n v="0"/>
  </r>
  <r>
    <s v="BLK016E"/>
    <x v="1"/>
    <m/>
    <x v="7"/>
    <n v="6"/>
    <x v="2"/>
    <n v="5"/>
    <n v="197"/>
    <m/>
    <n v="2.5380710659898478"/>
    <n v="34"/>
    <n v="6"/>
    <x v="0"/>
    <m/>
    <n v="0"/>
    <n v="1"/>
  </r>
  <r>
    <s v="BLK016E"/>
    <x v="1"/>
    <m/>
    <x v="7"/>
    <n v="6"/>
    <x v="1"/>
    <n v="5"/>
    <n v="197"/>
    <m/>
    <n v="2.5380710659898478"/>
    <n v="34"/>
    <n v="6"/>
    <x v="0"/>
    <m/>
    <n v="0"/>
    <n v="0"/>
  </r>
  <r>
    <s v="BLK016E"/>
    <x v="1"/>
    <m/>
    <x v="7"/>
    <n v="6"/>
    <x v="0"/>
    <n v="1"/>
    <n v="197"/>
    <m/>
    <n v="0.50761421319796951"/>
    <n v="34"/>
    <n v="6"/>
    <x v="0"/>
    <m/>
    <n v="0"/>
    <n v="0"/>
  </r>
  <r>
    <s v="BLK016E"/>
    <x v="1"/>
    <m/>
    <x v="8"/>
    <n v="7"/>
    <x v="5"/>
    <n v="5"/>
    <n v="117"/>
    <m/>
    <n v="4.2735042735042734"/>
    <n v="34"/>
    <n v="6"/>
    <x v="0"/>
    <m/>
    <n v="1"/>
    <n v="1"/>
  </r>
  <r>
    <s v="BLK016E"/>
    <x v="1"/>
    <m/>
    <x v="8"/>
    <n v="7"/>
    <x v="1"/>
    <n v="1"/>
    <n v="117"/>
    <m/>
    <n v="0.85470085470085477"/>
    <n v="34"/>
    <n v="6"/>
    <x v="0"/>
    <m/>
    <n v="0"/>
    <n v="0"/>
  </r>
  <r>
    <s v="BLK016E"/>
    <x v="2"/>
    <m/>
    <x v="0"/>
    <n v="1"/>
    <x v="2"/>
    <n v="2"/>
    <n v="144"/>
    <m/>
    <n v="1.3888888888888888"/>
    <n v="34"/>
    <n v="6"/>
    <x v="0"/>
    <m/>
    <n v="1"/>
    <n v="0"/>
  </r>
  <r>
    <s v="BLK016E"/>
    <x v="2"/>
    <m/>
    <x v="0"/>
    <n v="1"/>
    <x v="1"/>
    <n v="1"/>
    <n v="144"/>
    <m/>
    <n v="0.69444444444444442"/>
    <n v="34"/>
    <n v="6"/>
    <x v="0"/>
    <m/>
    <n v="1"/>
    <n v="0"/>
  </r>
  <r>
    <s v="BLK016E"/>
    <x v="2"/>
    <m/>
    <x v="1"/>
    <n v="2"/>
    <x v="2"/>
    <n v="6"/>
    <n v="130"/>
    <m/>
    <n v="4.6153846153846159"/>
    <n v="34"/>
    <n v="6"/>
    <x v="0"/>
    <m/>
    <n v="0"/>
    <n v="0"/>
  </r>
  <r>
    <s v="BLK016E"/>
    <x v="2"/>
    <m/>
    <x v="1"/>
    <n v="2"/>
    <x v="3"/>
    <n v="2"/>
    <n v="130"/>
    <m/>
    <n v="1.5384615384615385"/>
    <n v="34"/>
    <n v="6"/>
    <x v="0"/>
    <m/>
    <n v="1"/>
    <n v="0"/>
  </r>
  <r>
    <s v="BLK016E"/>
    <x v="2"/>
    <m/>
    <x v="1"/>
    <n v="2"/>
    <x v="1"/>
    <n v="1"/>
    <n v="130"/>
    <m/>
    <n v="0.76923076923076927"/>
    <n v="34"/>
    <n v="6"/>
    <x v="0"/>
    <m/>
    <n v="0"/>
    <n v="0"/>
  </r>
  <r>
    <s v="BLK016E"/>
    <x v="2"/>
    <m/>
    <x v="2"/>
    <n v="2"/>
    <x v="3"/>
    <n v="2"/>
    <n v="66"/>
    <m/>
    <n v="3.0303030303030303"/>
    <n v="34"/>
    <n v="6"/>
    <x v="0"/>
    <m/>
    <n v="0"/>
    <n v="0"/>
  </r>
  <r>
    <s v="BLK016E"/>
    <x v="2"/>
    <m/>
    <x v="2"/>
    <n v="2"/>
    <x v="2"/>
    <n v="1"/>
    <n v="66"/>
    <m/>
    <n v="1.5151515151515151"/>
    <n v="34"/>
    <n v="6"/>
    <x v="0"/>
    <m/>
    <n v="0"/>
    <n v="0"/>
  </r>
  <r>
    <s v="BLK016E"/>
    <x v="2"/>
    <m/>
    <x v="3"/>
    <n v="3"/>
    <x v="2"/>
    <n v="3"/>
    <n v="83"/>
    <m/>
    <n v="3.6144578313253009"/>
    <n v="34"/>
    <n v="6"/>
    <x v="0"/>
    <m/>
    <n v="0"/>
    <n v="1"/>
  </r>
  <r>
    <s v="BLK016E"/>
    <x v="2"/>
    <m/>
    <x v="4"/>
    <n v="3"/>
    <x v="2"/>
    <n v="5"/>
    <n v="35"/>
    <m/>
    <n v="14.285714285714285"/>
    <n v="34"/>
    <n v="6"/>
    <x v="0"/>
    <m/>
    <n v="0"/>
    <n v="1"/>
  </r>
  <r>
    <s v="BLK016E"/>
    <x v="2"/>
    <m/>
    <x v="5"/>
    <n v="4"/>
    <x v="4"/>
    <n v="2"/>
    <n v="114"/>
    <m/>
    <n v="1.7543859649122806"/>
    <n v="34"/>
    <n v="6"/>
    <x v="0"/>
    <m/>
    <n v="1"/>
    <n v="0"/>
  </r>
  <r>
    <s v="BLK016E"/>
    <x v="2"/>
    <m/>
    <x v="5"/>
    <n v="4"/>
    <x v="1"/>
    <n v="2"/>
    <n v="114"/>
    <m/>
    <n v="1.7543859649122806"/>
    <n v="34"/>
    <n v="6"/>
    <x v="0"/>
    <m/>
    <n v="0"/>
    <n v="0"/>
  </r>
  <r>
    <s v="BLK016E"/>
    <x v="2"/>
    <m/>
    <x v="6"/>
    <n v="5"/>
    <x v="2"/>
    <n v="14"/>
    <n v="164"/>
    <m/>
    <n v="8.536585365853659"/>
    <n v="34"/>
    <n v="6"/>
    <x v="0"/>
    <m/>
    <n v="0"/>
    <n v="1"/>
  </r>
  <r>
    <s v="BLK016E"/>
    <x v="2"/>
    <m/>
    <x v="6"/>
    <n v="5"/>
    <x v="5"/>
    <n v="8"/>
    <n v="164"/>
    <m/>
    <n v="4.8780487804878048"/>
    <n v="34"/>
    <n v="6"/>
    <x v="0"/>
    <m/>
    <n v="1"/>
    <n v="0"/>
  </r>
  <r>
    <s v="BLK016E"/>
    <x v="2"/>
    <m/>
    <x v="6"/>
    <n v="5"/>
    <x v="1"/>
    <n v="3"/>
    <n v="164"/>
    <m/>
    <n v="1.8292682926829267"/>
    <n v="34"/>
    <n v="6"/>
    <x v="0"/>
    <m/>
    <n v="0"/>
    <n v="0"/>
  </r>
  <r>
    <s v="BLK016E"/>
    <x v="2"/>
    <m/>
    <x v="6"/>
    <n v="5"/>
    <x v="6"/>
    <n v="1"/>
    <n v="164"/>
    <m/>
    <n v="0.6097560975609756"/>
    <n v="34"/>
    <n v="6"/>
    <x v="0"/>
    <m/>
    <n v="1"/>
    <n v="0"/>
  </r>
  <r>
    <s v="BLK016E"/>
    <x v="2"/>
    <m/>
    <x v="6"/>
    <n v="5"/>
    <x v="8"/>
    <n v="1"/>
    <n v="164"/>
    <m/>
    <n v="0.6097560975609756"/>
    <n v="34"/>
    <n v="6"/>
    <x v="0"/>
    <m/>
    <n v="1"/>
    <n v="0"/>
  </r>
  <r>
    <s v="BLK016E"/>
    <x v="2"/>
    <m/>
    <x v="6"/>
    <n v="5"/>
    <x v="3"/>
    <n v="1"/>
    <n v="164"/>
    <m/>
    <n v="0.6097560975609756"/>
    <n v="34"/>
    <n v="6"/>
    <x v="0"/>
    <m/>
    <n v="0"/>
    <n v="0"/>
  </r>
  <r>
    <s v="BLK016E"/>
    <x v="2"/>
    <m/>
    <x v="7"/>
    <n v="6"/>
    <x v="2"/>
    <n v="20"/>
    <n v="197"/>
    <m/>
    <n v="10.152284263959391"/>
    <n v="34"/>
    <n v="6"/>
    <x v="0"/>
    <m/>
    <n v="0"/>
    <n v="1"/>
  </r>
  <r>
    <s v="BLK016E"/>
    <x v="2"/>
    <m/>
    <x v="7"/>
    <n v="6"/>
    <x v="6"/>
    <n v="2"/>
    <n v="197"/>
    <m/>
    <n v="1.015228426395939"/>
    <n v="34"/>
    <n v="6"/>
    <x v="0"/>
    <m/>
    <n v="0"/>
    <n v="0"/>
  </r>
  <r>
    <s v="BLK016E"/>
    <x v="2"/>
    <m/>
    <x v="7"/>
    <n v="6"/>
    <x v="1"/>
    <n v="2"/>
    <n v="197"/>
    <m/>
    <n v="1.015228426395939"/>
    <n v="34"/>
    <n v="6"/>
    <x v="0"/>
    <m/>
    <n v="0"/>
    <n v="0"/>
  </r>
  <r>
    <s v="BLK016E"/>
    <x v="2"/>
    <m/>
    <x v="8"/>
    <n v="7"/>
    <x v="5"/>
    <n v="4"/>
    <n v="117"/>
    <m/>
    <n v="3.4188034188034191"/>
    <n v="34"/>
    <n v="6"/>
    <x v="0"/>
    <m/>
    <n v="0"/>
    <n v="1"/>
  </r>
  <r>
    <s v="BLK016E"/>
    <x v="2"/>
    <m/>
    <x v="8"/>
    <n v="7"/>
    <x v="2"/>
    <n v="3"/>
    <n v="117"/>
    <m/>
    <n v="2.5641025641025639"/>
    <n v="34"/>
    <n v="6"/>
    <x v="0"/>
    <m/>
    <n v="0"/>
    <n v="0"/>
  </r>
  <r>
    <s v="BLK016E"/>
    <x v="2"/>
    <m/>
    <x v="8"/>
    <n v="7"/>
    <x v="3"/>
    <n v="1"/>
    <n v="117"/>
    <m/>
    <n v="0.85470085470085477"/>
    <n v="34"/>
    <n v="6"/>
    <x v="0"/>
    <m/>
    <n v="0"/>
    <n v="0"/>
  </r>
  <r>
    <s v="BLK016E"/>
    <x v="3"/>
    <s v="1.1-1.0"/>
    <x v="0"/>
    <n v="1"/>
    <x v="2"/>
    <n v="31"/>
    <n v="142"/>
    <n v="71"/>
    <n v="21.830985915492956"/>
    <n v="34"/>
    <n v="6"/>
    <x v="0"/>
    <m/>
    <n v="1"/>
    <n v="1"/>
  </r>
  <r>
    <s v="BLK016E"/>
    <x v="3"/>
    <s v="1.1-1.0"/>
    <x v="0"/>
    <n v="1"/>
    <x v="1"/>
    <n v="2"/>
    <n v="142"/>
    <n v="71"/>
    <n v="1.4084507042253522"/>
    <n v="34"/>
    <n v="6"/>
    <x v="0"/>
    <m/>
    <n v="1"/>
    <n v="0"/>
  </r>
  <r>
    <s v="BLK016E"/>
    <x v="3"/>
    <s v="1.1-1.0"/>
    <x v="0"/>
    <n v="1"/>
    <x v="9"/>
    <n v="1"/>
    <n v="142"/>
    <n v="71"/>
    <n v="0.70422535211267612"/>
    <n v="34"/>
    <n v="6"/>
    <x v="0"/>
    <m/>
    <n v="1"/>
    <n v="0"/>
  </r>
  <r>
    <s v="BLK016E"/>
    <x v="3"/>
    <s v="1.1-1.0"/>
    <x v="0"/>
    <n v="1"/>
    <x v="3"/>
    <n v="1"/>
    <n v="142"/>
    <n v="71"/>
    <n v="0.70422535211267612"/>
    <n v="34"/>
    <n v="6"/>
    <x v="0"/>
    <m/>
    <n v="1"/>
    <n v="0"/>
  </r>
  <r>
    <s v="BLK016E"/>
    <x v="3"/>
    <s v="2.1-2.2"/>
    <x v="1"/>
    <n v="2"/>
    <x v="2"/>
    <n v="34"/>
    <n v="130"/>
    <n v="65"/>
    <n v="26.153846153846157"/>
    <n v="34"/>
    <n v="6"/>
    <x v="0"/>
    <m/>
    <n v="0"/>
    <n v="1"/>
  </r>
  <r>
    <s v="BLK016E"/>
    <x v="3"/>
    <s v="2.1-2.2"/>
    <x v="1"/>
    <n v="2"/>
    <x v="7"/>
    <n v="5"/>
    <n v="130"/>
    <n v="65"/>
    <n v="3.8461538461538463"/>
    <n v="34"/>
    <n v="6"/>
    <x v="0"/>
    <m/>
    <n v="1"/>
    <n v="0"/>
  </r>
  <r>
    <s v="BLK016E"/>
    <x v="3"/>
    <s v="2.1-2.2"/>
    <x v="1"/>
    <n v="2"/>
    <x v="3"/>
    <n v="1"/>
    <n v="130"/>
    <n v="65"/>
    <n v="0.76923076923076927"/>
    <n v="34"/>
    <n v="6"/>
    <x v="0"/>
    <m/>
    <n v="0"/>
    <n v="0"/>
  </r>
  <r>
    <s v="BLK016E"/>
    <x v="3"/>
    <s v="2.2-2.0"/>
    <x v="2"/>
    <n v="2"/>
    <x v="2"/>
    <n v="33"/>
    <n v="66"/>
    <n v="33"/>
    <n v="50"/>
    <n v="34"/>
    <n v="6"/>
    <x v="0"/>
    <m/>
    <n v="0"/>
    <n v="1"/>
  </r>
  <r>
    <s v="BLK016E"/>
    <x v="3"/>
    <s v="2.2-2.0"/>
    <x v="2"/>
    <n v="2"/>
    <x v="0"/>
    <n v="3"/>
    <n v="66"/>
    <n v="33"/>
    <n v="4.5454545454545459"/>
    <n v="34"/>
    <n v="6"/>
    <x v="0"/>
    <m/>
    <n v="1"/>
    <n v="0"/>
  </r>
  <r>
    <s v="BLK016E"/>
    <x v="3"/>
    <s v="2.2-2.0"/>
    <x v="2"/>
    <n v="2"/>
    <x v="3"/>
    <n v="3"/>
    <n v="66"/>
    <n v="33"/>
    <n v="4.5454545454545459"/>
    <n v="34"/>
    <n v="6"/>
    <x v="0"/>
    <m/>
    <n v="0"/>
    <n v="0"/>
  </r>
  <r>
    <s v="BLK016E"/>
    <x v="3"/>
    <s v="2.2-2.0"/>
    <x v="2"/>
    <n v="2"/>
    <x v="10"/>
    <n v="2"/>
    <n v="66"/>
    <n v="33"/>
    <n v="3.0303030303030303"/>
    <n v="34"/>
    <n v="6"/>
    <x v="0"/>
    <m/>
    <n v="1"/>
    <n v="0"/>
  </r>
  <r>
    <s v="BLK016E"/>
    <x v="3"/>
    <s v="3.1-3.2"/>
    <x v="3"/>
    <n v="3"/>
    <x v="2"/>
    <n v="28"/>
    <n v="83"/>
    <n v="41.5"/>
    <n v="33.734939759036145"/>
    <n v="34"/>
    <n v="6"/>
    <x v="0"/>
    <m/>
    <n v="0"/>
    <n v="1"/>
  </r>
  <r>
    <s v="BLK016E"/>
    <x v="3"/>
    <s v="3.1-3.2"/>
    <x v="3"/>
    <n v="3"/>
    <x v="0"/>
    <n v="1"/>
    <n v="83"/>
    <n v="41.5"/>
    <n v="1.2048192771084338"/>
    <n v="34"/>
    <n v="6"/>
    <x v="0"/>
    <m/>
    <n v="0"/>
    <n v="0"/>
  </r>
  <r>
    <s v="BLK016E"/>
    <x v="3"/>
    <s v="3.1-3.2"/>
    <x v="3"/>
    <n v="3"/>
    <x v="3"/>
    <n v="1"/>
    <n v="83"/>
    <n v="41.5"/>
    <n v="1.2048192771084338"/>
    <n v="34"/>
    <n v="6"/>
    <x v="0"/>
    <m/>
    <n v="0"/>
    <n v="0"/>
  </r>
  <r>
    <s v="BLK016E"/>
    <x v="3"/>
    <s v="3.2-3.0"/>
    <x v="4"/>
    <n v="3"/>
    <x v="2"/>
    <n v="26"/>
    <n v="36"/>
    <n v="18"/>
    <n v="72.222222222222214"/>
    <n v="34"/>
    <n v="6"/>
    <x v="0"/>
    <m/>
    <n v="0"/>
    <n v="1"/>
  </r>
  <r>
    <s v="BLK016E"/>
    <x v="3"/>
    <s v="3.2-3.0"/>
    <x v="4"/>
    <n v="3"/>
    <x v="1"/>
    <n v="1"/>
    <n v="36"/>
    <n v="18"/>
    <n v="2.7777777777777777"/>
    <n v="34"/>
    <n v="6"/>
    <x v="0"/>
    <m/>
    <n v="0"/>
    <n v="0"/>
  </r>
  <r>
    <s v="BLK016E"/>
    <x v="3"/>
    <s v="4.1-4.0"/>
    <x v="5"/>
    <n v="4"/>
    <x v="2"/>
    <n v="24"/>
    <n v="115"/>
    <n v="57.5"/>
    <n v="20.869565217391305"/>
    <n v="34"/>
    <n v="6"/>
    <x v="0"/>
    <m/>
    <n v="0"/>
    <n v="1"/>
  </r>
  <r>
    <s v="BLK016E"/>
    <x v="3"/>
    <s v="4.1-4.0"/>
    <x v="5"/>
    <n v="4"/>
    <x v="1"/>
    <n v="6"/>
    <n v="115"/>
    <n v="57.5"/>
    <n v="5.2173913043478262"/>
    <n v="34"/>
    <n v="6"/>
    <x v="0"/>
    <m/>
    <n v="0"/>
    <n v="0"/>
  </r>
  <r>
    <s v="BLK016E"/>
    <x v="3"/>
    <s v="4.1-4.0"/>
    <x v="5"/>
    <n v="4"/>
    <x v="0"/>
    <n v="2"/>
    <n v="115"/>
    <n v="57.5"/>
    <n v="1.7391304347826086"/>
    <n v="34"/>
    <n v="6"/>
    <x v="0"/>
    <m/>
    <n v="0"/>
    <n v="0"/>
  </r>
  <r>
    <s v="BLK016E"/>
    <x v="3"/>
    <s v="5.1-5.0"/>
    <x v="6"/>
    <n v="5"/>
    <x v="2"/>
    <n v="22"/>
    <n v="164"/>
    <n v="82"/>
    <n v="13.414634146341465"/>
    <n v="34"/>
    <n v="6"/>
    <x v="0"/>
    <m/>
    <n v="0"/>
    <n v="1"/>
  </r>
  <r>
    <s v="BLK016E"/>
    <x v="3"/>
    <s v="5.1-5.0"/>
    <x v="6"/>
    <n v="5"/>
    <x v="5"/>
    <n v="10"/>
    <n v="164"/>
    <n v="82"/>
    <n v="6.0975609756097562"/>
    <n v="34"/>
    <n v="6"/>
    <x v="0"/>
    <m/>
    <n v="1"/>
    <n v="0"/>
  </r>
  <r>
    <s v="BLK016E"/>
    <x v="3"/>
    <s v="5.1-5.0"/>
    <x v="6"/>
    <n v="5"/>
    <x v="1"/>
    <n v="9"/>
    <n v="164"/>
    <n v="82"/>
    <n v="5.4878048780487809"/>
    <n v="34"/>
    <n v="6"/>
    <x v="0"/>
    <m/>
    <n v="0"/>
    <n v="0"/>
  </r>
  <r>
    <s v="BLK016E"/>
    <x v="3"/>
    <s v="5.1-5.0"/>
    <x v="6"/>
    <n v="5"/>
    <x v="3"/>
    <n v="6"/>
    <n v="164"/>
    <n v="82"/>
    <n v="3.6585365853658534"/>
    <n v="34"/>
    <n v="6"/>
    <x v="0"/>
    <m/>
    <n v="0"/>
    <n v="0"/>
  </r>
  <r>
    <s v="BLK016E"/>
    <x v="3"/>
    <s v="5.1-5.0"/>
    <x v="6"/>
    <n v="5"/>
    <x v="6"/>
    <n v="2"/>
    <n v="164"/>
    <n v="82"/>
    <n v="1.2195121951219512"/>
    <n v="34"/>
    <n v="6"/>
    <x v="0"/>
    <m/>
    <n v="1"/>
    <n v="0"/>
  </r>
  <r>
    <s v="BLK016E"/>
    <x v="3"/>
    <s v="5.1-5.0"/>
    <x v="6"/>
    <n v="5"/>
    <x v="4"/>
    <n v="1"/>
    <n v="164"/>
    <n v="82"/>
    <n v="0.6097560975609756"/>
    <n v="34"/>
    <n v="6"/>
    <x v="0"/>
    <m/>
    <n v="1"/>
    <n v="0"/>
  </r>
  <r>
    <s v="BLK016E"/>
    <x v="3"/>
    <s v="6.1-6.0"/>
    <x v="7"/>
    <n v="6"/>
    <x v="2"/>
    <n v="37"/>
    <n v="197"/>
    <n v="98.5"/>
    <n v="18.781725888324875"/>
    <n v="34"/>
    <n v="6"/>
    <x v="0"/>
    <m/>
    <n v="0"/>
    <n v="1"/>
  </r>
  <r>
    <s v="BLK016E"/>
    <x v="3"/>
    <s v="6.1-6.0"/>
    <x v="7"/>
    <n v="6"/>
    <x v="6"/>
    <n v="4"/>
    <n v="197"/>
    <n v="98.5"/>
    <n v="2.030456852791878"/>
    <n v="34"/>
    <n v="6"/>
    <x v="0"/>
    <m/>
    <n v="0"/>
    <n v="0"/>
  </r>
  <r>
    <s v="BLK016E"/>
    <x v="3"/>
    <s v="6.1-6.0"/>
    <x v="7"/>
    <n v="6"/>
    <x v="1"/>
    <n v="3"/>
    <n v="197"/>
    <n v="98.5"/>
    <n v="1.5228426395939088"/>
    <n v="34"/>
    <n v="6"/>
    <x v="0"/>
    <m/>
    <n v="0"/>
    <n v="0"/>
  </r>
  <r>
    <s v="BLK016E"/>
    <x v="3"/>
    <s v="6.1-6.0"/>
    <x v="7"/>
    <n v="6"/>
    <x v="4"/>
    <n v="1"/>
    <n v="197"/>
    <n v="98.5"/>
    <n v="0.50761421319796951"/>
    <n v="34"/>
    <n v="6"/>
    <x v="0"/>
    <m/>
    <n v="0"/>
    <n v="0"/>
  </r>
  <r>
    <s v="BLK016E"/>
    <x v="3"/>
    <s v="6.1-6.0"/>
    <x v="7"/>
    <n v="6"/>
    <x v="11"/>
    <n v="1"/>
    <n v="197"/>
    <n v="98.5"/>
    <n v="0.50761421319796951"/>
    <n v="34"/>
    <n v="6"/>
    <x v="0"/>
    <m/>
    <n v="1"/>
    <n v="0"/>
  </r>
  <r>
    <s v="BLK016E"/>
    <x v="3"/>
    <s v="7.1-7.0"/>
    <x v="8"/>
    <n v="7"/>
    <x v="5"/>
    <n v="12"/>
    <n v="116"/>
    <n v="58"/>
    <n v="10.344827586206897"/>
    <n v="34"/>
    <n v="6"/>
    <x v="0"/>
    <m/>
    <n v="0"/>
    <n v="1"/>
  </r>
  <r>
    <s v="BLK016E"/>
    <x v="3"/>
    <s v="7.1-7.0"/>
    <x v="8"/>
    <n v="7"/>
    <x v="2"/>
    <n v="3"/>
    <n v="116"/>
    <n v="58"/>
    <n v="2.5862068965517242"/>
    <n v="34"/>
    <n v="6"/>
    <x v="0"/>
    <m/>
    <n v="0"/>
    <n v="0"/>
  </r>
  <r>
    <s v="BLK016E"/>
    <x v="3"/>
    <s v="7.1-7.0"/>
    <x v="8"/>
    <n v="7"/>
    <x v="1"/>
    <n v="1"/>
    <n v="116"/>
    <n v="58"/>
    <n v="0.86206896551724133"/>
    <n v="34"/>
    <n v="6"/>
    <x v="0"/>
    <m/>
    <n v="0"/>
    <n v="0"/>
  </r>
  <r>
    <m/>
    <x v="4"/>
    <m/>
    <x v="9"/>
    <m/>
    <x v="12"/>
    <m/>
    <m/>
    <m/>
    <m/>
    <m/>
    <m/>
    <x v="1"/>
    <m/>
    <m/>
    <m/>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562A5362-0C39-4088-8D35-E033C8AEAC65}" name="PivotTable2" cacheId="1" applyNumberFormats="0" applyBorderFormats="0" applyFontFormats="0" applyPatternFormats="0" applyAlignmentFormats="0" applyWidthHeightFormats="1" dataCaption="Values" updatedVersion="8" minRefreshableVersion="3" useAutoFormatting="1" rowGrandTotals="0" colGrandTotals="0" itemPrintTitles="1" createdVersion="8" indent="0" outline="1" outlineData="1" multipleFieldFilters="0">
  <location ref="A3:E59" firstHeaderRow="1" firstDataRow="2" firstDataCol="1" rowPageCount="1" colPageCount="1"/>
  <pivotFields count="16">
    <pivotField showAll="0"/>
    <pivotField axis="axisCol" showAll="0">
      <items count="6">
        <item x="0"/>
        <item x="1"/>
        <item x="2"/>
        <item x="3"/>
        <item x="4"/>
        <item t="default"/>
      </items>
    </pivotField>
    <pivotField showAll="0"/>
    <pivotField axis="axisRow" showAll="0">
      <items count="11">
        <item x="0"/>
        <item x="1"/>
        <item x="2"/>
        <item x="3"/>
        <item x="4"/>
        <item x="5"/>
        <item x="6"/>
        <item x="7"/>
        <item x="8"/>
        <item x="9"/>
        <item t="default"/>
      </items>
    </pivotField>
    <pivotField showAll="0"/>
    <pivotField axis="axisRow" showAll="0">
      <items count="14">
        <item x="6"/>
        <item x="4"/>
        <item x="2"/>
        <item x="1"/>
        <item x="10"/>
        <item x="7"/>
        <item x="9"/>
        <item x="0"/>
        <item x="8"/>
        <item x="5"/>
        <item x="3"/>
        <item x="11"/>
        <item x="12"/>
        <item t="default"/>
      </items>
    </pivotField>
    <pivotField showAll="0"/>
    <pivotField showAll="0"/>
    <pivotField showAll="0"/>
    <pivotField dataField="1" showAll="0"/>
    <pivotField showAll="0"/>
    <pivotField showAll="0"/>
    <pivotField axis="axisPage" multipleItemSelectionAllowed="1" showAll="0">
      <items count="3">
        <item x="0"/>
        <item h="1" x="1"/>
        <item t="default"/>
      </items>
    </pivotField>
    <pivotField showAll="0"/>
    <pivotField showAll="0"/>
    <pivotField showAll="0"/>
  </pivotFields>
  <rowFields count="2">
    <field x="5"/>
    <field x="3"/>
  </rowFields>
  <rowItems count="55">
    <i>
      <x/>
    </i>
    <i r="1">
      <x v="6"/>
    </i>
    <i r="1">
      <x v="7"/>
    </i>
    <i>
      <x v="1"/>
    </i>
    <i r="1">
      <x v="5"/>
    </i>
    <i r="1">
      <x v="6"/>
    </i>
    <i r="1">
      <x v="7"/>
    </i>
    <i>
      <x v="2"/>
    </i>
    <i r="1">
      <x/>
    </i>
    <i r="1">
      <x v="1"/>
    </i>
    <i r="1">
      <x v="2"/>
    </i>
    <i r="1">
      <x v="3"/>
    </i>
    <i r="1">
      <x v="4"/>
    </i>
    <i r="1">
      <x v="5"/>
    </i>
    <i r="1">
      <x v="6"/>
    </i>
    <i r="1">
      <x v="7"/>
    </i>
    <i r="1">
      <x v="8"/>
    </i>
    <i>
      <x v="3"/>
    </i>
    <i r="1">
      <x/>
    </i>
    <i r="1">
      <x v="1"/>
    </i>
    <i r="1">
      <x v="3"/>
    </i>
    <i r="1">
      <x v="4"/>
    </i>
    <i r="1">
      <x v="5"/>
    </i>
    <i r="1">
      <x v="6"/>
    </i>
    <i r="1">
      <x v="7"/>
    </i>
    <i r="1">
      <x v="8"/>
    </i>
    <i>
      <x v="4"/>
    </i>
    <i r="1">
      <x v="2"/>
    </i>
    <i>
      <x v="5"/>
    </i>
    <i r="1">
      <x v="1"/>
    </i>
    <i>
      <x v="6"/>
    </i>
    <i r="1">
      <x/>
    </i>
    <i>
      <x v="7"/>
    </i>
    <i r="1">
      <x/>
    </i>
    <i r="1">
      <x v="1"/>
    </i>
    <i r="1">
      <x v="2"/>
    </i>
    <i r="1">
      <x v="3"/>
    </i>
    <i r="1">
      <x v="4"/>
    </i>
    <i r="1">
      <x v="5"/>
    </i>
    <i r="1">
      <x v="6"/>
    </i>
    <i r="1">
      <x v="7"/>
    </i>
    <i>
      <x v="8"/>
    </i>
    <i r="1">
      <x v="6"/>
    </i>
    <i>
      <x v="9"/>
    </i>
    <i r="1">
      <x v="6"/>
    </i>
    <i r="1">
      <x v="8"/>
    </i>
    <i>
      <x v="10"/>
    </i>
    <i r="1">
      <x/>
    </i>
    <i r="1">
      <x v="1"/>
    </i>
    <i r="1">
      <x v="2"/>
    </i>
    <i r="1">
      <x v="3"/>
    </i>
    <i r="1">
      <x v="6"/>
    </i>
    <i r="1">
      <x v="8"/>
    </i>
    <i>
      <x v="11"/>
    </i>
    <i r="1">
      <x v="7"/>
    </i>
  </rowItems>
  <colFields count="1">
    <field x="1"/>
  </colFields>
  <colItems count="4">
    <i>
      <x/>
    </i>
    <i>
      <x v="1"/>
    </i>
    <i>
      <x v="2"/>
    </i>
    <i>
      <x v="3"/>
    </i>
  </colItems>
  <pageFields count="1">
    <pageField fld="12" hier="-1"/>
  </pageFields>
  <dataFields count="1">
    <dataField name="Average of Cover" fld="9" subtotal="average" baseField="3" baseItem="0" numFmtId="1"/>
  </dataFields>
  <conditionalFormats count="6">
    <conditionalFormat priority="1">
      <pivotAreas count="1">
        <pivotArea type="data" collapsedLevelsAreSubtotals="1" fieldPosition="0">
          <references count="4">
            <reference field="4294967294" count="1" selected="0">
              <x v="0"/>
            </reference>
            <reference field="1" count="4" selected="0">
              <x v="0"/>
              <x v="1"/>
              <x v="2"/>
              <x v="3"/>
            </reference>
            <reference field="3" count="6">
              <x v="0"/>
              <x v="1"/>
              <x v="2"/>
              <x v="3"/>
              <x v="6"/>
              <x v="8"/>
            </reference>
            <reference field="5" count="1" selected="0">
              <x v="10"/>
            </reference>
          </references>
        </pivotArea>
      </pivotAreas>
    </conditionalFormat>
    <conditionalFormat priority="2">
      <pivotAreas count="1">
        <pivotArea type="data" collapsedLevelsAreSubtotals="1" fieldPosition="0">
          <references count="4">
            <reference field="4294967294" count="1" selected="0">
              <x v="0"/>
            </reference>
            <reference field="1" count="4" selected="0">
              <x v="0"/>
              <x v="1"/>
              <x v="2"/>
              <x v="3"/>
            </reference>
            <reference field="3" count="2">
              <x v="6"/>
              <x v="8"/>
            </reference>
            <reference field="5" count="1" selected="0">
              <x v="9"/>
            </reference>
          </references>
        </pivotArea>
      </pivotAreas>
    </conditionalFormat>
    <conditionalFormat priority="3">
      <pivotAreas count="1">
        <pivotArea type="data" collapsedLevelsAreSubtotals="1" fieldPosition="0">
          <references count="4">
            <reference field="4294967294" count="1" selected="0">
              <x v="0"/>
            </reference>
            <reference field="1" count="4" selected="0">
              <x v="0"/>
              <x v="1"/>
              <x v="2"/>
              <x v="3"/>
            </reference>
            <reference field="3" count="8">
              <x v="0"/>
              <x v="1"/>
              <x v="2"/>
              <x v="3"/>
              <x v="4"/>
              <x v="5"/>
              <x v="6"/>
              <x v="7"/>
            </reference>
            <reference field="5" count="1" selected="0">
              <x v="7"/>
            </reference>
          </references>
        </pivotArea>
      </pivotAreas>
    </conditionalFormat>
    <conditionalFormat priority="4">
      <pivotAreas count="1">
        <pivotArea type="data" collapsedLevelsAreSubtotals="1" fieldPosition="0">
          <references count="4">
            <reference field="4294967294" count="1" selected="0">
              <x v="0"/>
            </reference>
            <reference field="1" count="4" selected="0">
              <x v="0"/>
              <x v="1"/>
              <x v="2"/>
              <x v="3"/>
            </reference>
            <reference field="3" count="8">
              <x v="0"/>
              <x v="1"/>
              <x v="3"/>
              <x v="4"/>
              <x v="5"/>
              <x v="6"/>
              <x v="7"/>
              <x v="8"/>
            </reference>
            <reference field="5" count="1" selected="0">
              <x v="3"/>
            </reference>
          </references>
        </pivotArea>
      </pivotAreas>
    </conditionalFormat>
    <conditionalFormat priority="5">
      <pivotAreas count="1">
        <pivotArea type="data" collapsedLevelsAreSubtotals="1" fieldPosition="0">
          <references count="4">
            <reference field="4294967294" count="1" selected="0">
              <x v="0"/>
            </reference>
            <reference field="1" count="4" selected="0">
              <x v="0"/>
              <x v="1"/>
              <x v="2"/>
              <x v="3"/>
            </reference>
            <reference field="3" count="9">
              <x v="0"/>
              <x v="1"/>
              <x v="2"/>
              <x v="3"/>
              <x v="4"/>
              <x v="5"/>
              <x v="6"/>
              <x v="7"/>
              <x v="8"/>
            </reference>
            <reference field="5" count="1" selected="0">
              <x v="2"/>
            </reference>
          </references>
        </pivotArea>
      </pivotAreas>
    </conditionalFormat>
    <conditionalFormat priority="6">
      <pivotAreas count="1">
        <pivotArea type="data" collapsedLevelsAreSubtotals="1" fieldPosition="0">
          <references count="4">
            <reference field="4294967294" count="1" selected="0">
              <x v="0"/>
            </reference>
            <reference field="1" count="1" selected="0">
              <x v="0"/>
            </reference>
            <reference field="3" count="1" selected="0">
              <x v="0"/>
            </reference>
            <reference field="5" count="1">
              <x v="7"/>
            </reference>
          </references>
        </pivotArea>
      </pivotAreas>
    </conditionalFormat>
  </conditional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00000000-0007-0000-0C00-000000000000}" name="PivotTable11" cacheId="0" applyNumberFormats="0" applyBorderFormats="0" applyFontFormats="0" applyPatternFormats="0" applyAlignmentFormats="0" applyWidthHeightFormats="1" dataCaption="Values" updatedVersion="4" minRefreshableVersion="3" useAutoFormatting="1" rowGrandTotals="0" colGrandTotals="0" itemPrintTitles="1" createdVersion="4" indent="0" outline="1" outlineData="1" multipleFieldFilters="0">
  <location ref="A4:AQ791" firstHeaderRow="1" firstDataRow="3" firstDataCol="1" rowPageCount="2" colPageCount="1"/>
  <pivotFields count="16">
    <pivotField axis="axisRow" showAll="0">
      <items count="13">
        <item x="0"/>
        <item x="9"/>
        <item x="1"/>
        <item x="2"/>
        <item x="3"/>
        <item x="4"/>
        <item x="5"/>
        <item x="6"/>
        <item m="1" x="11"/>
        <item x="7"/>
        <item x="8"/>
        <item x="10"/>
        <item t="default"/>
      </items>
    </pivotField>
    <pivotField axis="axisCol" showAll="0" sortType="ascending">
      <items count="15">
        <item x="0"/>
        <item x="8"/>
        <item x="5"/>
        <item x="3"/>
        <item x="9"/>
        <item x="6"/>
        <item x="1"/>
        <item x="4"/>
        <item x="7"/>
        <item x="2"/>
        <item x="10"/>
        <item x="11"/>
        <item x="12"/>
        <item x="13"/>
        <item t="default"/>
      </items>
    </pivotField>
    <pivotField showAll="0"/>
    <pivotField axis="axisRow" showAll="0">
      <items count="93">
        <item m="1" x="84"/>
        <item x="0"/>
        <item x="1"/>
        <item x="2"/>
        <item x="3"/>
        <item x="4"/>
        <item x="5"/>
        <item x="6"/>
        <item m="1" x="80"/>
        <item x="7"/>
        <item x="8"/>
        <item x="9"/>
        <item x="10"/>
        <item x="11"/>
        <item x="12"/>
        <item x="13"/>
        <item x="54"/>
        <item m="1" x="85"/>
        <item x="14"/>
        <item x="15"/>
        <item x="16"/>
        <item x="17"/>
        <item x="18"/>
        <item x="19"/>
        <item x="20"/>
        <item m="1" x="90"/>
        <item x="21"/>
        <item x="22"/>
        <item x="23"/>
        <item x="24"/>
        <item x="25"/>
        <item x="26"/>
        <item x="27"/>
        <item m="1" x="77"/>
        <item x="28"/>
        <item x="29"/>
        <item x="30"/>
        <item x="31"/>
        <item x="32"/>
        <item x="33"/>
        <item x="34"/>
        <item m="1" x="81"/>
        <item x="35"/>
        <item x="36"/>
        <item x="37"/>
        <item x="38"/>
        <item x="39"/>
        <item x="40"/>
        <item x="41"/>
        <item m="1" x="83"/>
        <item x="42"/>
        <item x="43"/>
        <item x="44"/>
        <item x="45"/>
        <item x="46"/>
        <item x="47"/>
        <item x="48"/>
        <item m="1" x="86"/>
        <item x="49"/>
        <item x="50"/>
        <item x="51"/>
        <item x="52"/>
        <item x="53"/>
        <item m="1" x="87"/>
        <item x="55"/>
        <item x="56"/>
        <item m="1" x="88"/>
        <item x="57"/>
        <item x="58"/>
        <item m="1" x="89"/>
        <item x="64"/>
        <item m="1" x="91"/>
        <item x="65"/>
        <item m="1" x="76"/>
        <item x="66"/>
        <item m="1" x="78"/>
        <item x="67"/>
        <item m="1" x="79"/>
        <item x="68"/>
        <item m="1" x="82"/>
        <item x="69"/>
        <item x="70"/>
        <item x="71"/>
        <item x="72"/>
        <item x="73"/>
        <item x="59"/>
        <item x="61"/>
        <item x="60"/>
        <item x="62"/>
        <item x="63"/>
        <item x="74"/>
        <item x="75"/>
        <item t="default"/>
      </items>
    </pivotField>
    <pivotField showAll="0"/>
    <pivotField axis="axisRow" showAll="0">
      <items count="75">
        <item x="18"/>
        <item x="33"/>
        <item x="65"/>
        <item x="6"/>
        <item x="36"/>
        <item x="2"/>
        <item x="9"/>
        <item x="10"/>
        <item x="13"/>
        <item x="4"/>
        <item x="14"/>
        <item x="17"/>
        <item x="62"/>
        <item x="64"/>
        <item x="46"/>
        <item x="45"/>
        <item x="23"/>
        <item x="26"/>
        <item x="37"/>
        <item x="50"/>
        <item x="40"/>
        <item x="38"/>
        <item x="21"/>
        <item x="19"/>
        <item x="55"/>
        <item x="47"/>
        <item x="27"/>
        <item x="54"/>
        <item x="60"/>
        <item x="61"/>
        <item x="1"/>
        <item x="30"/>
        <item x="43"/>
        <item x="48"/>
        <item x="8"/>
        <item x="58"/>
        <item x="31"/>
        <item x="11"/>
        <item x="34"/>
        <item x="42"/>
        <item x="32"/>
        <item x="52"/>
        <item x="25"/>
        <item x="41"/>
        <item x="20"/>
        <item x="15"/>
        <item x="51"/>
        <item x="57"/>
        <item x="39"/>
        <item x="12"/>
        <item x="63"/>
        <item x="44"/>
        <item x="53"/>
        <item x="59"/>
        <item x="49"/>
        <item x="24"/>
        <item x="35"/>
        <item x="5"/>
        <item x="29"/>
        <item x="0"/>
        <item x="7"/>
        <item x="56"/>
        <item x="3"/>
        <item x="22"/>
        <item x="28"/>
        <item x="16"/>
        <item x="66"/>
        <item x="67"/>
        <item x="68"/>
        <item x="69"/>
        <item x="70"/>
        <item x="71"/>
        <item x="72"/>
        <item x="73"/>
        <item t="default"/>
      </items>
    </pivotField>
    <pivotField dataField="1" showAll="0"/>
    <pivotField showAll="0"/>
    <pivotField showAll="0"/>
    <pivotField dataField="1" showAll="0"/>
    <pivotField dataField="1" showAll="0"/>
    <pivotField showAll="0"/>
    <pivotField axis="axisPage" multipleItemSelectionAllowed="1" showAll="0">
      <items count="8">
        <item h="1" x="0"/>
        <item h="1" x="5"/>
        <item h="1" x="3"/>
        <item h="1" x="2"/>
        <item x="1"/>
        <item h="1" x="4"/>
        <item h="1" x="6"/>
        <item t="default"/>
      </items>
    </pivotField>
    <pivotField axis="axisPage" multipleItemSelectionAllowed="1" showAll="0">
      <items count="11">
        <item x="5"/>
        <item x="6"/>
        <item h="1" x="9"/>
        <item x="7"/>
        <item x="1"/>
        <item x="2"/>
        <item x="4"/>
        <item x="8"/>
        <item x="3"/>
        <item x="0"/>
        <item t="default"/>
      </items>
    </pivotField>
    <pivotField showAll="0" defaultSubtotal="0"/>
    <pivotField showAll="0" defaultSubtotal="0"/>
  </pivotFields>
  <rowFields count="3">
    <field x="0"/>
    <field x="3"/>
    <field x="5"/>
  </rowFields>
  <rowItems count="785">
    <i>
      <x/>
    </i>
    <i r="1">
      <x v="1"/>
    </i>
    <i r="2">
      <x v="5"/>
    </i>
    <i r="2">
      <x v="30"/>
    </i>
    <i r="1">
      <x v="2"/>
    </i>
    <i r="2">
      <x v="5"/>
    </i>
    <i r="2">
      <x v="7"/>
    </i>
    <i r="2">
      <x v="30"/>
    </i>
    <i r="1">
      <x v="3"/>
    </i>
    <i r="2">
      <x v="5"/>
    </i>
    <i r="2">
      <x v="7"/>
    </i>
    <i r="2">
      <x v="9"/>
    </i>
    <i r="2">
      <x v="30"/>
    </i>
    <i r="1">
      <x v="4"/>
    </i>
    <i r="2">
      <x v="5"/>
    </i>
    <i r="2">
      <x v="7"/>
    </i>
    <i r="2">
      <x v="9"/>
    </i>
    <i r="2">
      <x v="30"/>
    </i>
    <i r="1">
      <x v="5"/>
    </i>
    <i r="2">
      <x v="5"/>
    </i>
    <i r="2">
      <x v="7"/>
    </i>
    <i r="2">
      <x v="30"/>
    </i>
    <i r="2">
      <x v="62"/>
    </i>
    <i r="1">
      <x v="6"/>
    </i>
    <i r="2">
      <x v="5"/>
    </i>
    <i r="2">
      <x v="7"/>
    </i>
    <i r="2">
      <x v="30"/>
    </i>
    <i r="2">
      <x v="62"/>
    </i>
    <i r="1">
      <x v="7"/>
    </i>
    <i r="2">
      <x v="30"/>
    </i>
    <i r="2">
      <x v="64"/>
    </i>
    <i r="1">
      <x v="9"/>
    </i>
    <i r="2">
      <x v="9"/>
    </i>
    <i r="2">
      <x v="30"/>
    </i>
    <i r="2">
      <x v="62"/>
    </i>
    <i r="1">
      <x v="10"/>
    </i>
    <i r="2">
      <x v="23"/>
    </i>
    <i r="2">
      <x v="30"/>
    </i>
    <i r="2">
      <x v="62"/>
    </i>
    <i r="1">
      <x v="11"/>
    </i>
    <i r="2">
      <x v="3"/>
    </i>
    <i r="2">
      <x v="5"/>
    </i>
    <i r="2">
      <x v="7"/>
    </i>
    <i r="2">
      <x v="30"/>
    </i>
    <i r="1">
      <x v="12"/>
    </i>
    <i r="2">
      <x v="5"/>
    </i>
    <i r="2">
      <x v="7"/>
    </i>
    <i r="1">
      <x v="13"/>
    </i>
    <i r="2">
      <x v="5"/>
    </i>
    <i r="2">
      <x v="7"/>
    </i>
    <i r="2">
      <x v="9"/>
    </i>
    <i r="2">
      <x v="30"/>
    </i>
    <i r="1">
      <x v="14"/>
    </i>
    <i r="2">
      <x v="5"/>
    </i>
    <i r="2">
      <x v="6"/>
    </i>
    <i r="2">
      <x v="7"/>
    </i>
    <i r="2">
      <x v="9"/>
    </i>
    <i r="2">
      <x v="30"/>
    </i>
    <i r="1">
      <x v="15"/>
    </i>
    <i r="2">
      <x v="30"/>
    </i>
    <i r="1">
      <x v="18"/>
    </i>
    <i r="2">
      <x v="5"/>
    </i>
    <i r="2">
      <x v="30"/>
    </i>
    <i r="1">
      <x v="19"/>
    </i>
    <i r="2">
      <x v="5"/>
    </i>
    <i r="2">
      <x v="6"/>
    </i>
    <i r="2">
      <x v="7"/>
    </i>
    <i r="1">
      <x v="20"/>
    </i>
    <i r="2">
      <x v="5"/>
    </i>
    <i r="2">
      <x v="6"/>
    </i>
    <i r="2">
      <x v="7"/>
    </i>
    <i r="1">
      <x v="21"/>
    </i>
    <i r="2">
      <x v="5"/>
    </i>
    <i r="2">
      <x v="6"/>
    </i>
    <i r="2">
      <x v="7"/>
    </i>
    <i r="1">
      <x v="22"/>
    </i>
    <i r="2">
      <x v="5"/>
    </i>
    <i r="2">
      <x v="6"/>
    </i>
    <i r="2">
      <x v="7"/>
    </i>
    <i r="2">
      <x v="9"/>
    </i>
    <i r="2">
      <x v="30"/>
    </i>
    <i r="1">
      <x v="23"/>
    </i>
    <i r="2">
      <x v="3"/>
    </i>
    <i r="2">
      <x v="5"/>
    </i>
    <i r="2">
      <x v="9"/>
    </i>
    <i r="2">
      <x v="45"/>
    </i>
    <i r="2">
      <x v="57"/>
    </i>
    <i r="1">
      <x v="24"/>
    </i>
    <i r="2">
      <x v="5"/>
    </i>
    <i r="2">
      <x v="30"/>
    </i>
    <i r="1">
      <x v="26"/>
    </i>
    <i r="2">
      <x v="30"/>
    </i>
    <i r="2">
      <x v="60"/>
    </i>
    <i r="1">
      <x v="27"/>
    </i>
    <i r="2">
      <x v="5"/>
    </i>
    <i r="2">
      <x v="7"/>
    </i>
    <i r="2">
      <x v="30"/>
    </i>
    <i r="1">
      <x v="28"/>
    </i>
    <i r="2">
      <x v="5"/>
    </i>
    <i r="2">
      <x v="7"/>
    </i>
    <i r="2">
      <x v="9"/>
    </i>
    <i r="2">
      <x v="30"/>
    </i>
    <i r="1">
      <x v="29"/>
    </i>
    <i r="2">
      <x v="5"/>
    </i>
    <i r="2">
      <x v="7"/>
    </i>
    <i r="2">
      <x v="9"/>
    </i>
    <i r="1">
      <x v="30"/>
    </i>
    <i r="2">
      <x v="5"/>
    </i>
    <i r="2">
      <x v="7"/>
    </i>
    <i r="2">
      <x v="30"/>
    </i>
    <i r="1">
      <x v="31"/>
    </i>
    <i r="2">
      <x v="3"/>
    </i>
    <i r="2">
      <x v="5"/>
    </i>
    <i r="2">
      <x v="6"/>
    </i>
    <i r="2">
      <x v="30"/>
    </i>
    <i r="1">
      <x v="32"/>
    </i>
    <i r="2">
      <x v="5"/>
    </i>
    <i r="2">
      <x v="9"/>
    </i>
    <i r="1">
      <x v="34"/>
    </i>
    <i r="2">
      <x v="5"/>
    </i>
    <i r="2">
      <x v="7"/>
    </i>
    <i r="2">
      <x v="9"/>
    </i>
    <i r="2">
      <x v="30"/>
    </i>
    <i r="2">
      <x v="60"/>
    </i>
    <i r="1">
      <x v="35"/>
    </i>
    <i r="2">
      <x v="5"/>
    </i>
    <i r="2">
      <x v="30"/>
    </i>
    <i r="1">
      <x v="36"/>
    </i>
    <i r="2">
      <x v="5"/>
    </i>
    <i r="2">
      <x v="7"/>
    </i>
    <i r="2">
      <x v="30"/>
    </i>
    <i r="1">
      <x v="37"/>
    </i>
    <i r="2">
      <x v="5"/>
    </i>
    <i r="2">
      <x v="7"/>
    </i>
    <i r="2">
      <x v="30"/>
    </i>
    <i r="1">
      <x v="38"/>
    </i>
    <i r="2">
      <x v="5"/>
    </i>
    <i r="2">
      <x v="6"/>
    </i>
    <i r="2">
      <x v="7"/>
    </i>
    <i r="2">
      <x v="9"/>
    </i>
    <i r="2">
      <x v="30"/>
    </i>
    <i r="1">
      <x v="39"/>
    </i>
    <i r="2">
      <x v="5"/>
    </i>
    <i r="2">
      <x v="7"/>
    </i>
    <i r="2">
      <x v="30"/>
    </i>
    <i r="1">
      <x v="40"/>
    </i>
    <i r="2">
      <x v="9"/>
    </i>
    <i r="2">
      <x v="30"/>
    </i>
    <i r="1">
      <x v="42"/>
    </i>
    <i r="2">
      <x v="30"/>
    </i>
    <i r="1">
      <x v="43"/>
    </i>
    <i r="2">
      <x v="5"/>
    </i>
    <i r="2">
      <x v="7"/>
    </i>
    <i r="2">
      <x v="30"/>
    </i>
    <i r="1">
      <x v="44"/>
    </i>
    <i r="2">
      <x v="5"/>
    </i>
    <i r="2">
      <x v="7"/>
    </i>
    <i r="2">
      <x v="30"/>
    </i>
    <i r="1">
      <x v="45"/>
    </i>
    <i r="2">
      <x v="5"/>
    </i>
    <i r="2">
      <x v="7"/>
    </i>
    <i r="2">
      <x v="30"/>
    </i>
    <i r="1">
      <x v="46"/>
    </i>
    <i r="2">
      <x v="5"/>
    </i>
    <i r="2">
      <x v="7"/>
    </i>
    <i r="2">
      <x v="30"/>
    </i>
    <i r="1">
      <x v="47"/>
    </i>
    <i r="2">
      <x v="5"/>
    </i>
    <i r="2">
      <x v="7"/>
    </i>
    <i r="2">
      <x v="30"/>
    </i>
    <i r="1">
      <x v="48"/>
    </i>
    <i r="2">
      <x v="2"/>
    </i>
    <i r="2">
      <x v="9"/>
    </i>
    <i r="2">
      <x v="30"/>
    </i>
    <i r="1">
      <x v="50"/>
    </i>
    <i r="2">
      <x v="30"/>
    </i>
    <i r="1">
      <x v="51"/>
    </i>
    <i r="2">
      <x v="5"/>
    </i>
    <i r="2">
      <x v="7"/>
    </i>
    <i r="2">
      <x v="30"/>
    </i>
    <i r="2">
      <x v="34"/>
    </i>
    <i r="1">
      <x v="52"/>
    </i>
    <i r="2">
      <x v="9"/>
    </i>
    <i r="2">
      <x v="30"/>
    </i>
    <i r="2">
      <x v="34"/>
    </i>
    <i r="1">
      <x v="53"/>
    </i>
    <i r="2">
      <x v="9"/>
    </i>
    <i r="2">
      <x v="30"/>
    </i>
    <i r="1">
      <x v="54"/>
    </i>
    <i r="2">
      <x v="3"/>
    </i>
    <i r="2">
      <x v="30"/>
    </i>
    <i r="2">
      <x v="62"/>
    </i>
    <i r="1">
      <x v="55"/>
    </i>
    <i r="2">
      <x v="30"/>
    </i>
    <i r="1">
      <x v="56"/>
    </i>
    <i r="2">
      <x v="3"/>
    </i>
    <i r="2">
      <x v="9"/>
    </i>
    <i r="2">
      <x v="30"/>
    </i>
    <i r="2">
      <x v="60"/>
    </i>
    <i r="1">
      <x v="58"/>
    </i>
    <i r="2">
      <x v="6"/>
    </i>
    <i r="2">
      <x v="9"/>
    </i>
    <i r="2">
      <x v="60"/>
    </i>
    <i r="2">
      <x v="62"/>
    </i>
    <i r="1">
      <x v="59"/>
    </i>
    <i r="2">
      <x v="9"/>
    </i>
    <i r="2">
      <x v="44"/>
    </i>
    <i r="2">
      <x v="62"/>
    </i>
    <i r="1">
      <x v="60"/>
    </i>
    <i r="2">
      <x v="7"/>
    </i>
    <i r="2">
      <x v="9"/>
    </i>
    <i r="2">
      <x v="30"/>
    </i>
    <i r="1">
      <x v="61"/>
    </i>
    <i r="2">
      <x v="7"/>
    </i>
    <i r="2">
      <x v="9"/>
    </i>
    <i r="1">
      <x v="62"/>
    </i>
    <i r="2">
      <x v="7"/>
    </i>
    <i r="2">
      <x v="9"/>
    </i>
    <i r="2">
      <x v="37"/>
    </i>
    <i>
      <x v="1"/>
    </i>
    <i r="1">
      <x v="1"/>
    </i>
    <i r="2">
      <x v="30"/>
    </i>
    <i r="1">
      <x v="2"/>
    </i>
    <i r="2">
      <x v="30"/>
    </i>
    <i r="1">
      <x v="9"/>
    </i>
    <i r="2">
      <x v="30"/>
    </i>
    <i r="1">
      <x v="10"/>
    </i>
    <i r="2">
      <x v="30"/>
    </i>
    <i r="1">
      <x v="18"/>
    </i>
    <i r="2">
      <x v="5"/>
    </i>
    <i r="2">
      <x v="7"/>
    </i>
    <i r="1">
      <x v="19"/>
    </i>
    <i r="2">
      <x v="7"/>
    </i>
    <i r="1">
      <x v="26"/>
    </i>
    <i r="2">
      <x v="5"/>
    </i>
    <i r="2">
      <x v="7"/>
    </i>
    <i r="1">
      <x v="81"/>
    </i>
    <i r="2">
      <x v="30"/>
    </i>
    <i r="1">
      <x v="82"/>
    </i>
    <i r="2">
      <x v="30"/>
    </i>
    <i r="1">
      <x v="83"/>
    </i>
    <i r="2">
      <x v="30"/>
    </i>
    <i r="1">
      <x v="84"/>
    </i>
    <i r="2">
      <x v="30"/>
    </i>
    <i>
      <x v="2"/>
    </i>
    <i r="1">
      <x v="1"/>
    </i>
    <i r="2">
      <x v="30"/>
    </i>
    <i r="2">
      <x v="65"/>
    </i>
    <i r="1">
      <x v="2"/>
    </i>
    <i r="2">
      <x v="30"/>
    </i>
    <i r="1">
      <x v="3"/>
    </i>
    <i r="2">
      <x v="30"/>
    </i>
    <i r="1">
      <x v="4"/>
    </i>
    <i r="2">
      <x v="30"/>
    </i>
    <i r="1">
      <x v="5"/>
    </i>
    <i r="2">
      <x v="30"/>
    </i>
    <i r="1">
      <x v="9"/>
    </i>
    <i r="2">
      <x v="30"/>
    </i>
    <i r="1">
      <x v="10"/>
    </i>
    <i r="2">
      <x v="5"/>
    </i>
    <i r="2">
      <x v="30"/>
    </i>
    <i r="1">
      <x v="11"/>
    </i>
    <i r="2">
      <x v="30"/>
    </i>
    <i r="1">
      <x v="12"/>
    </i>
    <i r="2">
      <x v="30"/>
    </i>
    <i r="1">
      <x v="13"/>
    </i>
    <i r="2">
      <x v="30"/>
    </i>
    <i r="1">
      <x v="14"/>
    </i>
    <i r="2">
      <x v="30"/>
    </i>
    <i r="1">
      <x v="15"/>
    </i>
    <i r="2">
      <x v="30"/>
    </i>
    <i r="1">
      <x v="16"/>
    </i>
    <i r="2">
      <x v="30"/>
    </i>
    <i r="2">
      <x v="65"/>
    </i>
    <i r="1">
      <x v="18"/>
    </i>
    <i r="2">
      <x v="30"/>
    </i>
    <i r="1">
      <x v="19"/>
    </i>
    <i r="2">
      <x v="30"/>
    </i>
    <i r="1">
      <x v="20"/>
    </i>
    <i r="2">
      <x v="30"/>
    </i>
    <i r="1">
      <x v="21"/>
    </i>
    <i r="2">
      <x v="30"/>
    </i>
    <i r="1">
      <x v="22"/>
    </i>
    <i r="2">
      <x v="30"/>
    </i>
    <i r="1">
      <x v="23"/>
    </i>
    <i r="2">
      <x v="30"/>
    </i>
    <i r="1">
      <x v="24"/>
    </i>
    <i r="2">
      <x v="3"/>
    </i>
    <i r="2">
      <x v="5"/>
    </i>
    <i r="2">
      <x v="30"/>
    </i>
    <i r="1">
      <x v="26"/>
    </i>
    <i r="2">
      <x v="30"/>
    </i>
    <i r="1">
      <x v="27"/>
    </i>
    <i r="2">
      <x v="30"/>
    </i>
    <i r="1">
      <x v="28"/>
    </i>
    <i r="2">
      <x v="30"/>
    </i>
    <i r="1">
      <x v="29"/>
    </i>
    <i r="2">
      <x v="30"/>
    </i>
    <i r="1">
      <x v="30"/>
    </i>
    <i r="2">
      <x v="30"/>
    </i>
    <i r="1">
      <x v="31"/>
    </i>
    <i r="2">
      <x v="30"/>
    </i>
    <i r="1">
      <x v="32"/>
    </i>
    <i r="2">
      <x v="5"/>
    </i>
    <i r="2">
      <x v="30"/>
    </i>
    <i r="2">
      <x v="64"/>
    </i>
    <i r="1">
      <x v="34"/>
    </i>
    <i r="2">
      <x v="5"/>
    </i>
    <i r="2">
      <x v="30"/>
    </i>
    <i r="1">
      <x v="35"/>
    </i>
    <i r="2">
      <x v="5"/>
    </i>
    <i r="2">
      <x v="30"/>
    </i>
    <i r="2">
      <x v="64"/>
    </i>
    <i r="2">
      <x v="65"/>
    </i>
    <i r="1">
      <x v="36"/>
    </i>
    <i r="2">
      <x v="30"/>
    </i>
    <i r="1">
      <x v="37"/>
    </i>
    <i r="2">
      <x v="30"/>
    </i>
    <i r="1">
      <x v="38"/>
    </i>
    <i r="2">
      <x v="30"/>
    </i>
    <i r="1">
      <x v="39"/>
    </i>
    <i r="2">
      <x v="30"/>
    </i>
    <i r="1">
      <x v="42"/>
    </i>
    <i r="2">
      <x v="30"/>
    </i>
    <i r="1">
      <x v="43"/>
    </i>
    <i r="2">
      <x v="30"/>
    </i>
    <i r="1">
      <x v="44"/>
    </i>
    <i r="2">
      <x v="30"/>
    </i>
    <i r="1">
      <x v="45"/>
    </i>
    <i r="2">
      <x v="30"/>
    </i>
    <i r="1">
      <x v="46"/>
    </i>
    <i r="2">
      <x v="30"/>
    </i>
    <i r="1">
      <x v="50"/>
    </i>
    <i r="2">
      <x v="5"/>
    </i>
    <i r="2">
      <x v="30"/>
    </i>
    <i r="2">
      <x v="65"/>
    </i>
    <i r="1">
      <x v="51"/>
    </i>
    <i r="2">
      <x v="30"/>
    </i>
    <i r="2">
      <x v="65"/>
    </i>
    <i r="1">
      <x v="52"/>
    </i>
    <i r="2">
      <x v="30"/>
    </i>
    <i r="2">
      <x v="65"/>
    </i>
    <i r="1">
      <x v="53"/>
    </i>
    <i r="2">
      <x v="30"/>
    </i>
    <i>
      <x v="3"/>
    </i>
    <i r="1">
      <x v="1"/>
    </i>
    <i r="2">
      <x v="9"/>
    </i>
    <i r="2">
      <x v="23"/>
    </i>
    <i r="2">
      <x v="42"/>
    </i>
    <i r="2">
      <x v="44"/>
    </i>
    <i r="2">
      <x v="62"/>
    </i>
    <i r="1">
      <x v="9"/>
    </i>
    <i r="2">
      <x v="9"/>
    </i>
    <i r="2">
      <x v="23"/>
    </i>
    <i r="2">
      <x v="34"/>
    </i>
    <i r="2">
      <x v="44"/>
    </i>
    <i r="2">
      <x v="62"/>
    </i>
    <i r="1">
      <x v="10"/>
    </i>
    <i r="2">
      <x v="9"/>
    </i>
    <i r="2">
      <x v="30"/>
    </i>
    <i r="2">
      <x v="44"/>
    </i>
    <i r="2">
      <x v="62"/>
    </i>
    <i r="1">
      <x v="18"/>
    </i>
    <i r="2">
      <x v="9"/>
    </i>
    <i r="2">
      <x v="23"/>
    </i>
    <i r="2">
      <x v="44"/>
    </i>
    <i r="2">
      <x v="62"/>
    </i>
    <i r="1">
      <x v="19"/>
    </i>
    <i r="2">
      <x v="9"/>
    </i>
    <i r="2">
      <x v="23"/>
    </i>
    <i r="2">
      <x v="44"/>
    </i>
    <i r="1">
      <x v="26"/>
    </i>
    <i r="2">
      <x v="5"/>
    </i>
    <i r="2">
      <x v="9"/>
    </i>
    <i r="2">
      <x v="23"/>
    </i>
    <i r="2">
      <x v="44"/>
    </i>
    <i r="1">
      <x v="34"/>
    </i>
    <i r="2">
      <x v="3"/>
    </i>
    <i r="2">
      <x v="5"/>
    </i>
    <i r="2">
      <x v="9"/>
    </i>
    <i r="2">
      <x v="23"/>
    </i>
    <i r="2">
      <x v="44"/>
    </i>
    <i r="2">
      <x v="55"/>
    </i>
    <i r="2">
      <x v="60"/>
    </i>
    <i r="2">
      <x v="62"/>
    </i>
    <i r="1">
      <x v="42"/>
    </i>
    <i r="2">
      <x v="3"/>
    </i>
    <i r="2">
      <x v="5"/>
    </i>
    <i r="2">
      <x v="9"/>
    </i>
    <i r="2">
      <x v="23"/>
    </i>
    <i r="2">
      <x v="44"/>
    </i>
    <i r="2">
      <x v="64"/>
    </i>
    <i r="1">
      <x v="50"/>
    </i>
    <i r="2">
      <x v="9"/>
    </i>
    <i r="2">
      <x v="23"/>
    </i>
    <i r="2">
      <x v="60"/>
    </i>
    <i r="2">
      <x v="62"/>
    </i>
    <i>
      <x v="4"/>
    </i>
    <i r="1">
      <x v="1"/>
    </i>
    <i r="2">
      <x v="7"/>
    </i>
    <i r="2">
      <x v="9"/>
    </i>
    <i r="1">
      <x v="2"/>
    </i>
    <i r="2">
      <x v="7"/>
    </i>
    <i r="2">
      <x v="9"/>
    </i>
    <i r="1">
      <x v="9"/>
    </i>
    <i r="2">
      <x v="5"/>
    </i>
    <i r="2">
      <x v="7"/>
    </i>
    <i r="2">
      <x v="9"/>
    </i>
    <i r="1">
      <x v="10"/>
    </i>
    <i r="2">
      <x v="5"/>
    </i>
    <i r="2">
      <x v="7"/>
    </i>
    <i r="2">
      <x v="9"/>
    </i>
    <i r="1">
      <x v="18"/>
    </i>
    <i r="2">
      <x v="7"/>
    </i>
    <i r="2">
      <x v="9"/>
    </i>
    <i r="1">
      <x v="19"/>
    </i>
    <i r="2">
      <x v="7"/>
    </i>
    <i r="2">
      <x v="9"/>
    </i>
    <i r="1">
      <x v="26"/>
    </i>
    <i r="2">
      <x v="5"/>
    </i>
    <i r="2">
      <x v="7"/>
    </i>
    <i r="2">
      <x v="9"/>
    </i>
    <i r="1">
      <x v="27"/>
    </i>
    <i r="2">
      <x v="5"/>
    </i>
    <i r="2">
      <x v="7"/>
    </i>
    <i r="2">
      <x v="9"/>
    </i>
    <i r="1">
      <x v="34"/>
    </i>
    <i r="2">
      <x v="6"/>
    </i>
    <i r="2">
      <x v="9"/>
    </i>
    <i r="1">
      <x v="35"/>
    </i>
    <i r="2">
      <x v="5"/>
    </i>
    <i r="2">
      <x v="7"/>
    </i>
    <i r="2">
      <x v="9"/>
    </i>
    <i r="1">
      <x v="42"/>
    </i>
    <i r="2">
      <x v="5"/>
    </i>
    <i r="2">
      <x v="9"/>
    </i>
    <i r="1">
      <x v="43"/>
    </i>
    <i r="2">
      <x v="5"/>
    </i>
    <i r="2">
      <x v="9"/>
    </i>
    <i>
      <x v="5"/>
    </i>
    <i r="1">
      <x v="1"/>
    </i>
    <i r="2">
      <x v="6"/>
    </i>
    <i r="2">
      <x v="7"/>
    </i>
    <i r="2">
      <x v="9"/>
    </i>
    <i r="1">
      <x v="2"/>
    </i>
    <i r="2">
      <x v="6"/>
    </i>
    <i r="2">
      <x v="7"/>
    </i>
    <i r="1">
      <x v="3"/>
    </i>
    <i r="2">
      <x v="7"/>
    </i>
    <i r="2">
      <x v="9"/>
    </i>
    <i r="1">
      <x v="9"/>
    </i>
    <i r="2">
      <x v="7"/>
    </i>
    <i r="2">
      <x v="9"/>
    </i>
    <i r="1">
      <x v="10"/>
    </i>
    <i r="2">
      <x v="9"/>
    </i>
    <i r="1">
      <x v="11"/>
    </i>
    <i r="2">
      <x v="7"/>
    </i>
    <i r="2">
      <x v="9"/>
    </i>
    <i r="1">
      <x v="12"/>
    </i>
    <i r="2">
      <x v="5"/>
    </i>
    <i r="2">
      <x v="9"/>
    </i>
    <i r="1">
      <x v="18"/>
    </i>
    <i r="2">
      <x v="9"/>
    </i>
    <i r="1">
      <x v="19"/>
    </i>
    <i r="2">
      <x v="9"/>
    </i>
    <i r="1">
      <x v="20"/>
    </i>
    <i r="2">
      <x v="9"/>
    </i>
    <i r="1">
      <x v="21"/>
    </i>
    <i r="2">
      <x v="9"/>
    </i>
    <i r="1">
      <x v="26"/>
    </i>
    <i r="2">
      <x v="9"/>
    </i>
    <i r="1">
      <x v="27"/>
    </i>
    <i r="2">
      <x v="9"/>
    </i>
    <i r="1">
      <x v="28"/>
    </i>
    <i r="2">
      <x v="5"/>
    </i>
    <i r="2">
      <x v="9"/>
    </i>
    <i r="1">
      <x v="34"/>
    </i>
    <i r="2">
      <x v="9"/>
    </i>
    <i r="1">
      <x v="35"/>
    </i>
    <i r="2">
      <x v="5"/>
    </i>
    <i r="2">
      <x v="9"/>
    </i>
    <i r="1">
      <x v="36"/>
    </i>
    <i r="2">
      <x v="9"/>
    </i>
    <i r="1">
      <x v="42"/>
    </i>
    <i r="2">
      <x v="9"/>
    </i>
    <i>
      <x v="6"/>
    </i>
    <i r="1">
      <x v="1"/>
    </i>
    <i r="2">
      <x v="7"/>
    </i>
    <i r="2">
      <x v="9"/>
    </i>
    <i r="2">
      <x v="58"/>
    </i>
    <i r="1">
      <x v="2"/>
    </i>
    <i r="2">
      <x v="7"/>
    </i>
    <i r="2">
      <x v="9"/>
    </i>
    <i r="1">
      <x v="3"/>
    </i>
    <i r="2">
      <x v="5"/>
    </i>
    <i r="2">
      <x v="9"/>
    </i>
    <i r="1">
      <x v="9"/>
    </i>
    <i r="2">
      <x v="9"/>
    </i>
    <i r="1">
      <x v="10"/>
    </i>
    <i r="2">
      <x v="9"/>
    </i>
    <i r="2">
      <x v="58"/>
    </i>
    <i r="1">
      <x v="11"/>
    </i>
    <i r="2">
      <x v="5"/>
    </i>
    <i r="2">
      <x v="7"/>
    </i>
    <i r="2">
      <x v="9"/>
    </i>
    <i r="2">
      <x v="60"/>
    </i>
    <i r="1">
      <x v="12"/>
    </i>
    <i r="2">
      <x v="5"/>
    </i>
    <i r="2">
      <x v="9"/>
    </i>
    <i r="2">
      <x v="31"/>
    </i>
    <i r="1">
      <x v="18"/>
    </i>
    <i r="2">
      <x v="9"/>
    </i>
    <i r="1">
      <x v="19"/>
    </i>
    <i r="2">
      <x v="9"/>
    </i>
    <i>
      <x v="7"/>
    </i>
    <i r="1">
      <x v="1"/>
    </i>
    <i r="2">
      <x v="5"/>
    </i>
    <i r="2">
      <x v="7"/>
    </i>
    <i r="2">
      <x v="30"/>
    </i>
    <i r="1">
      <x v="2"/>
    </i>
    <i r="2">
      <x v="7"/>
    </i>
    <i r="2">
      <x v="30"/>
    </i>
    <i r="1">
      <x v="3"/>
    </i>
    <i r="2">
      <x v="30"/>
    </i>
    <i r="1">
      <x v="5"/>
    </i>
    <i r="2">
      <x v="3"/>
    </i>
    <i r="2">
      <x v="30"/>
    </i>
    <i r="1">
      <x v="6"/>
    </i>
    <i r="2">
      <x v="3"/>
    </i>
    <i r="2">
      <x v="7"/>
    </i>
    <i r="2">
      <x v="30"/>
    </i>
    <i r="1">
      <x v="9"/>
    </i>
    <i r="2">
      <x v="5"/>
    </i>
    <i r="2">
      <x v="7"/>
    </i>
    <i r="2">
      <x v="9"/>
    </i>
    <i r="2">
      <x v="30"/>
    </i>
    <i r="2">
      <x v="31"/>
    </i>
    <i r="1">
      <x v="10"/>
    </i>
    <i r="2">
      <x v="3"/>
    </i>
    <i r="2">
      <x v="7"/>
    </i>
    <i r="2">
      <x v="9"/>
    </i>
    <i r="2">
      <x v="30"/>
    </i>
    <i r="1">
      <x v="11"/>
    </i>
    <i r="2">
      <x v="5"/>
    </i>
    <i r="2">
      <x v="7"/>
    </i>
    <i r="2">
      <x v="30"/>
    </i>
    <i r="1">
      <x v="13"/>
    </i>
    <i r="2">
      <x v="30"/>
    </i>
    <i r="1">
      <x v="14"/>
    </i>
    <i r="2">
      <x v="3"/>
    </i>
    <i r="2">
      <x v="30"/>
    </i>
    <i r="1">
      <x v="15"/>
    </i>
    <i r="2">
      <x v="5"/>
    </i>
    <i r="2">
      <x v="9"/>
    </i>
    <i r="2">
      <x v="30"/>
    </i>
    <i r="2">
      <x v="31"/>
    </i>
    <i r="1">
      <x v="18"/>
    </i>
    <i r="2">
      <x v="5"/>
    </i>
    <i r="2">
      <x v="7"/>
    </i>
    <i r="2">
      <x v="9"/>
    </i>
    <i r="2">
      <x v="30"/>
    </i>
    <i r="1">
      <x v="19"/>
    </i>
    <i r="2">
      <x v="3"/>
    </i>
    <i r="2">
      <x v="5"/>
    </i>
    <i r="2">
      <x v="9"/>
    </i>
    <i r="2">
      <x v="30"/>
    </i>
    <i r="1">
      <x v="20"/>
    </i>
    <i r="2">
      <x v="5"/>
    </i>
    <i r="2">
      <x v="30"/>
    </i>
    <i r="1">
      <x v="21"/>
    </i>
    <i r="2">
      <x v="30"/>
    </i>
    <i r="1">
      <x v="22"/>
    </i>
    <i r="2">
      <x v="30"/>
    </i>
    <i r="1">
      <x v="23"/>
    </i>
    <i r="2">
      <x v="9"/>
    </i>
    <i r="1">
      <x v="24"/>
    </i>
    <i r="2">
      <x v="9"/>
    </i>
    <i r="1">
      <x v="26"/>
    </i>
    <i r="2">
      <x v="3"/>
    </i>
    <i r="2">
      <x v="5"/>
    </i>
    <i r="2">
      <x v="30"/>
    </i>
    <i r="1">
      <x v="27"/>
    </i>
    <i r="2">
      <x v="9"/>
    </i>
    <i r="1">
      <x v="34"/>
    </i>
    <i r="2">
      <x v="9"/>
    </i>
    <i r="2">
      <x v="30"/>
    </i>
    <i r="2">
      <x v="58"/>
    </i>
    <i r="2">
      <x v="62"/>
    </i>
    <i>
      <x v="9"/>
    </i>
    <i r="1">
      <x v="1"/>
    </i>
    <i r="2">
      <x v="30"/>
    </i>
    <i r="2">
      <x v="36"/>
    </i>
    <i r="1">
      <x v="2"/>
    </i>
    <i r="2">
      <x v="9"/>
    </i>
    <i r="2">
      <x v="30"/>
    </i>
    <i r="2">
      <x v="36"/>
    </i>
    <i r="2">
      <x v="57"/>
    </i>
    <i r="1">
      <x v="9"/>
    </i>
    <i r="2">
      <x v="30"/>
    </i>
    <i r="2">
      <x v="36"/>
    </i>
    <i r="1">
      <x v="10"/>
    </i>
    <i r="2">
      <x v="62"/>
    </i>
    <i r="1">
      <x v="18"/>
    </i>
    <i r="2">
      <x v="30"/>
    </i>
    <i r="1">
      <x v="19"/>
    </i>
    <i r="2">
      <x v="30"/>
    </i>
    <i r="2">
      <x v="36"/>
    </i>
    <i r="2">
      <x v="62"/>
    </i>
    <i r="1">
      <x v="26"/>
    </i>
    <i r="2">
      <x v="5"/>
    </i>
    <i r="2">
      <x v="30"/>
    </i>
    <i r="2">
      <x v="36"/>
    </i>
    <i r="2">
      <x v="40"/>
    </i>
    <i r="1">
      <x v="34"/>
    </i>
    <i r="2">
      <x v="5"/>
    </i>
    <i r="2">
      <x v="7"/>
    </i>
    <i r="2">
      <x v="30"/>
    </i>
    <i r="2">
      <x v="36"/>
    </i>
    <i r="2">
      <x v="40"/>
    </i>
    <i r="2">
      <x v="56"/>
    </i>
    <i r="2">
      <x v="62"/>
    </i>
    <i r="1">
      <x v="35"/>
    </i>
    <i r="2">
      <x v="5"/>
    </i>
    <i r="2">
      <x v="7"/>
    </i>
    <i r="2">
      <x v="36"/>
    </i>
    <i r="2">
      <x v="40"/>
    </i>
    <i r="2">
      <x v="62"/>
    </i>
    <i r="1">
      <x v="43"/>
    </i>
    <i r="2">
      <x v="40"/>
    </i>
    <i r="1">
      <x v="50"/>
    </i>
    <i r="2">
      <x v="34"/>
    </i>
    <i r="2">
      <x v="64"/>
    </i>
    <i r="1">
      <x v="51"/>
    </i>
    <i r="2">
      <x v="2"/>
    </i>
    <i r="2">
      <x v="5"/>
    </i>
    <i r="2">
      <x v="30"/>
    </i>
    <i r="2">
      <x v="34"/>
    </i>
    <i r="2">
      <x v="62"/>
    </i>
    <i r="1">
      <x v="58"/>
    </i>
    <i r="2">
      <x v="9"/>
    </i>
    <i r="2">
      <x v="21"/>
    </i>
    <i r="2">
      <x v="23"/>
    </i>
    <i r="2">
      <x v="30"/>
    </i>
    <i r="2">
      <x v="34"/>
    </i>
    <i r="2">
      <x v="36"/>
    </i>
    <i r="2">
      <x v="60"/>
    </i>
    <i r="2">
      <x v="62"/>
    </i>
    <i r="1">
      <x v="59"/>
    </i>
    <i r="2">
      <x v="34"/>
    </i>
    <i r="1">
      <x v="64"/>
    </i>
    <i r="2">
      <x v="4"/>
    </i>
    <i r="2">
      <x v="18"/>
    </i>
    <i r="2">
      <x v="21"/>
    </i>
    <i r="2">
      <x v="23"/>
    </i>
    <i r="2">
      <x v="30"/>
    </i>
    <i r="2">
      <x v="36"/>
    </i>
    <i r="2">
      <x v="45"/>
    </i>
    <i r="2">
      <x v="47"/>
    </i>
    <i r="2">
      <x v="48"/>
    </i>
    <i r="2">
      <x v="53"/>
    </i>
    <i r="2">
      <x v="62"/>
    </i>
    <i r="1">
      <x v="65"/>
    </i>
    <i r="2">
      <x v="21"/>
    </i>
    <i r="2">
      <x v="23"/>
    </i>
    <i r="2">
      <x v="36"/>
    </i>
    <i r="2">
      <x v="54"/>
    </i>
    <i r="1">
      <x v="67"/>
    </i>
    <i r="2">
      <x v="4"/>
    </i>
    <i r="2">
      <x v="14"/>
    </i>
    <i r="2">
      <x v="15"/>
    </i>
    <i r="2">
      <x v="21"/>
    </i>
    <i r="2">
      <x v="23"/>
    </i>
    <i r="2">
      <x v="25"/>
    </i>
    <i r="2">
      <x v="43"/>
    </i>
    <i r="2">
      <x v="48"/>
    </i>
    <i r="2">
      <x v="54"/>
    </i>
    <i r="2">
      <x v="62"/>
    </i>
    <i r="2">
      <x v="65"/>
    </i>
    <i r="1">
      <x v="68"/>
    </i>
    <i r="2">
      <x v="15"/>
    </i>
    <i r="2">
      <x v="18"/>
    </i>
    <i r="2">
      <x v="21"/>
    </i>
    <i r="2">
      <x v="30"/>
    </i>
    <i r="2">
      <x v="35"/>
    </i>
    <i r="2">
      <x v="47"/>
    </i>
    <i r="2">
      <x v="48"/>
    </i>
    <i r="2">
      <x v="52"/>
    </i>
    <i r="2">
      <x v="62"/>
    </i>
    <i r="1">
      <x v="85"/>
    </i>
    <i r="2">
      <x v="9"/>
    </i>
    <i r="2">
      <x v="23"/>
    </i>
    <i r="2">
      <x v="30"/>
    </i>
    <i r="2">
      <x v="36"/>
    </i>
    <i r="1">
      <x v="86"/>
    </i>
    <i r="2">
      <x v="30"/>
    </i>
    <i r="2">
      <x v="57"/>
    </i>
    <i r="1">
      <x v="87"/>
    </i>
    <i r="2">
      <x v="30"/>
    </i>
    <i r="1">
      <x v="88"/>
    </i>
    <i r="2">
      <x v="30"/>
    </i>
    <i r="1">
      <x v="89"/>
    </i>
    <i r="2">
      <x v="30"/>
    </i>
    <i r="2">
      <x v="36"/>
    </i>
    <i r="2">
      <x v="64"/>
    </i>
    <i r="1">
      <x v="90"/>
    </i>
    <i r="2">
      <x v="21"/>
    </i>
    <i r="2">
      <x v="30"/>
    </i>
    <i r="2">
      <x v="47"/>
    </i>
    <i r="2">
      <x v="48"/>
    </i>
    <i r="2">
      <x v="54"/>
    </i>
    <i r="1">
      <x v="91"/>
    </i>
    <i r="2">
      <x v="21"/>
    </i>
    <i r="2">
      <x v="23"/>
    </i>
    <i r="2">
      <x v="30"/>
    </i>
    <i r="2">
      <x v="35"/>
    </i>
    <i r="2">
      <x v="42"/>
    </i>
    <i r="2">
      <x v="47"/>
    </i>
    <i r="2">
      <x v="48"/>
    </i>
    <i r="2">
      <x v="54"/>
    </i>
    <i>
      <x v="10"/>
    </i>
    <i r="1">
      <x v="1"/>
    </i>
    <i r="2">
      <x v="9"/>
    </i>
    <i r="1">
      <x v="9"/>
    </i>
    <i r="2">
      <x v="9"/>
    </i>
    <i r="2">
      <x v="60"/>
    </i>
    <i r="2">
      <x v="62"/>
    </i>
    <i r="1">
      <x v="18"/>
    </i>
    <i r="2">
      <x v="9"/>
    </i>
    <i r="2">
      <x v="60"/>
    </i>
    <i r="1">
      <x v="26"/>
    </i>
    <i r="2">
      <x v="9"/>
    </i>
    <i r="2">
      <x v="62"/>
    </i>
    <i r="1">
      <x v="34"/>
    </i>
    <i r="2">
      <x v="9"/>
    </i>
    <i r="2">
      <x v="60"/>
    </i>
    <i r="1">
      <x v="42"/>
    </i>
    <i r="2">
      <x v="9"/>
    </i>
    <i r="1">
      <x v="50"/>
    </i>
    <i r="2">
      <x v="1"/>
    </i>
    <i r="2">
      <x v="6"/>
    </i>
    <i r="2">
      <x v="9"/>
    </i>
    <i r="2">
      <x v="60"/>
    </i>
    <i r="2">
      <x v="62"/>
    </i>
    <i r="1">
      <x v="58"/>
    </i>
    <i r="2">
      <x v="6"/>
    </i>
    <i r="2">
      <x v="9"/>
    </i>
    <i r="2">
      <x v="62"/>
    </i>
    <i r="1">
      <x v="64"/>
    </i>
    <i r="2">
      <x v="9"/>
    </i>
    <i r="2">
      <x v="62"/>
    </i>
    <i r="1">
      <x v="67"/>
    </i>
    <i r="2">
      <x v="9"/>
    </i>
    <i r="2">
      <x v="60"/>
    </i>
    <i r="1">
      <x v="74"/>
    </i>
    <i r="2">
      <x v="9"/>
    </i>
    <i r="1">
      <x v="76"/>
    </i>
    <i r="2">
      <x v="62"/>
    </i>
    <i r="1">
      <x v="80"/>
    </i>
    <i r="2">
      <x v="30"/>
    </i>
    <i>
      <x v="11"/>
    </i>
    <i r="1">
      <x v="1"/>
    </i>
    <i r="2">
      <x v="9"/>
    </i>
    <i r="2">
      <x v="62"/>
    </i>
    <i r="1">
      <x v="9"/>
    </i>
    <i r="2">
      <x v="9"/>
    </i>
    <i r="2">
      <x v="36"/>
    </i>
    <i r="2">
      <x v="62"/>
    </i>
    <i r="1">
      <x v="18"/>
    </i>
    <i r="2">
      <x v="62"/>
    </i>
    <i r="1">
      <x v="19"/>
    </i>
    <i r="2">
      <x v="62"/>
    </i>
    <i r="1">
      <x v="26"/>
    </i>
    <i r="2">
      <x v="5"/>
    </i>
    <i r="2">
      <x v="62"/>
    </i>
    <i r="1">
      <x v="27"/>
    </i>
    <i r="2">
      <x v="5"/>
    </i>
    <i r="2">
      <x v="30"/>
    </i>
    <i r="2">
      <x v="62"/>
    </i>
    <i r="1">
      <x v="34"/>
    </i>
    <i r="2">
      <x v="5"/>
    </i>
    <i r="2">
      <x v="62"/>
    </i>
    <i r="1">
      <x v="35"/>
    </i>
    <i r="2">
      <x v="5"/>
    </i>
    <i r="2">
      <x v="60"/>
    </i>
    <i r="2">
      <x v="62"/>
    </i>
  </rowItems>
  <colFields count="2">
    <field x="1"/>
    <field x="-2"/>
  </colFields>
  <colItems count="42">
    <i>
      <x/>
      <x/>
    </i>
    <i r="1" i="1">
      <x v="1"/>
    </i>
    <i r="1" i="2">
      <x v="2"/>
    </i>
    <i>
      <x v="1"/>
      <x/>
    </i>
    <i r="1" i="1">
      <x v="1"/>
    </i>
    <i r="1" i="2">
      <x v="2"/>
    </i>
    <i>
      <x v="2"/>
      <x/>
    </i>
    <i r="1" i="1">
      <x v="1"/>
    </i>
    <i r="1" i="2">
      <x v="2"/>
    </i>
    <i>
      <x v="3"/>
      <x/>
    </i>
    <i r="1" i="1">
      <x v="1"/>
    </i>
    <i r="1" i="2">
      <x v="2"/>
    </i>
    <i>
      <x v="4"/>
      <x/>
    </i>
    <i r="1" i="1">
      <x v="1"/>
    </i>
    <i r="1" i="2">
      <x v="2"/>
    </i>
    <i>
      <x v="5"/>
      <x/>
    </i>
    <i r="1" i="1">
      <x v="1"/>
    </i>
    <i r="1" i="2">
      <x v="2"/>
    </i>
    <i>
      <x v="6"/>
      <x/>
    </i>
    <i r="1" i="1">
      <x v="1"/>
    </i>
    <i r="1" i="2">
      <x v="2"/>
    </i>
    <i>
      <x v="7"/>
      <x/>
    </i>
    <i r="1" i="1">
      <x v="1"/>
    </i>
    <i r="1" i="2">
      <x v="2"/>
    </i>
    <i>
      <x v="8"/>
      <x/>
    </i>
    <i r="1" i="1">
      <x v="1"/>
    </i>
    <i r="1" i="2">
      <x v="2"/>
    </i>
    <i>
      <x v="9"/>
      <x/>
    </i>
    <i r="1" i="1">
      <x v="1"/>
    </i>
    <i r="1" i="2">
      <x v="2"/>
    </i>
    <i>
      <x v="10"/>
      <x/>
    </i>
    <i r="1" i="1">
      <x v="1"/>
    </i>
    <i r="1" i="2">
      <x v="2"/>
    </i>
    <i>
      <x v="11"/>
      <x/>
    </i>
    <i r="1" i="1">
      <x v="1"/>
    </i>
    <i r="1" i="2">
      <x v="2"/>
    </i>
    <i>
      <x v="12"/>
      <x/>
    </i>
    <i r="1" i="1">
      <x v="1"/>
    </i>
    <i r="1" i="2">
      <x v="2"/>
    </i>
    <i>
      <x v="13"/>
      <x/>
    </i>
    <i r="1" i="1">
      <x v="1"/>
    </i>
    <i r="1" i="2">
      <x v="2"/>
    </i>
  </colItems>
  <pageFields count="2">
    <pageField fld="12" hier="-1"/>
    <pageField fld="13" hier="-1"/>
  </pageFields>
  <dataFields count="3">
    <dataField name="Sum of Cover" fld="9" baseField="0" baseItem="0"/>
    <dataField name="Sum of Hits" fld="6" baseField="0" baseItem="0"/>
    <dataField name="Sum of Target Cover" fld="10" baseField="0" baseItem="0"/>
  </dataFields>
  <formats count="2">
    <format dxfId="15">
      <pivotArea collapsedLevelsAreSubtotals="1" fieldPosition="0">
        <references count="3">
          <reference field="0" count="1" selected="0">
            <x v="4"/>
          </reference>
          <reference field="1" count="2" selected="0">
            <x v="0"/>
            <x v="1"/>
          </reference>
          <reference field="3" count="12">
            <x v="1"/>
            <x v="2"/>
            <x v="9"/>
            <x v="10"/>
            <x v="18"/>
            <x v="19"/>
            <x v="26"/>
            <x v="27"/>
            <x v="34"/>
            <x v="35"/>
            <x v="42"/>
            <x v="43"/>
          </reference>
        </references>
      </pivotArea>
    </format>
    <format dxfId="14">
      <pivotArea collapsedLevelsAreSubtotals="1" fieldPosition="0">
        <references count="2">
          <reference field="0" count="1">
            <x v="5"/>
          </reference>
          <reference field="1" count="2" selected="0">
            <x v="0"/>
            <x v="1"/>
          </reference>
        </references>
      </pivotArea>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3.xml><?xml version="1.0" encoding="utf-8"?>
<pivotTableDefinition xmlns="http://schemas.openxmlformats.org/spreadsheetml/2006/main" xmlns:mc="http://schemas.openxmlformats.org/markup-compatibility/2006" xmlns:xr="http://schemas.microsoft.com/office/spreadsheetml/2014/revision" mc:Ignorable="xr" xr:uid="{00000000-0007-0000-0D00-000000000000}" name="PivotTable8" cacheId="0" applyNumberFormats="0" applyBorderFormats="0" applyFontFormats="0" applyPatternFormats="0" applyAlignmentFormats="0" applyWidthHeightFormats="1" dataCaption="Values" updatedVersion="4" minRefreshableVersion="3" useAutoFormatting="1" rowGrandTotals="0" colGrandTotals="0" itemPrintTitles="1" createdVersion="4" indent="0" outline="1" outlineData="1" multipleFieldFilters="0">
  <location ref="A4:O16" firstHeaderRow="1" firstDataRow="2" firstDataCol="1" rowPageCount="2" colPageCount="1"/>
  <pivotFields count="16">
    <pivotField axis="axisRow" showAll="0">
      <items count="13">
        <item x="0"/>
        <item x="9"/>
        <item x="1"/>
        <item x="2"/>
        <item x="3"/>
        <item x="4"/>
        <item x="5"/>
        <item x="6"/>
        <item m="1" x="11"/>
        <item x="7"/>
        <item x="8"/>
        <item x="10"/>
        <item t="default"/>
      </items>
    </pivotField>
    <pivotField axis="axisCol" showAll="0" sortType="ascending">
      <items count="15">
        <item x="0"/>
        <item x="8"/>
        <item x="5"/>
        <item x="3"/>
        <item x="9"/>
        <item x="6"/>
        <item x="1"/>
        <item x="4"/>
        <item x="7"/>
        <item x="2"/>
        <item x="10"/>
        <item x="11"/>
        <item x="12"/>
        <item x="13"/>
        <item t="default"/>
      </items>
    </pivotField>
    <pivotField showAll="0"/>
    <pivotField showAll="0"/>
    <pivotField showAll="0"/>
    <pivotField showAll="0"/>
    <pivotField showAll="0"/>
    <pivotField showAll="0"/>
    <pivotField showAll="0"/>
    <pivotField showAll="0"/>
    <pivotField showAll="0"/>
    <pivotField showAll="0"/>
    <pivotField axis="axisPage" multipleItemSelectionAllowed="1" showAll="0">
      <items count="8">
        <item h="1" x="0"/>
        <item h="1" x="5"/>
        <item h="1" x="3"/>
        <item h="1" x="2"/>
        <item x="1"/>
        <item h="1" x="4"/>
        <item h="1" x="6"/>
        <item t="default"/>
      </items>
    </pivotField>
    <pivotField axis="axisPage" multipleItemSelectionAllowed="1" showAll="0">
      <items count="11">
        <item x="5"/>
        <item x="6"/>
        <item h="1" x="9"/>
        <item x="7"/>
        <item x="1"/>
        <item x="2"/>
        <item x="4"/>
        <item x="8"/>
        <item x="3"/>
        <item x="0"/>
        <item t="default"/>
      </items>
    </pivotField>
    <pivotField dataField="1" showAll="0" defaultSubtotal="0"/>
    <pivotField showAll="0" defaultSubtotal="0"/>
  </pivotFields>
  <rowFields count="1">
    <field x="0"/>
  </rowFields>
  <rowItems count="11">
    <i>
      <x/>
    </i>
    <i>
      <x v="1"/>
    </i>
    <i>
      <x v="2"/>
    </i>
    <i>
      <x v="3"/>
    </i>
    <i>
      <x v="4"/>
    </i>
    <i>
      <x v="5"/>
    </i>
    <i>
      <x v="6"/>
    </i>
    <i>
      <x v="7"/>
    </i>
    <i>
      <x v="9"/>
    </i>
    <i>
      <x v="10"/>
    </i>
    <i>
      <x v="11"/>
    </i>
  </rowItems>
  <colFields count="1">
    <field x="1"/>
  </colFields>
  <colItems count="14">
    <i>
      <x/>
    </i>
    <i>
      <x v="1"/>
    </i>
    <i>
      <x v="2"/>
    </i>
    <i>
      <x v="3"/>
    </i>
    <i>
      <x v="4"/>
    </i>
    <i>
      <x v="5"/>
    </i>
    <i>
      <x v="6"/>
    </i>
    <i>
      <x v="7"/>
    </i>
    <i>
      <x v="8"/>
    </i>
    <i>
      <x v="9"/>
    </i>
    <i>
      <x v="10"/>
    </i>
    <i>
      <x v="11"/>
    </i>
    <i>
      <x v="12"/>
    </i>
    <i>
      <x v="13"/>
    </i>
  </colItems>
  <pageFields count="2">
    <pageField fld="12" hier="-1"/>
    <pageField fld="13" hier="-1"/>
  </pageFields>
  <dataFields count="1">
    <dataField name="Sum of Helper_SPP" fld="14" baseField="0"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slicerCaches/slicerCache1.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Comment" xr10:uid="{00000000-0013-0000-FFFF-FFFF01000000}" sourceName="Comment">
  <pivotTables>
    <pivotTable tabId="5" name="PivotTable8"/>
  </pivotTables>
  <data>
    <tabular pivotCacheId="1">
      <items count="10">
        <i x="5" s="1"/>
        <i x="9"/>
        <i x="7" s="1"/>
        <i x="2" s="1"/>
        <i x="4" s="1"/>
        <i x="8" s="1"/>
        <i x="0" s="1"/>
        <i x="6" s="1" nd="1"/>
        <i x="1" s="1" nd="1"/>
        <i x="3" s="1" nd="1"/>
      </items>
    </tabular>
  </data>
</slicerCacheDefinition>
</file>

<file path=xl/slicerCaches/slicerCache2.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Logevity" xr10:uid="{00000000-0013-0000-FFFF-FFFF02000000}" sourceName="Logevity">
  <pivotTables>
    <pivotTable tabId="5" name="PivotTable8"/>
    <pivotTable tabId="12" name="PivotTable11"/>
  </pivotTables>
  <data>
    <tabular pivotCacheId="1">
      <items count="7">
        <i x="0"/>
        <i x="5"/>
        <i x="3"/>
        <i x="2"/>
        <i x="1" s="1"/>
        <i x="4"/>
        <i x="6"/>
      </items>
    </tabular>
  </data>
</slicerCacheDefinition>
</file>

<file path=xl/slicerCaches/slicerCache3.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Site" xr10:uid="{23F4A2CC-3466-474D-AE55-D65D4CF08A2C}" sourceName="Site">
  <extLst>
    <x:ext xmlns:x15="http://schemas.microsoft.com/office/spreadsheetml/2010/11/main" uri="{2F2917AC-EB37-4324-AD4E-5DD8C200BD13}">
      <x15:tableSlicerCache tableId="2" column="1"/>
    </x:ext>
  </extLst>
</slicerCacheDefinition>
</file>

<file path=xl/slicers/slicer1.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Comment" xr10:uid="{00000000-0014-0000-FFFF-FFFF01000000}" cache="Slicer_Comment" caption="Comment" rowHeight="241300"/>
  <slicer name="Logevity" xr10:uid="{00000000-0014-0000-FFFF-FFFF02000000}" cache="Slicer_Logevity" caption="Logevity" rowHeight="241300"/>
</slicers>
</file>

<file path=xl/slicers/slicer2.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Site" xr10:uid="{AA619F43-9C1C-472A-94D5-32CDE007069C}" cache="Slicer_Site" caption="Site" rowHeight="234950"/>
</slicer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00000000-000C-0000-FFFF-FFFF00000000}" name="Table2" displayName="Table2" ref="A1:P2321" totalsRowShown="0">
  <autoFilter ref="A1:P2321" xr:uid="{00000000-000C-0000-FFFF-FFFF00000000}">
    <filterColumn colId="12">
      <filters>
        <filter val="Perennial"/>
      </filters>
    </filterColumn>
  </autoFilter>
  <sortState xmlns:xlrd2="http://schemas.microsoft.com/office/spreadsheetml/2017/richdata2" ref="A512:P662">
    <sortCondition ref="B1:B2321"/>
  </sortState>
  <tableColumns count="16">
    <tableColumn id="1" xr3:uid="{00000000-0010-0000-0000-000001000000}" name="Site" dataDxfId="13"/>
    <tableColumn id="2" xr3:uid="{00000000-0010-0000-0000-000002000000}" name="Year"/>
    <tableColumn id="3" xr3:uid="{00000000-0010-0000-0000-000003000000}" name="Transect Original" dataDxfId="12"/>
    <tableColumn id="4" xr3:uid="{00000000-0010-0000-0000-000004000000}" name="Transect" dataDxfId="11"/>
    <tableColumn id="10" xr3:uid="{00000000-0010-0000-0000-00000A000000}" name="Line" dataDxfId="10">
      <calculatedColumnFormula>INT(Table2[[#This Row],[Transect]])</calculatedColumnFormula>
    </tableColumn>
    <tableColumn id="5" xr3:uid="{00000000-0010-0000-0000-000005000000}" name="Species" dataDxfId="9"/>
    <tableColumn id="6" xr3:uid="{00000000-0010-0000-0000-000006000000}" name="Hits" dataDxfId="8"/>
    <tableColumn id="7" xr3:uid="{00000000-0010-0000-0000-000007000000}" name="Points">
      <calculatedColumnFormula>I2*2</calculatedColumnFormula>
    </tableColumn>
    <tableColumn id="8" xr3:uid="{00000000-0010-0000-0000-000008000000}" name="Length (m)" dataDxfId="7"/>
    <tableColumn id="11" xr3:uid="{00000000-0010-0000-0000-00000B000000}" name="Cover" dataDxfId="6">
      <calculatedColumnFormula>Table2[[#This Row],[Hits]]/Table2[[#This Row],[Points]]*100</calculatedColumnFormula>
    </tableColumn>
    <tableColumn id="12" xr3:uid="{00000000-0010-0000-0000-00000C000000}" name="Target Cover" dataDxfId="5">
      <calculatedColumnFormula>VLOOKUP(Table2[[#This Row],[Site]],'Site Info'!$A$1:$C$11,2, FALSE)</calculatedColumnFormula>
    </tableColumn>
    <tableColumn id="17" xr3:uid="{00000000-0010-0000-0000-000011000000}" name="Target Spp Richness" dataDxfId="4">
      <calculatedColumnFormula>VLOOKUP(Table2[[#This Row],[Site]],'Site Info'!$A$1:$C$11,3, FALSE)</calculatedColumnFormula>
    </tableColumn>
    <tableColumn id="14" xr3:uid="{00000000-0010-0000-0000-00000E000000}" name="Logevity" dataDxfId="3">
      <calculatedColumnFormula>VLOOKUP(Table2[[#This Row],[Species]],'Species Table'!$A$1:$D$68,3, FALSE)</calculatedColumnFormula>
    </tableColumn>
    <tableColumn id="9" xr3:uid="{00000000-0010-0000-0000-000009000000}" name="Comment" dataDxfId="2"/>
    <tableColumn id="19" xr3:uid="{00000000-0010-0000-0000-000013000000}" name="Helper_SPP" dataDxfId="1">
      <calculatedColumnFormula>IF(SUMPRODUCT(($A$2:$A2=A2)*($B$2:$B2=B2)*($F$2:$F2=F2))&gt;1,0,1)</calculatedColumnFormula>
    </tableColumn>
    <tableColumn id="20" xr3:uid="{00000000-0010-0000-0000-000014000000}" name="Helper_Tran" dataDxfId="0">
      <calculatedColumnFormula>IF(SUMPRODUCT(($A$2:$A2=A2)*($B$2:$B2=B2)*($D$2:$D2=D2))&gt;1,0,1)</calculatedColumnFormula>
    </tableColumn>
  </tableColumns>
  <tableStyleInfo name="TableStyleLight1" showFirstColumn="0" showLastColumn="0" showRowStripes="1" showColumnStripes="0"/>
</table>
</file>

<file path=xl/theme/theme1.xml><?xml version="1.0" encoding="utf-8"?>
<a:theme xmlns:a="http://schemas.openxmlformats.org/drawingml/2006/main" name="Office Theme 2007 - 2010">
  <a:themeElements>
    <a:clrScheme name="Office 2007 - 2010">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2007 - 2010">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2007 - 2010">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threadedComments/threadedComment1.xml><?xml version="1.0" encoding="utf-8"?>
<ThreadedComments xmlns="http://schemas.microsoft.com/office/spreadsheetml/2018/threadedcomments" xmlns:x="http://schemas.openxmlformats.org/spreadsheetml/2006/main">
  <threadedComment ref="H15" dT="2023-08-09T21:23:11.78" personId="{EBCB44A1-0573-438B-8340-FED5C29C9884}" id="{A412DD5D-0154-4DBC-A5D8-0C393291BB37}">
    <text>The error shouldn't influence goal attainment, especially when 30% of the goal is error.</text>
  </threadedComment>
</ThreadedComments>
</file>

<file path=xl/worksheets/_rels/sheet1.xml.rels><?xml version="1.0" encoding="UTF-8" standalone="yes"?>
<Relationships xmlns="http://schemas.openxmlformats.org/package/2006/relationships"><Relationship Id="rId2" Type="http://schemas.openxmlformats.org/officeDocument/2006/relationships/printerSettings" Target="../printerSettings/printerSettings1.bin"/><Relationship Id="rId1" Type="http://schemas.openxmlformats.org/officeDocument/2006/relationships/pivotTable" Target="../pivotTables/pivotTable1.xml"/></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2.bin"/><Relationship Id="rId5" Type="http://schemas.openxmlformats.org/officeDocument/2006/relationships/image" Target="../media/image1.emf"/><Relationship Id="rId4" Type="http://schemas.openxmlformats.org/officeDocument/2006/relationships/control" Target="../activeX/activeX1.xml"/></Relationships>
</file>

<file path=xl/worksheets/_rels/sheet3.xml.rels><?xml version="1.0" encoding="UTF-8" standalone="yes"?>
<Relationships xmlns="http://schemas.openxmlformats.org/package/2006/relationships"><Relationship Id="rId2" Type="http://schemas.microsoft.com/office/2007/relationships/slicer" Target="../slicers/slicer1.xml"/><Relationship Id="rId1" Type="http://schemas.openxmlformats.org/officeDocument/2006/relationships/drawing" Target="../drawings/drawing2.xml"/></Relationships>
</file>

<file path=xl/worksheets/_rels/sheet7.xml.rels><?xml version="1.0" encoding="UTF-8" standalone="yes"?>
<Relationships xmlns="http://schemas.openxmlformats.org/package/2006/relationships"><Relationship Id="rId3" Type="http://schemas.microsoft.com/office/2017/10/relationships/threadedComment" Target="../threadedComments/threadedComment1.xml"/><Relationship Id="rId2" Type="http://schemas.openxmlformats.org/officeDocument/2006/relationships/comments" Target="../comments1.xml"/><Relationship Id="rId1" Type="http://schemas.openxmlformats.org/officeDocument/2006/relationships/vmlDrawing" Target="../drawings/vmlDrawing2.vml"/></Relationships>
</file>

<file path=xl/worksheets/_rels/sheet14.xml.rels><?xml version="1.0" encoding="UTF-8" standalone="yes"?>
<Relationships xmlns="http://schemas.openxmlformats.org/package/2006/relationships"><Relationship Id="rId1" Type="http://schemas.openxmlformats.org/officeDocument/2006/relationships/pivotTable" Target="../pivotTables/pivotTable2.xml"/></Relationships>
</file>

<file path=xl/worksheets/_rels/sheet15.xml.rels><?xml version="1.0" encoding="UTF-8" standalone="yes"?>
<Relationships xmlns="http://schemas.openxmlformats.org/package/2006/relationships"><Relationship Id="rId1" Type="http://schemas.openxmlformats.org/officeDocument/2006/relationships/pivotTable" Target="../pivotTables/pivotTable3.xml"/></Relationships>
</file>

<file path=xl/worksheets/_rels/sheet16.xml.rels><?xml version="1.0" encoding="UTF-8" standalone="yes"?>
<Relationships xmlns="http://schemas.openxmlformats.org/package/2006/relationships"><Relationship Id="rId3" Type="http://schemas.microsoft.com/office/2007/relationships/slicer" Target="../slicers/slicer2.xml"/><Relationship Id="rId2" Type="http://schemas.openxmlformats.org/officeDocument/2006/relationships/table" Target="../tables/table1.xml"/><Relationship Id="rId1" Type="http://schemas.openxmlformats.org/officeDocument/2006/relationships/drawing" Target="../drawings/drawing3.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3FC8DFC-7129-408D-8DEA-1187849956FF}">
  <dimension ref="A1:E59"/>
  <sheetViews>
    <sheetView workbookViewId="0">
      <selection activeCell="F7" sqref="F7"/>
    </sheetView>
  </sheetViews>
  <sheetFormatPr defaultRowHeight="14.5" x14ac:dyDescent="0.35"/>
  <cols>
    <col min="1" max="2" width="15.54296875" bestFit="1" customWidth="1"/>
    <col min="3" max="5" width="5" bestFit="1" customWidth="1"/>
    <col min="6" max="7" width="10.81640625" bestFit="1" customWidth="1"/>
  </cols>
  <sheetData>
    <row r="1" spans="1:5" x14ac:dyDescent="0.35">
      <c r="A1" s="11" t="s">
        <v>261</v>
      </c>
      <c r="B1" t="s">
        <v>227</v>
      </c>
    </row>
    <row r="3" spans="1:5" x14ac:dyDescent="0.35">
      <c r="A3" s="11" t="s">
        <v>306</v>
      </c>
      <c r="B3" s="11" t="s">
        <v>219</v>
      </c>
    </row>
    <row r="4" spans="1:5" x14ac:dyDescent="0.35">
      <c r="A4" s="11" t="s">
        <v>263</v>
      </c>
      <c r="B4">
        <v>1999</v>
      </c>
      <c r="C4">
        <v>2002</v>
      </c>
      <c r="D4">
        <v>2005</v>
      </c>
      <c r="E4">
        <v>2010</v>
      </c>
    </row>
    <row r="5" spans="1:5" x14ac:dyDescent="0.35">
      <c r="A5" s="1" t="s">
        <v>31</v>
      </c>
      <c r="B5" s="18">
        <v>2.030456852791878</v>
      </c>
      <c r="C5" s="18"/>
      <c r="D5" s="18">
        <v>0.81249226197845736</v>
      </c>
      <c r="E5" s="18">
        <v>1.6249845239569147</v>
      </c>
    </row>
    <row r="6" spans="1:5" x14ac:dyDescent="0.35">
      <c r="A6" s="14">
        <v>5.0999999999999996</v>
      </c>
      <c r="B6" s="18"/>
      <c r="C6" s="18"/>
      <c r="D6" s="18">
        <v>0.6097560975609756</v>
      </c>
      <c r="E6" s="18">
        <v>1.2195121951219512</v>
      </c>
    </row>
    <row r="7" spans="1:5" x14ac:dyDescent="0.35">
      <c r="A7" s="14">
        <v>6.1</v>
      </c>
      <c r="B7" s="18">
        <v>2.030456852791878</v>
      </c>
      <c r="C7" s="18"/>
      <c r="D7" s="18">
        <v>1.015228426395939</v>
      </c>
      <c r="E7" s="18">
        <v>2.030456852791878</v>
      </c>
    </row>
    <row r="8" spans="1:5" x14ac:dyDescent="0.35">
      <c r="A8" s="1" t="s">
        <v>12</v>
      </c>
      <c r="B8" s="18">
        <v>2.6315789473684208</v>
      </c>
      <c r="C8" s="18"/>
      <c r="D8" s="18">
        <v>1.7543859649122806</v>
      </c>
      <c r="E8" s="18">
        <v>0.5586851553794725</v>
      </c>
    </row>
    <row r="9" spans="1:5" x14ac:dyDescent="0.35">
      <c r="A9" s="14">
        <v>4.0999999999999996</v>
      </c>
      <c r="B9" s="18">
        <v>2.6315789473684208</v>
      </c>
      <c r="C9" s="18"/>
      <c r="D9" s="18">
        <v>1.7543859649122806</v>
      </c>
      <c r="E9" s="18"/>
    </row>
    <row r="10" spans="1:5" x14ac:dyDescent="0.35">
      <c r="A10" s="14">
        <v>5.0999999999999996</v>
      </c>
      <c r="B10" s="18"/>
      <c r="C10" s="18"/>
      <c r="D10" s="18"/>
      <c r="E10" s="18">
        <v>0.6097560975609756</v>
      </c>
    </row>
    <row r="11" spans="1:5" x14ac:dyDescent="0.35">
      <c r="A11" s="14">
        <v>6.1</v>
      </c>
      <c r="B11" s="18"/>
      <c r="C11" s="18"/>
      <c r="D11" s="18"/>
      <c r="E11" s="18">
        <v>0.50761421319796951</v>
      </c>
    </row>
    <row r="12" spans="1:5" x14ac:dyDescent="0.35">
      <c r="A12" s="1" t="s">
        <v>3</v>
      </c>
      <c r="B12" s="18">
        <v>0.80719028425478834</v>
      </c>
      <c r="C12" s="18">
        <v>4.3178160207998015</v>
      </c>
      <c r="D12" s="18">
        <v>5.8340711662975275</v>
      </c>
      <c r="E12" s="18">
        <v>28.843791799911873</v>
      </c>
    </row>
    <row r="13" spans="1:5" x14ac:dyDescent="0.35">
      <c r="A13" s="14">
        <v>1.1000000000000001</v>
      </c>
      <c r="B13" s="18">
        <v>0.69444444444444442</v>
      </c>
      <c r="C13" s="18"/>
      <c r="D13" s="18">
        <v>1.3888888888888888</v>
      </c>
      <c r="E13" s="18">
        <v>21.830985915492956</v>
      </c>
    </row>
    <row r="14" spans="1:5" x14ac:dyDescent="0.35">
      <c r="A14" s="14">
        <v>2.1</v>
      </c>
      <c r="B14" s="18"/>
      <c r="C14" s="18"/>
      <c r="D14" s="18">
        <v>4.6153846153846159</v>
      </c>
      <c r="E14" s="18">
        <v>26.153846153846157</v>
      </c>
    </row>
    <row r="15" spans="1:5" x14ac:dyDescent="0.35">
      <c r="A15" s="14">
        <v>2.2000000000000002</v>
      </c>
      <c r="B15" s="18"/>
      <c r="C15" s="18"/>
      <c r="D15" s="18">
        <v>1.5151515151515151</v>
      </c>
      <c r="E15" s="18">
        <v>50</v>
      </c>
    </row>
    <row r="16" spans="1:5" x14ac:dyDescent="0.35">
      <c r="A16" s="14">
        <v>3.1</v>
      </c>
      <c r="B16" s="18"/>
      <c r="C16" s="18"/>
      <c r="D16" s="18">
        <v>3.6144578313253009</v>
      </c>
      <c r="E16" s="18">
        <v>33.734939759036145</v>
      </c>
    </row>
    <row r="17" spans="1:5" x14ac:dyDescent="0.35">
      <c r="A17" s="14">
        <v>3.2</v>
      </c>
      <c r="B17" s="18"/>
      <c r="C17" s="18"/>
      <c r="D17" s="18">
        <v>14.285714285714285</v>
      </c>
      <c r="E17" s="18">
        <v>72.222222222222214</v>
      </c>
    </row>
    <row r="18" spans="1:5" x14ac:dyDescent="0.35">
      <c r="A18" s="14">
        <v>4.0999999999999996</v>
      </c>
      <c r="B18" s="18"/>
      <c r="C18" s="18"/>
      <c r="D18" s="18"/>
      <c r="E18" s="18">
        <v>20.869565217391305</v>
      </c>
    </row>
    <row r="19" spans="1:5" x14ac:dyDescent="0.35">
      <c r="A19" s="14">
        <v>5.0999999999999996</v>
      </c>
      <c r="B19" s="18">
        <v>1.2195121951219512</v>
      </c>
      <c r="C19" s="18">
        <v>6.0975609756097562</v>
      </c>
      <c r="D19" s="18">
        <v>8.536585365853659</v>
      </c>
      <c r="E19" s="18">
        <v>13.414634146341465</v>
      </c>
    </row>
    <row r="20" spans="1:5" x14ac:dyDescent="0.35">
      <c r="A20" s="14">
        <v>6.1</v>
      </c>
      <c r="B20" s="18">
        <v>0.50761421319796951</v>
      </c>
      <c r="C20" s="18">
        <v>2.5380710659898478</v>
      </c>
      <c r="D20" s="18">
        <v>10.152284263959391</v>
      </c>
      <c r="E20" s="18">
        <v>18.781725888324875</v>
      </c>
    </row>
    <row r="21" spans="1:5" x14ac:dyDescent="0.35">
      <c r="A21" s="14">
        <v>7.1</v>
      </c>
      <c r="B21" s="18"/>
      <c r="C21" s="18"/>
      <c r="D21" s="18">
        <v>2.5641025641025639</v>
      </c>
      <c r="E21" s="18">
        <v>2.5862068965517242</v>
      </c>
    </row>
    <row r="22" spans="1:5" x14ac:dyDescent="0.35">
      <c r="A22" s="1" t="s">
        <v>23</v>
      </c>
      <c r="B22" s="18">
        <v>1.6587397918484239</v>
      </c>
      <c r="C22" s="18">
        <v>6.6032334820509222</v>
      </c>
      <c r="D22" s="18">
        <v>1.2125115795332722</v>
      </c>
      <c r="E22" s="18">
        <v>2.8793893782518141</v>
      </c>
    </row>
    <row r="23" spans="1:5" x14ac:dyDescent="0.35">
      <c r="A23" s="14">
        <v>1.1000000000000001</v>
      </c>
      <c r="B23" s="18">
        <v>1.3888888888888888</v>
      </c>
      <c r="C23" s="18">
        <v>2.083333333333333</v>
      </c>
      <c r="D23" s="18">
        <v>0.69444444444444442</v>
      </c>
      <c r="E23" s="18">
        <v>1.4084507042253522</v>
      </c>
    </row>
    <row r="24" spans="1:5" x14ac:dyDescent="0.35">
      <c r="A24" s="14">
        <v>2.1</v>
      </c>
      <c r="B24" s="18"/>
      <c r="C24" s="18"/>
      <c r="D24" s="18">
        <v>0.76923076923076927</v>
      </c>
      <c r="E24" s="18"/>
    </row>
    <row r="25" spans="1:5" x14ac:dyDescent="0.35">
      <c r="A25" s="14">
        <v>3.1</v>
      </c>
      <c r="B25" s="18"/>
      <c r="C25" s="18">
        <v>8.4337349397590362</v>
      </c>
      <c r="D25" s="18"/>
      <c r="E25" s="18"/>
    </row>
    <row r="26" spans="1:5" x14ac:dyDescent="0.35">
      <c r="A26" s="14">
        <v>3.2</v>
      </c>
      <c r="B26" s="18">
        <v>5.7142857142857144</v>
      </c>
      <c r="C26" s="18">
        <v>20</v>
      </c>
      <c r="D26" s="18"/>
      <c r="E26" s="18">
        <v>2.7777777777777777</v>
      </c>
    </row>
    <row r="27" spans="1:5" x14ac:dyDescent="0.35">
      <c r="A27" s="14">
        <v>4.0999999999999996</v>
      </c>
      <c r="B27" s="18">
        <v>0.8771929824561403</v>
      </c>
      <c r="C27" s="18">
        <v>4.3859649122807012</v>
      </c>
      <c r="D27" s="18">
        <v>1.7543859649122806</v>
      </c>
      <c r="E27" s="18">
        <v>5.2173913043478262</v>
      </c>
    </row>
    <row r="28" spans="1:5" x14ac:dyDescent="0.35">
      <c r="A28" s="14">
        <v>5.0999999999999996</v>
      </c>
      <c r="B28" s="18">
        <v>0.6097560975609756</v>
      </c>
      <c r="C28" s="18">
        <v>7.9268292682926829</v>
      </c>
      <c r="D28" s="18">
        <v>1.8292682926829267</v>
      </c>
      <c r="E28" s="18">
        <v>5.4878048780487809</v>
      </c>
    </row>
    <row r="29" spans="1:5" x14ac:dyDescent="0.35">
      <c r="A29" s="14">
        <v>6.1</v>
      </c>
      <c r="B29" s="18">
        <v>0.50761421319796951</v>
      </c>
      <c r="C29" s="18">
        <v>2.5380710659898478</v>
      </c>
      <c r="D29" s="18">
        <v>1.015228426395939</v>
      </c>
      <c r="E29" s="18">
        <v>1.5228426395939088</v>
      </c>
    </row>
    <row r="30" spans="1:5" x14ac:dyDescent="0.35">
      <c r="A30" s="14">
        <v>7.1</v>
      </c>
      <c r="B30" s="18">
        <v>0.85470085470085477</v>
      </c>
      <c r="C30" s="18">
        <v>0.85470085470085477</v>
      </c>
      <c r="D30" s="18"/>
      <c r="E30" s="18">
        <v>0.86206896551724133</v>
      </c>
    </row>
    <row r="31" spans="1:5" x14ac:dyDescent="0.35">
      <c r="A31" s="1" t="s">
        <v>11</v>
      </c>
      <c r="B31" s="18"/>
      <c r="C31" s="18"/>
      <c r="D31" s="18"/>
      <c r="E31" s="18">
        <v>3.0303030303030303</v>
      </c>
    </row>
    <row r="32" spans="1:5" x14ac:dyDescent="0.35">
      <c r="A32" s="14">
        <v>2.2000000000000002</v>
      </c>
      <c r="B32" s="18"/>
      <c r="C32" s="18"/>
      <c r="D32" s="18"/>
      <c r="E32" s="18">
        <v>3.0303030303030303</v>
      </c>
    </row>
    <row r="33" spans="1:5" x14ac:dyDescent="0.35">
      <c r="A33" s="1" t="s">
        <v>13</v>
      </c>
      <c r="B33" s="18"/>
      <c r="C33" s="18">
        <v>3.0769230769230771</v>
      </c>
      <c r="D33" s="18"/>
      <c r="E33" s="18">
        <v>3.8461538461538463</v>
      </c>
    </row>
    <row r="34" spans="1:5" x14ac:dyDescent="0.35">
      <c r="A34" s="14">
        <v>2.1</v>
      </c>
      <c r="B34" s="18"/>
      <c r="C34" s="18">
        <v>3.0769230769230771</v>
      </c>
      <c r="D34" s="18"/>
      <c r="E34" s="18">
        <v>3.8461538461538463</v>
      </c>
    </row>
    <row r="35" spans="1:5" x14ac:dyDescent="0.35">
      <c r="A35" s="1" t="s">
        <v>134</v>
      </c>
      <c r="B35" s="18"/>
      <c r="C35" s="18"/>
      <c r="D35" s="18"/>
      <c r="E35" s="18">
        <v>0.70422535211267612</v>
      </c>
    </row>
    <row r="36" spans="1:5" x14ac:dyDescent="0.35">
      <c r="A36" s="14">
        <v>1.1000000000000001</v>
      </c>
      <c r="B36" s="18"/>
      <c r="C36" s="18"/>
      <c r="D36" s="18"/>
      <c r="E36" s="18">
        <v>0.70422535211267612</v>
      </c>
    </row>
    <row r="37" spans="1:5" x14ac:dyDescent="0.35">
      <c r="A37" s="1" t="s">
        <v>32</v>
      </c>
      <c r="B37" s="18">
        <v>4.6910341480408855</v>
      </c>
      <c r="C37" s="18">
        <v>6.2909631813823914</v>
      </c>
      <c r="D37" s="18"/>
      <c r="E37" s="18">
        <v>2.4964680857818626</v>
      </c>
    </row>
    <row r="38" spans="1:5" x14ac:dyDescent="0.35">
      <c r="A38" s="14">
        <v>1.1000000000000001</v>
      </c>
      <c r="B38" s="18">
        <v>4.8611111111111116</v>
      </c>
      <c r="C38" s="18">
        <v>9.0277777777777768</v>
      </c>
      <c r="D38" s="18"/>
      <c r="E38" s="18"/>
    </row>
    <row r="39" spans="1:5" x14ac:dyDescent="0.35">
      <c r="A39" s="14">
        <v>2.1</v>
      </c>
      <c r="B39" s="18"/>
      <c r="C39" s="18">
        <v>4.6153846153846159</v>
      </c>
      <c r="D39" s="18"/>
      <c r="E39" s="18"/>
    </row>
    <row r="40" spans="1:5" x14ac:dyDescent="0.35">
      <c r="A40" s="14">
        <v>2.2000000000000002</v>
      </c>
      <c r="B40" s="18">
        <v>3.0303030303030303</v>
      </c>
      <c r="C40" s="18">
        <v>12.121212121212121</v>
      </c>
      <c r="D40" s="18"/>
      <c r="E40" s="18">
        <v>4.5454545454545459</v>
      </c>
    </row>
    <row r="41" spans="1:5" x14ac:dyDescent="0.35">
      <c r="A41" s="14">
        <v>3.1</v>
      </c>
      <c r="B41" s="18"/>
      <c r="C41" s="18">
        <v>8.4337349397590362</v>
      </c>
      <c r="D41" s="18"/>
      <c r="E41" s="18">
        <v>1.2048192771084338</v>
      </c>
    </row>
    <row r="42" spans="1:5" x14ac:dyDescent="0.35">
      <c r="A42" s="14">
        <v>3.2</v>
      </c>
      <c r="B42" s="18">
        <v>17.142857142857142</v>
      </c>
      <c r="C42" s="18">
        <v>11.428571428571429</v>
      </c>
      <c r="D42" s="18"/>
      <c r="E42" s="18"/>
    </row>
    <row r="43" spans="1:5" x14ac:dyDescent="0.35">
      <c r="A43" s="14">
        <v>4.0999999999999996</v>
      </c>
      <c r="B43" s="18">
        <v>0.8771929824561403</v>
      </c>
      <c r="C43" s="18">
        <v>1.7543859649122806</v>
      </c>
      <c r="D43" s="18"/>
      <c r="E43" s="18">
        <v>1.7391304347826086</v>
      </c>
    </row>
    <row r="44" spans="1:5" x14ac:dyDescent="0.35">
      <c r="A44" s="14">
        <v>5.0999999999999996</v>
      </c>
      <c r="B44" s="18">
        <v>1.2195121951219512</v>
      </c>
      <c r="C44" s="18">
        <v>2.4390243902439024</v>
      </c>
      <c r="D44" s="18"/>
      <c r="E44" s="18"/>
    </row>
    <row r="45" spans="1:5" x14ac:dyDescent="0.35">
      <c r="A45" s="14">
        <v>6.1</v>
      </c>
      <c r="B45" s="18">
        <v>1.015228426395939</v>
      </c>
      <c r="C45" s="18">
        <v>0.50761421319796951</v>
      </c>
      <c r="D45" s="18"/>
      <c r="E45" s="18"/>
    </row>
    <row r="46" spans="1:5" x14ac:dyDescent="0.35">
      <c r="A46" s="1" t="s">
        <v>107</v>
      </c>
      <c r="B46" s="18"/>
      <c r="C46" s="18"/>
      <c r="D46" s="18">
        <v>0.6097560975609756</v>
      </c>
      <c r="E46" s="18"/>
    </row>
    <row r="47" spans="1:5" x14ac:dyDescent="0.35">
      <c r="A47" s="14">
        <v>5.0999999999999996</v>
      </c>
      <c r="B47" s="18"/>
      <c r="C47" s="18"/>
      <c r="D47" s="18">
        <v>0.6097560975609756</v>
      </c>
      <c r="E47" s="18"/>
    </row>
    <row r="48" spans="1:5" x14ac:dyDescent="0.35">
      <c r="A48" s="1" t="s">
        <v>14</v>
      </c>
      <c r="B48" s="18">
        <v>3.9060871377944548</v>
      </c>
      <c r="C48" s="18">
        <v>4.2735042735042734</v>
      </c>
      <c r="D48" s="18">
        <v>4.1484260996456115</v>
      </c>
      <c r="E48" s="18">
        <v>8.2211942809083265</v>
      </c>
    </row>
    <row r="49" spans="1:5" x14ac:dyDescent="0.35">
      <c r="A49" s="14">
        <v>5.0999999999999996</v>
      </c>
      <c r="B49" s="18">
        <v>1.8292682926829267</v>
      </c>
      <c r="C49" s="18"/>
      <c r="D49" s="18">
        <v>4.8780487804878048</v>
      </c>
      <c r="E49" s="18">
        <v>6.0975609756097562</v>
      </c>
    </row>
    <row r="50" spans="1:5" x14ac:dyDescent="0.35">
      <c r="A50" s="14">
        <v>7.1</v>
      </c>
      <c r="B50" s="18">
        <v>5.982905982905983</v>
      </c>
      <c r="C50" s="18">
        <v>4.2735042735042734</v>
      </c>
      <c r="D50" s="18">
        <v>3.4188034188034191</v>
      </c>
      <c r="E50" s="18">
        <v>10.344827586206897</v>
      </c>
    </row>
    <row r="51" spans="1:5" x14ac:dyDescent="0.35">
      <c r="A51" s="1" t="s">
        <v>2</v>
      </c>
      <c r="B51" s="18">
        <v>1.9746228646463733</v>
      </c>
      <c r="C51" s="18">
        <v>4.0287210585476823</v>
      </c>
      <c r="D51" s="18">
        <v>1.5083053802565995</v>
      </c>
      <c r="E51" s="18">
        <v>2.176453305854456</v>
      </c>
    </row>
    <row r="52" spans="1:5" x14ac:dyDescent="0.35">
      <c r="A52" s="14">
        <v>1.1000000000000001</v>
      </c>
      <c r="B52" s="18"/>
      <c r="C52" s="18"/>
      <c r="D52" s="18"/>
      <c r="E52" s="18">
        <v>0.70422535211267612</v>
      </c>
    </row>
    <row r="53" spans="1:5" x14ac:dyDescent="0.35">
      <c r="A53" s="14">
        <v>2.1</v>
      </c>
      <c r="B53" s="18">
        <v>1.5384615384615385</v>
      </c>
      <c r="C53" s="18">
        <v>3.0769230769230771</v>
      </c>
      <c r="D53" s="18">
        <v>1.5384615384615385</v>
      </c>
      <c r="E53" s="18">
        <v>0.76923076923076927</v>
      </c>
    </row>
    <row r="54" spans="1:5" x14ac:dyDescent="0.35">
      <c r="A54" s="14">
        <v>2.2000000000000002</v>
      </c>
      <c r="B54" s="18">
        <v>4.5454545454545459</v>
      </c>
      <c r="C54" s="18">
        <v>4.5454545454545459</v>
      </c>
      <c r="D54" s="18">
        <v>3.0303030303030303</v>
      </c>
      <c r="E54" s="18">
        <v>4.5454545454545459</v>
      </c>
    </row>
    <row r="55" spans="1:5" x14ac:dyDescent="0.35">
      <c r="A55" s="14">
        <v>3.1</v>
      </c>
      <c r="B55" s="18">
        <v>1.2048192771084338</v>
      </c>
      <c r="C55" s="18">
        <v>3.6144578313253009</v>
      </c>
      <c r="D55" s="18"/>
      <c r="E55" s="18">
        <v>1.2048192771084338</v>
      </c>
    </row>
    <row r="56" spans="1:5" x14ac:dyDescent="0.35">
      <c r="A56" s="14">
        <v>5.0999999999999996</v>
      </c>
      <c r="B56" s="18">
        <v>0.6097560975609756</v>
      </c>
      <c r="C56" s="18">
        <v>4.8780487804878048</v>
      </c>
      <c r="D56" s="18">
        <v>0.6097560975609756</v>
      </c>
      <c r="E56" s="18">
        <v>3.6585365853658534</v>
      </c>
    </row>
    <row r="57" spans="1:5" x14ac:dyDescent="0.35">
      <c r="A57" s="14">
        <v>7.1</v>
      </c>
      <c r="B57" s="18"/>
      <c r="C57" s="18"/>
      <c r="D57" s="18">
        <v>0.85470085470085477</v>
      </c>
      <c r="E57" s="18"/>
    </row>
    <row r="58" spans="1:5" x14ac:dyDescent="0.35">
      <c r="A58" s="1" t="s">
        <v>139</v>
      </c>
      <c r="B58" s="18"/>
      <c r="C58" s="18"/>
      <c r="D58" s="18"/>
      <c r="E58" s="18">
        <v>0.50761421319796951</v>
      </c>
    </row>
    <row r="59" spans="1:5" x14ac:dyDescent="0.35">
      <c r="A59" s="14">
        <v>6.1</v>
      </c>
      <c r="B59" s="18"/>
      <c r="C59" s="18"/>
      <c r="D59" s="18"/>
      <c r="E59" s="18">
        <v>0.50761421319796951</v>
      </c>
    </row>
  </sheetData>
  <conditionalFormatting pivot="1" sqref="B38">
    <cfRule type="colorScale" priority="6">
      <colorScale>
        <cfvo type="min"/>
        <cfvo type="percentile" val="50"/>
        <cfvo type="max"/>
        <color rgb="FFF8696B"/>
        <color rgb="FFFFEB84"/>
        <color rgb="FF63BE7B"/>
      </colorScale>
    </cfRule>
  </conditionalFormatting>
  <conditionalFormatting pivot="1" sqref="B13:E21">
    <cfRule type="colorScale" priority="5">
      <colorScale>
        <cfvo type="min"/>
        <cfvo type="max"/>
        <color rgb="FFFCFCFF"/>
        <color rgb="FF63BE7B"/>
      </colorScale>
    </cfRule>
  </conditionalFormatting>
  <conditionalFormatting pivot="1" sqref="B23:E30">
    <cfRule type="colorScale" priority="4">
      <colorScale>
        <cfvo type="min"/>
        <cfvo type="max"/>
        <color rgb="FFFCFCFF"/>
        <color rgb="FF63BE7B"/>
      </colorScale>
    </cfRule>
  </conditionalFormatting>
  <conditionalFormatting pivot="1" sqref="B38:E45">
    <cfRule type="colorScale" priority="3">
      <colorScale>
        <cfvo type="min"/>
        <cfvo type="max"/>
        <color rgb="FFFCFCFF"/>
        <color rgb="FF63BE7B"/>
      </colorScale>
    </cfRule>
  </conditionalFormatting>
  <conditionalFormatting pivot="1" sqref="B49:E50">
    <cfRule type="colorScale" priority="2">
      <colorScale>
        <cfvo type="min"/>
        <cfvo type="max"/>
        <color rgb="FFFCFCFF"/>
        <color rgb="FF63BE7B"/>
      </colorScale>
    </cfRule>
  </conditionalFormatting>
  <conditionalFormatting pivot="1" sqref="B52:E57">
    <cfRule type="colorScale" priority="1">
      <colorScale>
        <cfvo type="min"/>
        <cfvo type="max"/>
        <color rgb="FFFCFCFF"/>
        <color rgb="FF63BE7B"/>
      </colorScale>
    </cfRule>
  </conditionalFormatting>
  <pageMargins left="0.7" right="0.7" top="0.75" bottom="0.75" header="0.3" footer="0.3"/>
  <pageSetup orientation="portrait" r:id="rId2"/>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A1:N43"/>
  <sheetViews>
    <sheetView zoomScale="31" zoomScaleNormal="70" workbookViewId="0">
      <selection activeCell="A6" sqref="A6"/>
    </sheetView>
  </sheetViews>
  <sheetFormatPr defaultRowHeight="14.5" x14ac:dyDescent="0.35"/>
  <cols>
    <col min="1" max="1" width="17.90625" bestFit="1" customWidth="1"/>
    <col min="13" max="14" width="11.36328125" bestFit="1" customWidth="1"/>
  </cols>
  <sheetData>
    <row r="1" spans="1:2" ht="18.5" x14ac:dyDescent="0.45">
      <c r="A1" s="32" t="s">
        <v>7</v>
      </c>
    </row>
    <row r="2" spans="1:2" ht="18.5" x14ac:dyDescent="0.45">
      <c r="A2" s="36" t="s">
        <v>161</v>
      </c>
      <c r="B2" s="27"/>
    </row>
    <row r="3" spans="1:2" x14ac:dyDescent="0.35">
      <c r="A3" s="33"/>
    </row>
    <row r="4" spans="1:2" x14ac:dyDescent="0.35">
      <c r="A4" s="33"/>
    </row>
    <row r="5" spans="1:2" x14ac:dyDescent="0.35">
      <c r="A5" s="34"/>
    </row>
    <row r="30" spans="1:14" x14ac:dyDescent="0.35">
      <c r="A30" t="s">
        <v>284</v>
      </c>
      <c r="B30">
        <v>1999</v>
      </c>
      <c r="C30">
        <v>2001</v>
      </c>
      <c r="D30">
        <v>2002</v>
      </c>
      <c r="E30">
        <v>2003</v>
      </c>
      <c r="F30">
        <v>2004</v>
      </c>
      <c r="G30">
        <v>2005</v>
      </c>
      <c r="H30">
        <v>2006</v>
      </c>
      <c r="I30">
        <v>2007</v>
      </c>
      <c r="J30">
        <v>2010</v>
      </c>
      <c r="K30">
        <v>2012</v>
      </c>
      <c r="L30">
        <v>2013</v>
      </c>
      <c r="M30">
        <v>2016</v>
      </c>
      <c r="N30">
        <v>2017</v>
      </c>
    </row>
    <row r="31" spans="1:14" x14ac:dyDescent="0.35">
      <c r="A31" t="s">
        <v>274</v>
      </c>
      <c r="B31" s="22" t="e">
        <v>#N/A</v>
      </c>
      <c r="C31" s="22" t="e">
        <v>#N/A</v>
      </c>
      <c r="D31" s="22" t="e">
        <v>#N/A</v>
      </c>
      <c r="E31" s="22" t="e">
        <v>#N/A</v>
      </c>
      <c r="F31" s="22" t="e">
        <v>#N/A</v>
      </c>
      <c r="G31" s="22" t="e">
        <v>#N/A</v>
      </c>
      <c r="H31" s="22" t="e">
        <v>#N/A</v>
      </c>
      <c r="I31" s="22" t="e">
        <v>#N/A</v>
      </c>
      <c r="J31" s="22" t="e">
        <v>#N/A</v>
      </c>
      <c r="K31" s="22" t="e">
        <v>#N/A</v>
      </c>
      <c r="L31" s="22">
        <v>1.7591349739000748</v>
      </c>
      <c r="M31" s="17">
        <v>2.2645041014168532</v>
      </c>
      <c r="N31" s="17">
        <v>4.1578672632363904</v>
      </c>
    </row>
    <row r="32" spans="1:14" x14ac:dyDescent="0.35">
      <c r="A32" t="s">
        <v>275</v>
      </c>
      <c r="B32" s="22" t="s">
        <v>285</v>
      </c>
      <c r="C32" s="22" t="s">
        <v>285</v>
      </c>
      <c r="D32" s="22" t="s">
        <v>285</v>
      </c>
      <c r="E32" s="22" t="s">
        <v>285</v>
      </c>
      <c r="F32" s="22" t="s">
        <v>285</v>
      </c>
      <c r="G32" s="22" t="s">
        <v>285</v>
      </c>
      <c r="H32" s="22" t="s">
        <v>285</v>
      </c>
      <c r="I32" s="22" t="s">
        <v>285</v>
      </c>
      <c r="J32" s="22" t="s">
        <v>285</v>
      </c>
      <c r="K32" s="22" t="s">
        <v>285</v>
      </c>
      <c r="L32" s="22">
        <v>2.1194734718851498</v>
      </c>
      <c r="M32" s="17">
        <v>2.6404398239177205</v>
      </c>
      <c r="N32" s="17">
        <v>3.8760726545137332</v>
      </c>
    </row>
    <row r="33" spans="1:14" x14ac:dyDescent="0.35">
      <c r="A33" t="s">
        <v>276</v>
      </c>
      <c r="B33" s="22" t="s">
        <v>285</v>
      </c>
      <c r="C33" s="22" t="s">
        <v>285</v>
      </c>
      <c r="D33" s="22" t="s">
        <v>285</v>
      </c>
      <c r="E33" s="22" t="s">
        <v>285</v>
      </c>
      <c r="F33" s="22" t="s">
        <v>285</v>
      </c>
      <c r="G33" s="22" t="s">
        <v>285</v>
      </c>
      <c r="H33" s="22" t="s">
        <v>285</v>
      </c>
      <c r="I33" s="22" t="s">
        <v>285</v>
      </c>
      <c r="J33" s="22" t="s">
        <v>285</v>
      </c>
      <c r="K33" s="22" t="s">
        <v>285</v>
      </c>
      <c r="L33" s="22">
        <v>1.4532608388897295</v>
      </c>
      <c r="M33" s="17">
        <v>1.8104721971969313</v>
      </c>
      <c r="N33" s="17">
        <v>2.6577094133129151</v>
      </c>
    </row>
    <row r="34" spans="1:14" x14ac:dyDescent="0.35">
      <c r="A34" t="s">
        <v>277</v>
      </c>
      <c r="B34" s="22" t="e">
        <v>#N/A</v>
      </c>
      <c r="C34" s="22" t="e">
        <v>#N/A</v>
      </c>
      <c r="D34" s="22" t="e">
        <v>#N/A</v>
      </c>
      <c r="E34" s="22" t="e">
        <v>#N/A</v>
      </c>
      <c r="F34" s="22" t="e">
        <v>#N/A</v>
      </c>
      <c r="G34" s="22" t="e">
        <v>#N/A</v>
      </c>
      <c r="H34" s="22" t="e">
        <v>#N/A</v>
      </c>
      <c r="I34" s="22" t="e">
        <v>#N/A</v>
      </c>
      <c r="J34" s="22" t="e">
        <v>#N/A</v>
      </c>
      <c r="K34" s="22" t="e">
        <v>#N/A</v>
      </c>
      <c r="L34" s="22">
        <v>3.2123958127898042</v>
      </c>
      <c r="M34" s="17">
        <v>4.0749762986137847</v>
      </c>
      <c r="N34" s="17">
        <v>6.8155766765493055</v>
      </c>
    </row>
    <row r="35" spans="1:14" x14ac:dyDescent="0.35">
      <c r="B35" s="21"/>
      <c r="C35" s="21"/>
      <c r="D35" s="21"/>
      <c r="E35" s="21"/>
      <c r="F35" s="21"/>
      <c r="G35" s="21"/>
      <c r="H35" s="21"/>
      <c r="I35" s="21"/>
      <c r="J35" s="21"/>
      <c r="K35" s="21"/>
      <c r="L35" s="21"/>
      <c r="M35" s="17"/>
      <c r="N35" s="17"/>
    </row>
    <row r="36" spans="1:14" x14ac:dyDescent="0.35">
      <c r="A36" t="s">
        <v>270</v>
      </c>
      <c r="B36" s="22">
        <v>15.93</v>
      </c>
      <c r="C36" s="22">
        <v>15.93</v>
      </c>
      <c r="D36" s="22">
        <v>15.93</v>
      </c>
      <c r="E36" s="22">
        <v>15.93</v>
      </c>
      <c r="F36" s="22">
        <v>15.93</v>
      </c>
      <c r="G36" s="22">
        <v>15.93</v>
      </c>
      <c r="H36" s="22">
        <v>15.93</v>
      </c>
      <c r="I36" s="22">
        <v>15.93</v>
      </c>
      <c r="J36" s="22">
        <v>15.93</v>
      </c>
      <c r="K36" s="22">
        <v>15.93</v>
      </c>
      <c r="L36" s="22">
        <v>15.93</v>
      </c>
      <c r="M36" s="17">
        <v>15.93</v>
      </c>
      <c r="N36" s="17">
        <v>15.93</v>
      </c>
    </row>
    <row r="37" spans="1:14" x14ac:dyDescent="0.35">
      <c r="A37" t="s">
        <v>283</v>
      </c>
      <c r="B37" s="22" t="s">
        <v>285</v>
      </c>
      <c r="C37" s="22" t="s">
        <v>285</v>
      </c>
      <c r="D37" s="22" t="s">
        <v>285</v>
      </c>
      <c r="E37" s="22" t="s">
        <v>285</v>
      </c>
      <c r="F37" s="22" t="s">
        <v>285</v>
      </c>
      <c r="G37" s="22" t="s">
        <v>285</v>
      </c>
      <c r="H37" s="22" t="s">
        <v>285</v>
      </c>
      <c r="I37" s="22" t="s">
        <v>285</v>
      </c>
      <c r="J37" s="22" t="s">
        <v>285</v>
      </c>
      <c r="K37" s="22" t="s">
        <v>285</v>
      </c>
      <c r="L37" s="22">
        <v>-12.717604187210195</v>
      </c>
      <c r="M37" s="17">
        <v>-11.855023701386216</v>
      </c>
      <c r="N37" s="17">
        <v>-9.1144233234506942</v>
      </c>
    </row>
    <row r="38" spans="1:14" x14ac:dyDescent="0.35">
      <c r="A38" t="s">
        <v>279</v>
      </c>
      <c r="B38" s="21" t="s">
        <v>285</v>
      </c>
      <c r="C38" s="21" t="s">
        <v>285</v>
      </c>
      <c r="D38" s="21" t="s">
        <v>285</v>
      </c>
      <c r="E38" s="21" t="s">
        <v>285</v>
      </c>
      <c r="F38" s="21" t="s">
        <v>285</v>
      </c>
      <c r="G38" s="21" t="s">
        <v>285</v>
      </c>
      <c r="H38" s="21" t="s">
        <v>285</v>
      </c>
      <c r="I38" s="21" t="s">
        <v>285</v>
      </c>
      <c r="J38" s="21" t="s">
        <v>285</v>
      </c>
      <c r="K38" s="21" t="s">
        <v>285</v>
      </c>
      <c r="L38" s="21" t="b">
        <v>0</v>
      </c>
      <c r="M38" s="21" t="b">
        <v>0</v>
      </c>
      <c r="N38" s="21" t="b">
        <v>0</v>
      </c>
    </row>
    <row r="39" spans="1:14" x14ac:dyDescent="0.35">
      <c r="A39" s="23"/>
      <c r="B39" s="24"/>
      <c r="C39" s="24"/>
      <c r="D39" s="24"/>
      <c r="E39" s="24"/>
      <c r="F39" s="24"/>
      <c r="G39" s="24"/>
      <c r="H39" s="24"/>
      <c r="I39" s="24"/>
      <c r="J39" s="24"/>
      <c r="K39" s="24"/>
      <c r="L39" s="24"/>
      <c r="M39" s="23"/>
      <c r="N39" s="23"/>
    </row>
    <row r="40" spans="1:14" x14ac:dyDescent="0.35">
      <c r="B40" s="21"/>
      <c r="C40" s="21"/>
      <c r="D40" s="21"/>
      <c r="E40" s="21"/>
      <c r="F40" s="21"/>
      <c r="G40" s="21"/>
      <c r="H40" s="21"/>
      <c r="I40" s="21"/>
      <c r="J40" s="21"/>
      <c r="K40" s="21"/>
      <c r="L40" s="21"/>
    </row>
    <row r="41" spans="1:14" x14ac:dyDescent="0.35">
      <c r="A41" t="s">
        <v>280</v>
      </c>
      <c r="B41" s="21" t="s">
        <v>285</v>
      </c>
      <c r="C41" s="21" t="s">
        <v>285</v>
      </c>
      <c r="D41" s="21" t="s">
        <v>285</v>
      </c>
      <c r="E41" s="21" t="s">
        <v>285</v>
      </c>
      <c r="F41" s="21" t="s">
        <v>285</v>
      </c>
      <c r="G41" s="21" t="s">
        <v>285</v>
      </c>
      <c r="H41" s="21" t="s">
        <v>285</v>
      </c>
      <c r="I41" s="21" t="s">
        <v>285</v>
      </c>
      <c r="J41" s="21" t="s">
        <v>285</v>
      </c>
      <c r="K41" s="21" t="s">
        <v>285</v>
      </c>
      <c r="L41" s="21">
        <v>1</v>
      </c>
      <c r="M41">
        <v>1</v>
      </c>
      <c r="N41">
        <v>1</v>
      </c>
    </row>
    <row r="42" spans="1:14" x14ac:dyDescent="0.35">
      <c r="A42" t="s">
        <v>281</v>
      </c>
      <c r="B42" s="21">
        <v>7.5</v>
      </c>
      <c r="C42" s="21">
        <v>7.5</v>
      </c>
      <c r="D42" s="21">
        <v>7.5</v>
      </c>
      <c r="E42" s="21">
        <v>7.5</v>
      </c>
      <c r="F42" s="21">
        <v>7.5</v>
      </c>
      <c r="G42" s="21">
        <v>7.5</v>
      </c>
      <c r="H42" s="21">
        <v>7.5</v>
      </c>
      <c r="I42" s="21">
        <v>7.5</v>
      </c>
      <c r="J42" s="21">
        <v>7.5</v>
      </c>
      <c r="K42" s="21">
        <v>7.5</v>
      </c>
      <c r="L42" s="21">
        <v>7.5</v>
      </c>
      <c r="M42">
        <v>7.5</v>
      </c>
      <c r="N42">
        <v>7.5</v>
      </c>
    </row>
    <row r="43" spans="1:14" x14ac:dyDescent="0.35">
      <c r="A43" t="s">
        <v>282</v>
      </c>
      <c r="B43" s="21" t="s">
        <v>285</v>
      </c>
      <c r="C43" s="21" t="s">
        <v>285</v>
      </c>
      <c r="D43" s="21" t="s">
        <v>285</v>
      </c>
      <c r="E43" s="21" t="s">
        <v>285</v>
      </c>
      <c r="F43" s="21" t="s">
        <v>285</v>
      </c>
      <c r="G43" s="21" t="s">
        <v>285</v>
      </c>
      <c r="H43" s="21" t="s">
        <v>285</v>
      </c>
      <c r="I43" s="21" t="s">
        <v>285</v>
      </c>
      <c r="J43" s="21" t="s">
        <v>285</v>
      </c>
      <c r="K43" s="21" t="s">
        <v>285</v>
      </c>
      <c r="L43" s="21" t="b">
        <v>0</v>
      </c>
      <c r="M43" s="21" t="b">
        <v>0</v>
      </c>
      <c r="N43" s="21" t="b">
        <v>0</v>
      </c>
    </row>
  </sheetData>
  <conditionalFormatting sqref="B38:K38">
    <cfRule type="cellIs" dxfId="91" priority="7" operator="equal">
      <formula>TRUE</formula>
    </cfRule>
    <cfRule type="cellIs" dxfId="90" priority="8" operator="equal">
      <formula>FALSE</formula>
    </cfRule>
  </conditionalFormatting>
  <conditionalFormatting sqref="B43:K43">
    <cfRule type="cellIs" dxfId="89" priority="5" operator="equal">
      <formula>TRUE</formula>
    </cfRule>
    <cfRule type="cellIs" dxfId="88" priority="6" operator="equal">
      <formula>FALSE</formula>
    </cfRule>
  </conditionalFormatting>
  <conditionalFormatting sqref="L38:N38">
    <cfRule type="cellIs" dxfId="87" priority="3" operator="equal">
      <formula>TRUE</formula>
    </cfRule>
    <cfRule type="cellIs" dxfId="86" priority="4" operator="equal">
      <formula>FALSE</formula>
    </cfRule>
  </conditionalFormatting>
  <conditionalFormatting sqref="L43:N43">
    <cfRule type="cellIs" dxfId="85" priority="1" operator="equal">
      <formula>TRUE</formula>
    </cfRule>
    <cfRule type="cellIs" dxfId="84" priority="2" operator="equal">
      <formula>FALSE</formula>
    </cfRule>
  </conditionalFormatting>
  <pageMargins left="0.7" right="0.7" top="0.75" bottom="0.75" header="0.3" footer="0.3"/>
  <pageSetup orientation="portrait" r:id="rId1"/>
  <drawing r:id="rId2"/>
  <legacyDrawing r:id="rId3"/>
  <controls>
    <mc:AlternateContent xmlns:mc="http://schemas.openxmlformats.org/markup-compatibility/2006">
      <mc:Choice Requires="x14">
        <control shapeId="2049" r:id="rId4" name="CommandButton1">
          <controlPr defaultSize="0" autoLine="0" r:id="rId5">
            <anchor moveWithCells="1">
              <from>
                <xdr:col>0</xdr:col>
                <xdr:colOff>69850</xdr:colOff>
                <xdr:row>2</xdr:row>
                <xdr:rowOff>63500</xdr:rowOff>
              </from>
              <to>
                <xdr:col>0</xdr:col>
                <xdr:colOff>1066800</xdr:colOff>
                <xdr:row>4</xdr:row>
                <xdr:rowOff>69850</xdr:rowOff>
              </to>
            </anchor>
          </controlPr>
        </control>
      </mc:Choice>
      <mc:Fallback>
        <control shapeId="2049" r:id="rId4" name="CommandButton1"/>
      </mc:Fallback>
    </mc:AlternateContent>
  </controls>
  <extLst>
    <ext xmlns:x14="http://schemas.microsoft.com/office/spreadsheetml/2009/9/main" uri="{CCE6A557-97BC-4b89-ADB6-D9C93CAAB3DF}">
      <x14:dataValidations xmlns:xm="http://schemas.microsoft.com/office/excel/2006/main" count="1">
        <x14:dataValidation type="list" allowBlank="1" showInputMessage="1" showErrorMessage="1" xr:uid="{00000000-0002-0000-0000-000000000000}">
          <x14:formula1>
            <xm:f>'Site Info'!$A$2:$A$11</xm:f>
          </x14:formula1>
          <xm:sqref>A2</xm:sqref>
        </x14:dataValidation>
      </x14:dataValidations>
    </ext>
  </extLs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2"/>
  <dimension ref="A2:O153"/>
  <sheetViews>
    <sheetView workbookViewId="0">
      <pane xSplit="2" ySplit="3" topLeftCell="C4" activePane="bottomRight" state="frozen"/>
      <selection pane="topRight" activeCell="C1" sqref="C1"/>
      <selection pane="bottomLeft" activeCell="A4" sqref="A4"/>
      <selection pane="bottomRight" activeCell="P60" sqref="P60"/>
    </sheetView>
  </sheetViews>
  <sheetFormatPr defaultRowHeight="15.5" x14ac:dyDescent="0.35"/>
  <cols>
    <col min="1" max="1" width="10.36328125" style="26" bestFit="1" customWidth="1"/>
    <col min="2" max="2" width="17.90625" bestFit="1" customWidth="1"/>
    <col min="3" max="15" width="9.08984375" style="21"/>
  </cols>
  <sheetData>
    <row r="2" spans="1:15" s="27" customFormat="1" ht="18.5" x14ac:dyDescent="0.45">
      <c r="A2" s="27" t="s">
        <v>7</v>
      </c>
      <c r="B2" s="27" t="s">
        <v>284</v>
      </c>
      <c r="C2" s="28">
        <v>1999</v>
      </c>
      <c r="D2" s="28">
        <v>2001</v>
      </c>
      <c r="E2" s="28">
        <v>2002</v>
      </c>
      <c r="F2" s="28">
        <v>2003</v>
      </c>
      <c r="G2" s="28">
        <v>2004</v>
      </c>
      <c r="H2" s="28">
        <v>2005</v>
      </c>
      <c r="I2" s="28">
        <v>2006</v>
      </c>
      <c r="J2" s="28">
        <v>2007</v>
      </c>
      <c r="K2" s="28">
        <v>2010</v>
      </c>
      <c r="L2" s="28">
        <v>2012</v>
      </c>
      <c r="M2" s="28">
        <v>2013</v>
      </c>
      <c r="N2" s="28">
        <v>2016</v>
      </c>
      <c r="O2" s="28">
        <v>2017</v>
      </c>
    </row>
    <row r="3" spans="1:15" x14ac:dyDescent="0.35">
      <c r="A3" s="29"/>
      <c r="B3" s="20"/>
      <c r="C3" s="25"/>
      <c r="D3" s="25"/>
      <c r="E3" s="25"/>
      <c r="F3" s="25"/>
      <c r="G3" s="25"/>
      <c r="H3" s="25"/>
      <c r="I3" s="25"/>
      <c r="J3" s="25"/>
      <c r="K3" s="25"/>
      <c r="L3" s="25"/>
      <c r="M3" s="25"/>
      <c r="N3" s="25"/>
      <c r="O3" s="25"/>
    </row>
    <row r="5" spans="1:15" x14ac:dyDescent="0.35">
      <c r="A5" s="26" t="s">
        <v>9</v>
      </c>
      <c r="B5" t="s">
        <v>274</v>
      </c>
      <c r="C5" s="22">
        <f>'BGP160'!C57</f>
        <v>2.4150943396226414</v>
      </c>
      <c r="D5" s="22" t="str">
        <f>'BGP160'!D57</f>
        <v/>
      </c>
      <c r="E5" s="22" t="str">
        <f>'BGP160'!E57</f>
        <v/>
      </c>
      <c r="F5" s="22" t="str">
        <f>'BGP160'!F57</f>
        <v/>
      </c>
      <c r="G5" s="22" t="str">
        <f>'BGP160'!G57</f>
        <v/>
      </c>
      <c r="H5" s="22" t="str">
        <f>'BGP160'!H57</f>
        <v/>
      </c>
      <c r="I5" s="22">
        <f>'BGP160'!I57</f>
        <v>3.2547169811320753</v>
      </c>
      <c r="J5" s="22" t="str">
        <f>'BGP160'!J57</f>
        <v/>
      </c>
      <c r="K5" s="22" t="str">
        <f>'BGP160'!K57</f>
        <v/>
      </c>
      <c r="L5" s="22">
        <f>'BGP160'!L57</f>
        <v>3.1261278342126912</v>
      </c>
      <c r="M5" s="22" t="str">
        <f>'BGP160'!M57</f>
        <v/>
      </c>
      <c r="N5" s="22">
        <f>'BGP160'!N57</f>
        <v>2.0283018867924527</v>
      </c>
      <c r="O5" s="22">
        <f>'BGP160'!O57</f>
        <v>4.6415094339622645</v>
      </c>
    </row>
    <row r="6" spans="1:15" x14ac:dyDescent="0.35">
      <c r="B6" t="s">
        <v>275</v>
      </c>
      <c r="C6" s="22">
        <f>'BGP160'!C58</f>
        <v>3.7541462322659429</v>
      </c>
      <c r="D6" s="22" t="str">
        <f>'BGP160'!D58</f>
        <v/>
      </c>
      <c r="E6" s="22" t="str">
        <f>'BGP160'!E58</f>
        <v/>
      </c>
      <c r="F6" s="22" t="str">
        <f>'BGP160'!F58</f>
        <v/>
      </c>
      <c r="G6" s="22" t="str">
        <f>'BGP160'!G58</f>
        <v/>
      </c>
      <c r="H6" s="22" t="str">
        <f>'BGP160'!H58</f>
        <v/>
      </c>
      <c r="I6" s="22">
        <f>'BGP160'!I58</f>
        <v>4.7824022784553923</v>
      </c>
      <c r="J6" s="22" t="str">
        <f>'BGP160'!J58</f>
        <v/>
      </c>
      <c r="K6" s="22" t="str">
        <f>'BGP160'!K58</f>
        <v/>
      </c>
      <c r="L6" s="22">
        <f>'BGP160'!L58</f>
        <v>4.0135475811251808</v>
      </c>
      <c r="M6" s="22" t="str">
        <f>'BGP160'!M58</f>
        <v/>
      </c>
      <c r="N6" s="22">
        <f>'BGP160'!N58</f>
        <v>1.9841077590240528</v>
      </c>
      <c r="O6" s="22">
        <f>'BGP160'!O58</f>
        <v>4.1986460254497135</v>
      </c>
    </row>
    <row r="7" spans="1:15" x14ac:dyDescent="0.35">
      <c r="B7" t="s">
        <v>276</v>
      </c>
      <c r="C7" s="22">
        <f>'BGP160'!C59</f>
        <v>0.66936500698851487</v>
      </c>
      <c r="D7" s="22" t="str">
        <f>'BGP160'!D59</f>
        <v/>
      </c>
      <c r="E7" s="22" t="str">
        <f>'BGP160'!E59</f>
        <v/>
      </c>
      <c r="F7" s="22" t="str">
        <f>'BGP160'!F59</f>
        <v/>
      </c>
      <c r="G7" s="22" t="str">
        <f>'BGP160'!G59</f>
        <v/>
      </c>
      <c r="H7" s="22" t="str">
        <f>'BGP160'!H59</f>
        <v/>
      </c>
      <c r="I7" s="22">
        <f>'BGP160'!I59</f>
        <v>0.85270326100430194</v>
      </c>
      <c r="J7" s="22" t="str">
        <f>'BGP160'!J59</f>
        <v/>
      </c>
      <c r="K7" s="22" t="str">
        <f>'BGP160'!K59</f>
        <v/>
      </c>
      <c r="L7" s="22">
        <f>'BGP160'!L59</f>
        <v>0.71561631819201876</v>
      </c>
      <c r="M7" s="22" t="str">
        <f>'BGP160'!M59</f>
        <v/>
      </c>
      <c r="N7" s="22">
        <f>'BGP160'!N59</f>
        <v>0.35376680124244553</v>
      </c>
      <c r="O7" s="22">
        <f>'BGP160'!O59</f>
        <v>0.74861940699393548</v>
      </c>
    </row>
    <row r="8" spans="1:15" x14ac:dyDescent="0.35">
      <c r="B8" t="s">
        <v>277</v>
      </c>
      <c r="C8" s="22">
        <f>'BGP160'!C60</f>
        <v>3.0844593466111565</v>
      </c>
      <c r="D8" s="22" t="str">
        <f>'BGP160'!D60</f>
        <v/>
      </c>
      <c r="E8" s="22" t="str">
        <f>'BGP160'!E60</f>
        <v/>
      </c>
      <c r="F8" s="22" t="str">
        <f>'BGP160'!F60</f>
        <v/>
      </c>
      <c r="G8" s="22" t="str">
        <f>'BGP160'!G60</f>
        <v/>
      </c>
      <c r="H8" s="22" t="str">
        <f>'BGP160'!H60</f>
        <v/>
      </c>
      <c r="I8" s="22">
        <f>'BGP160'!I60</f>
        <v>4.107420242136377</v>
      </c>
      <c r="J8" s="22" t="str">
        <f>'BGP160'!J60</f>
        <v/>
      </c>
      <c r="K8" s="22" t="str">
        <f>'BGP160'!K60</f>
        <v/>
      </c>
      <c r="L8" s="22">
        <f>'BGP160'!L60</f>
        <v>3.84174415240471</v>
      </c>
      <c r="M8" s="22" t="str">
        <f>'BGP160'!M60</f>
        <v/>
      </c>
      <c r="N8" s="22">
        <f>'BGP160'!N60</f>
        <v>2.3820686880348982</v>
      </c>
      <c r="O8" s="22">
        <f>'BGP160'!O60</f>
        <v>5.3901288409561996</v>
      </c>
    </row>
    <row r="10" spans="1:15" x14ac:dyDescent="0.35">
      <c r="B10" t="s">
        <v>270</v>
      </c>
      <c r="C10" s="22">
        <f>'BGP160'!C62</f>
        <v>15.93</v>
      </c>
      <c r="D10" s="22">
        <f>'BGP160'!D62</f>
        <v>15.93</v>
      </c>
      <c r="E10" s="22">
        <f>'BGP160'!E62</f>
        <v>15.93</v>
      </c>
      <c r="F10" s="22">
        <f>'BGP160'!F62</f>
        <v>15.93</v>
      </c>
      <c r="G10" s="22">
        <f>'BGP160'!G62</f>
        <v>15.93</v>
      </c>
      <c r="H10" s="22">
        <f>'BGP160'!H62</f>
        <v>15.93</v>
      </c>
      <c r="I10" s="22">
        <f>'BGP160'!I62</f>
        <v>15.93</v>
      </c>
      <c r="J10" s="22">
        <f>'BGP160'!J62</f>
        <v>15.93</v>
      </c>
      <c r="K10" s="22">
        <f>'BGP160'!K62</f>
        <v>15.93</v>
      </c>
      <c r="L10" s="22">
        <f>'BGP160'!L62</f>
        <v>15.93</v>
      </c>
      <c r="M10" s="22">
        <f>'BGP160'!M62</f>
        <v>15.93</v>
      </c>
      <c r="N10" s="22">
        <f>'BGP160'!N62</f>
        <v>15.93</v>
      </c>
      <c r="O10" s="22">
        <f>'BGP160'!O62</f>
        <v>15.93</v>
      </c>
    </row>
    <row r="11" spans="1:15" x14ac:dyDescent="0.35">
      <c r="B11" t="s">
        <v>283</v>
      </c>
      <c r="C11" s="22">
        <f>'BGP160'!C63</f>
        <v>-12.845540653388843</v>
      </c>
      <c r="D11" s="22" t="str">
        <f>'BGP160'!D63</f>
        <v/>
      </c>
      <c r="E11" s="22" t="str">
        <f>'BGP160'!E63</f>
        <v/>
      </c>
      <c r="F11" s="22" t="str">
        <f>'BGP160'!F63</f>
        <v/>
      </c>
      <c r="G11" s="22" t="str">
        <f>'BGP160'!G63</f>
        <v/>
      </c>
      <c r="H11" s="22" t="str">
        <f>'BGP160'!H63</f>
        <v/>
      </c>
      <c r="I11" s="22">
        <f>'BGP160'!I63</f>
        <v>-11.822579757863622</v>
      </c>
      <c r="J11" s="22" t="str">
        <f>'BGP160'!J63</f>
        <v/>
      </c>
      <c r="K11" s="22" t="str">
        <f>'BGP160'!K63</f>
        <v/>
      </c>
      <c r="L11" s="22">
        <f>'BGP160'!L63</f>
        <v>-12.08825584759529</v>
      </c>
      <c r="M11" s="22" t="str">
        <f>'BGP160'!M63</f>
        <v/>
      </c>
      <c r="N11" s="22">
        <f>'BGP160'!N63</f>
        <v>-13.547931311965101</v>
      </c>
      <c r="O11" s="22">
        <f>'BGP160'!O63</f>
        <v>-10.5398711590438</v>
      </c>
    </row>
    <row r="12" spans="1:15" x14ac:dyDescent="0.35">
      <c r="B12" t="s">
        <v>279</v>
      </c>
      <c r="C12" s="21" t="b">
        <f>'BGP160'!C64</f>
        <v>0</v>
      </c>
      <c r="D12" s="21" t="str">
        <f>'BGP160'!D64</f>
        <v/>
      </c>
      <c r="E12" s="21" t="str">
        <f>'BGP160'!E64</f>
        <v/>
      </c>
      <c r="F12" s="21" t="str">
        <f>'BGP160'!F64</f>
        <v/>
      </c>
      <c r="G12" s="21" t="str">
        <f>'BGP160'!G64</f>
        <v/>
      </c>
      <c r="H12" s="21" t="str">
        <f>'BGP160'!H64</f>
        <v/>
      </c>
      <c r="I12" s="21" t="b">
        <f>'BGP160'!I64</f>
        <v>0</v>
      </c>
      <c r="J12" s="21" t="str">
        <f>'BGP160'!J64</f>
        <v/>
      </c>
      <c r="K12" s="21" t="str">
        <f>'BGP160'!K64</f>
        <v/>
      </c>
      <c r="L12" s="21" t="b">
        <f>'BGP160'!L64</f>
        <v>0</v>
      </c>
      <c r="M12" s="21" t="str">
        <f>'BGP160'!M64</f>
        <v/>
      </c>
      <c r="N12" s="21" t="b">
        <f>'BGP160'!N64</f>
        <v>0</v>
      </c>
      <c r="O12" s="21" t="b">
        <f>'BGP160'!O64</f>
        <v>0</v>
      </c>
    </row>
    <row r="13" spans="1:15" ht="9.9" customHeight="1" x14ac:dyDescent="0.35">
      <c r="B13" s="23"/>
      <c r="C13" s="24"/>
      <c r="D13" s="24"/>
      <c r="E13" s="24"/>
      <c r="F13" s="24"/>
      <c r="G13" s="24"/>
      <c r="H13" s="24"/>
      <c r="I13" s="24"/>
      <c r="J13" s="24"/>
      <c r="K13" s="24"/>
      <c r="L13" s="24"/>
      <c r="M13" s="24"/>
      <c r="N13" s="24"/>
      <c r="O13" s="24"/>
    </row>
    <row r="14" spans="1:15" ht="9.9" customHeight="1" x14ac:dyDescent="0.35"/>
    <row r="15" spans="1:15" x14ac:dyDescent="0.35">
      <c r="B15" t="s">
        <v>280</v>
      </c>
      <c r="C15" s="21">
        <f>'BGP160'!C67</f>
        <v>11</v>
      </c>
      <c r="D15" s="21" t="str">
        <f>'BGP160'!D67</f>
        <v/>
      </c>
      <c r="E15" s="21" t="str">
        <f>'BGP160'!E67</f>
        <v/>
      </c>
      <c r="F15" s="21" t="str">
        <f>'BGP160'!F67</f>
        <v/>
      </c>
      <c r="G15" s="21" t="str">
        <f>'BGP160'!G67</f>
        <v/>
      </c>
      <c r="H15" s="21" t="str">
        <f>'BGP160'!H67</f>
        <v/>
      </c>
      <c r="I15" s="21">
        <f>'BGP160'!I67</f>
        <v>11</v>
      </c>
      <c r="J15" s="21" t="str">
        <f>'BGP160'!J67</f>
        <v/>
      </c>
      <c r="K15" s="21" t="str">
        <f>'BGP160'!K67</f>
        <v/>
      </c>
      <c r="L15" s="21">
        <f>'BGP160'!L67</f>
        <v>9</v>
      </c>
      <c r="M15" s="21" t="str">
        <f>'BGP160'!M67</f>
        <v/>
      </c>
      <c r="N15" s="21">
        <f>'BGP160'!N67</f>
        <v>9</v>
      </c>
      <c r="O15" s="21">
        <f>'BGP160'!O67</f>
        <v>13</v>
      </c>
    </row>
    <row r="16" spans="1:15" x14ac:dyDescent="0.35">
      <c r="B16" t="s">
        <v>281</v>
      </c>
      <c r="C16" s="21">
        <f>'BGP160'!C68</f>
        <v>7.5</v>
      </c>
      <c r="D16" s="21">
        <f>'BGP160'!D68</f>
        <v>7.5</v>
      </c>
      <c r="E16" s="21">
        <f>'BGP160'!E68</f>
        <v>7.5</v>
      </c>
      <c r="F16" s="21">
        <f>'BGP160'!F68</f>
        <v>7.5</v>
      </c>
      <c r="G16" s="21">
        <f>'BGP160'!G68</f>
        <v>7.5</v>
      </c>
      <c r="H16" s="21">
        <f>'BGP160'!H68</f>
        <v>7.5</v>
      </c>
      <c r="I16" s="21">
        <f>'BGP160'!I68</f>
        <v>7.5</v>
      </c>
      <c r="J16" s="21">
        <f>'BGP160'!J68</f>
        <v>7.5</v>
      </c>
      <c r="K16" s="21">
        <f>'BGP160'!K68</f>
        <v>7.5</v>
      </c>
      <c r="L16" s="21">
        <f>'BGP160'!L68</f>
        <v>7.5</v>
      </c>
      <c r="M16" s="21">
        <f>'BGP160'!M68</f>
        <v>7.5</v>
      </c>
      <c r="N16" s="21">
        <f>'BGP160'!N68</f>
        <v>7.5</v>
      </c>
      <c r="O16" s="21">
        <f>'BGP160'!O68</f>
        <v>7.5</v>
      </c>
    </row>
    <row r="17" spans="1:15" x14ac:dyDescent="0.35">
      <c r="B17" t="s">
        <v>282</v>
      </c>
      <c r="C17" s="21" t="b">
        <f>'BGP160'!C69</f>
        <v>1</v>
      </c>
      <c r="D17" s="21" t="str">
        <f>'BGP160'!D69</f>
        <v/>
      </c>
      <c r="E17" s="21" t="str">
        <f>'BGP160'!E69</f>
        <v/>
      </c>
      <c r="F17" s="21" t="str">
        <f>'BGP160'!F69</f>
        <v/>
      </c>
      <c r="G17" s="21" t="str">
        <f>'BGP160'!G69</f>
        <v/>
      </c>
      <c r="H17" s="21" t="str">
        <f>'BGP160'!H69</f>
        <v/>
      </c>
      <c r="I17" s="21" t="b">
        <f>'BGP160'!I69</f>
        <v>1</v>
      </c>
      <c r="J17" s="21" t="str">
        <f>'BGP160'!J69</f>
        <v/>
      </c>
      <c r="K17" s="21" t="str">
        <f>'BGP160'!K69</f>
        <v/>
      </c>
      <c r="L17" s="21" t="b">
        <f>'BGP160'!L69</f>
        <v>1</v>
      </c>
      <c r="M17" s="21" t="str">
        <f>'BGP160'!M69</f>
        <v/>
      </c>
      <c r="N17" s="21" t="b">
        <f>'BGP160'!N69</f>
        <v>1</v>
      </c>
      <c r="O17" s="21" t="b">
        <f>'BGP160'!O69</f>
        <v>1</v>
      </c>
    </row>
    <row r="18" spans="1:15" ht="9.9" customHeight="1" x14ac:dyDescent="0.35">
      <c r="A18" s="29"/>
      <c r="B18" s="20"/>
      <c r="C18" s="25"/>
      <c r="D18" s="25"/>
      <c r="E18" s="25"/>
      <c r="F18" s="25"/>
      <c r="G18" s="25"/>
      <c r="H18" s="25"/>
      <c r="I18" s="25"/>
      <c r="J18" s="25"/>
      <c r="K18" s="25"/>
      <c r="L18" s="25"/>
      <c r="M18" s="25"/>
      <c r="N18" s="25"/>
      <c r="O18" s="25"/>
    </row>
    <row r="19" spans="1:15" ht="9.9" customHeight="1" x14ac:dyDescent="0.35"/>
    <row r="20" spans="1:15" x14ac:dyDescent="0.35">
      <c r="A20" s="26" t="s">
        <v>161</v>
      </c>
      <c r="B20" t="s">
        <v>274</v>
      </c>
      <c r="C20" s="22" t="str">
        <f>BGP160W!C12</f>
        <v/>
      </c>
      <c r="D20" s="22" t="str">
        <f>BGP160W!D12</f>
        <v/>
      </c>
      <c r="E20" s="22" t="str">
        <f>BGP160W!E12</f>
        <v/>
      </c>
      <c r="F20" s="22" t="str">
        <f>BGP160W!F12</f>
        <v/>
      </c>
      <c r="G20" s="22" t="str">
        <f>BGP160W!G12</f>
        <v/>
      </c>
      <c r="H20" s="22" t="str">
        <f>BGP160W!H12</f>
        <v/>
      </c>
      <c r="I20" s="22" t="str">
        <f>BGP160W!I12</f>
        <v/>
      </c>
      <c r="J20" s="22" t="str">
        <f>BGP160W!J12</f>
        <v/>
      </c>
      <c r="K20" s="22" t="str">
        <f>BGP160W!K12</f>
        <v/>
      </c>
      <c r="L20" s="22" t="str">
        <f>BGP160W!L12</f>
        <v/>
      </c>
      <c r="M20" s="22">
        <f>BGP160W!M12</f>
        <v>1.7591349739000748</v>
      </c>
      <c r="N20" s="22">
        <f>BGP160W!N12</f>
        <v>2.2645041014168532</v>
      </c>
      <c r="O20" s="22">
        <f>BGP160W!O12</f>
        <v>4.1578672632363904</v>
      </c>
    </row>
    <row r="21" spans="1:15" x14ac:dyDescent="0.35">
      <c r="B21" t="s">
        <v>275</v>
      </c>
      <c r="C21" s="22" t="str">
        <f>BGP160W!C13</f>
        <v/>
      </c>
      <c r="D21" s="22" t="str">
        <f>BGP160W!D13</f>
        <v/>
      </c>
      <c r="E21" s="22" t="str">
        <f>BGP160W!E13</f>
        <v/>
      </c>
      <c r="F21" s="22" t="str">
        <f>BGP160W!F13</f>
        <v/>
      </c>
      <c r="G21" s="22" t="str">
        <f>BGP160W!G13</f>
        <v/>
      </c>
      <c r="H21" s="22" t="str">
        <f>BGP160W!H13</f>
        <v/>
      </c>
      <c r="I21" s="22" t="str">
        <f>BGP160W!I13</f>
        <v/>
      </c>
      <c r="J21" s="22" t="str">
        <f>BGP160W!J13</f>
        <v/>
      </c>
      <c r="K21" s="22" t="str">
        <f>BGP160W!K13</f>
        <v/>
      </c>
      <c r="L21" s="22" t="str">
        <f>BGP160W!L13</f>
        <v/>
      </c>
      <c r="M21" s="22">
        <f>BGP160W!M13</f>
        <v>2.1194734718851498</v>
      </c>
      <c r="N21" s="22">
        <f>BGP160W!N13</f>
        <v>2.6404398239177205</v>
      </c>
      <c r="O21" s="22">
        <f>BGP160W!O13</f>
        <v>3.8760726545137332</v>
      </c>
    </row>
    <row r="22" spans="1:15" x14ac:dyDescent="0.35">
      <c r="B22" t="s">
        <v>276</v>
      </c>
      <c r="C22" s="22" t="str">
        <f>BGP160W!C14</f>
        <v/>
      </c>
      <c r="D22" s="22" t="str">
        <f>BGP160W!D14</f>
        <v/>
      </c>
      <c r="E22" s="22" t="str">
        <f>BGP160W!E14</f>
        <v/>
      </c>
      <c r="F22" s="22" t="str">
        <f>BGP160W!F14</f>
        <v/>
      </c>
      <c r="G22" s="22" t="str">
        <f>BGP160W!G14</f>
        <v/>
      </c>
      <c r="H22" s="22" t="str">
        <f>BGP160W!H14</f>
        <v/>
      </c>
      <c r="I22" s="22" t="str">
        <f>BGP160W!I14</f>
        <v/>
      </c>
      <c r="J22" s="22" t="str">
        <f>BGP160W!J14</f>
        <v/>
      </c>
      <c r="K22" s="22" t="str">
        <f>BGP160W!K14</f>
        <v/>
      </c>
      <c r="L22" s="22" t="str">
        <f>BGP160W!L14</f>
        <v/>
      </c>
      <c r="M22" s="22">
        <f>BGP160W!M14</f>
        <v>1.4532608388897295</v>
      </c>
      <c r="N22" s="22">
        <f>BGP160W!N14</f>
        <v>1.8104721971969313</v>
      </c>
      <c r="O22" s="22">
        <f>BGP160W!O14</f>
        <v>2.6577094133129151</v>
      </c>
    </row>
    <row r="23" spans="1:15" x14ac:dyDescent="0.35">
      <c r="B23" t="s">
        <v>277</v>
      </c>
      <c r="C23" s="22" t="str">
        <f>BGP160W!C15</f>
        <v/>
      </c>
      <c r="D23" s="22" t="str">
        <f>BGP160W!D15</f>
        <v/>
      </c>
      <c r="E23" s="22" t="str">
        <f>BGP160W!E15</f>
        <v/>
      </c>
      <c r="F23" s="22" t="str">
        <f>BGP160W!F15</f>
        <v/>
      </c>
      <c r="G23" s="22" t="str">
        <f>BGP160W!G15</f>
        <v/>
      </c>
      <c r="H23" s="22" t="str">
        <f>BGP160W!H15</f>
        <v/>
      </c>
      <c r="I23" s="22" t="str">
        <f>BGP160W!I15</f>
        <v/>
      </c>
      <c r="J23" s="22" t="str">
        <f>BGP160W!J15</f>
        <v/>
      </c>
      <c r="K23" s="22" t="str">
        <f>BGP160W!K15</f>
        <v/>
      </c>
      <c r="L23" s="22" t="str">
        <f>BGP160W!L15</f>
        <v/>
      </c>
      <c r="M23" s="22">
        <f>BGP160W!M15</f>
        <v>3.2123958127898042</v>
      </c>
      <c r="N23" s="22">
        <f>BGP160W!N15</f>
        <v>4.0749762986137847</v>
      </c>
      <c r="O23" s="22">
        <f>BGP160W!O15</f>
        <v>6.8155766765493055</v>
      </c>
    </row>
    <row r="25" spans="1:15" x14ac:dyDescent="0.35">
      <c r="B25" t="s">
        <v>270</v>
      </c>
      <c r="C25" s="22">
        <f>BGP160W!C17</f>
        <v>15.93</v>
      </c>
      <c r="D25" s="22">
        <f>BGP160W!D17</f>
        <v>15.93</v>
      </c>
      <c r="E25" s="22">
        <f>BGP160W!E17</f>
        <v>15.93</v>
      </c>
      <c r="F25" s="22">
        <f>BGP160W!F17</f>
        <v>15.93</v>
      </c>
      <c r="G25" s="22">
        <f>BGP160W!G17</f>
        <v>15.93</v>
      </c>
      <c r="H25" s="22">
        <f>BGP160W!H17</f>
        <v>15.93</v>
      </c>
      <c r="I25" s="22">
        <f>BGP160W!I17</f>
        <v>15.93</v>
      </c>
      <c r="J25" s="22">
        <f>BGP160W!J17</f>
        <v>15.93</v>
      </c>
      <c r="K25" s="22">
        <f>BGP160W!K17</f>
        <v>15.93</v>
      </c>
      <c r="L25" s="22">
        <f>BGP160W!L17</f>
        <v>15.93</v>
      </c>
      <c r="M25" s="22">
        <f>BGP160W!M17</f>
        <v>15.93</v>
      </c>
      <c r="N25" s="22">
        <f>BGP160W!N17</f>
        <v>15.93</v>
      </c>
      <c r="O25" s="22">
        <f>BGP160W!O17</f>
        <v>15.93</v>
      </c>
    </row>
    <row r="26" spans="1:15" x14ac:dyDescent="0.35">
      <c r="B26" t="s">
        <v>283</v>
      </c>
      <c r="C26" s="22" t="str">
        <f>BGP160W!C18</f>
        <v/>
      </c>
      <c r="D26" s="22" t="str">
        <f>BGP160W!D18</f>
        <v/>
      </c>
      <c r="E26" s="22" t="str">
        <f>BGP160W!E18</f>
        <v/>
      </c>
      <c r="F26" s="22" t="str">
        <f>BGP160W!F18</f>
        <v/>
      </c>
      <c r="G26" s="22" t="str">
        <f>BGP160W!G18</f>
        <v/>
      </c>
      <c r="H26" s="22" t="str">
        <f>BGP160W!H18</f>
        <v/>
      </c>
      <c r="I26" s="22" t="str">
        <f>BGP160W!I18</f>
        <v/>
      </c>
      <c r="J26" s="22" t="str">
        <f>BGP160W!J18</f>
        <v/>
      </c>
      <c r="K26" s="22" t="str">
        <f>BGP160W!K18</f>
        <v/>
      </c>
      <c r="L26" s="22" t="str">
        <f>BGP160W!L18</f>
        <v/>
      </c>
      <c r="M26" s="22">
        <f>BGP160W!M18</f>
        <v>-12.717604187210195</v>
      </c>
      <c r="N26" s="22">
        <f>BGP160W!N18</f>
        <v>-11.855023701386216</v>
      </c>
      <c r="O26" s="22">
        <f>BGP160W!O18</f>
        <v>-9.1144233234506942</v>
      </c>
    </row>
    <row r="27" spans="1:15" x14ac:dyDescent="0.35">
      <c r="B27" t="s">
        <v>279</v>
      </c>
      <c r="C27" s="21" t="str">
        <f>BGP160W!C19</f>
        <v/>
      </c>
      <c r="D27" s="21" t="str">
        <f>BGP160W!D19</f>
        <v/>
      </c>
      <c r="E27" s="21" t="str">
        <f>BGP160W!E19</f>
        <v/>
      </c>
      <c r="F27" s="21" t="str">
        <f>BGP160W!F19</f>
        <v/>
      </c>
      <c r="G27" s="21" t="str">
        <f>BGP160W!G19</f>
        <v/>
      </c>
      <c r="H27" s="21" t="str">
        <f>BGP160W!H19</f>
        <v/>
      </c>
      <c r="I27" s="21" t="str">
        <f>BGP160W!I19</f>
        <v/>
      </c>
      <c r="J27" s="21" t="str">
        <f>BGP160W!J19</f>
        <v/>
      </c>
      <c r="K27" s="21" t="str">
        <f>BGP160W!K19</f>
        <v/>
      </c>
      <c r="L27" s="21" t="str">
        <f>BGP160W!L19</f>
        <v/>
      </c>
      <c r="M27" s="21" t="b">
        <f>BGP160W!M19</f>
        <v>0</v>
      </c>
      <c r="N27" s="21" t="b">
        <f>BGP160W!N19</f>
        <v>0</v>
      </c>
      <c r="O27" s="21" t="b">
        <f>BGP160W!O19</f>
        <v>0</v>
      </c>
    </row>
    <row r="28" spans="1:15" ht="9.9" customHeight="1" x14ac:dyDescent="0.35">
      <c r="B28" s="23"/>
      <c r="C28" s="24"/>
      <c r="D28" s="24"/>
      <c r="E28" s="24"/>
      <c r="F28" s="24"/>
      <c r="G28" s="24"/>
      <c r="H28" s="24"/>
      <c r="I28" s="24"/>
      <c r="J28" s="24"/>
      <c r="K28" s="24"/>
      <c r="L28" s="24"/>
      <c r="M28" s="24"/>
      <c r="N28" s="24"/>
      <c r="O28" s="24"/>
    </row>
    <row r="29" spans="1:15" ht="9.9" customHeight="1" x14ac:dyDescent="0.35"/>
    <row r="30" spans="1:15" x14ac:dyDescent="0.35">
      <c r="B30" t="s">
        <v>280</v>
      </c>
      <c r="C30" s="21" t="str">
        <f>BGP160W!C22</f>
        <v/>
      </c>
      <c r="D30" s="21" t="str">
        <f>BGP160W!D22</f>
        <v/>
      </c>
      <c r="E30" s="21" t="str">
        <f>BGP160W!E22</f>
        <v/>
      </c>
      <c r="F30" s="21" t="str">
        <f>BGP160W!F22</f>
        <v/>
      </c>
      <c r="G30" s="21" t="str">
        <f>BGP160W!G22</f>
        <v/>
      </c>
      <c r="H30" s="21" t="str">
        <f>BGP160W!H22</f>
        <v/>
      </c>
      <c r="I30" s="21" t="str">
        <f>BGP160W!I22</f>
        <v/>
      </c>
      <c r="J30" s="21" t="str">
        <f>BGP160W!J22</f>
        <v/>
      </c>
      <c r="K30" s="21" t="str">
        <f>BGP160W!K22</f>
        <v/>
      </c>
      <c r="L30" s="21" t="str">
        <f>BGP160W!L22</f>
        <v/>
      </c>
      <c r="M30" s="21">
        <f>BGP160W!M22</f>
        <v>1</v>
      </c>
      <c r="N30" s="21">
        <f>BGP160W!N22</f>
        <v>1</v>
      </c>
      <c r="O30" s="21">
        <f>BGP160W!O22</f>
        <v>1</v>
      </c>
    </row>
    <row r="31" spans="1:15" x14ac:dyDescent="0.35">
      <c r="B31" t="s">
        <v>281</v>
      </c>
      <c r="C31" s="21">
        <f>BGP160W!C23</f>
        <v>7.5</v>
      </c>
      <c r="D31" s="21">
        <f>BGP160W!D23</f>
        <v>7.5</v>
      </c>
      <c r="E31" s="21">
        <f>BGP160W!E23</f>
        <v>7.5</v>
      </c>
      <c r="F31" s="21">
        <f>BGP160W!F23</f>
        <v>7.5</v>
      </c>
      <c r="G31" s="21">
        <f>BGP160W!G23</f>
        <v>7.5</v>
      </c>
      <c r="H31" s="21">
        <f>BGP160W!H23</f>
        <v>7.5</v>
      </c>
      <c r="I31" s="21">
        <f>BGP160W!I23</f>
        <v>7.5</v>
      </c>
      <c r="J31" s="21">
        <f>BGP160W!J23</f>
        <v>7.5</v>
      </c>
      <c r="K31" s="21">
        <f>BGP160W!K23</f>
        <v>7.5</v>
      </c>
      <c r="L31" s="21">
        <f>BGP160W!L23</f>
        <v>7.5</v>
      </c>
      <c r="M31" s="21">
        <f>BGP160W!M23</f>
        <v>7.5</v>
      </c>
      <c r="N31" s="21">
        <f>BGP160W!N23</f>
        <v>7.5</v>
      </c>
      <c r="O31" s="21">
        <f>BGP160W!O23</f>
        <v>7.5</v>
      </c>
    </row>
    <row r="32" spans="1:15" x14ac:dyDescent="0.35">
      <c r="B32" t="s">
        <v>282</v>
      </c>
      <c r="C32" s="21" t="str">
        <f>BGP160W!C24</f>
        <v/>
      </c>
      <c r="D32" s="21" t="str">
        <f>BGP160W!D24</f>
        <v/>
      </c>
      <c r="E32" s="21" t="str">
        <f>BGP160W!E24</f>
        <v/>
      </c>
      <c r="F32" s="21" t="str">
        <f>BGP160W!F24</f>
        <v/>
      </c>
      <c r="G32" s="21" t="str">
        <f>BGP160W!G24</f>
        <v/>
      </c>
      <c r="H32" s="21" t="str">
        <f>BGP160W!H24</f>
        <v/>
      </c>
      <c r="I32" s="21" t="str">
        <f>BGP160W!I24</f>
        <v/>
      </c>
      <c r="J32" s="21" t="str">
        <f>BGP160W!J24</f>
        <v/>
      </c>
      <c r="K32" s="21" t="str">
        <f>BGP160W!K24</f>
        <v/>
      </c>
      <c r="L32" s="21" t="str">
        <f>BGP160W!L24</f>
        <v/>
      </c>
      <c r="M32" s="21" t="b">
        <f>BGP160W!M24</f>
        <v>0</v>
      </c>
      <c r="N32" s="21" t="b">
        <f>BGP160W!N24</f>
        <v>0</v>
      </c>
      <c r="O32" s="21" t="b">
        <f>BGP160W!O24</f>
        <v>0</v>
      </c>
    </row>
    <row r="33" spans="1:15" ht="9.9" customHeight="1" x14ac:dyDescent="0.35">
      <c r="A33" s="29"/>
      <c r="B33" s="20"/>
      <c r="C33" s="25"/>
      <c r="D33" s="25"/>
      <c r="E33" s="25"/>
      <c r="F33" s="25"/>
      <c r="G33" s="25"/>
      <c r="H33" s="25"/>
      <c r="I33" s="25"/>
      <c r="J33" s="25"/>
      <c r="K33" s="25"/>
      <c r="L33" s="25"/>
      <c r="M33" s="25"/>
      <c r="N33" s="25"/>
      <c r="O33" s="25"/>
    </row>
    <row r="34" spans="1:15" ht="9.9" customHeight="1" x14ac:dyDescent="0.35"/>
    <row r="35" spans="1:15" x14ac:dyDescent="0.35">
      <c r="A35" s="26" t="s">
        <v>18</v>
      </c>
      <c r="B35" t="s">
        <v>274</v>
      </c>
      <c r="C35" s="22">
        <f>'BIS097'!C46</f>
        <v>3.1175795834805164</v>
      </c>
      <c r="D35" s="22" t="str">
        <f>'BIS097'!D46</f>
        <v/>
      </c>
      <c r="E35" s="22" t="str">
        <f>'BIS097'!E46</f>
        <v/>
      </c>
      <c r="F35" s="22">
        <f>'BIS097'!F46</f>
        <v>3.758492956088074</v>
      </c>
      <c r="G35" s="22" t="str">
        <f>'BIS097'!G46</f>
        <v/>
      </c>
      <c r="H35" s="22" t="str">
        <f>'BIS097'!H46</f>
        <v/>
      </c>
      <c r="I35" s="22" t="str">
        <f>'BIS097'!I46</f>
        <v/>
      </c>
      <c r="J35" s="22">
        <f>'BIS097'!J46</f>
        <v>3.2744675759751138</v>
      </c>
      <c r="K35" s="22" t="str">
        <f>'BIS097'!K46</f>
        <v/>
      </c>
      <c r="L35" s="22">
        <f>'BIS097'!L46</f>
        <v>5.0008417508417509</v>
      </c>
      <c r="M35" s="22" t="str">
        <f>'BIS097'!M46</f>
        <v/>
      </c>
      <c r="N35" s="22">
        <f>'BIS097'!N46</f>
        <v>6.0952380952380949</v>
      </c>
      <c r="O35" s="22">
        <f>'BIS097'!O46</f>
        <v>9.6006550768455519</v>
      </c>
    </row>
    <row r="36" spans="1:15" x14ac:dyDescent="0.35">
      <c r="B36" t="s">
        <v>275</v>
      </c>
      <c r="C36" s="22">
        <f>'BIS097'!C47</f>
        <v>4.1765136401881069</v>
      </c>
      <c r="D36" s="22" t="str">
        <f>'BIS097'!D47</f>
        <v/>
      </c>
      <c r="E36" s="22" t="str">
        <f>'BIS097'!E47</f>
        <v/>
      </c>
      <c r="F36" s="22">
        <f>'BIS097'!F47</f>
        <v>5.0665000736638683</v>
      </c>
      <c r="G36" s="22" t="str">
        <f>'BIS097'!G47</f>
        <v/>
      </c>
      <c r="H36" s="22" t="str">
        <f>'BIS097'!H47</f>
        <v/>
      </c>
      <c r="I36" s="22" t="str">
        <f>'BIS097'!I47</f>
        <v/>
      </c>
      <c r="J36" s="22">
        <f>'BIS097'!J47</f>
        <v>3.7178704628288508</v>
      </c>
      <c r="K36" s="22" t="str">
        <f>'BIS097'!K47</f>
        <v/>
      </c>
      <c r="L36" s="22">
        <f>'BIS097'!L47</f>
        <v>4.6601453957939807</v>
      </c>
      <c r="M36" s="22" t="str">
        <f>'BIS097'!M47</f>
        <v/>
      </c>
      <c r="N36" s="22">
        <f>'BIS097'!N47</f>
        <v>3.8654790118054554</v>
      </c>
      <c r="O36" s="22">
        <f>'BIS097'!O47</f>
        <v>5.6863525842153271</v>
      </c>
    </row>
    <row r="37" spans="1:15" x14ac:dyDescent="0.35">
      <c r="B37" t="s">
        <v>276</v>
      </c>
      <c r="C37" s="22">
        <f>'BIS097'!C48</f>
        <v>0.83942412739051786</v>
      </c>
      <c r="D37" s="22" t="str">
        <f>'BIS097'!D48</f>
        <v/>
      </c>
      <c r="E37" s="22" t="str">
        <f>'BIS097'!E48</f>
        <v/>
      </c>
      <c r="F37" s="22">
        <f>'BIS097'!F48</f>
        <v>1.0182996560422435</v>
      </c>
      <c r="G37" s="22" t="str">
        <f>'BIS097'!G48</f>
        <v/>
      </c>
      <c r="H37" s="22" t="str">
        <f>'BIS097'!H48</f>
        <v/>
      </c>
      <c r="I37" s="22" t="str">
        <f>'BIS097'!I48</f>
        <v/>
      </c>
      <c r="J37" s="22">
        <f>'BIS097'!J48</f>
        <v>0.74724290110795077</v>
      </c>
      <c r="K37" s="22" t="str">
        <f>'BIS097'!K48</f>
        <v/>
      </c>
      <c r="L37" s="22">
        <f>'BIS097'!L48</f>
        <v>0.93662772814531403</v>
      </c>
      <c r="M37" s="22" t="str">
        <f>'BIS097'!M48</f>
        <v/>
      </c>
      <c r="N37" s="22">
        <f>'BIS097'!N48</f>
        <v>0.77691027157402359</v>
      </c>
      <c r="O37" s="22">
        <f>'BIS097'!O48</f>
        <v>1.1428818309389703</v>
      </c>
    </row>
    <row r="38" spans="1:15" x14ac:dyDescent="0.35">
      <c r="B38" t="s">
        <v>277</v>
      </c>
      <c r="C38" s="22">
        <f>'BIS097'!C49</f>
        <v>3.9570037108710343</v>
      </c>
      <c r="D38" s="22" t="str">
        <f>'BIS097'!D49</f>
        <v/>
      </c>
      <c r="E38" s="22" t="str">
        <f>'BIS097'!E49</f>
        <v/>
      </c>
      <c r="F38" s="22">
        <f>'BIS097'!F49</f>
        <v>4.7767926121303175</v>
      </c>
      <c r="G38" s="22" t="str">
        <f>'BIS097'!G49</f>
        <v/>
      </c>
      <c r="H38" s="22" t="str">
        <f>'BIS097'!H49</f>
        <v/>
      </c>
      <c r="I38" s="22" t="str">
        <f>'BIS097'!I49</f>
        <v/>
      </c>
      <c r="J38" s="22">
        <f>'BIS097'!J49</f>
        <v>4.0217104770830643</v>
      </c>
      <c r="K38" s="22" t="str">
        <f>'BIS097'!K49</f>
        <v/>
      </c>
      <c r="L38" s="22">
        <f>'BIS097'!L49</f>
        <v>5.9374694789870652</v>
      </c>
      <c r="M38" s="22" t="str">
        <f>'BIS097'!M49</f>
        <v/>
      </c>
      <c r="N38" s="22">
        <f>'BIS097'!N49</f>
        <v>6.8721483668121186</v>
      </c>
      <c r="O38" s="22">
        <f>'BIS097'!O49</f>
        <v>10.743536907784522</v>
      </c>
    </row>
    <row r="40" spans="1:15" x14ac:dyDescent="0.35">
      <c r="B40" t="s">
        <v>270</v>
      </c>
      <c r="C40" s="22">
        <f>'BIS097'!C51</f>
        <v>13.5</v>
      </c>
      <c r="D40" s="22">
        <f>'BIS097'!D51</f>
        <v>13.5</v>
      </c>
      <c r="E40" s="22">
        <f>'BIS097'!E51</f>
        <v>13.5</v>
      </c>
      <c r="F40" s="22">
        <f>'BIS097'!F51</f>
        <v>13.5</v>
      </c>
      <c r="G40" s="22">
        <f>'BIS097'!G51</f>
        <v>13.5</v>
      </c>
      <c r="H40" s="22">
        <f>'BIS097'!H51</f>
        <v>13.5</v>
      </c>
      <c r="I40" s="22">
        <f>'BIS097'!I51</f>
        <v>13.5</v>
      </c>
      <c r="J40" s="22">
        <f>'BIS097'!J51</f>
        <v>13.5</v>
      </c>
      <c r="K40" s="22">
        <f>'BIS097'!K51</f>
        <v>13.5</v>
      </c>
      <c r="L40" s="22">
        <f>'BIS097'!L51</f>
        <v>13.5</v>
      </c>
      <c r="M40" s="22">
        <f>'BIS097'!M51</f>
        <v>13.5</v>
      </c>
      <c r="N40" s="22">
        <f>'BIS097'!N51</f>
        <v>13.5</v>
      </c>
      <c r="O40" s="22">
        <f>'BIS097'!O51</f>
        <v>13.5</v>
      </c>
    </row>
    <row r="41" spans="1:15" x14ac:dyDescent="0.35">
      <c r="B41" t="s">
        <v>283</v>
      </c>
      <c r="C41" s="22">
        <f>'BIS097'!C52</f>
        <v>-9.5429962891289648</v>
      </c>
      <c r="D41" s="22" t="str">
        <f>'BIS097'!D52</f>
        <v/>
      </c>
      <c r="E41" s="22" t="str">
        <f>'BIS097'!E52</f>
        <v/>
      </c>
      <c r="F41" s="22">
        <f>'BIS097'!F52</f>
        <v>-8.7232073878696816</v>
      </c>
      <c r="G41" s="22" t="str">
        <f>'BIS097'!G52</f>
        <v/>
      </c>
      <c r="H41" s="22" t="str">
        <f>'BIS097'!H52</f>
        <v/>
      </c>
      <c r="I41" s="22" t="str">
        <f>'BIS097'!I52</f>
        <v/>
      </c>
      <c r="J41" s="22">
        <f>'BIS097'!J52</f>
        <v>-9.4782895229169348</v>
      </c>
      <c r="K41" s="22" t="str">
        <f>'BIS097'!K52</f>
        <v/>
      </c>
      <c r="L41" s="22">
        <f>'BIS097'!L52</f>
        <v>-7.5625305210129348</v>
      </c>
      <c r="M41" s="22" t="str">
        <f>'BIS097'!M52</f>
        <v/>
      </c>
      <c r="N41" s="22">
        <f>'BIS097'!N52</f>
        <v>-6.6278516331878814</v>
      </c>
      <c r="O41" s="22">
        <f>'BIS097'!O52</f>
        <v>-2.756463092215478</v>
      </c>
    </row>
    <row r="42" spans="1:15" x14ac:dyDescent="0.35">
      <c r="B42" t="s">
        <v>279</v>
      </c>
      <c r="C42" s="21" t="b">
        <f>'BIS097'!C53</f>
        <v>0</v>
      </c>
      <c r="D42" s="21" t="str">
        <f>'BIS097'!D53</f>
        <v/>
      </c>
      <c r="E42" s="21" t="str">
        <f>'BIS097'!E53</f>
        <v/>
      </c>
      <c r="F42" s="21" t="b">
        <f>'BIS097'!F53</f>
        <v>0</v>
      </c>
      <c r="G42" s="21" t="str">
        <f>'BIS097'!G53</f>
        <v/>
      </c>
      <c r="H42" s="21" t="str">
        <f>'BIS097'!H53</f>
        <v/>
      </c>
      <c r="I42" s="21" t="str">
        <f>'BIS097'!I53</f>
        <v/>
      </c>
      <c r="J42" s="21" t="b">
        <f>'BIS097'!J53</f>
        <v>0</v>
      </c>
      <c r="K42" s="21" t="str">
        <f>'BIS097'!K53</f>
        <v/>
      </c>
      <c r="L42" s="21" t="b">
        <f>'BIS097'!L53</f>
        <v>0</v>
      </c>
      <c r="M42" s="21" t="str">
        <f>'BIS097'!M53</f>
        <v/>
      </c>
      <c r="N42" s="21" t="b">
        <f>'BIS097'!N53</f>
        <v>0</v>
      </c>
      <c r="O42" s="21" t="b">
        <f>'BIS097'!O53</f>
        <v>0</v>
      </c>
    </row>
    <row r="43" spans="1:15" ht="9.9" customHeight="1" x14ac:dyDescent="0.35">
      <c r="B43" s="23"/>
      <c r="C43" s="24"/>
      <c r="D43" s="24"/>
      <c r="E43" s="24"/>
      <c r="F43" s="24"/>
      <c r="G43" s="24"/>
      <c r="H43" s="24"/>
      <c r="I43" s="24"/>
      <c r="J43" s="24"/>
      <c r="K43" s="24"/>
      <c r="L43" s="24"/>
      <c r="M43" s="24"/>
      <c r="N43" s="24"/>
      <c r="O43" s="24"/>
    </row>
    <row r="44" spans="1:15" ht="9.9" customHeight="1" x14ac:dyDescent="0.35"/>
    <row r="45" spans="1:15" x14ac:dyDescent="0.35">
      <c r="B45" t="s">
        <v>280</v>
      </c>
      <c r="C45" s="21">
        <f>'BIS097'!C56</f>
        <v>3</v>
      </c>
      <c r="D45" s="21" t="str">
        <f>'BIS097'!D56</f>
        <v/>
      </c>
      <c r="E45" s="21" t="str">
        <f>'BIS097'!E56</f>
        <v/>
      </c>
      <c r="F45" s="21">
        <f>'BIS097'!F56</f>
        <v>4</v>
      </c>
      <c r="G45" s="21" t="str">
        <f>'BIS097'!G56</f>
        <v/>
      </c>
      <c r="H45" s="21" t="str">
        <f>'BIS097'!H56</f>
        <v/>
      </c>
      <c r="I45" s="21" t="str">
        <f>'BIS097'!I56</f>
        <v/>
      </c>
      <c r="J45" s="21">
        <f>'BIS097'!J56</f>
        <v>4</v>
      </c>
      <c r="K45" s="21" t="str">
        <f>'BIS097'!K56</f>
        <v/>
      </c>
      <c r="L45" s="21">
        <f>'BIS097'!L56</f>
        <v>4</v>
      </c>
      <c r="M45" s="21" t="str">
        <f>'BIS097'!M56</f>
        <v/>
      </c>
      <c r="N45" s="21">
        <f>'BIS097'!N56</f>
        <v>4</v>
      </c>
      <c r="O45" s="21">
        <f>'BIS097'!O56</f>
        <v>4</v>
      </c>
    </row>
    <row r="46" spans="1:15" x14ac:dyDescent="0.35">
      <c r="B46" t="s">
        <v>281</v>
      </c>
      <c r="C46" s="21">
        <f>'BIS097'!C57</f>
        <v>9</v>
      </c>
      <c r="D46" s="21">
        <f>'BIS097'!D57</f>
        <v>9</v>
      </c>
      <c r="E46" s="21">
        <f>'BIS097'!E57</f>
        <v>9</v>
      </c>
      <c r="F46" s="21">
        <f>'BIS097'!F57</f>
        <v>9</v>
      </c>
      <c r="G46" s="21">
        <f>'BIS097'!G57</f>
        <v>9</v>
      </c>
      <c r="H46" s="21">
        <f>'BIS097'!H57</f>
        <v>9</v>
      </c>
      <c r="I46" s="21">
        <f>'BIS097'!I57</f>
        <v>9</v>
      </c>
      <c r="J46" s="21">
        <f>'BIS097'!J57</f>
        <v>9</v>
      </c>
      <c r="K46" s="21">
        <f>'BIS097'!K57</f>
        <v>9</v>
      </c>
      <c r="L46" s="21">
        <f>'BIS097'!L57</f>
        <v>9</v>
      </c>
      <c r="M46" s="21">
        <f>'BIS097'!M57</f>
        <v>9</v>
      </c>
      <c r="N46" s="21">
        <f>'BIS097'!N57</f>
        <v>9</v>
      </c>
      <c r="O46" s="21">
        <f>'BIS097'!O57</f>
        <v>9</v>
      </c>
    </row>
    <row r="47" spans="1:15" x14ac:dyDescent="0.35">
      <c r="B47" t="s">
        <v>282</v>
      </c>
      <c r="C47" s="21" t="b">
        <f>'BIS097'!C58</f>
        <v>0</v>
      </c>
      <c r="D47" s="21" t="str">
        <f>'BIS097'!D58</f>
        <v/>
      </c>
      <c r="E47" s="21" t="str">
        <f>'BIS097'!E58</f>
        <v/>
      </c>
      <c r="F47" s="21" t="b">
        <f>'BIS097'!F58</f>
        <v>0</v>
      </c>
      <c r="G47" s="21" t="str">
        <f>'BIS097'!G58</f>
        <v/>
      </c>
      <c r="H47" s="21" t="str">
        <f>'BIS097'!H58</f>
        <v/>
      </c>
      <c r="I47" s="21" t="str">
        <f>'BIS097'!I58</f>
        <v/>
      </c>
      <c r="J47" s="21" t="b">
        <f>'BIS097'!J58</f>
        <v>0</v>
      </c>
      <c r="K47" s="21" t="str">
        <f>'BIS097'!K58</f>
        <v/>
      </c>
      <c r="L47" s="21" t="b">
        <f>'BIS097'!L58</f>
        <v>0</v>
      </c>
      <c r="M47" s="21" t="str">
        <f>'BIS097'!M58</f>
        <v/>
      </c>
      <c r="N47" s="21" t="b">
        <f>'BIS097'!N58</f>
        <v>0</v>
      </c>
      <c r="O47" s="21" t="b">
        <f>'BIS097'!O58</f>
        <v>0</v>
      </c>
    </row>
    <row r="48" spans="1:15" ht="9.9" customHeight="1" x14ac:dyDescent="0.35">
      <c r="A48" s="29"/>
      <c r="B48" s="20"/>
      <c r="C48" s="25"/>
      <c r="D48" s="25"/>
      <c r="E48" s="25"/>
      <c r="F48" s="25"/>
      <c r="G48" s="25"/>
      <c r="H48" s="25"/>
      <c r="I48" s="25"/>
      <c r="J48" s="25"/>
      <c r="K48" s="25"/>
      <c r="L48" s="25"/>
      <c r="M48" s="25"/>
      <c r="N48" s="25"/>
      <c r="O48" s="25"/>
    </row>
    <row r="49" spans="1:15" ht="9.9" customHeight="1" x14ac:dyDescent="0.35"/>
    <row r="50" spans="1:15" x14ac:dyDescent="0.35">
      <c r="A50" s="26" t="s">
        <v>24</v>
      </c>
      <c r="B50" t="s">
        <v>274</v>
      </c>
      <c r="C50" s="22">
        <f>BLK016E!C13</f>
        <v>6.7658795584927702</v>
      </c>
      <c r="D50" s="22" t="str">
        <f>BLK016E!D13</f>
        <v/>
      </c>
      <c r="E50" s="22">
        <f>BLK016E!E13</f>
        <v>14.294587050181475</v>
      </c>
      <c r="F50" s="22" t="str">
        <f>BLK016E!F13</f>
        <v/>
      </c>
      <c r="G50" s="22" t="str">
        <f>BLK016E!G13</f>
        <v/>
      </c>
      <c r="H50" s="22">
        <f>BLK016E!H13</f>
        <v>7.89492528164382</v>
      </c>
      <c r="I50" s="22" t="str">
        <f>BLK016E!I13</f>
        <v/>
      </c>
      <c r="J50" s="22" t="str">
        <f>BLK016E!J13</f>
        <v/>
      </c>
      <c r="K50" s="22">
        <f>BLK016E!K13</f>
        <v>36.015573068621393</v>
      </c>
      <c r="L50" s="22" t="str">
        <f>BLK016E!L13</f>
        <v/>
      </c>
      <c r="M50" s="22" t="str">
        <f>BLK016E!M13</f>
        <v/>
      </c>
      <c r="N50" s="22" t="str">
        <f>BLK016E!N13</f>
        <v/>
      </c>
      <c r="O50" s="22" t="str">
        <f>BLK016E!O13</f>
        <v/>
      </c>
    </row>
    <row r="51" spans="1:15" x14ac:dyDescent="0.35">
      <c r="B51" t="s">
        <v>275</v>
      </c>
      <c r="C51" s="22">
        <f>BLK016E!C14</f>
        <v>6.446775227363525</v>
      </c>
      <c r="D51" s="22" t="str">
        <f>BLK016E!D14</f>
        <v/>
      </c>
      <c r="E51" s="22">
        <f>BLK016E!E14</f>
        <v>8.9169584638677506</v>
      </c>
      <c r="F51" s="22" t="str">
        <f>BLK016E!F14</f>
        <v/>
      </c>
      <c r="G51" s="22" t="str">
        <f>BLK016E!G14</f>
        <v/>
      </c>
      <c r="H51" s="22">
        <f>BLK016E!H14</f>
        <v>5.339527692142755</v>
      </c>
      <c r="I51" s="22" t="str">
        <f>BLK016E!I14</f>
        <v/>
      </c>
      <c r="J51" s="22" t="str">
        <f>BLK016E!J14</f>
        <v/>
      </c>
      <c r="K51" s="22">
        <f>BLK016E!K14</f>
        <v>19.716513809969275</v>
      </c>
      <c r="L51" s="22" t="str">
        <f>BLK016E!L14</f>
        <v/>
      </c>
      <c r="M51" s="22" t="str">
        <f>BLK016E!M14</f>
        <v/>
      </c>
      <c r="N51" s="22" t="str">
        <f>BLK016E!N14</f>
        <v/>
      </c>
      <c r="O51" s="22" t="str">
        <f>BLK016E!O14</f>
        <v/>
      </c>
    </row>
    <row r="52" spans="1:15" x14ac:dyDescent="0.35">
      <c r="B52" t="s">
        <v>276</v>
      </c>
      <c r="C52" s="22">
        <f>BLK016E!C15</f>
        <v>3.0016514453529513</v>
      </c>
      <c r="D52" s="22" t="str">
        <f>BLK016E!D15</f>
        <v/>
      </c>
      <c r="E52" s="22">
        <f>BLK016E!E15</f>
        <v>4.1517813662268681</v>
      </c>
      <c r="F52" s="22" t="str">
        <f>BLK016E!F15</f>
        <v/>
      </c>
      <c r="G52" s="22" t="str">
        <f>BLK016E!G15</f>
        <v/>
      </c>
      <c r="H52" s="22">
        <f>BLK016E!H15</f>
        <v>2.4861113423954415</v>
      </c>
      <c r="I52" s="22" t="str">
        <f>BLK016E!I15</f>
        <v/>
      </c>
      <c r="J52" s="22" t="str">
        <f>BLK016E!J15</f>
        <v/>
      </c>
      <c r="K52" s="22">
        <f>BLK016E!K15</f>
        <v>9.1801094481804721</v>
      </c>
      <c r="L52" s="22" t="str">
        <f>BLK016E!L15</f>
        <v/>
      </c>
      <c r="M52" s="22" t="str">
        <f>BLK016E!M15</f>
        <v/>
      </c>
      <c r="N52" s="22" t="str">
        <f>BLK016E!N15</f>
        <v/>
      </c>
      <c r="O52" s="22" t="str">
        <f>BLK016E!O15</f>
        <v/>
      </c>
    </row>
    <row r="53" spans="1:15" x14ac:dyDescent="0.35">
      <c r="B53" t="s">
        <v>277</v>
      </c>
      <c r="C53" s="22">
        <f>BLK016E!C16</f>
        <v>9.7675310038457219</v>
      </c>
      <c r="D53" s="22" t="str">
        <f>BLK016E!D16</f>
        <v/>
      </c>
      <c r="E53" s="22">
        <f>BLK016E!E16</f>
        <v>18.446368416408344</v>
      </c>
      <c r="F53" s="22" t="str">
        <f>BLK016E!F16</f>
        <v/>
      </c>
      <c r="G53" s="22" t="str">
        <f>BLK016E!G16</f>
        <v/>
      </c>
      <c r="H53" s="22">
        <f>BLK016E!H16</f>
        <v>10.381036624039261</v>
      </c>
      <c r="I53" s="22" t="str">
        <f>BLK016E!I16</f>
        <v/>
      </c>
      <c r="J53" s="22" t="str">
        <f>BLK016E!J16</f>
        <v/>
      </c>
      <c r="K53" s="22">
        <f>BLK016E!K16</f>
        <v>45.195682516801867</v>
      </c>
      <c r="L53" s="22" t="str">
        <f>BLK016E!L16</f>
        <v/>
      </c>
      <c r="M53" s="22" t="str">
        <f>BLK016E!M16</f>
        <v/>
      </c>
      <c r="N53" s="22" t="str">
        <f>BLK016E!N16</f>
        <v/>
      </c>
      <c r="O53" s="22" t="str">
        <f>BLK016E!O16</f>
        <v/>
      </c>
    </row>
    <row r="55" spans="1:15" x14ac:dyDescent="0.35">
      <c r="B55" t="s">
        <v>270</v>
      </c>
      <c r="C55" s="22">
        <f>BLK016E!C18</f>
        <v>30.6</v>
      </c>
      <c r="D55" s="22">
        <f>BLK016E!D18</f>
        <v>30.6</v>
      </c>
      <c r="E55" s="22">
        <f>BLK016E!E18</f>
        <v>30.6</v>
      </c>
      <c r="F55" s="22">
        <f>BLK016E!F18</f>
        <v>30.6</v>
      </c>
      <c r="G55" s="22">
        <f>BLK016E!G18</f>
        <v>30.6</v>
      </c>
      <c r="H55" s="22">
        <f>BLK016E!H18</f>
        <v>30.6</v>
      </c>
      <c r="I55" s="22">
        <f>BLK016E!I18</f>
        <v>30.6</v>
      </c>
      <c r="J55" s="22">
        <f>BLK016E!J18</f>
        <v>30.6</v>
      </c>
      <c r="K55" s="22">
        <f>BLK016E!K18</f>
        <v>30.6</v>
      </c>
      <c r="L55" s="22">
        <f>BLK016E!L18</f>
        <v>30.6</v>
      </c>
      <c r="M55" s="22">
        <f>BLK016E!M18</f>
        <v>30.6</v>
      </c>
      <c r="N55" s="22">
        <f>BLK016E!N18</f>
        <v>30.6</v>
      </c>
      <c r="O55" s="22">
        <f>BLK016E!O18</f>
        <v>30.6</v>
      </c>
    </row>
    <row r="56" spans="1:15" x14ac:dyDescent="0.35">
      <c r="B56" t="s">
        <v>283</v>
      </c>
      <c r="C56" s="22">
        <f>BLK016E!C19</f>
        <v>-20.832468996154279</v>
      </c>
      <c r="D56" s="22" t="str">
        <f>BLK016E!D19</f>
        <v/>
      </c>
      <c r="E56" s="22">
        <f>BLK016E!E19</f>
        <v>-12.153631583591658</v>
      </c>
      <c r="F56" s="22" t="str">
        <f>BLK016E!F19</f>
        <v/>
      </c>
      <c r="G56" s="22" t="str">
        <f>BLK016E!G19</f>
        <v/>
      </c>
      <c r="H56" s="22">
        <f>BLK016E!H19</f>
        <v>-20.21896337596074</v>
      </c>
      <c r="I56" s="22" t="str">
        <f>BLK016E!I19</f>
        <v/>
      </c>
      <c r="J56" s="22" t="str">
        <f>BLK016E!J19</f>
        <v/>
      </c>
      <c r="K56" s="22">
        <f>BLK016E!K19</f>
        <v>14.595682516801865</v>
      </c>
      <c r="L56" s="22" t="str">
        <f>BLK016E!L19</f>
        <v/>
      </c>
      <c r="M56" s="22" t="str">
        <f>BLK016E!M19</f>
        <v/>
      </c>
      <c r="N56" s="22" t="str">
        <f>BLK016E!N19</f>
        <v/>
      </c>
      <c r="O56" s="22" t="str">
        <f>BLK016E!O19</f>
        <v/>
      </c>
    </row>
    <row r="57" spans="1:15" x14ac:dyDescent="0.35">
      <c r="B57" t="s">
        <v>279</v>
      </c>
      <c r="C57" s="21" t="b">
        <f>BLK016E!C20</f>
        <v>0</v>
      </c>
      <c r="D57" s="21" t="str">
        <f>BLK016E!D20</f>
        <v/>
      </c>
      <c r="E57" s="21" t="b">
        <f>BLK016E!E20</f>
        <v>0</v>
      </c>
      <c r="F57" s="21" t="str">
        <f>BLK016E!F20</f>
        <v/>
      </c>
      <c r="G57" s="21" t="str">
        <f>BLK016E!G20</f>
        <v/>
      </c>
      <c r="H57" s="21" t="b">
        <f>BLK016E!H20</f>
        <v>0</v>
      </c>
      <c r="I57" s="21" t="str">
        <f>BLK016E!I20</f>
        <v/>
      </c>
      <c r="J57" s="21" t="str">
        <f>BLK016E!J20</f>
        <v/>
      </c>
      <c r="K57" s="21" t="b">
        <f>BLK016E!K20</f>
        <v>1</v>
      </c>
      <c r="L57" s="21" t="str">
        <f>BLK016E!L20</f>
        <v/>
      </c>
      <c r="M57" s="21" t="str">
        <f>BLK016E!M20</f>
        <v/>
      </c>
      <c r="N57" s="21" t="str">
        <f>BLK016E!N20</f>
        <v/>
      </c>
      <c r="O57" s="21" t="str">
        <f>BLK016E!O20</f>
        <v/>
      </c>
    </row>
    <row r="58" spans="1:15" ht="9.9" customHeight="1" x14ac:dyDescent="0.35">
      <c r="B58" s="23"/>
      <c r="C58" s="24"/>
      <c r="D58" s="24"/>
      <c r="E58" s="24"/>
      <c r="F58" s="24"/>
      <c r="G58" s="24"/>
      <c r="H58" s="24"/>
      <c r="I58" s="24"/>
      <c r="J58" s="24"/>
      <c r="K58" s="24"/>
      <c r="L58" s="24"/>
      <c r="M58" s="24"/>
      <c r="N58" s="24"/>
      <c r="O58" s="24"/>
    </row>
    <row r="59" spans="1:15" ht="9.9" customHeight="1" x14ac:dyDescent="0.35"/>
    <row r="60" spans="1:15" x14ac:dyDescent="0.35">
      <c r="B60" t="s">
        <v>280</v>
      </c>
      <c r="C60" s="21">
        <f>BLK016E!C23</f>
        <v>7</v>
      </c>
      <c r="D60" s="21" t="str">
        <f>BLK016E!D23</f>
        <v/>
      </c>
      <c r="E60" s="21">
        <f>BLK016E!E23</f>
        <v>6</v>
      </c>
      <c r="F60" s="21" t="str">
        <f>BLK016E!F23</f>
        <v/>
      </c>
      <c r="G60" s="21" t="str">
        <f>BLK016E!G23</f>
        <v/>
      </c>
      <c r="H60" s="21">
        <f>BLK016E!H23</f>
        <v>7</v>
      </c>
      <c r="I60" s="21" t="str">
        <f>BLK016E!I23</f>
        <v/>
      </c>
      <c r="J60" s="21" t="str">
        <f>BLK016E!J23</f>
        <v/>
      </c>
      <c r="K60" s="21">
        <f>BLK016E!K23</f>
        <v>11</v>
      </c>
      <c r="L60" s="21" t="str">
        <f>BLK016E!L23</f>
        <v/>
      </c>
      <c r="M60" s="21" t="str">
        <f>BLK016E!M23</f>
        <v/>
      </c>
      <c r="N60" s="21" t="str">
        <f>BLK016E!N23</f>
        <v/>
      </c>
      <c r="O60" s="21" t="str">
        <f>BLK016E!O23</f>
        <v/>
      </c>
    </row>
    <row r="61" spans="1:15" x14ac:dyDescent="0.35">
      <c r="B61" t="s">
        <v>281</v>
      </c>
      <c r="C61" s="21">
        <f>BLK016E!C24</f>
        <v>4.5</v>
      </c>
      <c r="D61" s="21">
        <f>BLK016E!D24</f>
        <v>4.5</v>
      </c>
      <c r="E61" s="21">
        <f>BLK016E!E24</f>
        <v>4.5</v>
      </c>
      <c r="F61" s="21">
        <f>BLK016E!F24</f>
        <v>4.5</v>
      </c>
      <c r="G61" s="21">
        <f>BLK016E!G24</f>
        <v>4.5</v>
      </c>
      <c r="H61" s="21">
        <f>BLK016E!H24</f>
        <v>4.5</v>
      </c>
      <c r="I61" s="21">
        <f>BLK016E!I24</f>
        <v>4.5</v>
      </c>
      <c r="J61" s="21">
        <f>BLK016E!J24</f>
        <v>4.5</v>
      </c>
      <c r="K61" s="21">
        <f>BLK016E!K24</f>
        <v>4.5</v>
      </c>
      <c r="L61" s="21">
        <f>BLK016E!L24</f>
        <v>4.5</v>
      </c>
      <c r="M61" s="21">
        <f>BLK016E!M24</f>
        <v>4.5</v>
      </c>
      <c r="N61" s="21">
        <f>BLK016E!N24</f>
        <v>4.5</v>
      </c>
      <c r="O61" s="21">
        <f>BLK016E!O24</f>
        <v>4.5</v>
      </c>
    </row>
    <row r="62" spans="1:15" x14ac:dyDescent="0.35">
      <c r="B62" t="s">
        <v>282</v>
      </c>
      <c r="C62" s="21" t="b">
        <f>BLK016E!C25</f>
        <v>1</v>
      </c>
      <c r="D62" s="21" t="str">
        <f>BLK016E!D25</f>
        <v/>
      </c>
      <c r="E62" s="21" t="b">
        <f>BLK016E!E25</f>
        <v>1</v>
      </c>
      <c r="F62" s="21" t="str">
        <f>BLK016E!F25</f>
        <v/>
      </c>
      <c r="G62" s="21" t="str">
        <f>BLK016E!G25</f>
        <v/>
      </c>
      <c r="H62" s="21" t="b">
        <f>BLK016E!H25</f>
        <v>1</v>
      </c>
      <c r="I62" s="21" t="str">
        <f>BLK016E!I25</f>
        <v/>
      </c>
      <c r="J62" s="21" t="str">
        <f>BLK016E!J25</f>
        <v/>
      </c>
      <c r="K62" s="21" t="b">
        <f>BLK016E!K25</f>
        <v>1</v>
      </c>
      <c r="L62" s="21" t="str">
        <f>BLK016E!L25</f>
        <v/>
      </c>
      <c r="M62" s="21" t="str">
        <f>BLK016E!M25</f>
        <v/>
      </c>
      <c r="N62" s="21" t="str">
        <f>BLK016E!N25</f>
        <v/>
      </c>
      <c r="O62" s="21" t="str">
        <f>BLK016E!O25</f>
        <v/>
      </c>
    </row>
    <row r="63" spans="1:15" ht="9.9" customHeight="1" x14ac:dyDescent="0.35">
      <c r="A63" s="29"/>
      <c r="B63" s="20"/>
      <c r="C63" s="25"/>
      <c r="D63" s="25"/>
      <c r="E63" s="25"/>
      <c r="F63" s="25"/>
      <c r="G63" s="25"/>
      <c r="H63" s="25"/>
      <c r="I63" s="25"/>
      <c r="J63" s="25"/>
      <c r="K63" s="25"/>
      <c r="L63" s="25"/>
      <c r="M63" s="25"/>
      <c r="N63" s="25"/>
      <c r="O63" s="25"/>
    </row>
    <row r="64" spans="1:15" ht="9.9" customHeight="1" x14ac:dyDescent="0.35"/>
    <row r="65" spans="1:15" x14ac:dyDescent="0.35">
      <c r="A65" s="26" t="s">
        <v>19</v>
      </c>
      <c r="B65" t="s">
        <v>274</v>
      </c>
      <c r="C65" s="22">
        <f>'IND105'!C16</f>
        <v>8.3302545771508303</v>
      </c>
      <c r="D65" s="22">
        <f>'IND105'!D16</f>
        <v>12.379519257553282</v>
      </c>
      <c r="E65" s="22" t="str">
        <f>'IND105'!E16</f>
        <v/>
      </c>
      <c r="F65" s="22" t="str">
        <f>'IND105'!F16</f>
        <v/>
      </c>
      <c r="G65" s="22" t="str">
        <f>'IND105'!G16</f>
        <v/>
      </c>
      <c r="H65" s="22" t="str">
        <f>'IND105'!H16</f>
        <v/>
      </c>
      <c r="I65" s="22" t="str">
        <f>'IND105'!I16</f>
        <v/>
      </c>
      <c r="J65" s="22" t="str">
        <f>'IND105'!J16</f>
        <v/>
      </c>
      <c r="K65" s="22" t="str">
        <f>'IND105'!K16</f>
        <v/>
      </c>
      <c r="L65" s="22" t="str">
        <f>'IND105'!L16</f>
        <v/>
      </c>
      <c r="M65" s="22" t="str">
        <f>'IND105'!M16</f>
        <v/>
      </c>
      <c r="N65" s="22" t="str">
        <f>'IND105'!N16</f>
        <v/>
      </c>
      <c r="O65" s="22">
        <f>'IND105'!O16</f>
        <v>22.710972324662077</v>
      </c>
    </row>
    <row r="66" spans="1:15" x14ac:dyDescent="0.35">
      <c r="B66" t="s">
        <v>275</v>
      </c>
      <c r="C66" s="22">
        <f>'IND105'!C17</f>
        <v>3.8160741166001473</v>
      </c>
      <c r="D66" s="22">
        <f>'IND105'!D17</f>
        <v>6.4465489508083778</v>
      </c>
      <c r="E66" s="22" t="str">
        <f>'IND105'!E17</f>
        <v/>
      </c>
      <c r="F66" s="22" t="str">
        <f>'IND105'!F17</f>
        <v/>
      </c>
      <c r="G66" s="22" t="str">
        <f>'IND105'!G17</f>
        <v/>
      </c>
      <c r="H66" s="22" t="str">
        <f>'IND105'!H17</f>
        <v/>
      </c>
      <c r="I66" s="22" t="str">
        <f>'IND105'!I17</f>
        <v/>
      </c>
      <c r="J66" s="22" t="str">
        <f>'IND105'!J17</f>
        <v/>
      </c>
      <c r="K66" s="22" t="str">
        <f>'IND105'!K17</f>
        <v/>
      </c>
      <c r="L66" s="22" t="str">
        <f>'IND105'!L17</f>
        <v/>
      </c>
      <c r="M66" s="22" t="str">
        <f>'IND105'!M17</f>
        <v/>
      </c>
      <c r="N66" s="22" t="str">
        <f>'IND105'!N17</f>
        <v/>
      </c>
      <c r="O66" s="22">
        <f>'IND105'!O17</f>
        <v>8.688578756039032</v>
      </c>
    </row>
    <row r="67" spans="1:15" x14ac:dyDescent="0.35">
      <c r="B67" t="s">
        <v>276</v>
      </c>
      <c r="C67" s="22">
        <f>'IND105'!C18</f>
        <v>1.5019626224732419</v>
      </c>
      <c r="D67" s="22">
        <f>'IND105'!D18</f>
        <v>2.5372870841105879</v>
      </c>
      <c r="E67" s="22" t="str">
        <f>'IND105'!E18</f>
        <v/>
      </c>
      <c r="F67" s="22" t="str">
        <f>'IND105'!F18</f>
        <v/>
      </c>
      <c r="G67" s="22" t="str">
        <f>'IND105'!G18</f>
        <v/>
      </c>
      <c r="H67" s="22" t="str">
        <f>'IND105'!H18</f>
        <v/>
      </c>
      <c r="I67" s="22" t="str">
        <f>'IND105'!I18</f>
        <v/>
      </c>
      <c r="J67" s="22" t="str">
        <f>'IND105'!J18</f>
        <v/>
      </c>
      <c r="K67" s="22" t="str">
        <f>'IND105'!K18</f>
        <v/>
      </c>
      <c r="L67" s="22" t="str">
        <f>'IND105'!L18</f>
        <v/>
      </c>
      <c r="M67" s="22" t="str">
        <f>'IND105'!M18</f>
        <v/>
      </c>
      <c r="N67" s="22" t="str">
        <f>'IND105'!N18</f>
        <v/>
      </c>
      <c r="O67" s="22">
        <f>'IND105'!O18</f>
        <v>3.4197240764317853</v>
      </c>
    </row>
    <row r="68" spans="1:15" x14ac:dyDescent="0.35">
      <c r="B68" t="s">
        <v>277</v>
      </c>
      <c r="C68" s="22">
        <f>'IND105'!C19</f>
        <v>9.8322171996240719</v>
      </c>
      <c r="D68" s="22">
        <f>'IND105'!D19</f>
        <v>14.91680634166387</v>
      </c>
      <c r="E68" s="22" t="str">
        <f>'IND105'!E19</f>
        <v/>
      </c>
      <c r="F68" s="22" t="str">
        <f>'IND105'!F19</f>
        <v/>
      </c>
      <c r="G68" s="22" t="str">
        <f>'IND105'!G19</f>
        <v/>
      </c>
      <c r="H68" s="22" t="str">
        <f>'IND105'!H19</f>
        <v/>
      </c>
      <c r="I68" s="22" t="str">
        <f>'IND105'!I19</f>
        <v/>
      </c>
      <c r="J68" s="22" t="str">
        <f>'IND105'!J19</f>
        <v/>
      </c>
      <c r="K68" s="22" t="str">
        <f>'IND105'!K19</f>
        <v/>
      </c>
      <c r="L68" s="22" t="str">
        <f>'IND105'!L19</f>
        <v/>
      </c>
      <c r="M68" s="22" t="str">
        <f>'IND105'!M19</f>
        <v/>
      </c>
      <c r="N68" s="22" t="str">
        <f>'IND105'!N19</f>
        <v/>
      </c>
      <c r="O68" s="22">
        <f>'IND105'!O19</f>
        <v>26.130696401093861</v>
      </c>
    </row>
    <row r="70" spans="1:15" x14ac:dyDescent="0.35">
      <c r="B70" t="s">
        <v>270</v>
      </c>
      <c r="C70" s="22">
        <f>'IND105'!C21</f>
        <v>15.3</v>
      </c>
      <c r="D70" s="22">
        <f>'IND105'!D21</f>
        <v>15.3</v>
      </c>
      <c r="E70" s="22">
        <f>'IND105'!E21</f>
        <v>15.3</v>
      </c>
      <c r="F70" s="22">
        <f>'IND105'!F21</f>
        <v>15.3</v>
      </c>
      <c r="G70" s="22">
        <f>'IND105'!G21</f>
        <v>15.3</v>
      </c>
      <c r="H70" s="22">
        <f>'IND105'!H21</f>
        <v>15.3</v>
      </c>
      <c r="I70" s="22">
        <f>'IND105'!I21</f>
        <v>15.3</v>
      </c>
      <c r="J70" s="22">
        <f>'IND105'!J21</f>
        <v>15.3</v>
      </c>
      <c r="K70" s="22">
        <f>'IND105'!K21</f>
        <v>15.3</v>
      </c>
      <c r="L70" s="22">
        <f>'IND105'!L21</f>
        <v>15.3</v>
      </c>
      <c r="M70" s="22">
        <f>'IND105'!M21</f>
        <v>15.3</v>
      </c>
      <c r="N70" s="22">
        <f>'IND105'!N21</f>
        <v>15.3</v>
      </c>
      <c r="O70" s="22">
        <f>'IND105'!O21</f>
        <v>15.3</v>
      </c>
    </row>
    <row r="71" spans="1:15" x14ac:dyDescent="0.35">
      <c r="B71" t="s">
        <v>283</v>
      </c>
      <c r="C71" s="22">
        <f>'IND105'!C22</f>
        <v>-5.4677828003759288</v>
      </c>
      <c r="D71" s="22">
        <f>'IND105'!D22</f>
        <v>-0.38319365833613084</v>
      </c>
      <c r="E71" s="22" t="str">
        <f>'IND105'!E22</f>
        <v/>
      </c>
      <c r="F71" s="22" t="str">
        <f>'IND105'!F22</f>
        <v/>
      </c>
      <c r="G71" s="22" t="str">
        <f>'IND105'!G22</f>
        <v/>
      </c>
      <c r="H71" s="22" t="str">
        <f>'IND105'!H22</f>
        <v/>
      </c>
      <c r="I71" s="22" t="str">
        <f>'IND105'!I22</f>
        <v/>
      </c>
      <c r="J71" s="22" t="str">
        <f>'IND105'!J22</f>
        <v/>
      </c>
      <c r="K71" s="22" t="str">
        <f>'IND105'!K22</f>
        <v/>
      </c>
      <c r="L71" s="22" t="str">
        <f>'IND105'!L22</f>
        <v/>
      </c>
      <c r="M71" s="22" t="str">
        <f>'IND105'!M22</f>
        <v/>
      </c>
      <c r="N71" s="22" t="str">
        <f>'IND105'!N22</f>
        <v/>
      </c>
      <c r="O71" s="22">
        <f>'IND105'!O22</f>
        <v>10.83069640109386</v>
      </c>
    </row>
    <row r="72" spans="1:15" x14ac:dyDescent="0.35">
      <c r="B72" t="s">
        <v>279</v>
      </c>
      <c r="C72" s="21" t="b">
        <f>'IND105'!C23</f>
        <v>0</v>
      </c>
      <c r="D72" s="21" t="b">
        <f>'IND105'!D23</f>
        <v>0</v>
      </c>
      <c r="E72" s="21" t="str">
        <f>'IND105'!E23</f>
        <v/>
      </c>
      <c r="F72" s="21" t="str">
        <f>'IND105'!F23</f>
        <v/>
      </c>
      <c r="G72" s="21" t="str">
        <f>'IND105'!G23</f>
        <v/>
      </c>
      <c r="H72" s="21" t="str">
        <f>'IND105'!H23</f>
        <v/>
      </c>
      <c r="I72" s="21" t="str">
        <f>'IND105'!I23</f>
        <v/>
      </c>
      <c r="J72" s="21" t="str">
        <f>'IND105'!J23</f>
        <v/>
      </c>
      <c r="K72" s="21" t="str">
        <f>'IND105'!K23</f>
        <v/>
      </c>
      <c r="L72" s="21" t="str">
        <f>'IND105'!L23</f>
        <v/>
      </c>
      <c r="M72" s="21" t="str">
        <f>'IND105'!M23</f>
        <v/>
      </c>
      <c r="N72" s="21" t="str">
        <f>'IND105'!N23</f>
        <v/>
      </c>
      <c r="O72" s="21" t="b">
        <f>'IND105'!O23</f>
        <v>1</v>
      </c>
    </row>
    <row r="73" spans="1:15" ht="9.9" customHeight="1" x14ac:dyDescent="0.35">
      <c r="B73" s="23"/>
      <c r="C73" s="24"/>
      <c r="D73" s="24"/>
      <c r="E73" s="24"/>
      <c r="F73" s="24"/>
      <c r="G73" s="24"/>
      <c r="H73" s="24"/>
      <c r="I73" s="24"/>
      <c r="J73" s="24"/>
      <c r="K73" s="24"/>
      <c r="L73" s="24"/>
      <c r="M73" s="24"/>
      <c r="N73" s="24"/>
      <c r="O73" s="24"/>
    </row>
    <row r="74" spans="1:15" ht="9.9" customHeight="1" x14ac:dyDescent="0.35"/>
    <row r="75" spans="1:15" x14ac:dyDescent="0.35">
      <c r="B75" t="s">
        <v>280</v>
      </c>
      <c r="C75" s="21">
        <f>'IND105'!C26</f>
        <v>4</v>
      </c>
      <c r="D75" s="21">
        <f>'IND105'!D26</f>
        <v>3</v>
      </c>
      <c r="E75" s="21" t="str">
        <f>'IND105'!E26</f>
        <v/>
      </c>
      <c r="F75" s="21" t="str">
        <f>'IND105'!F26</f>
        <v/>
      </c>
      <c r="G75" s="21" t="str">
        <f>'IND105'!G26</f>
        <v/>
      </c>
      <c r="H75" s="21" t="str">
        <f>'IND105'!H26</f>
        <v/>
      </c>
      <c r="I75" s="21" t="str">
        <f>'IND105'!I26</f>
        <v/>
      </c>
      <c r="J75" s="21" t="str">
        <f>'IND105'!J26</f>
        <v/>
      </c>
      <c r="K75" s="21" t="str">
        <f>'IND105'!K26</f>
        <v/>
      </c>
      <c r="L75" s="21" t="str">
        <f>'IND105'!L26</f>
        <v/>
      </c>
      <c r="M75" s="21" t="str">
        <f>'IND105'!M26</f>
        <v/>
      </c>
      <c r="N75" s="21" t="str">
        <f>'IND105'!N26</f>
        <v/>
      </c>
      <c r="O75" s="21">
        <f>'IND105'!O26</f>
        <v>3</v>
      </c>
    </row>
    <row r="76" spans="1:15" x14ac:dyDescent="0.35">
      <c r="B76" t="s">
        <v>281</v>
      </c>
      <c r="C76" s="21">
        <f>'IND105'!C27</f>
        <v>3</v>
      </c>
      <c r="D76" s="21">
        <f>'IND105'!D27</f>
        <v>3</v>
      </c>
      <c r="E76" s="21">
        <f>'IND105'!E27</f>
        <v>3</v>
      </c>
      <c r="F76" s="21">
        <f>'IND105'!F27</f>
        <v>3</v>
      </c>
      <c r="G76" s="21">
        <f>'IND105'!G27</f>
        <v>3</v>
      </c>
      <c r="H76" s="21">
        <f>'IND105'!H27</f>
        <v>3</v>
      </c>
      <c r="I76" s="21">
        <f>'IND105'!I27</f>
        <v>3</v>
      </c>
      <c r="J76" s="21">
        <f>'IND105'!J27</f>
        <v>3</v>
      </c>
      <c r="K76" s="21">
        <f>'IND105'!K27</f>
        <v>3</v>
      </c>
      <c r="L76" s="21">
        <f>'IND105'!L27</f>
        <v>3</v>
      </c>
      <c r="M76" s="21">
        <f>'IND105'!M27</f>
        <v>3</v>
      </c>
      <c r="N76" s="21">
        <f>'IND105'!N27</f>
        <v>3</v>
      </c>
      <c r="O76" s="21">
        <f>'IND105'!O27</f>
        <v>3</v>
      </c>
    </row>
    <row r="77" spans="1:15" x14ac:dyDescent="0.35">
      <c r="B77" t="s">
        <v>282</v>
      </c>
      <c r="C77" s="21" t="b">
        <f>'IND105'!C28</f>
        <v>1</v>
      </c>
      <c r="D77" s="21" t="b">
        <f>'IND105'!D28</f>
        <v>1</v>
      </c>
      <c r="E77" s="21" t="str">
        <f>'IND105'!E28</f>
        <v/>
      </c>
      <c r="F77" s="21" t="str">
        <f>'IND105'!F28</f>
        <v/>
      </c>
      <c r="G77" s="21" t="str">
        <f>'IND105'!G28</f>
        <v/>
      </c>
      <c r="H77" s="21" t="str">
        <f>'IND105'!H28</f>
        <v/>
      </c>
      <c r="I77" s="21" t="str">
        <f>'IND105'!I28</f>
        <v/>
      </c>
      <c r="J77" s="21" t="str">
        <f>'IND105'!J28</f>
        <v/>
      </c>
      <c r="K77" s="21" t="str">
        <f>'IND105'!K28</f>
        <v/>
      </c>
      <c r="L77" s="21" t="str">
        <f>'IND105'!L28</f>
        <v/>
      </c>
      <c r="M77" s="21" t="str">
        <f>'IND105'!M28</f>
        <v/>
      </c>
      <c r="N77" s="21" t="str">
        <f>'IND105'!N28</f>
        <v/>
      </c>
      <c r="O77" s="21" t="b">
        <f>'IND105'!O28</f>
        <v>1</v>
      </c>
    </row>
    <row r="78" spans="1:15" ht="9.9" customHeight="1" x14ac:dyDescent="0.35">
      <c r="A78" s="29"/>
      <c r="B78" s="20"/>
      <c r="C78" s="25"/>
      <c r="D78" s="25"/>
      <c r="E78" s="25"/>
      <c r="F78" s="25"/>
      <c r="G78" s="25"/>
      <c r="H78" s="25"/>
      <c r="I78" s="25"/>
      <c r="J78" s="25"/>
      <c r="K78" s="25"/>
      <c r="L78" s="25"/>
      <c r="M78" s="25"/>
      <c r="N78" s="25"/>
      <c r="O78" s="25"/>
    </row>
    <row r="79" spans="1:15" ht="9.9" customHeight="1" x14ac:dyDescent="0.35"/>
    <row r="80" spans="1:15" x14ac:dyDescent="0.35">
      <c r="A80" s="26" t="s">
        <v>35</v>
      </c>
      <c r="B80" t="s">
        <v>274</v>
      </c>
      <c r="C80" s="22" t="str">
        <f>'IND123'!C22</f>
        <v/>
      </c>
      <c r="D80" s="22">
        <f>'IND123'!D22</f>
        <v>4.9643044761821109</v>
      </c>
      <c r="E80" s="22" t="str">
        <f>'IND123'!E22</f>
        <v/>
      </c>
      <c r="F80" s="22" t="str">
        <f>'IND123'!F22</f>
        <v/>
      </c>
      <c r="G80" s="22" t="str">
        <f>'IND123'!G22</f>
        <v/>
      </c>
      <c r="H80" s="22" t="str">
        <f>'IND123'!H22</f>
        <v/>
      </c>
      <c r="I80" s="22">
        <f>'IND123'!I22</f>
        <v>16.545422353650721</v>
      </c>
      <c r="J80" s="22" t="str">
        <f>'IND123'!J22</f>
        <v/>
      </c>
      <c r="K80" s="22" t="str">
        <f>'IND123'!K22</f>
        <v/>
      </c>
      <c r="L80" s="22" t="str">
        <f>'IND123'!L22</f>
        <v/>
      </c>
      <c r="M80" s="22" t="str">
        <f>'IND123'!M22</f>
        <v/>
      </c>
      <c r="N80" s="22" t="str">
        <f>'IND123'!N22</f>
        <v/>
      </c>
      <c r="O80" s="22" t="str">
        <f>'IND123'!O22</f>
        <v/>
      </c>
    </row>
    <row r="81" spans="1:15" x14ac:dyDescent="0.35">
      <c r="B81" t="s">
        <v>275</v>
      </c>
      <c r="C81" s="22" t="str">
        <f>'IND123'!C23</f>
        <v/>
      </c>
      <c r="D81" s="22">
        <f>'IND123'!D23</f>
        <v>4.0374627572672157</v>
      </c>
      <c r="E81" s="22" t="str">
        <f>'IND123'!E23</f>
        <v/>
      </c>
      <c r="F81" s="22" t="str">
        <f>'IND123'!F23</f>
        <v/>
      </c>
      <c r="G81" s="22" t="str">
        <f>'IND123'!G23</f>
        <v/>
      </c>
      <c r="H81" s="22" t="str">
        <f>'IND123'!H23</f>
        <v/>
      </c>
      <c r="I81" s="22">
        <f>'IND123'!I23</f>
        <v>8.7875836453682208</v>
      </c>
      <c r="J81" s="22" t="str">
        <f>'IND123'!J23</f>
        <v/>
      </c>
      <c r="K81" s="22" t="str">
        <f>'IND123'!K23</f>
        <v/>
      </c>
      <c r="L81" s="22" t="str">
        <f>'IND123'!L23</f>
        <v/>
      </c>
      <c r="M81" s="22" t="str">
        <f>'IND123'!M23</f>
        <v/>
      </c>
      <c r="N81" s="22" t="str">
        <f>'IND123'!N23</f>
        <v/>
      </c>
      <c r="O81" s="22" t="str">
        <f>'IND123'!O23</f>
        <v/>
      </c>
    </row>
    <row r="82" spans="1:15" x14ac:dyDescent="0.35">
      <c r="B82" t="s">
        <v>276</v>
      </c>
      <c r="C82" s="22" t="str">
        <f>'IND123'!C24</f>
        <v/>
      </c>
      <c r="D82" s="22">
        <f>'IND123'!D24</f>
        <v>1.2688959599272789</v>
      </c>
      <c r="E82" s="22" t="str">
        <f>'IND123'!E24</f>
        <v/>
      </c>
      <c r="F82" s="22" t="str">
        <f>'IND123'!F24</f>
        <v/>
      </c>
      <c r="G82" s="22" t="str">
        <f>'IND123'!G24</f>
        <v/>
      </c>
      <c r="H82" s="22" t="str">
        <f>'IND123'!H24</f>
        <v/>
      </c>
      <c r="I82" s="22">
        <f>'IND123'!I24</f>
        <v>2.7617664992848319</v>
      </c>
      <c r="J82" s="22" t="str">
        <f>'IND123'!J24</f>
        <v/>
      </c>
      <c r="K82" s="22" t="str">
        <f>'IND123'!K24</f>
        <v/>
      </c>
      <c r="L82" s="22" t="str">
        <f>'IND123'!L24</f>
        <v/>
      </c>
      <c r="M82" s="22" t="str">
        <f>'IND123'!M24</f>
        <v/>
      </c>
      <c r="N82" s="22" t="str">
        <f>'IND123'!N24</f>
        <v/>
      </c>
      <c r="O82" s="22" t="str">
        <f>'IND123'!O24</f>
        <v/>
      </c>
    </row>
    <row r="83" spans="1:15" x14ac:dyDescent="0.35">
      <c r="B83" t="s">
        <v>277</v>
      </c>
      <c r="C83" s="22" t="str">
        <f>'IND123'!C25</f>
        <v/>
      </c>
      <c r="D83" s="22">
        <f>'IND123'!D25</f>
        <v>6.2332004361093896</v>
      </c>
      <c r="E83" s="22" t="str">
        <f>'IND123'!E25</f>
        <v/>
      </c>
      <c r="F83" s="22" t="str">
        <f>'IND123'!F25</f>
        <v/>
      </c>
      <c r="G83" s="22" t="str">
        <f>'IND123'!G25</f>
        <v/>
      </c>
      <c r="H83" s="22" t="str">
        <f>'IND123'!H25</f>
        <v/>
      </c>
      <c r="I83" s="22">
        <f>'IND123'!I25</f>
        <v>19.307188852935553</v>
      </c>
      <c r="J83" s="22" t="str">
        <f>'IND123'!J25</f>
        <v/>
      </c>
      <c r="K83" s="22" t="str">
        <f>'IND123'!K25</f>
        <v/>
      </c>
      <c r="L83" s="22" t="str">
        <f>'IND123'!L25</f>
        <v/>
      </c>
      <c r="M83" s="22" t="str">
        <f>'IND123'!M25</f>
        <v/>
      </c>
      <c r="N83" s="22" t="str">
        <f>'IND123'!N25</f>
        <v/>
      </c>
      <c r="O83" s="22" t="str">
        <f>'IND123'!O25</f>
        <v/>
      </c>
    </row>
    <row r="85" spans="1:15" x14ac:dyDescent="0.35">
      <c r="B85" t="s">
        <v>270</v>
      </c>
      <c r="C85" s="22">
        <f>'IND123'!C27</f>
        <v>15.3</v>
      </c>
      <c r="D85" s="22">
        <f>'IND123'!D27</f>
        <v>15.3</v>
      </c>
      <c r="E85" s="22">
        <f>'IND123'!E27</f>
        <v>15.3</v>
      </c>
      <c r="F85" s="22">
        <f>'IND123'!F27</f>
        <v>15.3</v>
      </c>
      <c r="G85" s="22">
        <f>'IND123'!G27</f>
        <v>15.3</v>
      </c>
      <c r="H85" s="22">
        <f>'IND123'!H27</f>
        <v>15.3</v>
      </c>
      <c r="I85" s="22">
        <f>'IND123'!I27</f>
        <v>15.3</v>
      </c>
      <c r="J85" s="22">
        <f>'IND123'!J27</f>
        <v>15.3</v>
      </c>
      <c r="K85" s="22">
        <f>'IND123'!K27</f>
        <v>15.3</v>
      </c>
      <c r="L85" s="22">
        <f>'IND123'!L27</f>
        <v>15.3</v>
      </c>
      <c r="M85" s="22">
        <f>'IND123'!M27</f>
        <v>15.3</v>
      </c>
      <c r="N85" s="22">
        <f>'IND123'!N27</f>
        <v>15.3</v>
      </c>
      <c r="O85" s="22">
        <f>'IND123'!O27</f>
        <v>15.3</v>
      </c>
    </row>
    <row r="86" spans="1:15" x14ac:dyDescent="0.35">
      <c r="B86" t="s">
        <v>283</v>
      </c>
      <c r="C86" s="22" t="str">
        <f>'IND123'!C28</f>
        <v/>
      </c>
      <c r="D86" s="22">
        <f>'IND123'!D28</f>
        <v>-9.066799563890612</v>
      </c>
      <c r="E86" s="22" t="str">
        <f>'IND123'!E28</f>
        <v/>
      </c>
      <c r="F86" s="22" t="str">
        <f>'IND123'!F28</f>
        <v/>
      </c>
      <c r="G86" s="22" t="str">
        <f>'IND123'!G28</f>
        <v/>
      </c>
      <c r="H86" s="22" t="str">
        <f>'IND123'!H28</f>
        <v/>
      </c>
      <c r="I86" s="22">
        <f>'IND123'!I28</f>
        <v>4.0071888529355526</v>
      </c>
      <c r="J86" s="22" t="str">
        <f>'IND123'!J28</f>
        <v/>
      </c>
      <c r="K86" s="22" t="str">
        <f>'IND123'!K28</f>
        <v/>
      </c>
      <c r="L86" s="22" t="str">
        <f>'IND123'!L28</f>
        <v/>
      </c>
      <c r="M86" s="22" t="str">
        <f>'IND123'!M28</f>
        <v/>
      </c>
      <c r="N86" s="22" t="str">
        <f>'IND123'!N28</f>
        <v/>
      </c>
      <c r="O86" s="22" t="str">
        <f>'IND123'!O28</f>
        <v/>
      </c>
    </row>
    <row r="87" spans="1:15" x14ac:dyDescent="0.35">
      <c r="B87" t="s">
        <v>279</v>
      </c>
      <c r="C87" s="21" t="str">
        <f>'IND123'!C29</f>
        <v/>
      </c>
      <c r="D87" s="21" t="b">
        <f>'IND123'!D29</f>
        <v>0</v>
      </c>
      <c r="E87" s="21" t="str">
        <f>'IND123'!E29</f>
        <v/>
      </c>
      <c r="F87" s="21" t="str">
        <f>'IND123'!F29</f>
        <v/>
      </c>
      <c r="G87" s="21" t="str">
        <f>'IND123'!G29</f>
        <v/>
      </c>
      <c r="H87" s="21" t="str">
        <f>'IND123'!H29</f>
        <v/>
      </c>
      <c r="I87" s="21" t="b">
        <f>'IND123'!I29</f>
        <v>1</v>
      </c>
      <c r="J87" s="21" t="str">
        <f>'IND123'!J29</f>
        <v/>
      </c>
      <c r="K87" s="21" t="str">
        <f>'IND123'!K29</f>
        <v/>
      </c>
      <c r="L87" s="21" t="str">
        <f>'IND123'!L29</f>
        <v/>
      </c>
      <c r="M87" s="21" t="str">
        <f>'IND123'!M29</f>
        <v/>
      </c>
      <c r="N87" s="21" t="str">
        <f>'IND123'!N29</f>
        <v/>
      </c>
      <c r="O87" s="21" t="str">
        <f>'IND123'!O29</f>
        <v/>
      </c>
    </row>
    <row r="88" spans="1:15" ht="9.9" customHeight="1" x14ac:dyDescent="0.35">
      <c r="B88" s="23"/>
      <c r="C88" s="24"/>
      <c r="D88" s="24"/>
      <c r="E88" s="24"/>
      <c r="F88" s="24"/>
      <c r="G88" s="24"/>
      <c r="H88" s="24"/>
      <c r="I88" s="24"/>
      <c r="J88" s="24"/>
      <c r="K88" s="24"/>
      <c r="L88" s="24"/>
      <c r="M88" s="24"/>
      <c r="N88" s="24"/>
      <c r="O88" s="24"/>
    </row>
    <row r="89" spans="1:15" ht="9.9" customHeight="1" x14ac:dyDescent="0.35"/>
    <row r="90" spans="1:15" x14ac:dyDescent="0.35">
      <c r="B90" t="s">
        <v>280</v>
      </c>
      <c r="C90" s="21" t="str">
        <f>'IND123'!C32</f>
        <v/>
      </c>
      <c r="D90" s="21">
        <f>'IND123'!D32</f>
        <v>4</v>
      </c>
      <c r="E90" s="21" t="str">
        <f>'IND123'!E32</f>
        <v/>
      </c>
      <c r="F90" s="21" t="str">
        <f>'IND123'!F32</f>
        <v/>
      </c>
      <c r="G90" s="21" t="str">
        <f>'IND123'!G32</f>
        <v/>
      </c>
      <c r="H90" s="21" t="str">
        <f>'IND123'!H32</f>
        <v/>
      </c>
      <c r="I90" s="21">
        <f>'IND123'!I32</f>
        <v>4</v>
      </c>
      <c r="J90" s="21" t="str">
        <f>'IND123'!J32</f>
        <v/>
      </c>
      <c r="K90" s="21" t="str">
        <f>'IND123'!K32</f>
        <v/>
      </c>
      <c r="L90" s="21" t="str">
        <f>'IND123'!L32</f>
        <v/>
      </c>
      <c r="M90" s="21" t="str">
        <f>'IND123'!M32</f>
        <v/>
      </c>
      <c r="N90" s="21" t="str">
        <f>'IND123'!N32</f>
        <v/>
      </c>
      <c r="O90" s="21" t="str">
        <f>'IND123'!O32</f>
        <v/>
      </c>
    </row>
    <row r="91" spans="1:15" x14ac:dyDescent="0.35">
      <c r="B91" t="s">
        <v>281</v>
      </c>
      <c r="C91" s="21">
        <f>'IND123'!C33</f>
        <v>3</v>
      </c>
      <c r="D91" s="21">
        <f>'IND123'!D33</f>
        <v>3</v>
      </c>
      <c r="E91" s="21">
        <f>'IND123'!E33</f>
        <v>3</v>
      </c>
      <c r="F91" s="21">
        <f>'IND123'!F33</f>
        <v>3</v>
      </c>
      <c r="G91" s="21">
        <f>'IND123'!G33</f>
        <v>3</v>
      </c>
      <c r="H91" s="21">
        <f>'IND123'!H33</f>
        <v>3</v>
      </c>
      <c r="I91" s="21">
        <f>'IND123'!I33</f>
        <v>3</v>
      </c>
      <c r="J91" s="21">
        <f>'IND123'!J33</f>
        <v>3</v>
      </c>
      <c r="K91" s="21">
        <f>'IND123'!K33</f>
        <v>3</v>
      </c>
      <c r="L91" s="21">
        <f>'IND123'!L33</f>
        <v>3</v>
      </c>
      <c r="M91" s="21">
        <f>'IND123'!M33</f>
        <v>3</v>
      </c>
      <c r="N91" s="21">
        <f>'IND123'!N33</f>
        <v>3</v>
      </c>
      <c r="O91" s="21">
        <f>'IND123'!O33</f>
        <v>3</v>
      </c>
    </row>
    <row r="92" spans="1:15" x14ac:dyDescent="0.35">
      <c r="B92" t="s">
        <v>282</v>
      </c>
      <c r="C92" s="21" t="str">
        <f>'IND123'!C34</f>
        <v/>
      </c>
      <c r="D92" s="21" t="b">
        <f>'IND123'!D34</f>
        <v>1</v>
      </c>
      <c r="E92" s="21" t="str">
        <f>'IND123'!E34</f>
        <v/>
      </c>
      <c r="F92" s="21" t="str">
        <f>'IND123'!F34</f>
        <v/>
      </c>
      <c r="G92" s="21" t="str">
        <f>'IND123'!G34</f>
        <v/>
      </c>
      <c r="H92" s="21" t="str">
        <f>'IND123'!H34</f>
        <v/>
      </c>
      <c r="I92" s="21" t="b">
        <f>'IND123'!I34</f>
        <v>1</v>
      </c>
      <c r="J92" s="21" t="str">
        <f>'IND123'!J34</f>
        <v/>
      </c>
      <c r="K92" s="21" t="str">
        <f>'IND123'!K34</f>
        <v/>
      </c>
      <c r="L92" s="21" t="str">
        <f>'IND123'!L34</f>
        <v/>
      </c>
      <c r="M92" s="21" t="str">
        <f>'IND123'!M34</f>
        <v/>
      </c>
      <c r="N92" s="21" t="str">
        <f>'IND123'!N34</f>
        <v/>
      </c>
      <c r="O92" s="21" t="str">
        <f>'IND123'!O34</f>
        <v/>
      </c>
    </row>
    <row r="93" spans="1:15" ht="9.9" customHeight="1" x14ac:dyDescent="0.35">
      <c r="A93" s="29"/>
      <c r="B93" s="20"/>
      <c r="C93" s="25"/>
      <c r="D93" s="25"/>
      <c r="E93" s="25"/>
      <c r="F93" s="25"/>
      <c r="G93" s="25"/>
      <c r="H93" s="25"/>
      <c r="I93" s="25"/>
      <c r="J93" s="25"/>
      <c r="K93" s="25"/>
      <c r="L93" s="25"/>
      <c r="M93" s="25"/>
      <c r="N93" s="25"/>
      <c r="O93" s="25"/>
    </row>
    <row r="94" spans="1:15" ht="9.9" customHeight="1" x14ac:dyDescent="0.35"/>
    <row r="95" spans="1:15" x14ac:dyDescent="0.35">
      <c r="A95" s="26" t="s">
        <v>99</v>
      </c>
      <c r="B95" t="s">
        <v>274</v>
      </c>
      <c r="C95" s="22" t="str">
        <f>IND131N!C13</f>
        <v/>
      </c>
      <c r="D95" s="22">
        <f>IND131N!D13</f>
        <v>3.9943639291465383</v>
      </c>
      <c r="E95" s="22" t="str">
        <f>IND131N!E13</f>
        <v/>
      </c>
      <c r="F95" s="22" t="str">
        <f>IND131N!F13</f>
        <v/>
      </c>
      <c r="G95" s="22" t="str">
        <f>IND131N!G13</f>
        <v/>
      </c>
      <c r="H95" s="22" t="str">
        <f>IND131N!H13</f>
        <v/>
      </c>
      <c r="I95" s="22">
        <f>IND131N!I13</f>
        <v>13.483091787439614</v>
      </c>
      <c r="J95" s="22" t="str">
        <f>IND131N!J13</f>
        <v/>
      </c>
      <c r="K95" s="22" t="str">
        <f>IND131N!K13</f>
        <v/>
      </c>
      <c r="L95" s="22">
        <f>IND131N!L13</f>
        <v>15.360708534621576</v>
      </c>
      <c r="M95" s="22" t="str">
        <f>IND131N!M13</f>
        <v/>
      </c>
      <c r="N95" s="22" t="str">
        <f>IND131N!N13</f>
        <v/>
      </c>
      <c r="O95" s="22" t="str">
        <f>IND131N!O13</f>
        <v/>
      </c>
    </row>
    <row r="96" spans="1:15" x14ac:dyDescent="0.35">
      <c r="B96" t="s">
        <v>275</v>
      </c>
      <c r="C96" s="22" t="str">
        <f>IND131N!C14</f>
        <v/>
      </c>
      <c r="D96" s="22">
        <f>IND131N!D14</f>
        <v>5.6375516659453071</v>
      </c>
      <c r="E96" s="22" t="str">
        <f>IND131N!E14</f>
        <v/>
      </c>
      <c r="F96" s="22" t="str">
        <f>IND131N!F14</f>
        <v/>
      </c>
      <c r="G96" s="22" t="str">
        <f>IND131N!G14</f>
        <v/>
      </c>
      <c r="H96" s="22" t="str">
        <f>IND131N!H14</f>
        <v/>
      </c>
      <c r="I96" s="22">
        <f>IND131N!I14</f>
        <v>15.199752112887094</v>
      </c>
      <c r="J96" s="22" t="str">
        <f>IND131N!J14</f>
        <v/>
      </c>
      <c r="K96" s="22" t="str">
        <f>IND131N!K14</f>
        <v/>
      </c>
      <c r="L96" s="22">
        <f>IND131N!L14</f>
        <v>11.642850148939289</v>
      </c>
      <c r="M96" s="22" t="str">
        <f>IND131N!M14</f>
        <v/>
      </c>
      <c r="N96" s="22" t="str">
        <f>IND131N!N14</f>
        <v/>
      </c>
      <c r="O96" s="22" t="str">
        <f>IND131N!O14</f>
        <v/>
      </c>
    </row>
    <row r="97" spans="1:15" x14ac:dyDescent="0.35">
      <c r="B97" t="s">
        <v>276</v>
      </c>
      <c r="C97" s="22" t="str">
        <f>IND131N!C15</f>
        <v/>
      </c>
      <c r="D97" s="22">
        <f>IND131N!D15</f>
        <v>2.6248728254881444</v>
      </c>
      <c r="E97" s="22" t="str">
        <f>IND131N!E15</f>
        <v/>
      </c>
      <c r="F97" s="22" t="str">
        <f>IND131N!F15</f>
        <v/>
      </c>
      <c r="G97" s="22" t="str">
        <f>IND131N!G15</f>
        <v/>
      </c>
      <c r="H97" s="22" t="str">
        <f>IND131N!H15</f>
        <v/>
      </c>
      <c r="I97" s="22">
        <f>IND131N!I15</f>
        <v>7.0770821518641149</v>
      </c>
      <c r="J97" s="22" t="str">
        <f>IND131N!J15</f>
        <v/>
      </c>
      <c r="K97" s="22" t="str">
        <f>IND131N!K15</f>
        <v/>
      </c>
      <c r="L97" s="22">
        <f>IND131N!L15</f>
        <v>5.4209704456973435</v>
      </c>
      <c r="M97" s="22" t="str">
        <f>IND131N!M15</f>
        <v/>
      </c>
      <c r="N97" s="22" t="str">
        <f>IND131N!N15</f>
        <v/>
      </c>
      <c r="O97" s="22" t="str">
        <f>IND131N!O15</f>
        <v/>
      </c>
    </row>
    <row r="98" spans="1:15" x14ac:dyDescent="0.35">
      <c r="B98" t="s">
        <v>277</v>
      </c>
      <c r="C98" s="22" t="str">
        <f>IND131N!C16</f>
        <v/>
      </c>
      <c r="D98" s="22">
        <f>IND131N!D16</f>
        <v>6.6192367546346826</v>
      </c>
      <c r="E98" s="22" t="str">
        <f>IND131N!E16</f>
        <v/>
      </c>
      <c r="F98" s="22" t="str">
        <f>IND131N!F16</f>
        <v/>
      </c>
      <c r="G98" s="22" t="str">
        <f>IND131N!G16</f>
        <v/>
      </c>
      <c r="H98" s="22" t="str">
        <f>IND131N!H16</f>
        <v/>
      </c>
      <c r="I98" s="22">
        <f>IND131N!I16</f>
        <v>20.560173939303731</v>
      </c>
      <c r="J98" s="22" t="str">
        <f>IND131N!J16</f>
        <v/>
      </c>
      <c r="K98" s="22" t="str">
        <f>IND131N!K16</f>
        <v/>
      </c>
      <c r="L98" s="22">
        <f>IND131N!L16</f>
        <v>20.781678980318919</v>
      </c>
      <c r="M98" s="22" t="str">
        <f>IND131N!M16</f>
        <v/>
      </c>
      <c r="N98" s="22" t="str">
        <f>IND131N!N16</f>
        <v/>
      </c>
      <c r="O98" s="22" t="str">
        <f>IND131N!O16</f>
        <v/>
      </c>
    </row>
    <row r="100" spans="1:15" x14ac:dyDescent="0.35">
      <c r="B100" t="s">
        <v>270</v>
      </c>
      <c r="C100" s="22">
        <f>IND131N!C18</f>
        <v>15.3</v>
      </c>
      <c r="D100" s="22">
        <f>IND131N!D18</f>
        <v>15.3</v>
      </c>
      <c r="E100" s="22">
        <f>IND131N!E18</f>
        <v>15.3</v>
      </c>
      <c r="F100" s="22">
        <f>IND131N!F18</f>
        <v>15.3</v>
      </c>
      <c r="G100" s="22">
        <f>IND131N!G18</f>
        <v>15.3</v>
      </c>
      <c r="H100" s="22">
        <f>IND131N!H18</f>
        <v>15.3</v>
      </c>
      <c r="I100" s="22">
        <f>IND131N!I18</f>
        <v>15.3</v>
      </c>
      <c r="J100" s="22">
        <f>IND131N!J18</f>
        <v>15.3</v>
      </c>
      <c r="K100" s="22">
        <f>IND131N!K18</f>
        <v>15.3</v>
      </c>
      <c r="L100" s="22">
        <f>IND131N!L18</f>
        <v>15.3</v>
      </c>
      <c r="M100" s="22">
        <f>IND131N!M18</f>
        <v>15.3</v>
      </c>
      <c r="N100" s="22">
        <f>IND131N!N18</f>
        <v>15.3</v>
      </c>
      <c r="O100" s="22">
        <f>IND131N!O18</f>
        <v>15.3</v>
      </c>
    </row>
    <row r="101" spans="1:15" x14ac:dyDescent="0.35">
      <c r="B101" t="s">
        <v>283</v>
      </c>
      <c r="C101" s="22" t="str">
        <f>IND131N!C19</f>
        <v/>
      </c>
      <c r="D101" s="22">
        <f>IND131N!D19</f>
        <v>-8.6807632453653181</v>
      </c>
      <c r="E101" s="22" t="str">
        <f>IND131N!E19</f>
        <v/>
      </c>
      <c r="F101" s="22" t="str">
        <f>IND131N!F19</f>
        <v/>
      </c>
      <c r="G101" s="22" t="str">
        <f>IND131N!G19</f>
        <v/>
      </c>
      <c r="H101" s="22" t="str">
        <f>IND131N!H19</f>
        <v/>
      </c>
      <c r="I101" s="22">
        <f>IND131N!I19</f>
        <v>5.2601739393037299</v>
      </c>
      <c r="J101" s="22" t="str">
        <f>IND131N!J19</f>
        <v/>
      </c>
      <c r="K101" s="22" t="str">
        <f>IND131N!K19</f>
        <v/>
      </c>
      <c r="L101" s="22">
        <f>IND131N!L19</f>
        <v>5.4816789803189181</v>
      </c>
      <c r="M101" s="22" t="str">
        <f>IND131N!M19</f>
        <v/>
      </c>
      <c r="N101" s="22" t="str">
        <f>IND131N!N19</f>
        <v/>
      </c>
      <c r="O101" s="22" t="str">
        <f>IND131N!O19</f>
        <v/>
      </c>
    </row>
    <row r="102" spans="1:15" x14ac:dyDescent="0.35">
      <c r="B102" t="s">
        <v>279</v>
      </c>
      <c r="C102" s="21" t="str">
        <f>IND131N!C20</f>
        <v/>
      </c>
      <c r="D102" s="21" t="b">
        <f>IND131N!D20</f>
        <v>0</v>
      </c>
      <c r="E102" s="21" t="str">
        <f>IND131N!E20</f>
        <v/>
      </c>
      <c r="F102" s="21" t="str">
        <f>IND131N!F20</f>
        <v/>
      </c>
      <c r="G102" s="21" t="str">
        <f>IND131N!G20</f>
        <v/>
      </c>
      <c r="H102" s="21" t="str">
        <f>IND131N!H20</f>
        <v/>
      </c>
      <c r="I102" s="21" t="b">
        <f>IND131N!I20</f>
        <v>1</v>
      </c>
      <c r="J102" s="21" t="str">
        <f>IND131N!J20</f>
        <v/>
      </c>
      <c r="K102" s="21" t="str">
        <f>IND131N!K20</f>
        <v/>
      </c>
      <c r="L102" s="21" t="b">
        <f>IND131N!L20</f>
        <v>1</v>
      </c>
      <c r="M102" s="21" t="str">
        <f>IND131N!M20</f>
        <v/>
      </c>
      <c r="N102" s="21" t="str">
        <f>IND131N!N20</f>
        <v/>
      </c>
      <c r="O102" s="21" t="str">
        <f>IND131N!O20</f>
        <v/>
      </c>
    </row>
    <row r="103" spans="1:15" ht="9.9" customHeight="1" x14ac:dyDescent="0.35">
      <c r="B103" s="23"/>
      <c r="C103" s="24"/>
      <c r="D103" s="24"/>
      <c r="E103" s="24"/>
      <c r="F103" s="24"/>
      <c r="G103" s="24"/>
      <c r="H103" s="24"/>
      <c r="I103" s="24"/>
      <c r="J103" s="24"/>
      <c r="K103" s="24"/>
      <c r="L103" s="24"/>
      <c r="M103" s="24"/>
      <c r="N103" s="24"/>
      <c r="O103" s="24"/>
    </row>
    <row r="104" spans="1:15" ht="9.9" customHeight="1" x14ac:dyDescent="0.35"/>
    <row r="105" spans="1:15" x14ac:dyDescent="0.35">
      <c r="B105" t="s">
        <v>280</v>
      </c>
      <c r="C105" s="21" t="str">
        <f>IND131N!C23</f>
        <v/>
      </c>
      <c r="D105" s="21">
        <f>IND131N!D23</f>
        <v>4</v>
      </c>
      <c r="E105" s="21" t="str">
        <f>IND131N!E23</f>
        <v/>
      </c>
      <c r="F105" s="21" t="str">
        <f>IND131N!F23</f>
        <v/>
      </c>
      <c r="G105" s="21" t="str">
        <f>IND131N!G23</f>
        <v/>
      </c>
      <c r="H105" s="21" t="str">
        <f>IND131N!H23</f>
        <v/>
      </c>
      <c r="I105" s="21">
        <f>IND131N!I23</f>
        <v>6</v>
      </c>
      <c r="J105" s="21" t="str">
        <f>IND131N!J23</f>
        <v/>
      </c>
      <c r="K105" s="21" t="str">
        <f>IND131N!K23</f>
        <v/>
      </c>
      <c r="L105" s="21">
        <f>IND131N!L23</f>
        <v>5</v>
      </c>
      <c r="M105" s="21" t="str">
        <f>IND131N!M23</f>
        <v/>
      </c>
      <c r="N105" s="21" t="str">
        <f>IND131N!N23</f>
        <v/>
      </c>
      <c r="O105" s="21" t="str">
        <f>IND131N!O23</f>
        <v/>
      </c>
    </row>
    <row r="106" spans="1:15" x14ac:dyDescent="0.35">
      <c r="B106" t="s">
        <v>281</v>
      </c>
      <c r="C106" s="21">
        <f>IND131N!C24</f>
        <v>3</v>
      </c>
      <c r="D106" s="21">
        <f>IND131N!D24</f>
        <v>3</v>
      </c>
      <c r="E106" s="21">
        <f>IND131N!E24</f>
        <v>3</v>
      </c>
      <c r="F106" s="21">
        <f>IND131N!F24</f>
        <v>3</v>
      </c>
      <c r="G106" s="21">
        <f>IND131N!G24</f>
        <v>3</v>
      </c>
      <c r="H106" s="21">
        <f>IND131N!H24</f>
        <v>3</v>
      </c>
      <c r="I106" s="21">
        <f>IND131N!I24</f>
        <v>3</v>
      </c>
      <c r="J106" s="21">
        <f>IND131N!J24</f>
        <v>3</v>
      </c>
      <c r="K106" s="21">
        <f>IND131N!K24</f>
        <v>3</v>
      </c>
      <c r="L106" s="21">
        <f>IND131N!L24</f>
        <v>3</v>
      </c>
      <c r="M106" s="21">
        <f>IND131N!M24</f>
        <v>3</v>
      </c>
      <c r="N106" s="21">
        <f>IND131N!N24</f>
        <v>3</v>
      </c>
      <c r="O106" s="21">
        <f>IND131N!O24</f>
        <v>3</v>
      </c>
    </row>
    <row r="107" spans="1:15" x14ac:dyDescent="0.35">
      <c r="B107" t="s">
        <v>282</v>
      </c>
      <c r="C107" s="21" t="str">
        <f>IND131N!C25</f>
        <v/>
      </c>
      <c r="D107" s="21" t="b">
        <f>IND131N!D25</f>
        <v>1</v>
      </c>
      <c r="E107" s="21" t="str">
        <f>IND131N!E25</f>
        <v/>
      </c>
      <c r="F107" s="21" t="str">
        <f>IND131N!F25</f>
        <v/>
      </c>
      <c r="G107" s="21" t="str">
        <f>IND131N!G25</f>
        <v/>
      </c>
      <c r="H107" s="21" t="str">
        <f>IND131N!H25</f>
        <v/>
      </c>
      <c r="I107" s="21" t="b">
        <f>IND131N!I25</f>
        <v>1</v>
      </c>
      <c r="J107" s="21" t="str">
        <f>IND131N!J25</f>
        <v/>
      </c>
      <c r="K107" s="21" t="str">
        <f>IND131N!K25</f>
        <v/>
      </c>
      <c r="L107" s="21" t="b">
        <f>IND131N!L25</f>
        <v>1</v>
      </c>
      <c r="M107" s="21" t="str">
        <f>IND131N!M25</f>
        <v/>
      </c>
      <c r="N107" s="21" t="str">
        <f>IND131N!N25</f>
        <v/>
      </c>
      <c r="O107" s="21" t="str">
        <f>IND131N!O25</f>
        <v/>
      </c>
    </row>
    <row r="108" spans="1:15" ht="9.9" customHeight="1" x14ac:dyDescent="0.35">
      <c r="A108" s="29"/>
      <c r="B108" s="20"/>
      <c r="C108" s="25"/>
      <c r="D108" s="25"/>
      <c r="E108" s="25"/>
      <c r="F108" s="25"/>
      <c r="G108" s="25"/>
      <c r="H108" s="25"/>
      <c r="I108" s="25"/>
      <c r="J108" s="25"/>
      <c r="K108" s="25"/>
      <c r="L108" s="25"/>
      <c r="M108" s="25"/>
      <c r="N108" s="25"/>
      <c r="O108" s="25"/>
    </row>
    <row r="109" spans="1:15" ht="9.9" customHeight="1" x14ac:dyDescent="0.35"/>
    <row r="110" spans="1:15" x14ac:dyDescent="0.35">
      <c r="A110" s="26" t="s">
        <v>105</v>
      </c>
      <c r="B110" t="s">
        <v>274</v>
      </c>
      <c r="C110" s="22" t="str">
        <f>IND131S!C26</f>
        <v/>
      </c>
      <c r="D110" s="22">
        <f>IND131S!D26</f>
        <v>2.8115942028985508</v>
      </c>
      <c r="E110" s="22" t="str">
        <f>IND131S!E26</f>
        <v/>
      </c>
      <c r="F110" s="22" t="str">
        <f>IND131S!F26</f>
        <v/>
      </c>
      <c r="G110" s="22" t="str">
        <f>IND131S!G26</f>
        <v/>
      </c>
      <c r="H110" s="22" t="str">
        <f>IND131S!H26</f>
        <v/>
      </c>
      <c r="I110" s="22">
        <f>IND131S!I26</f>
        <v>7.4843764883607351</v>
      </c>
      <c r="J110" s="22" t="str">
        <f>IND131S!J26</f>
        <v/>
      </c>
      <c r="K110" s="22" t="str">
        <f>IND131S!K26</f>
        <v/>
      </c>
      <c r="L110" s="22">
        <f>IND131S!L26</f>
        <v>8.1351960675698152</v>
      </c>
      <c r="M110" s="22" t="str">
        <f>IND131S!M26</f>
        <v/>
      </c>
      <c r="N110" s="22">
        <f>IND131S!N26</f>
        <v>7.3611109614383228</v>
      </c>
      <c r="O110" s="22">
        <f>IND131S!O26</f>
        <v>10.159736750922161</v>
      </c>
    </row>
    <row r="111" spans="1:15" x14ac:dyDescent="0.35">
      <c r="B111" t="s">
        <v>275</v>
      </c>
      <c r="C111" s="22" t="str">
        <f>IND131S!C27</f>
        <v/>
      </c>
      <c r="D111" s="22">
        <f>IND131S!D27</f>
        <v>4.9428029696951787</v>
      </c>
      <c r="E111" s="22" t="str">
        <f>IND131S!E27</f>
        <v/>
      </c>
      <c r="F111" s="22" t="str">
        <f>IND131S!F27</f>
        <v/>
      </c>
      <c r="G111" s="22" t="str">
        <f>IND131S!G27</f>
        <v/>
      </c>
      <c r="H111" s="22" t="str">
        <f>IND131S!H27</f>
        <v/>
      </c>
      <c r="I111" s="22">
        <f>IND131S!I27</f>
        <v>9.1176085393300088</v>
      </c>
      <c r="J111" s="22" t="str">
        <f>IND131S!J27</f>
        <v/>
      </c>
      <c r="K111" s="22" t="str">
        <f>IND131S!K27</f>
        <v/>
      </c>
      <c r="L111" s="22">
        <f>IND131S!L27</f>
        <v>9.2685019802450253</v>
      </c>
      <c r="M111" s="22" t="str">
        <f>IND131S!M27</f>
        <v/>
      </c>
      <c r="N111" s="22">
        <f>IND131S!N27</f>
        <v>7.1866409639024624</v>
      </c>
      <c r="O111" s="22">
        <f>IND131S!O27</f>
        <v>9.907953026107915</v>
      </c>
    </row>
    <row r="112" spans="1:15" x14ac:dyDescent="0.35">
      <c r="B112" t="s">
        <v>276</v>
      </c>
      <c r="C112" s="22" t="str">
        <f>IND131S!C28</f>
        <v/>
      </c>
      <c r="D112" s="22">
        <f>IND131S!D28</f>
        <v>1.4295231368582386</v>
      </c>
      <c r="E112" s="22" t="str">
        <f>IND131S!E28</f>
        <v/>
      </c>
      <c r="F112" s="22" t="str">
        <f>IND131S!F28</f>
        <v/>
      </c>
      <c r="G112" s="22" t="str">
        <f>IND131S!G28</f>
        <v/>
      </c>
      <c r="H112" s="22" t="str">
        <f>IND131S!H28</f>
        <v/>
      </c>
      <c r="I112" s="22">
        <f>IND131S!I28</f>
        <v>2.6369314010087459</v>
      </c>
      <c r="J112" s="22" t="str">
        <f>IND131S!J28</f>
        <v/>
      </c>
      <c r="K112" s="22" t="str">
        <f>IND131S!K28</f>
        <v/>
      </c>
      <c r="L112" s="22">
        <f>IND131S!L28</f>
        <v>2.6805717537217069</v>
      </c>
      <c r="M112" s="22" t="str">
        <f>IND131S!M28</f>
        <v/>
      </c>
      <c r="N112" s="22">
        <f>IND131S!N28</f>
        <v>2.0784703734256529</v>
      </c>
      <c r="O112" s="22">
        <f>IND131S!O28</f>
        <v>2.8655093428899781</v>
      </c>
    </row>
    <row r="113" spans="1:15" x14ac:dyDescent="0.35">
      <c r="B113" t="s">
        <v>277</v>
      </c>
      <c r="C113" s="22" t="str">
        <f>IND131S!C29</f>
        <v/>
      </c>
      <c r="D113" s="22">
        <f>IND131S!D29</f>
        <v>4.241117339756789</v>
      </c>
      <c r="E113" s="22" t="str">
        <f>IND131S!E29</f>
        <v/>
      </c>
      <c r="F113" s="22" t="str">
        <f>IND131S!F29</f>
        <v/>
      </c>
      <c r="G113" s="22" t="str">
        <f>IND131S!G29</f>
        <v/>
      </c>
      <c r="H113" s="22" t="str">
        <f>IND131S!H29</f>
        <v/>
      </c>
      <c r="I113" s="22">
        <f>IND131S!I29</f>
        <v>10.121307889369481</v>
      </c>
      <c r="J113" s="22" t="str">
        <f>IND131S!J29</f>
        <v/>
      </c>
      <c r="K113" s="22" t="str">
        <f>IND131S!K29</f>
        <v/>
      </c>
      <c r="L113" s="22">
        <f>IND131S!L29</f>
        <v>10.815767821291523</v>
      </c>
      <c r="M113" s="22" t="str">
        <f>IND131S!M29</f>
        <v/>
      </c>
      <c r="N113" s="22">
        <f>IND131S!N29</f>
        <v>9.4395813348639752</v>
      </c>
      <c r="O113" s="22">
        <f>IND131S!O29</f>
        <v>13.025246093812139</v>
      </c>
    </row>
    <row r="115" spans="1:15" x14ac:dyDescent="0.35">
      <c r="B115" t="s">
        <v>270</v>
      </c>
      <c r="C115" s="22">
        <f>IND131S!C31</f>
        <v>15.3</v>
      </c>
      <c r="D115" s="22">
        <f>IND131S!D31</f>
        <v>15.3</v>
      </c>
      <c r="E115" s="22">
        <f>IND131S!E31</f>
        <v>15.3</v>
      </c>
      <c r="F115" s="22">
        <f>IND131S!F31</f>
        <v>15.3</v>
      </c>
      <c r="G115" s="22">
        <f>IND131S!G31</f>
        <v>15.3</v>
      </c>
      <c r="H115" s="22">
        <f>IND131S!H31</f>
        <v>15.3</v>
      </c>
      <c r="I115" s="22">
        <f>IND131S!I31</f>
        <v>15.3</v>
      </c>
      <c r="J115" s="22">
        <f>IND131S!J31</f>
        <v>15.3</v>
      </c>
      <c r="K115" s="22">
        <f>IND131S!K31</f>
        <v>15.3</v>
      </c>
      <c r="L115" s="22">
        <f>IND131S!L31</f>
        <v>15.3</v>
      </c>
      <c r="M115" s="22">
        <f>IND131S!M31</f>
        <v>15.3</v>
      </c>
      <c r="N115" s="22">
        <f>IND131S!N31</f>
        <v>15.3</v>
      </c>
      <c r="O115" s="22">
        <f>IND131S!O31</f>
        <v>15.3</v>
      </c>
    </row>
    <row r="116" spans="1:15" x14ac:dyDescent="0.35">
      <c r="B116" t="s">
        <v>283</v>
      </c>
      <c r="C116" s="22" t="str">
        <f>IND131S!C32</f>
        <v/>
      </c>
      <c r="D116" s="22">
        <f>IND131S!D32</f>
        <v>-11.058882660243212</v>
      </c>
      <c r="E116" s="22" t="str">
        <f>IND131S!E32</f>
        <v/>
      </c>
      <c r="F116" s="22" t="str">
        <f>IND131S!F32</f>
        <v/>
      </c>
      <c r="G116" s="22" t="str">
        <f>IND131S!G32</f>
        <v/>
      </c>
      <c r="H116" s="22" t="str">
        <f>IND131S!H32</f>
        <v/>
      </c>
      <c r="I116" s="22">
        <f>IND131S!I32</f>
        <v>-5.1786921106305197</v>
      </c>
      <c r="J116" s="22" t="str">
        <f>IND131S!J32</f>
        <v/>
      </c>
      <c r="K116" s="22" t="str">
        <f>IND131S!K32</f>
        <v/>
      </c>
      <c r="L116" s="22">
        <f>IND131S!L32</f>
        <v>-4.4842321787084778</v>
      </c>
      <c r="M116" s="22" t="str">
        <f>IND131S!M32</f>
        <v/>
      </c>
      <c r="N116" s="22">
        <f>IND131S!N32</f>
        <v>-5.8604186651360255</v>
      </c>
      <c r="O116" s="22">
        <f>IND131S!O32</f>
        <v>-2.2747539061878612</v>
      </c>
    </row>
    <row r="117" spans="1:15" x14ac:dyDescent="0.35">
      <c r="B117" t="s">
        <v>279</v>
      </c>
      <c r="C117" s="21" t="str">
        <f>IND131S!C33</f>
        <v/>
      </c>
      <c r="D117" s="21" t="b">
        <f>IND131S!D33</f>
        <v>0</v>
      </c>
      <c r="E117" s="21" t="str">
        <f>IND131S!E33</f>
        <v/>
      </c>
      <c r="F117" s="21" t="str">
        <f>IND131S!F33</f>
        <v/>
      </c>
      <c r="G117" s="21" t="str">
        <f>IND131S!G33</f>
        <v/>
      </c>
      <c r="H117" s="21" t="str">
        <f>IND131S!H33</f>
        <v/>
      </c>
      <c r="I117" s="21" t="b">
        <f>IND131S!I33</f>
        <v>0</v>
      </c>
      <c r="J117" s="21" t="str">
        <f>IND131S!J33</f>
        <v/>
      </c>
      <c r="K117" s="21" t="str">
        <f>IND131S!K33</f>
        <v/>
      </c>
      <c r="L117" s="21" t="b">
        <f>IND131S!L33</f>
        <v>0</v>
      </c>
      <c r="M117" s="21" t="str">
        <f>IND131S!M33</f>
        <v/>
      </c>
      <c r="N117" s="21" t="b">
        <f>IND131S!N33</f>
        <v>0</v>
      </c>
      <c r="O117" s="21" t="b">
        <f>IND131S!O33</f>
        <v>0</v>
      </c>
    </row>
    <row r="118" spans="1:15" ht="9.9" customHeight="1" x14ac:dyDescent="0.35">
      <c r="B118" s="23"/>
      <c r="C118" s="24"/>
      <c r="D118" s="24"/>
      <c r="E118" s="24"/>
      <c r="F118" s="24"/>
      <c r="G118" s="24"/>
      <c r="H118" s="24"/>
      <c r="I118" s="24"/>
      <c r="J118" s="24"/>
      <c r="K118" s="24"/>
      <c r="L118" s="24"/>
      <c r="M118" s="24"/>
      <c r="N118" s="24"/>
      <c r="O118" s="24"/>
    </row>
    <row r="119" spans="1:15" ht="9.9" customHeight="1" x14ac:dyDescent="0.35"/>
    <row r="120" spans="1:15" x14ac:dyDescent="0.35">
      <c r="B120" t="s">
        <v>280</v>
      </c>
      <c r="C120" s="21" t="str">
        <f>IND131S!C36</f>
        <v/>
      </c>
      <c r="D120" s="21">
        <f>IND131S!D36</f>
        <v>4</v>
      </c>
      <c r="E120" s="21" t="str">
        <f>IND131S!E36</f>
        <v/>
      </c>
      <c r="F120" s="21" t="str">
        <f>IND131S!F36</f>
        <v/>
      </c>
      <c r="G120" s="21" t="str">
        <f>IND131S!G36</f>
        <v/>
      </c>
      <c r="H120" s="21" t="str">
        <f>IND131S!H36</f>
        <v/>
      </c>
      <c r="I120" s="21">
        <f>IND131S!I36</f>
        <v>7</v>
      </c>
      <c r="J120" s="21" t="str">
        <f>IND131S!J36</f>
        <v/>
      </c>
      <c r="K120" s="21" t="str">
        <f>IND131S!K36</f>
        <v/>
      </c>
      <c r="L120" s="21">
        <f>IND131S!L36</f>
        <v>7</v>
      </c>
      <c r="M120" s="21" t="str">
        <f>IND131S!M36</f>
        <v/>
      </c>
      <c r="N120" s="21">
        <f>IND131S!N36</f>
        <v>7</v>
      </c>
      <c r="O120" s="21">
        <f>IND131S!O36</f>
        <v>6</v>
      </c>
    </row>
    <row r="121" spans="1:15" x14ac:dyDescent="0.35">
      <c r="B121" t="s">
        <v>281</v>
      </c>
      <c r="C121" s="21">
        <f>IND131S!C37</f>
        <v>3</v>
      </c>
      <c r="D121" s="21">
        <f>IND131S!D37</f>
        <v>3</v>
      </c>
      <c r="E121" s="21">
        <f>IND131S!E37</f>
        <v>3</v>
      </c>
      <c r="F121" s="21">
        <f>IND131S!F37</f>
        <v>3</v>
      </c>
      <c r="G121" s="21">
        <f>IND131S!G37</f>
        <v>3</v>
      </c>
      <c r="H121" s="21">
        <f>IND131S!H37</f>
        <v>3</v>
      </c>
      <c r="I121" s="21">
        <f>IND131S!I37</f>
        <v>3</v>
      </c>
      <c r="J121" s="21">
        <f>IND131S!J37</f>
        <v>3</v>
      </c>
      <c r="K121" s="21">
        <f>IND131S!K37</f>
        <v>3</v>
      </c>
      <c r="L121" s="21">
        <f>IND131S!L37</f>
        <v>3</v>
      </c>
      <c r="M121" s="21">
        <f>IND131S!M37</f>
        <v>3</v>
      </c>
      <c r="N121" s="21">
        <f>IND131S!N37</f>
        <v>3</v>
      </c>
      <c r="O121" s="21">
        <f>IND131S!O37</f>
        <v>3</v>
      </c>
    </row>
    <row r="122" spans="1:15" x14ac:dyDescent="0.35">
      <c r="B122" t="s">
        <v>282</v>
      </c>
      <c r="C122" s="21" t="str">
        <f>IND131S!C38</f>
        <v/>
      </c>
      <c r="D122" s="21" t="b">
        <f>IND131S!D38</f>
        <v>1</v>
      </c>
      <c r="E122" s="21" t="str">
        <f>IND131S!E38</f>
        <v/>
      </c>
      <c r="F122" s="21" t="str">
        <f>IND131S!F38</f>
        <v/>
      </c>
      <c r="G122" s="21" t="str">
        <f>IND131S!G38</f>
        <v/>
      </c>
      <c r="H122" s="21" t="str">
        <f>IND131S!H38</f>
        <v/>
      </c>
      <c r="I122" s="21" t="b">
        <f>IND131S!I38</f>
        <v>1</v>
      </c>
      <c r="J122" s="21" t="str">
        <f>IND131S!J38</f>
        <v/>
      </c>
      <c r="K122" s="21" t="str">
        <f>IND131S!K38</f>
        <v/>
      </c>
      <c r="L122" s="21" t="b">
        <f>IND131S!L38</f>
        <v>1</v>
      </c>
      <c r="M122" s="21" t="str">
        <f>IND131S!M38</f>
        <v/>
      </c>
      <c r="N122" s="21" t="b">
        <f>IND131S!N38</f>
        <v>1</v>
      </c>
      <c r="O122" s="21" t="b">
        <f>IND131S!O38</f>
        <v>1</v>
      </c>
    </row>
    <row r="123" spans="1:15" ht="9.9" customHeight="1" x14ac:dyDescent="0.35">
      <c r="A123" s="29"/>
      <c r="B123" s="20"/>
      <c r="C123" s="25"/>
      <c r="D123" s="25"/>
      <c r="E123" s="25"/>
      <c r="F123" s="25"/>
      <c r="G123" s="25"/>
      <c r="H123" s="25"/>
      <c r="I123" s="25"/>
      <c r="J123" s="25"/>
      <c r="K123" s="25"/>
      <c r="L123" s="25"/>
      <c r="M123" s="25"/>
      <c r="N123" s="25"/>
      <c r="O123" s="25"/>
    </row>
    <row r="124" spans="1:15" ht="9.9" customHeight="1" x14ac:dyDescent="0.35"/>
    <row r="125" spans="1:15" x14ac:dyDescent="0.35">
      <c r="A125" s="26" t="s">
        <v>138</v>
      </c>
      <c r="B125" t="s">
        <v>274</v>
      </c>
      <c r="C125" s="22">
        <f>'LAW118'!C27</f>
        <v>0.7542321276336621</v>
      </c>
      <c r="D125" s="22" t="str">
        <f>'LAW118'!D27</f>
        <v/>
      </c>
      <c r="E125" s="22" t="str">
        <f>'LAW118'!E27</f>
        <v/>
      </c>
      <c r="F125" s="22" t="str">
        <f>'LAW118'!F27</f>
        <v/>
      </c>
      <c r="G125" s="22" t="str">
        <f>'LAW118'!G27</f>
        <v/>
      </c>
      <c r="H125" s="22" t="str">
        <f>'LAW118'!H27</f>
        <v/>
      </c>
      <c r="I125" s="22">
        <f>'LAW118'!I27</f>
        <v>1.6243556074311838</v>
      </c>
      <c r="J125" s="22" t="str">
        <f>'LAW118'!J27</f>
        <v/>
      </c>
      <c r="K125" s="22" t="str">
        <f>'LAW118'!K27</f>
        <v/>
      </c>
      <c r="L125" s="22">
        <f>'LAW118'!L27</f>
        <v>1.7906332068864896</v>
      </c>
      <c r="M125" s="22" t="str">
        <f>'LAW118'!M27</f>
        <v/>
      </c>
      <c r="N125" s="22">
        <f>'LAW118'!N27</f>
        <v>2.2904691721935642</v>
      </c>
      <c r="O125" s="22">
        <f>'LAW118'!O27</f>
        <v>6.2620874436731215</v>
      </c>
    </row>
    <row r="126" spans="1:15" x14ac:dyDescent="0.35">
      <c r="B126" t="s">
        <v>275</v>
      </c>
      <c r="C126" s="22">
        <f>'LAW118'!C28</f>
        <v>1.4977536214494023</v>
      </c>
      <c r="D126" s="22" t="str">
        <f>'LAW118'!D28</f>
        <v/>
      </c>
      <c r="E126" s="22" t="str">
        <f>'LAW118'!E28</f>
        <v/>
      </c>
      <c r="F126" s="22" t="str">
        <f>'LAW118'!F28</f>
        <v/>
      </c>
      <c r="G126" s="22" t="str">
        <f>'LAW118'!G28</f>
        <v/>
      </c>
      <c r="H126" s="22" t="str">
        <f>'LAW118'!H28</f>
        <v/>
      </c>
      <c r="I126" s="22">
        <f>'LAW118'!I28</f>
        <v>2.5640910199948186</v>
      </c>
      <c r="J126" s="22" t="str">
        <f>'LAW118'!J28</f>
        <v/>
      </c>
      <c r="K126" s="22" t="str">
        <f>'LAW118'!K28</f>
        <v/>
      </c>
      <c r="L126" s="22">
        <f>'LAW118'!L28</f>
        <v>3.1852674719711991</v>
      </c>
      <c r="M126" s="22" t="str">
        <f>'LAW118'!M28</f>
        <v/>
      </c>
      <c r="N126" s="22">
        <f>'LAW118'!N28</f>
        <v>4.8730034040955221</v>
      </c>
      <c r="O126" s="22">
        <f>'LAW118'!O28</f>
        <v>10.300030334713083</v>
      </c>
    </row>
    <row r="127" spans="1:15" x14ac:dyDescent="0.35">
      <c r="B127" t="s">
        <v>276</v>
      </c>
      <c r="C127" s="22">
        <f>'LAW118'!C29</f>
        <v>0.41262648717411698</v>
      </c>
      <c r="D127" s="22" t="str">
        <f>'LAW118'!D29</f>
        <v/>
      </c>
      <c r="E127" s="22" t="str">
        <f>'LAW118'!E29</f>
        <v/>
      </c>
      <c r="F127" s="22" t="str">
        <f>'LAW118'!F29</f>
        <v/>
      </c>
      <c r="G127" s="22" t="str">
        <f>'LAW118'!G29</f>
        <v/>
      </c>
      <c r="H127" s="22" t="str">
        <f>'LAW118'!H29</f>
        <v/>
      </c>
      <c r="I127" s="22">
        <f>'LAW118'!I29</f>
        <v>0.70639914016786287</v>
      </c>
      <c r="J127" s="22" t="str">
        <f>'LAW118'!J29</f>
        <v/>
      </c>
      <c r="K127" s="22" t="str">
        <f>'LAW118'!K29</f>
        <v/>
      </c>
      <c r="L127" s="22">
        <f>'LAW118'!L29</f>
        <v>0.87753133015132367</v>
      </c>
      <c r="M127" s="22" t="str">
        <f>'LAW118'!M29</f>
        <v/>
      </c>
      <c r="N127" s="22">
        <f>'LAW118'!N29</f>
        <v>1.3424973559226856</v>
      </c>
      <c r="O127" s="22">
        <f>'LAW118'!O29</f>
        <v>2.8376264787039149</v>
      </c>
    </row>
    <row r="128" spans="1:15" x14ac:dyDescent="0.35">
      <c r="B128" t="s">
        <v>277</v>
      </c>
      <c r="C128" s="22">
        <f>'LAW118'!C30</f>
        <v>1.1668586148077791</v>
      </c>
      <c r="D128" s="22" t="str">
        <f>'LAW118'!D30</f>
        <v/>
      </c>
      <c r="E128" s="22" t="str">
        <f>'LAW118'!E30</f>
        <v/>
      </c>
      <c r="F128" s="22" t="str">
        <f>'LAW118'!F30</f>
        <v/>
      </c>
      <c r="G128" s="22" t="str">
        <f>'LAW118'!G30</f>
        <v/>
      </c>
      <c r="H128" s="22" t="str">
        <f>'LAW118'!H30</f>
        <v/>
      </c>
      <c r="I128" s="22">
        <f>'LAW118'!I30</f>
        <v>2.3307547475990464</v>
      </c>
      <c r="J128" s="22" t="str">
        <f>'LAW118'!J30</f>
        <v/>
      </c>
      <c r="K128" s="22" t="str">
        <f>'LAW118'!K30</f>
        <v/>
      </c>
      <c r="L128" s="22">
        <f>'LAW118'!L30</f>
        <v>2.6681645370378133</v>
      </c>
      <c r="M128" s="22" t="str">
        <f>'LAW118'!M30</f>
        <v/>
      </c>
      <c r="N128" s="22">
        <f>'LAW118'!N30</f>
        <v>3.63296652811625</v>
      </c>
      <c r="O128" s="22">
        <f>'LAW118'!O30</f>
        <v>9.0997139223770365</v>
      </c>
    </row>
    <row r="130" spans="1:15" x14ac:dyDescent="0.35">
      <c r="B130" t="s">
        <v>270</v>
      </c>
      <c r="C130" s="22">
        <f>'LAW118'!C32</f>
        <v>10.35</v>
      </c>
      <c r="D130" s="22">
        <f>'LAW118'!D32</f>
        <v>10.35</v>
      </c>
      <c r="E130" s="22">
        <f>'LAW118'!E32</f>
        <v>10.35</v>
      </c>
      <c r="F130" s="22">
        <f>'LAW118'!F32</f>
        <v>10.35</v>
      </c>
      <c r="G130" s="22">
        <f>'LAW118'!G32</f>
        <v>10.35</v>
      </c>
      <c r="H130" s="22">
        <f>'LAW118'!H32</f>
        <v>10.35</v>
      </c>
      <c r="I130" s="22">
        <f>'LAW118'!I32</f>
        <v>10.35</v>
      </c>
      <c r="J130" s="22">
        <f>'LAW118'!J32</f>
        <v>10.35</v>
      </c>
      <c r="K130" s="22">
        <f>'LAW118'!K32</f>
        <v>10.35</v>
      </c>
      <c r="L130" s="22">
        <f>'LAW118'!L32</f>
        <v>10.35</v>
      </c>
      <c r="M130" s="22">
        <f>'LAW118'!M32</f>
        <v>10.35</v>
      </c>
      <c r="N130" s="22">
        <f>'LAW118'!N32</f>
        <v>10.35</v>
      </c>
      <c r="O130" s="22">
        <f>'LAW118'!O32</f>
        <v>10.35</v>
      </c>
    </row>
    <row r="131" spans="1:15" x14ac:dyDescent="0.35">
      <c r="B131" t="s">
        <v>283</v>
      </c>
      <c r="C131" s="22">
        <f>'LAW118'!C33</f>
        <v>-9.1831413851922203</v>
      </c>
      <c r="D131" s="22" t="str">
        <f>'LAW118'!D33</f>
        <v/>
      </c>
      <c r="E131" s="22" t="str">
        <f>'LAW118'!E33</f>
        <v/>
      </c>
      <c r="F131" s="22" t="str">
        <f>'LAW118'!F33</f>
        <v/>
      </c>
      <c r="G131" s="22" t="str">
        <f>'LAW118'!G33</f>
        <v/>
      </c>
      <c r="H131" s="22" t="str">
        <f>'LAW118'!H33</f>
        <v/>
      </c>
      <c r="I131" s="22">
        <f>'LAW118'!I33</f>
        <v>-8.0192452524009532</v>
      </c>
      <c r="J131" s="22" t="str">
        <f>'LAW118'!J33</f>
        <v/>
      </c>
      <c r="K131" s="22" t="str">
        <f>'LAW118'!K33</f>
        <v/>
      </c>
      <c r="L131" s="22">
        <f>'LAW118'!L33</f>
        <v>-7.6818354629621863</v>
      </c>
      <c r="M131" s="22" t="str">
        <f>'LAW118'!M33</f>
        <v/>
      </c>
      <c r="N131" s="22">
        <f>'LAW118'!N33</f>
        <v>-6.7170334718837497</v>
      </c>
      <c r="O131" s="22">
        <f>'LAW118'!O33</f>
        <v>-1.2502860776229632</v>
      </c>
    </row>
    <row r="132" spans="1:15" x14ac:dyDescent="0.35">
      <c r="B132" t="s">
        <v>279</v>
      </c>
      <c r="C132" s="21" t="b">
        <f>'LAW118'!C34</f>
        <v>0</v>
      </c>
      <c r="D132" s="21" t="str">
        <f>'LAW118'!D34</f>
        <v/>
      </c>
      <c r="E132" s="21" t="str">
        <f>'LAW118'!E34</f>
        <v/>
      </c>
      <c r="F132" s="21" t="str">
        <f>'LAW118'!F34</f>
        <v/>
      </c>
      <c r="G132" s="21" t="str">
        <f>'LAW118'!G34</f>
        <v/>
      </c>
      <c r="H132" s="21" t="str">
        <f>'LAW118'!H34</f>
        <v/>
      </c>
      <c r="I132" s="21" t="b">
        <f>'LAW118'!I34</f>
        <v>0</v>
      </c>
      <c r="J132" s="21" t="str">
        <f>'LAW118'!J34</f>
        <v/>
      </c>
      <c r="K132" s="21" t="str">
        <f>'LAW118'!K34</f>
        <v/>
      </c>
      <c r="L132" s="21" t="b">
        <f>'LAW118'!L34</f>
        <v>0</v>
      </c>
      <c r="M132" s="21" t="str">
        <f>'LAW118'!M34</f>
        <v/>
      </c>
      <c r="N132" s="21" t="b">
        <f>'LAW118'!N34</f>
        <v>0</v>
      </c>
      <c r="O132" s="21" t="b">
        <f>'LAW118'!O34</f>
        <v>0</v>
      </c>
    </row>
    <row r="133" spans="1:15" ht="9.9" customHeight="1" x14ac:dyDescent="0.35">
      <c r="B133" s="23"/>
      <c r="C133" s="24"/>
      <c r="D133" s="24"/>
      <c r="E133" s="24"/>
      <c r="F133" s="24"/>
      <c r="G133" s="24"/>
      <c r="H133" s="24"/>
      <c r="I133" s="24"/>
      <c r="J133" s="24"/>
      <c r="K133" s="24"/>
      <c r="L133" s="24"/>
      <c r="M133" s="24"/>
      <c r="N133" s="24"/>
      <c r="O133" s="24"/>
    </row>
    <row r="134" spans="1:15" ht="9.9" customHeight="1" x14ac:dyDescent="0.35"/>
    <row r="135" spans="1:15" x14ac:dyDescent="0.35">
      <c r="B135" t="s">
        <v>280</v>
      </c>
      <c r="C135" s="21">
        <f>'LAW118'!C37</f>
        <v>4</v>
      </c>
      <c r="D135" s="21" t="str">
        <f>'LAW118'!D37</f>
        <v/>
      </c>
      <c r="E135" s="21" t="str">
        <f>'LAW118'!E37</f>
        <v/>
      </c>
      <c r="F135" s="21" t="str">
        <f>'LAW118'!F37</f>
        <v/>
      </c>
      <c r="G135" s="21" t="str">
        <f>'LAW118'!G37</f>
        <v/>
      </c>
      <c r="H135" s="21" t="str">
        <f>'LAW118'!H37</f>
        <v/>
      </c>
      <c r="I135" s="21">
        <f>'LAW118'!I37</f>
        <v>9</v>
      </c>
      <c r="J135" s="21" t="str">
        <f>'LAW118'!J37</f>
        <v/>
      </c>
      <c r="K135" s="21" t="str">
        <f>'LAW118'!K37</f>
        <v/>
      </c>
      <c r="L135" s="21">
        <f>'LAW118'!L37</f>
        <v>10</v>
      </c>
      <c r="M135" s="21" t="str">
        <f>'LAW118'!M37</f>
        <v/>
      </c>
      <c r="N135" s="21">
        <f>'LAW118'!N37</f>
        <v>13</v>
      </c>
      <c r="O135" s="21">
        <f>'LAW118'!O37</f>
        <v>23</v>
      </c>
    </row>
    <row r="136" spans="1:15" x14ac:dyDescent="0.35">
      <c r="B136" t="s">
        <v>281</v>
      </c>
      <c r="C136" s="21">
        <f>'LAW118'!C38</f>
        <v>8.25</v>
      </c>
      <c r="D136" s="21">
        <f>'LAW118'!D38</f>
        <v>8.25</v>
      </c>
      <c r="E136" s="21">
        <f>'LAW118'!E38</f>
        <v>8.25</v>
      </c>
      <c r="F136" s="21">
        <f>'LAW118'!F38</f>
        <v>8.25</v>
      </c>
      <c r="G136" s="21">
        <f>'LAW118'!G38</f>
        <v>8.25</v>
      </c>
      <c r="H136" s="21">
        <f>'LAW118'!H38</f>
        <v>8.25</v>
      </c>
      <c r="I136" s="21">
        <f>'LAW118'!I38</f>
        <v>8.25</v>
      </c>
      <c r="J136" s="21">
        <f>'LAW118'!J38</f>
        <v>8.25</v>
      </c>
      <c r="K136" s="21">
        <f>'LAW118'!K38</f>
        <v>8.25</v>
      </c>
      <c r="L136" s="21">
        <f>'LAW118'!L38</f>
        <v>8.25</v>
      </c>
      <c r="M136" s="21">
        <f>'LAW118'!M38</f>
        <v>8.25</v>
      </c>
      <c r="N136" s="21">
        <f>'LAW118'!N38</f>
        <v>8.25</v>
      </c>
      <c r="O136" s="21">
        <f>'LAW118'!O38</f>
        <v>8.25</v>
      </c>
    </row>
    <row r="137" spans="1:15" x14ac:dyDescent="0.35">
      <c r="B137" t="s">
        <v>282</v>
      </c>
      <c r="C137" s="21" t="b">
        <f>'LAW118'!C39</f>
        <v>0</v>
      </c>
      <c r="D137" s="21" t="str">
        <f>'LAW118'!D39</f>
        <v/>
      </c>
      <c r="E137" s="21" t="str">
        <f>'LAW118'!E39</f>
        <v/>
      </c>
      <c r="F137" s="21" t="str">
        <f>'LAW118'!F39</f>
        <v/>
      </c>
      <c r="G137" s="21" t="str">
        <f>'LAW118'!G39</f>
        <v/>
      </c>
      <c r="H137" s="21" t="str">
        <f>'LAW118'!H39</f>
        <v/>
      </c>
      <c r="I137" s="21" t="b">
        <f>'LAW118'!I39</f>
        <v>1</v>
      </c>
      <c r="J137" s="21" t="str">
        <f>'LAW118'!J39</f>
        <v/>
      </c>
      <c r="K137" s="21" t="str">
        <f>'LAW118'!K39</f>
        <v/>
      </c>
      <c r="L137" s="21" t="b">
        <f>'LAW118'!L39</f>
        <v>1</v>
      </c>
      <c r="M137" s="21" t="str">
        <f>'LAW118'!M39</f>
        <v/>
      </c>
      <c r="N137" s="21" t="b">
        <f>'LAW118'!N39</f>
        <v>1</v>
      </c>
      <c r="O137" s="21" t="b">
        <f>'LAW118'!O39</f>
        <v>1</v>
      </c>
    </row>
    <row r="138" spans="1:15" ht="9.9" customHeight="1" x14ac:dyDescent="0.35">
      <c r="A138" s="29"/>
      <c r="B138" s="20"/>
      <c r="C138" s="25"/>
      <c r="D138" s="25"/>
      <c r="E138" s="25"/>
      <c r="F138" s="25"/>
      <c r="G138" s="25"/>
      <c r="H138" s="25"/>
      <c r="I138" s="25"/>
      <c r="J138" s="25"/>
      <c r="K138" s="25"/>
      <c r="L138" s="25"/>
      <c r="M138" s="25"/>
      <c r="N138" s="25"/>
      <c r="O138" s="25"/>
    </row>
    <row r="139" spans="1:15" ht="9.9" customHeight="1" x14ac:dyDescent="0.35"/>
    <row r="140" spans="1:15" x14ac:dyDescent="0.35">
      <c r="A140" s="26" t="s">
        <v>21</v>
      </c>
      <c r="B140" t="s">
        <v>274</v>
      </c>
      <c r="C140" s="22">
        <f>'TIN054'!C20</f>
        <v>4.4881333116627236</v>
      </c>
      <c r="D140" s="22" t="str">
        <f>'TIN054'!D20</f>
        <v/>
      </c>
      <c r="E140" s="22" t="str">
        <f>'TIN054'!E20</f>
        <v/>
      </c>
      <c r="F140" s="22" t="str">
        <f>'TIN054'!F20</f>
        <v/>
      </c>
      <c r="G140" s="22">
        <f>'TIN054'!G20</f>
        <v>4.2700434657863751</v>
      </c>
      <c r="H140" s="22" t="str">
        <f>'TIN054'!H20</f>
        <v/>
      </c>
      <c r="I140" s="22" t="str">
        <f>'TIN054'!I20</f>
        <v/>
      </c>
      <c r="J140" s="22" t="str">
        <f>'TIN054'!J20</f>
        <v/>
      </c>
      <c r="K140" s="22" t="str">
        <f>'TIN054'!K20</f>
        <v/>
      </c>
      <c r="L140" s="22">
        <f>'TIN054'!L20</f>
        <v>2.4815589294514542</v>
      </c>
      <c r="M140" s="22" t="str">
        <f>'TIN054'!M20</f>
        <v/>
      </c>
      <c r="N140" s="22">
        <f>'TIN054'!N20</f>
        <v>1.2148884866937606</v>
      </c>
      <c r="O140" s="22">
        <f>'TIN054'!O20</f>
        <v>4.4958024776121039</v>
      </c>
    </row>
    <row r="141" spans="1:15" x14ac:dyDescent="0.35">
      <c r="B141" t="s">
        <v>275</v>
      </c>
      <c r="C141" s="22">
        <f>'TIN054'!C21</f>
        <v>5.5960220921619088</v>
      </c>
      <c r="D141" s="22" t="str">
        <f>'TIN054'!D21</f>
        <v/>
      </c>
      <c r="E141" s="22" t="str">
        <f>'TIN054'!E21</f>
        <v/>
      </c>
      <c r="F141" s="22" t="str">
        <f>'TIN054'!F21</f>
        <v/>
      </c>
      <c r="G141" s="22">
        <f>'TIN054'!G21</f>
        <v>3.7269884007628145</v>
      </c>
      <c r="H141" s="22" t="str">
        <f>'TIN054'!H21</f>
        <v/>
      </c>
      <c r="I141" s="22" t="str">
        <f>'TIN054'!I21</f>
        <v/>
      </c>
      <c r="J141" s="22" t="str">
        <f>'TIN054'!J21</f>
        <v/>
      </c>
      <c r="K141" s="22" t="str">
        <f>'TIN054'!K21</f>
        <v/>
      </c>
      <c r="L141" s="22">
        <f>'TIN054'!L21</f>
        <v>2.8047104816852721</v>
      </c>
      <c r="M141" s="22" t="str">
        <f>'TIN054'!M21</f>
        <v/>
      </c>
      <c r="N141" s="22">
        <f>'TIN054'!N21</f>
        <v>2.1645556680798399</v>
      </c>
      <c r="O141" s="22">
        <f>'TIN054'!O21</f>
        <v>4.4807555164042876</v>
      </c>
    </row>
    <row r="142" spans="1:15" x14ac:dyDescent="0.35">
      <c r="B142" t="s">
        <v>276</v>
      </c>
      <c r="C142" s="22">
        <f>'TIN054'!C22</f>
        <v>2.1049269815168881</v>
      </c>
      <c r="D142" s="22" t="str">
        <f>'TIN054'!D22</f>
        <v/>
      </c>
      <c r="E142" s="22" t="str">
        <f>'TIN054'!E22</f>
        <v/>
      </c>
      <c r="F142" s="22" t="str">
        <f>'TIN054'!F22</f>
        <v/>
      </c>
      <c r="G142" s="22">
        <f>'TIN054'!G22</f>
        <v>1.4018955456866957</v>
      </c>
      <c r="H142" s="22" t="str">
        <f>'TIN054'!H22</f>
        <v/>
      </c>
      <c r="I142" s="22" t="str">
        <f>'TIN054'!I22</f>
        <v/>
      </c>
      <c r="J142" s="22" t="str">
        <f>'TIN054'!J22</f>
        <v/>
      </c>
      <c r="K142" s="22" t="str">
        <f>'TIN054'!K22</f>
        <v/>
      </c>
      <c r="L142" s="22">
        <f>'TIN054'!L22</f>
        <v>1.0549834634340729</v>
      </c>
      <c r="M142" s="22" t="str">
        <f>'TIN054'!M22</f>
        <v/>
      </c>
      <c r="N142" s="22">
        <f>'TIN054'!N22</f>
        <v>0.81419114394102776</v>
      </c>
      <c r="O142" s="22">
        <f>'TIN054'!O22</f>
        <v>1.6854227929640448</v>
      </c>
    </row>
    <row r="143" spans="1:15" x14ac:dyDescent="0.35">
      <c r="B143" t="s">
        <v>277</v>
      </c>
      <c r="C143" s="22">
        <f>'TIN054'!C23</f>
        <v>6.5930602931796116</v>
      </c>
      <c r="D143" s="22" t="str">
        <f>'TIN054'!D23</f>
        <v/>
      </c>
      <c r="E143" s="22" t="str">
        <f>'TIN054'!E23</f>
        <v/>
      </c>
      <c r="F143" s="22" t="str">
        <f>'TIN054'!F23</f>
        <v/>
      </c>
      <c r="G143" s="22">
        <f>'TIN054'!G23</f>
        <v>5.6719390114730706</v>
      </c>
      <c r="H143" s="22" t="str">
        <f>'TIN054'!H23</f>
        <v/>
      </c>
      <c r="I143" s="22" t="str">
        <f>'TIN054'!I23</f>
        <v/>
      </c>
      <c r="J143" s="22" t="str">
        <f>'TIN054'!J23</f>
        <v/>
      </c>
      <c r="K143" s="22" t="str">
        <f>'TIN054'!K23</f>
        <v/>
      </c>
      <c r="L143" s="22">
        <f>'TIN054'!L23</f>
        <v>3.5365423928855271</v>
      </c>
      <c r="M143" s="22" t="str">
        <f>'TIN054'!M23</f>
        <v/>
      </c>
      <c r="N143" s="22">
        <f>'TIN054'!N23</f>
        <v>2.0290796306347882</v>
      </c>
      <c r="O143" s="22">
        <f>'TIN054'!O23</f>
        <v>6.1812252705761486</v>
      </c>
    </row>
    <row r="145" spans="1:15" x14ac:dyDescent="0.35">
      <c r="B145" t="s">
        <v>270</v>
      </c>
      <c r="C145" s="22">
        <f>'TIN054'!C25</f>
        <v>29.7</v>
      </c>
      <c r="D145" s="22">
        <f>'TIN054'!D25</f>
        <v>29.7</v>
      </c>
      <c r="E145" s="22">
        <f>'TIN054'!E25</f>
        <v>29.7</v>
      </c>
      <c r="F145" s="22">
        <f>'TIN054'!F25</f>
        <v>29.7</v>
      </c>
      <c r="G145" s="22">
        <f>'TIN054'!G25</f>
        <v>29.7</v>
      </c>
      <c r="H145" s="22">
        <f>'TIN054'!H25</f>
        <v>29.7</v>
      </c>
      <c r="I145" s="22">
        <f>'TIN054'!I25</f>
        <v>29.7</v>
      </c>
      <c r="J145" s="22">
        <f>'TIN054'!J25</f>
        <v>29.7</v>
      </c>
      <c r="K145" s="22">
        <f>'TIN054'!K25</f>
        <v>29.7</v>
      </c>
      <c r="L145" s="22">
        <f>'TIN054'!L25</f>
        <v>29.7</v>
      </c>
      <c r="M145" s="22">
        <f>'TIN054'!M25</f>
        <v>29.7</v>
      </c>
      <c r="N145" s="22">
        <f>'TIN054'!N25</f>
        <v>29.7</v>
      </c>
      <c r="O145" s="22">
        <f>'TIN054'!O25</f>
        <v>29.7</v>
      </c>
    </row>
    <row r="146" spans="1:15" x14ac:dyDescent="0.35">
      <c r="B146" t="s">
        <v>283</v>
      </c>
      <c r="C146" s="22">
        <f>'TIN054'!C26</f>
        <v>-23.106939706820388</v>
      </c>
      <c r="D146" s="22" t="str">
        <f>'TIN054'!D26</f>
        <v/>
      </c>
      <c r="E146" s="22" t="str">
        <f>'TIN054'!E26</f>
        <v/>
      </c>
      <c r="F146" s="22" t="str">
        <f>'TIN054'!F26</f>
        <v/>
      </c>
      <c r="G146" s="22">
        <f>'TIN054'!G26</f>
        <v>-24.028060988526928</v>
      </c>
      <c r="H146" s="22" t="str">
        <f>'TIN054'!H26</f>
        <v/>
      </c>
      <c r="I146" s="22" t="str">
        <f>'TIN054'!I26</f>
        <v/>
      </c>
      <c r="J146" s="22" t="str">
        <f>'TIN054'!J26</f>
        <v/>
      </c>
      <c r="K146" s="22" t="str">
        <f>'TIN054'!K26</f>
        <v/>
      </c>
      <c r="L146" s="22">
        <f>'TIN054'!L26</f>
        <v>-26.163457607114474</v>
      </c>
      <c r="M146" s="22" t="str">
        <f>'TIN054'!M26</f>
        <v/>
      </c>
      <c r="N146" s="22">
        <f>'TIN054'!N26</f>
        <v>-27.670920369365213</v>
      </c>
      <c r="O146" s="22">
        <f>'TIN054'!O26</f>
        <v>-23.51877472942385</v>
      </c>
    </row>
    <row r="147" spans="1:15" x14ac:dyDescent="0.35">
      <c r="B147" t="s">
        <v>279</v>
      </c>
      <c r="C147" s="21" t="b">
        <f>'TIN054'!C27</f>
        <v>0</v>
      </c>
      <c r="D147" s="21" t="str">
        <f>'TIN054'!D27</f>
        <v/>
      </c>
      <c r="E147" s="21" t="str">
        <f>'TIN054'!E27</f>
        <v/>
      </c>
      <c r="F147" s="21" t="str">
        <f>'TIN054'!F27</f>
        <v/>
      </c>
      <c r="G147" s="21" t="b">
        <f>'TIN054'!G27</f>
        <v>0</v>
      </c>
      <c r="H147" s="21" t="str">
        <f>'TIN054'!H27</f>
        <v/>
      </c>
      <c r="I147" s="21" t="str">
        <f>'TIN054'!I27</f>
        <v/>
      </c>
      <c r="J147" s="21" t="str">
        <f>'TIN054'!J27</f>
        <v/>
      </c>
      <c r="K147" s="21" t="str">
        <f>'TIN054'!K27</f>
        <v/>
      </c>
      <c r="L147" s="21" t="b">
        <f>'TIN054'!L27</f>
        <v>0</v>
      </c>
      <c r="M147" s="21" t="str">
        <f>'TIN054'!M27</f>
        <v/>
      </c>
      <c r="N147" s="21" t="b">
        <f>'TIN054'!N27</f>
        <v>0</v>
      </c>
      <c r="O147" s="21" t="b">
        <f>'TIN054'!O27</f>
        <v>0</v>
      </c>
    </row>
    <row r="148" spans="1:15" x14ac:dyDescent="0.35">
      <c r="B148" s="23"/>
      <c r="C148" s="24"/>
      <c r="D148" s="24"/>
      <c r="E148" s="24"/>
      <c r="F148" s="24"/>
      <c r="G148" s="24"/>
      <c r="H148" s="24"/>
      <c r="I148" s="24"/>
      <c r="J148" s="24"/>
      <c r="K148" s="24"/>
      <c r="L148" s="24"/>
      <c r="M148" s="24"/>
      <c r="N148" s="24"/>
      <c r="O148" s="24"/>
    </row>
    <row r="150" spans="1:15" x14ac:dyDescent="0.35">
      <c r="B150" t="s">
        <v>280</v>
      </c>
      <c r="C150" s="21">
        <f>'TIN054'!C30</f>
        <v>4</v>
      </c>
      <c r="D150" s="21" t="str">
        <f>'TIN054'!D30</f>
        <v/>
      </c>
      <c r="E150" s="21" t="str">
        <f>'TIN054'!E30</f>
        <v/>
      </c>
      <c r="F150" s="21" t="str">
        <f>'TIN054'!F30</f>
        <v/>
      </c>
      <c r="G150" s="21">
        <f>'TIN054'!G30</f>
        <v>4</v>
      </c>
      <c r="H150" s="21" t="str">
        <f>'TIN054'!H30</f>
        <v/>
      </c>
      <c r="I150" s="21" t="str">
        <f>'TIN054'!I30</f>
        <v/>
      </c>
      <c r="J150" s="21" t="str">
        <f>'TIN054'!J30</f>
        <v/>
      </c>
      <c r="K150" s="21" t="str">
        <f>'TIN054'!K30</f>
        <v/>
      </c>
      <c r="L150" s="21">
        <f>'TIN054'!L30</f>
        <v>4</v>
      </c>
      <c r="M150" s="21" t="str">
        <f>'TIN054'!M30</f>
        <v/>
      </c>
      <c r="N150" s="21">
        <f>'TIN054'!N30</f>
        <v>2</v>
      </c>
      <c r="O150" s="21">
        <f>'TIN054'!O30</f>
        <v>4</v>
      </c>
    </row>
    <row r="151" spans="1:15" x14ac:dyDescent="0.35">
      <c r="B151" t="s">
        <v>281</v>
      </c>
      <c r="C151" s="21">
        <f>'TIN054'!C31</f>
        <v>2.25</v>
      </c>
      <c r="D151" s="21">
        <f>'TIN054'!D31</f>
        <v>2.25</v>
      </c>
      <c r="E151" s="21">
        <f>'TIN054'!E31</f>
        <v>2.25</v>
      </c>
      <c r="F151" s="21">
        <f>'TIN054'!F31</f>
        <v>2.25</v>
      </c>
      <c r="G151" s="21">
        <f>'TIN054'!G31</f>
        <v>2.25</v>
      </c>
      <c r="H151" s="21">
        <f>'TIN054'!H31</f>
        <v>2.25</v>
      </c>
      <c r="I151" s="21">
        <f>'TIN054'!I31</f>
        <v>2.25</v>
      </c>
      <c r="J151" s="21">
        <f>'TIN054'!J31</f>
        <v>2.25</v>
      </c>
      <c r="K151" s="21">
        <f>'TIN054'!K31</f>
        <v>2.25</v>
      </c>
      <c r="L151" s="21">
        <f>'TIN054'!L31</f>
        <v>2.25</v>
      </c>
      <c r="M151" s="21">
        <f>'TIN054'!M31</f>
        <v>2.25</v>
      </c>
      <c r="N151" s="21">
        <f>'TIN054'!N31</f>
        <v>2.25</v>
      </c>
      <c r="O151" s="21">
        <f>'TIN054'!O31</f>
        <v>2.25</v>
      </c>
    </row>
    <row r="152" spans="1:15" x14ac:dyDescent="0.35">
      <c r="B152" t="s">
        <v>282</v>
      </c>
      <c r="C152" s="21" t="b">
        <f>'TIN054'!C32</f>
        <v>1</v>
      </c>
      <c r="D152" s="21" t="str">
        <f>'TIN054'!D32</f>
        <v/>
      </c>
      <c r="E152" s="21" t="str">
        <f>'TIN054'!E32</f>
        <v/>
      </c>
      <c r="F152" s="21" t="str">
        <f>'TIN054'!F32</f>
        <v/>
      </c>
      <c r="G152" s="21" t="b">
        <f>'TIN054'!G32</f>
        <v>1</v>
      </c>
      <c r="H152" s="21" t="str">
        <f>'TIN054'!H32</f>
        <v/>
      </c>
      <c r="I152" s="21" t="str">
        <f>'TIN054'!I32</f>
        <v/>
      </c>
      <c r="J152" s="21" t="str">
        <f>'TIN054'!J32</f>
        <v/>
      </c>
      <c r="K152" s="21" t="str">
        <f>'TIN054'!K32</f>
        <v/>
      </c>
      <c r="L152" s="21" t="b">
        <f>'TIN054'!L32</f>
        <v>1</v>
      </c>
      <c r="M152" s="21" t="str">
        <f>'TIN054'!M32</f>
        <v/>
      </c>
      <c r="N152" s="21" t="b">
        <f>'TIN054'!N32</f>
        <v>0</v>
      </c>
      <c r="O152" s="21" t="b">
        <f>'TIN054'!O32</f>
        <v>1</v>
      </c>
    </row>
    <row r="153" spans="1:15" ht="16" thickBot="1" x14ac:dyDescent="0.4">
      <c r="A153" s="30"/>
      <c r="B153" s="19"/>
      <c r="C153" s="31"/>
      <c r="D153" s="31"/>
      <c r="E153" s="31"/>
      <c r="F153" s="31"/>
      <c r="G153" s="31"/>
      <c r="H153" s="31"/>
      <c r="I153" s="31"/>
      <c r="J153" s="31"/>
      <c r="K153" s="31"/>
      <c r="L153" s="31"/>
      <c r="M153" s="31"/>
      <c r="N153" s="31"/>
      <c r="O153" s="31"/>
    </row>
  </sheetData>
  <conditionalFormatting sqref="C12:O12">
    <cfRule type="cellIs" dxfId="83" priority="95" operator="equal">
      <formula>TRUE</formula>
    </cfRule>
    <cfRule type="cellIs" dxfId="82" priority="96" operator="equal">
      <formula>FALSE</formula>
    </cfRule>
  </conditionalFormatting>
  <conditionalFormatting sqref="C17:O17">
    <cfRule type="cellIs" dxfId="81" priority="45" operator="equal">
      <formula>TRUE</formula>
    </cfRule>
    <cfRule type="cellIs" dxfId="80" priority="46" operator="equal">
      <formula>FALSE</formula>
    </cfRule>
  </conditionalFormatting>
  <conditionalFormatting sqref="C27:O27">
    <cfRule type="cellIs" dxfId="79" priority="43" operator="equal">
      <formula>TRUE</formula>
    </cfRule>
    <cfRule type="cellIs" dxfId="78" priority="44" operator="equal">
      <formula>FALSE</formula>
    </cfRule>
  </conditionalFormatting>
  <conditionalFormatting sqref="C32:O32">
    <cfRule type="cellIs" dxfId="77" priority="41" operator="equal">
      <formula>TRUE</formula>
    </cfRule>
    <cfRule type="cellIs" dxfId="76" priority="42" operator="equal">
      <formula>FALSE</formula>
    </cfRule>
  </conditionalFormatting>
  <conditionalFormatting sqref="C42:O42">
    <cfRule type="cellIs" dxfId="75" priority="39" operator="equal">
      <formula>TRUE</formula>
    </cfRule>
    <cfRule type="cellIs" dxfId="74" priority="40" operator="equal">
      <formula>FALSE</formula>
    </cfRule>
  </conditionalFormatting>
  <conditionalFormatting sqref="C47:O47">
    <cfRule type="cellIs" dxfId="73" priority="37" operator="equal">
      <formula>TRUE</formula>
    </cfRule>
    <cfRule type="cellIs" dxfId="72" priority="38" operator="equal">
      <formula>FALSE</formula>
    </cfRule>
  </conditionalFormatting>
  <conditionalFormatting sqref="C57:O57">
    <cfRule type="cellIs" dxfId="71" priority="35" operator="equal">
      <formula>TRUE</formula>
    </cfRule>
    <cfRule type="cellIs" dxfId="70" priority="36" operator="equal">
      <formula>FALSE</formula>
    </cfRule>
  </conditionalFormatting>
  <conditionalFormatting sqref="C152:O152">
    <cfRule type="cellIs" dxfId="69" priority="1" operator="equal">
      <formula>TRUE</formula>
    </cfRule>
    <cfRule type="cellIs" dxfId="68" priority="2" operator="equal">
      <formula>FALSE</formula>
    </cfRule>
  </conditionalFormatting>
  <conditionalFormatting sqref="C62:O62">
    <cfRule type="cellIs" dxfId="67" priority="31" operator="equal">
      <formula>TRUE</formula>
    </cfRule>
    <cfRule type="cellIs" dxfId="66" priority="32" operator="equal">
      <formula>FALSE</formula>
    </cfRule>
  </conditionalFormatting>
  <conditionalFormatting sqref="C72:O72">
    <cfRule type="cellIs" dxfId="65" priority="29" operator="equal">
      <formula>TRUE</formula>
    </cfRule>
    <cfRule type="cellIs" dxfId="64" priority="30" operator="equal">
      <formula>FALSE</formula>
    </cfRule>
  </conditionalFormatting>
  <conditionalFormatting sqref="C77:O77">
    <cfRule type="cellIs" dxfId="63" priority="25" operator="equal">
      <formula>TRUE</formula>
    </cfRule>
    <cfRule type="cellIs" dxfId="62" priority="26" operator="equal">
      <formula>FALSE</formula>
    </cfRule>
  </conditionalFormatting>
  <conditionalFormatting sqref="C87:O87">
    <cfRule type="cellIs" dxfId="61" priority="23" operator="equal">
      <formula>TRUE</formula>
    </cfRule>
    <cfRule type="cellIs" dxfId="60" priority="24" operator="equal">
      <formula>FALSE</formula>
    </cfRule>
  </conditionalFormatting>
  <conditionalFormatting sqref="C92:O92">
    <cfRule type="cellIs" dxfId="59" priority="21" operator="equal">
      <formula>TRUE</formula>
    </cfRule>
    <cfRule type="cellIs" dxfId="58" priority="22" operator="equal">
      <formula>FALSE</formula>
    </cfRule>
  </conditionalFormatting>
  <conditionalFormatting sqref="C102:O102">
    <cfRule type="cellIs" dxfId="57" priority="19" operator="equal">
      <formula>TRUE</formula>
    </cfRule>
    <cfRule type="cellIs" dxfId="56" priority="20" operator="equal">
      <formula>FALSE</formula>
    </cfRule>
  </conditionalFormatting>
  <conditionalFormatting sqref="C107:O107">
    <cfRule type="cellIs" dxfId="55" priority="17" operator="equal">
      <formula>TRUE</formula>
    </cfRule>
    <cfRule type="cellIs" dxfId="54" priority="18" operator="equal">
      <formula>FALSE</formula>
    </cfRule>
  </conditionalFormatting>
  <conditionalFormatting sqref="C117:O117">
    <cfRule type="cellIs" dxfId="53" priority="15" operator="equal">
      <formula>TRUE</formula>
    </cfRule>
    <cfRule type="cellIs" dxfId="52" priority="16" operator="equal">
      <formula>FALSE</formula>
    </cfRule>
  </conditionalFormatting>
  <conditionalFormatting sqref="C122:O122">
    <cfRule type="cellIs" dxfId="51" priority="13" operator="equal">
      <formula>TRUE</formula>
    </cfRule>
    <cfRule type="cellIs" dxfId="50" priority="14" operator="equal">
      <formula>FALSE</formula>
    </cfRule>
  </conditionalFormatting>
  <conditionalFormatting sqref="C132:O132">
    <cfRule type="cellIs" dxfId="49" priority="7" operator="equal">
      <formula>TRUE</formula>
    </cfRule>
    <cfRule type="cellIs" dxfId="48" priority="8" operator="equal">
      <formula>FALSE</formula>
    </cfRule>
  </conditionalFormatting>
  <conditionalFormatting sqref="C137:O137">
    <cfRule type="cellIs" dxfId="47" priority="5" operator="equal">
      <formula>TRUE</formula>
    </cfRule>
    <cfRule type="cellIs" dxfId="46" priority="6" operator="equal">
      <formula>FALSE</formula>
    </cfRule>
  </conditionalFormatting>
  <conditionalFormatting sqref="C147:O147">
    <cfRule type="cellIs" dxfId="45" priority="3" operator="equal">
      <formula>TRUE</formula>
    </cfRule>
    <cfRule type="cellIs" dxfId="44" priority="4" operator="equal">
      <formula>FALSE</formula>
    </cfRule>
  </conditionalFormatting>
  <pageMargins left="0.7" right="0.7" top="0.75" bottom="0.75" header="0.3" footer="0.3"/>
  <drawing r:id="rId1"/>
  <extLst>
    <ext xmlns:x14="http://schemas.microsoft.com/office/spreadsheetml/2009/9/main" uri="{A8765BA9-456A-4dab-B4F3-ACF838C121DE}">
      <x14:slicerList>
        <x14:slicer r:id="rId2"/>
      </x14:slicerList>
    </ext>
  </extLs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3"/>
  <dimension ref="A1:P70"/>
  <sheetViews>
    <sheetView tabSelected="1" zoomScale="70" zoomScaleNormal="70" workbookViewId="0">
      <pane xSplit="2" ySplit="1" topLeftCell="C37" activePane="bottomRight" state="frozen"/>
      <selection pane="topRight" activeCell="C1" sqref="C1"/>
      <selection pane="bottomLeft" activeCell="A2" sqref="A2"/>
      <selection pane="bottomRight" activeCell="R11" sqref="R11"/>
    </sheetView>
  </sheetViews>
  <sheetFormatPr defaultColWidth="9.08984375" defaultRowHeight="14.5" x14ac:dyDescent="0.35"/>
  <cols>
    <col min="3" max="3" width="9.08984375" customWidth="1"/>
  </cols>
  <sheetData>
    <row r="1" spans="1:16" x14ac:dyDescent="0.35">
      <c r="A1" t="s">
        <v>7</v>
      </c>
      <c r="B1" t="s">
        <v>0</v>
      </c>
      <c r="C1">
        <v>1999</v>
      </c>
      <c r="D1">
        <v>2001</v>
      </c>
      <c r="E1">
        <v>2002</v>
      </c>
      <c r="F1">
        <v>2003</v>
      </c>
      <c r="G1">
        <v>2004</v>
      </c>
      <c r="H1">
        <v>2005</v>
      </c>
      <c r="I1">
        <v>2006</v>
      </c>
      <c r="J1">
        <v>2007</v>
      </c>
      <c r="K1">
        <v>2010</v>
      </c>
      <c r="L1">
        <v>2012</v>
      </c>
      <c r="M1">
        <v>2013</v>
      </c>
      <c r="N1">
        <v>2016</v>
      </c>
      <c r="O1">
        <v>2017</v>
      </c>
      <c r="P1">
        <v>2019</v>
      </c>
    </row>
    <row r="2" spans="1:16" x14ac:dyDescent="0.35">
      <c r="A2" t="s">
        <v>9</v>
      </c>
      <c r="B2">
        <v>1.1000000000000001</v>
      </c>
      <c r="C2" s="17">
        <f>IF(OR(ISERROR(GETPIVOTDATA("Cover",'Cover PivotTable'!$A$4,"Site",$A2,"Year",C$1,"Transect",$B2)),GETPIVOTDATA("Cover",'Cover PivotTable'!$A$4,"Site",$A2,"Year",C$1)=""), "",GETPIVOTDATA("Cover",'Cover PivotTable'!$A$4,"Site",$A2,"Year",C$1,"Transect",$B2))</f>
        <v>4</v>
      </c>
      <c r="D2" s="17" t="str">
        <f>IF(OR(ISERROR(GETPIVOTDATA("Cover",'Cover PivotTable'!$A$4,"Site",$A2,"Year",D$1,"Transect",$B2)),GETPIVOTDATA("Cover",'Cover PivotTable'!$A$4,"Site",$A2,"Year",D$1)=""), "",GETPIVOTDATA("Cover",'Cover PivotTable'!$A$4,"Site",$A2,"Year",D$1,"Transect",$B2))</f>
        <v/>
      </c>
      <c r="E2" s="17" t="str">
        <f>IF(OR(ISERROR(GETPIVOTDATA("Cover",'Cover PivotTable'!$A$4,"Site",$A2,"Year",E$1,"Transect",$B2)),GETPIVOTDATA("Cover",'Cover PivotTable'!$A$4,"Site",$A2,"Year",E$1)=""), "",GETPIVOTDATA("Cover",'Cover PivotTable'!$A$4,"Site",$A2,"Year",E$1,"Transect",$B2))</f>
        <v/>
      </c>
      <c r="F2" s="17" t="str">
        <f>IF(OR(ISERROR(GETPIVOTDATA("Cover",'Cover PivotTable'!$A$4,"Site",$A2,"Year",F$1,"Transect",$B2)),GETPIVOTDATA("Cover",'Cover PivotTable'!$A$4,"Site",$A2,"Year",F$1)=""), "",GETPIVOTDATA("Cover",'Cover PivotTable'!$A$4,"Site",$A2,"Year",F$1,"Transect",$B2))</f>
        <v/>
      </c>
      <c r="G2" s="17" t="str">
        <f>IF(OR(ISERROR(GETPIVOTDATA("Cover",'Cover PivotTable'!$A$4,"Site",$A2,"Year",G$1,"Transect",$B2)),GETPIVOTDATA("Cover",'Cover PivotTable'!$A$4,"Site",$A2,"Year",G$1)=""), "",GETPIVOTDATA("Cover",'Cover PivotTable'!$A$4,"Site",$A2,"Year",G$1,"Transect",$B2))</f>
        <v/>
      </c>
      <c r="H2" s="17" t="str">
        <f>IF(OR(ISERROR(GETPIVOTDATA("Cover",'Cover PivotTable'!$A$4,"Site",$A2,"Year",H$1,"Transect",$B2)),GETPIVOTDATA("Cover",'Cover PivotTable'!$A$4,"Site",$A2,"Year",H$1)=""), "",GETPIVOTDATA("Cover",'Cover PivotTable'!$A$4,"Site",$A2,"Year",H$1,"Transect",$B2))</f>
        <v/>
      </c>
      <c r="I2" s="17">
        <f>IF(OR(ISERROR(GETPIVOTDATA("Cover",'Cover PivotTable'!$A$4,"Site",$A2,"Year",I$1,"Transect",$B2)),GETPIVOTDATA("Cover",'Cover PivotTable'!$A$4,"Site",$A2,"Year",I$1)=""), "",GETPIVOTDATA("Cover",'Cover PivotTable'!$A$4,"Site",$A2,"Year",I$1,"Transect",$B2))</f>
        <v>10</v>
      </c>
      <c r="J2" s="17" t="str">
        <f>IF(OR(ISERROR(GETPIVOTDATA("Cover",'Cover PivotTable'!$A$4,"Site",$A2,"Year",J$1,"Transect",$B2)),GETPIVOTDATA("Cover",'Cover PivotTable'!$A$4,"Site",$A2,"Year",J$1)=""), "",GETPIVOTDATA("Cover",'Cover PivotTable'!$A$4,"Site",$A2,"Year",J$1,"Transect",$B2))</f>
        <v/>
      </c>
      <c r="K2" s="17" t="str">
        <f>IF(OR(ISERROR(GETPIVOTDATA("Cover",'Cover PivotTable'!$A$4,"Site",$A2,"Year",K$1,"Transect",$B2)),GETPIVOTDATA("Cover",'Cover PivotTable'!$A$4,"Site",$A2,"Year",K$1)=""), "",GETPIVOTDATA("Cover",'Cover PivotTable'!$A$4,"Site",$A2,"Year",K$1,"Transect",$B2))</f>
        <v/>
      </c>
      <c r="L2" s="17">
        <f>IF(OR(ISERROR(GETPIVOTDATA("Cover",'Cover PivotTable'!$A$4,"Site",$A2,"Year",L$1,"Transect",$B2)),GETPIVOTDATA("Cover",'Cover PivotTable'!$A$4,"Site",$A2,"Year",L$1)=""), "",GETPIVOTDATA("Cover",'Cover PivotTable'!$A$4,"Site",$A2,"Year",L$1,"Transect",$B2))</f>
        <v>11</v>
      </c>
      <c r="M2" s="17" t="str">
        <f>IF(OR(ISERROR(GETPIVOTDATA("Cover",'Cover PivotTable'!$A$4,"Site",$A2,"Year",M$1,"Transect",$B2)),GETPIVOTDATA("Cover",'Cover PivotTable'!$A$4,"Site",$A2,"Year",M$1)=""), "",GETPIVOTDATA("Cover",'Cover PivotTable'!$A$4,"Site",$A2,"Year",M$1,"Transect",$B2))</f>
        <v/>
      </c>
      <c r="N2" s="17">
        <f>IF(OR(ISERROR(GETPIVOTDATA("Cover",'Cover PivotTable'!$A$4,"Site",$A2,"Year",N$1,"Transect",$B2)),GETPIVOTDATA("Cover",'Cover PivotTable'!$A$4,"Site",$A2,"Year",N$1)=""), "",GETPIVOTDATA("Cover",'Cover PivotTable'!$A$4,"Site",$A2,"Year",N$1,"Transect",$B2))</f>
        <v>9</v>
      </c>
      <c r="O2" s="17">
        <f>IF(OR(ISERROR(GETPIVOTDATA("Cover",'Cover PivotTable'!$A$4,"Site",$A2,"Year",O$1,"Transect",$B2)),GETPIVOTDATA("Cover",'Cover PivotTable'!$A$4,"Site",$A2,"Year",O$1)=""), "",GETPIVOTDATA("Cover",'Cover PivotTable'!$A$4,"Site",$A2,"Year",O$1,"Transect",$B2))</f>
        <v>17</v>
      </c>
      <c r="P2" s="17">
        <f>IF(OR(ISERROR(GETPIVOTDATA("Cover",'Cover PivotTable'!$A$4,"Site",$A2,"Year",P$1,"Transect",$B2)),GETPIVOTDATA("Cover",'Cover PivotTable'!$A$4,"Site",$A2,"Year",P$1)=""), "",GETPIVOTDATA("Cover",'Cover PivotTable'!$A$4,"Site",$A2,"Year",P$1,"Transect",$B2))</f>
        <v>17</v>
      </c>
    </row>
    <row r="3" spans="1:16" x14ac:dyDescent="0.35">
      <c r="A3" t="s">
        <v>9</v>
      </c>
      <c r="B3">
        <v>1.2</v>
      </c>
      <c r="C3" s="17">
        <f>IF(OR(ISERROR(GETPIVOTDATA("Cover",'Cover PivotTable'!$A$4,"Site",$A3,"Year",C$1,"Transect",$B3)),GETPIVOTDATA("Cover",'Cover PivotTable'!$A$4,"Site",$A3,"Year",C$1)=""), "",GETPIVOTDATA("Cover",'Cover PivotTable'!$A$4,"Site",$A3,"Year",C$1,"Transect",$B3))</f>
        <v>0.5</v>
      </c>
      <c r="D3" s="17" t="str">
        <f>IF(OR(ISERROR(GETPIVOTDATA("Cover",'Cover PivotTable'!$A$4,"Site",$A3,"Year",D$1,"Transect",$B3)),GETPIVOTDATA("Cover",'Cover PivotTable'!$A$4,"Site",$A3,"Year",D$1)=""), "",GETPIVOTDATA("Cover",'Cover PivotTable'!$A$4,"Site",$A3,"Year",D$1,"Transect",$B3))</f>
        <v/>
      </c>
      <c r="E3" s="17" t="str">
        <f>IF(OR(ISERROR(GETPIVOTDATA("Cover",'Cover PivotTable'!$A$4,"Site",$A3,"Year",E$1,"Transect",$B3)),GETPIVOTDATA("Cover",'Cover PivotTable'!$A$4,"Site",$A3,"Year",E$1)=""), "",GETPIVOTDATA("Cover",'Cover PivotTable'!$A$4,"Site",$A3,"Year",E$1,"Transect",$B3))</f>
        <v/>
      </c>
      <c r="F3" s="17" t="str">
        <f>IF(OR(ISERROR(GETPIVOTDATA("Cover",'Cover PivotTable'!$A$4,"Site",$A3,"Year",F$1,"Transect",$B3)),GETPIVOTDATA("Cover",'Cover PivotTable'!$A$4,"Site",$A3,"Year",F$1)=""), "",GETPIVOTDATA("Cover",'Cover PivotTable'!$A$4,"Site",$A3,"Year",F$1,"Transect",$B3))</f>
        <v/>
      </c>
      <c r="G3" s="17" t="str">
        <f>IF(OR(ISERROR(GETPIVOTDATA("Cover",'Cover PivotTable'!$A$4,"Site",$A3,"Year",G$1,"Transect",$B3)),GETPIVOTDATA("Cover",'Cover PivotTable'!$A$4,"Site",$A3,"Year",G$1)=""), "",GETPIVOTDATA("Cover",'Cover PivotTable'!$A$4,"Site",$A3,"Year",G$1,"Transect",$B3))</f>
        <v/>
      </c>
      <c r="H3" s="17" t="str">
        <f>IF(OR(ISERROR(GETPIVOTDATA("Cover",'Cover PivotTable'!$A$4,"Site",$A3,"Year",H$1,"Transect",$B3)),GETPIVOTDATA("Cover",'Cover PivotTable'!$A$4,"Site",$A3,"Year",H$1)=""), "",GETPIVOTDATA("Cover",'Cover PivotTable'!$A$4,"Site",$A3,"Year",H$1,"Transect",$B3))</f>
        <v/>
      </c>
      <c r="I3" s="17">
        <f>IF(OR(ISERROR(GETPIVOTDATA("Cover",'Cover PivotTable'!$A$4,"Site",$A3,"Year",I$1,"Transect",$B3)),GETPIVOTDATA("Cover",'Cover PivotTable'!$A$4,"Site",$A3,"Year",I$1)=""), "",GETPIVOTDATA("Cover",'Cover PivotTable'!$A$4,"Site",$A3,"Year",I$1,"Transect",$B3))</f>
        <v>2.5</v>
      </c>
      <c r="J3" s="17" t="str">
        <f>IF(OR(ISERROR(GETPIVOTDATA("Cover",'Cover PivotTable'!$A$4,"Site",$A3,"Year",J$1,"Transect",$B3)),GETPIVOTDATA("Cover",'Cover PivotTable'!$A$4,"Site",$A3,"Year",J$1)=""), "",GETPIVOTDATA("Cover",'Cover PivotTable'!$A$4,"Site",$A3,"Year",J$1,"Transect",$B3))</f>
        <v/>
      </c>
      <c r="K3" s="17" t="str">
        <f>IF(OR(ISERROR(GETPIVOTDATA("Cover",'Cover PivotTable'!$A$4,"Site",$A3,"Year",K$1,"Transect",$B3)),GETPIVOTDATA("Cover",'Cover PivotTable'!$A$4,"Site",$A3,"Year",K$1)=""), "",GETPIVOTDATA("Cover",'Cover PivotTable'!$A$4,"Site",$A3,"Year",K$1,"Transect",$B3))</f>
        <v/>
      </c>
      <c r="L3" s="17">
        <f>IF(OR(ISERROR(GETPIVOTDATA("Cover",'Cover PivotTable'!$A$4,"Site",$A3,"Year",L$1,"Transect",$B3)),GETPIVOTDATA("Cover",'Cover PivotTable'!$A$4,"Site",$A3,"Year",L$1)=""), "",GETPIVOTDATA("Cover",'Cover PivotTable'!$A$4,"Site",$A3,"Year",L$1,"Transect",$B3))</f>
        <v>4</v>
      </c>
      <c r="M3" s="17" t="str">
        <f>IF(OR(ISERROR(GETPIVOTDATA("Cover",'Cover PivotTable'!$A$4,"Site",$A3,"Year",M$1,"Transect",$B3)),GETPIVOTDATA("Cover",'Cover PivotTable'!$A$4,"Site",$A3,"Year",M$1)=""), "",GETPIVOTDATA("Cover",'Cover PivotTable'!$A$4,"Site",$A3,"Year",M$1,"Transect",$B3))</f>
        <v/>
      </c>
      <c r="N3" s="17">
        <f>IF(OR(ISERROR(GETPIVOTDATA("Cover",'Cover PivotTable'!$A$4,"Site",$A3,"Year",N$1,"Transect",$B3)),GETPIVOTDATA("Cover",'Cover PivotTable'!$A$4,"Site",$A3,"Year",N$1)=""), "",GETPIVOTDATA("Cover",'Cover PivotTable'!$A$4,"Site",$A3,"Year",N$1,"Transect",$B3))</f>
        <v>5.5</v>
      </c>
      <c r="O3" s="17">
        <f>IF(OR(ISERROR(GETPIVOTDATA("Cover",'Cover PivotTable'!$A$4,"Site",$A3,"Year",O$1,"Transect",$B3)),GETPIVOTDATA("Cover",'Cover PivotTable'!$A$4,"Site",$A3,"Year",O$1)=""), "",GETPIVOTDATA("Cover",'Cover PivotTable'!$A$4,"Site",$A3,"Year",O$1,"Transect",$B3))</f>
        <v>10</v>
      </c>
      <c r="P3" s="17">
        <f>IF(OR(ISERROR(GETPIVOTDATA("Cover",'Cover PivotTable'!$A$4,"Site",$A3,"Year",P$1,"Transect",$B3)),GETPIVOTDATA("Cover",'Cover PivotTable'!$A$4,"Site",$A3,"Year",P$1)=""), "",GETPIVOTDATA("Cover",'Cover PivotTable'!$A$4,"Site",$A3,"Year",P$1,"Transect",$B3))</f>
        <v>17</v>
      </c>
    </row>
    <row r="4" spans="1:16" x14ac:dyDescent="0.35">
      <c r="A4" t="s">
        <v>9</v>
      </c>
      <c r="B4">
        <v>1.3</v>
      </c>
      <c r="C4" s="17">
        <f>IF(OR(ISERROR(GETPIVOTDATA("Cover",'Cover PivotTable'!$A$4,"Site",$A4,"Year",C$1,"Transect",$B4)),GETPIVOTDATA("Cover",'Cover PivotTable'!$A$4,"Site",$A4,"Year",C$1)=""), "",GETPIVOTDATA("Cover",'Cover PivotTable'!$A$4,"Site",$A4,"Year",C$1,"Transect",$B4))</f>
        <v>0.5</v>
      </c>
      <c r="D4" s="17" t="str">
        <f>IF(OR(ISERROR(GETPIVOTDATA("Cover",'Cover PivotTable'!$A$4,"Site",$A4,"Year",D$1,"Transect",$B4)),GETPIVOTDATA("Cover",'Cover PivotTable'!$A$4,"Site",$A4,"Year",D$1)=""), "",GETPIVOTDATA("Cover",'Cover PivotTable'!$A$4,"Site",$A4,"Year",D$1,"Transect",$B4))</f>
        <v/>
      </c>
      <c r="E4" s="17" t="str">
        <f>IF(OR(ISERROR(GETPIVOTDATA("Cover",'Cover PivotTable'!$A$4,"Site",$A4,"Year",E$1,"Transect",$B4)),GETPIVOTDATA("Cover",'Cover PivotTable'!$A$4,"Site",$A4,"Year",E$1)=""), "",GETPIVOTDATA("Cover",'Cover PivotTable'!$A$4,"Site",$A4,"Year",E$1,"Transect",$B4))</f>
        <v/>
      </c>
      <c r="F4" s="17" t="str">
        <f>IF(OR(ISERROR(GETPIVOTDATA("Cover",'Cover PivotTable'!$A$4,"Site",$A4,"Year",F$1,"Transect",$B4)),GETPIVOTDATA("Cover",'Cover PivotTable'!$A$4,"Site",$A4,"Year",F$1)=""), "",GETPIVOTDATA("Cover",'Cover PivotTable'!$A$4,"Site",$A4,"Year",F$1,"Transect",$B4))</f>
        <v/>
      </c>
      <c r="G4" s="17" t="str">
        <f>IF(OR(ISERROR(GETPIVOTDATA("Cover",'Cover PivotTable'!$A$4,"Site",$A4,"Year",G$1,"Transect",$B4)),GETPIVOTDATA("Cover",'Cover PivotTable'!$A$4,"Site",$A4,"Year",G$1)=""), "",GETPIVOTDATA("Cover",'Cover PivotTable'!$A$4,"Site",$A4,"Year",G$1,"Transect",$B4))</f>
        <v/>
      </c>
      <c r="H4" s="17" t="str">
        <f>IF(OR(ISERROR(GETPIVOTDATA("Cover",'Cover PivotTable'!$A$4,"Site",$A4,"Year",H$1,"Transect",$B4)),GETPIVOTDATA("Cover",'Cover PivotTable'!$A$4,"Site",$A4,"Year",H$1)=""), "",GETPIVOTDATA("Cover",'Cover PivotTable'!$A$4,"Site",$A4,"Year",H$1,"Transect",$B4))</f>
        <v/>
      </c>
      <c r="I4" s="17">
        <f>IF(OR(ISERROR(GETPIVOTDATA("Cover",'Cover PivotTable'!$A$4,"Site",$A4,"Year",I$1,"Transect",$B4)),GETPIVOTDATA("Cover",'Cover PivotTable'!$A$4,"Site",$A4,"Year",I$1)=""), "",GETPIVOTDATA("Cover",'Cover PivotTable'!$A$4,"Site",$A4,"Year",I$1,"Transect",$B4))</f>
        <v>0</v>
      </c>
      <c r="J4" s="17" t="str">
        <f>IF(OR(ISERROR(GETPIVOTDATA("Cover",'Cover PivotTable'!$A$4,"Site",$A4,"Year",J$1,"Transect",$B4)),GETPIVOTDATA("Cover",'Cover PivotTable'!$A$4,"Site",$A4,"Year",J$1)=""), "",GETPIVOTDATA("Cover",'Cover PivotTable'!$A$4,"Site",$A4,"Year",J$1,"Transect",$B4))</f>
        <v/>
      </c>
      <c r="K4" s="17" t="str">
        <f>IF(OR(ISERROR(GETPIVOTDATA("Cover",'Cover PivotTable'!$A$4,"Site",$A4,"Year",K$1,"Transect",$B4)),GETPIVOTDATA("Cover",'Cover PivotTable'!$A$4,"Site",$A4,"Year",K$1)=""), "",GETPIVOTDATA("Cover",'Cover PivotTable'!$A$4,"Site",$A4,"Year",K$1,"Transect",$B4))</f>
        <v/>
      </c>
      <c r="L4" s="17">
        <f>IF(OR(ISERROR(GETPIVOTDATA("Cover",'Cover PivotTable'!$A$4,"Site",$A4,"Year",L$1,"Transect",$B4)),GETPIVOTDATA("Cover",'Cover PivotTable'!$A$4,"Site",$A4,"Year",L$1)=""), "",GETPIVOTDATA("Cover",'Cover PivotTable'!$A$4,"Site",$A4,"Year",L$1,"Transect",$B4))</f>
        <v>0</v>
      </c>
      <c r="M4" s="17" t="str">
        <f>IF(OR(ISERROR(GETPIVOTDATA("Cover",'Cover PivotTable'!$A$4,"Site",$A4,"Year",M$1,"Transect",$B4)),GETPIVOTDATA("Cover",'Cover PivotTable'!$A$4,"Site",$A4,"Year",M$1)=""), "",GETPIVOTDATA("Cover",'Cover PivotTable'!$A$4,"Site",$A4,"Year",M$1,"Transect",$B4))</f>
        <v/>
      </c>
      <c r="N4" s="17">
        <f>IF(OR(ISERROR(GETPIVOTDATA("Cover",'Cover PivotTable'!$A$4,"Site",$A4,"Year",N$1,"Transect",$B4)),GETPIVOTDATA("Cover",'Cover PivotTable'!$A$4,"Site",$A4,"Year",N$1)=""), "",GETPIVOTDATA("Cover",'Cover PivotTable'!$A$4,"Site",$A4,"Year",N$1,"Transect",$B4))</f>
        <v>1</v>
      </c>
      <c r="O4" s="17">
        <f>IF(OR(ISERROR(GETPIVOTDATA("Cover",'Cover PivotTable'!$A$4,"Site",$A4,"Year",O$1,"Transect",$B4)),GETPIVOTDATA("Cover",'Cover PivotTable'!$A$4,"Site",$A4,"Year",O$1)=""), "",GETPIVOTDATA("Cover",'Cover PivotTable'!$A$4,"Site",$A4,"Year",O$1,"Transect",$B4))</f>
        <v>14.5</v>
      </c>
      <c r="P4" s="17">
        <f>IF(OR(ISERROR(GETPIVOTDATA("Cover",'Cover PivotTable'!$A$4,"Site",$A4,"Year",P$1,"Transect",$B4)),GETPIVOTDATA("Cover",'Cover PivotTable'!$A$4,"Site",$A4,"Year",P$1)=""), "",GETPIVOTDATA("Cover",'Cover PivotTable'!$A$4,"Site",$A4,"Year",P$1,"Transect",$B4))</f>
        <v>14.5</v>
      </c>
    </row>
    <row r="5" spans="1:16" x14ac:dyDescent="0.35">
      <c r="A5" t="s">
        <v>9</v>
      </c>
      <c r="B5">
        <v>1.4</v>
      </c>
      <c r="C5" s="17">
        <f>IF(OR(ISERROR(GETPIVOTDATA("Cover",'Cover PivotTable'!$A$4,"Site",$A5,"Year",C$1,"Transect",$B5)),GETPIVOTDATA("Cover",'Cover PivotTable'!$A$4,"Site",$A5,"Year",C$1)=""), "",GETPIVOTDATA("Cover",'Cover PivotTable'!$A$4,"Site",$A5,"Year",C$1,"Transect",$B5))</f>
        <v>0</v>
      </c>
      <c r="D5" s="17" t="str">
        <f>IF(OR(ISERROR(GETPIVOTDATA("Cover",'Cover PivotTable'!$A$4,"Site",$A5,"Year",D$1,"Transect",$B5)),GETPIVOTDATA("Cover",'Cover PivotTable'!$A$4,"Site",$A5,"Year",D$1)=""), "",GETPIVOTDATA("Cover",'Cover PivotTable'!$A$4,"Site",$A5,"Year",D$1,"Transect",$B5))</f>
        <v/>
      </c>
      <c r="E5" s="17" t="str">
        <f>IF(OR(ISERROR(GETPIVOTDATA("Cover",'Cover PivotTable'!$A$4,"Site",$A5,"Year",E$1,"Transect",$B5)),GETPIVOTDATA("Cover",'Cover PivotTable'!$A$4,"Site",$A5,"Year",E$1)=""), "",GETPIVOTDATA("Cover",'Cover PivotTable'!$A$4,"Site",$A5,"Year",E$1,"Transect",$B5))</f>
        <v/>
      </c>
      <c r="F5" s="17" t="str">
        <f>IF(OR(ISERROR(GETPIVOTDATA("Cover",'Cover PivotTable'!$A$4,"Site",$A5,"Year",F$1,"Transect",$B5)),GETPIVOTDATA("Cover",'Cover PivotTable'!$A$4,"Site",$A5,"Year",F$1)=""), "",GETPIVOTDATA("Cover",'Cover PivotTable'!$A$4,"Site",$A5,"Year",F$1,"Transect",$B5))</f>
        <v/>
      </c>
      <c r="G5" s="17" t="str">
        <f>IF(OR(ISERROR(GETPIVOTDATA("Cover",'Cover PivotTable'!$A$4,"Site",$A5,"Year",G$1,"Transect",$B5)),GETPIVOTDATA("Cover",'Cover PivotTable'!$A$4,"Site",$A5,"Year",G$1)=""), "",GETPIVOTDATA("Cover",'Cover PivotTable'!$A$4,"Site",$A5,"Year",G$1,"Transect",$B5))</f>
        <v/>
      </c>
      <c r="H5" s="17" t="str">
        <f>IF(OR(ISERROR(GETPIVOTDATA("Cover",'Cover PivotTable'!$A$4,"Site",$A5,"Year",H$1,"Transect",$B5)),GETPIVOTDATA("Cover",'Cover PivotTable'!$A$4,"Site",$A5,"Year",H$1)=""), "",GETPIVOTDATA("Cover",'Cover PivotTable'!$A$4,"Site",$A5,"Year",H$1,"Transect",$B5))</f>
        <v/>
      </c>
      <c r="I5" s="17">
        <f>IF(OR(ISERROR(GETPIVOTDATA("Cover",'Cover PivotTable'!$A$4,"Site",$A5,"Year",I$1,"Transect",$B5)),GETPIVOTDATA("Cover",'Cover PivotTable'!$A$4,"Site",$A5,"Year",I$1)=""), "",GETPIVOTDATA("Cover",'Cover PivotTable'!$A$4,"Site",$A5,"Year",I$1,"Transect",$B5))</f>
        <v>0</v>
      </c>
      <c r="J5" s="17" t="str">
        <f>IF(OR(ISERROR(GETPIVOTDATA("Cover",'Cover PivotTable'!$A$4,"Site",$A5,"Year",J$1,"Transect",$B5)),GETPIVOTDATA("Cover",'Cover PivotTable'!$A$4,"Site",$A5,"Year",J$1)=""), "",GETPIVOTDATA("Cover",'Cover PivotTable'!$A$4,"Site",$A5,"Year",J$1,"Transect",$B5))</f>
        <v/>
      </c>
      <c r="K5" s="17" t="str">
        <f>IF(OR(ISERROR(GETPIVOTDATA("Cover",'Cover PivotTable'!$A$4,"Site",$A5,"Year",K$1,"Transect",$B5)),GETPIVOTDATA("Cover",'Cover PivotTable'!$A$4,"Site",$A5,"Year",K$1)=""), "",GETPIVOTDATA("Cover",'Cover PivotTable'!$A$4,"Site",$A5,"Year",K$1,"Transect",$B5))</f>
        <v/>
      </c>
      <c r="L5" s="17">
        <f>IF(OR(ISERROR(GETPIVOTDATA("Cover",'Cover PivotTable'!$A$4,"Site",$A5,"Year",L$1,"Transect",$B5)),GETPIVOTDATA("Cover",'Cover PivotTable'!$A$4,"Site",$A5,"Year",L$1)=""), "",GETPIVOTDATA("Cover",'Cover PivotTable'!$A$4,"Site",$A5,"Year",L$1,"Transect",$B5))</f>
        <v>2</v>
      </c>
      <c r="M5" s="17" t="str">
        <f>IF(OR(ISERROR(GETPIVOTDATA("Cover",'Cover PivotTable'!$A$4,"Site",$A5,"Year",M$1,"Transect",$B5)),GETPIVOTDATA("Cover",'Cover PivotTable'!$A$4,"Site",$A5,"Year",M$1)=""), "",GETPIVOTDATA("Cover",'Cover PivotTable'!$A$4,"Site",$A5,"Year",M$1,"Transect",$B5))</f>
        <v/>
      </c>
      <c r="N5" s="17">
        <f>IF(OR(ISERROR(GETPIVOTDATA("Cover",'Cover PivotTable'!$A$4,"Site",$A5,"Year",N$1,"Transect",$B5)),GETPIVOTDATA("Cover",'Cover PivotTable'!$A$4,"Site",$A5,"Year",N$1)=""), "",GETPIVOTDATA("Cover",'Cover PivotTable'!$A$4,"Site",$A5,"Year",N$1,"Transect",$B5))</f>
        <v>3</v>
      </c>
      <c r="O5" s="17">
        <f>IF(OR(ISERROR(GETPIVOTDATA("Cover",'Cover PivotTable'!$A$4,"Site",$A5,"Year",O$1,"Transect",$B5)),GETPIVOTDATA("Cover",'Cover PivotTable'!$A$4,"Site",$A5,"Year",O$1)=""), "",GETPIVOTDATA("Cover",'Cover PivotTable'!$A$4,"Site",$A5,"Year",O$1,"Transect",$B5))</f>
        <v>5.5</v>
      </c>
      <c r="P5" s="17">
        <f>IF(OR(ISERROR(GETPIVOTDATA("Cover",'Cover PivotTable'!$A$4,"Site",$A5,"Year",P$1,"Transect",$B5)),GETPIVOTDATA("Cover",'Cover PivotTable'!$A$4,"Site",$A5,"Year",P$1)=""), "",GETPIVOTDATA("Cover",'Cover PivotTable'!$A$4,"Site",$A5,"Year",P$1,"Transect",$B5))</f>
        <v>13</v>
      </c>
    </row>
    <row r="6" spans="1:16" x14ac:dyDescent="0.35">
      <c r="A6" t="s">
        <v>9</v>
      </c>
      <c r="B6">
        <v>1.5</v>
      </c>
      <c r="C6" s="17">
        <f>IF(OR(ISERROR(GETPIVOTDATA("Cover",'Cover PivotTable'!$A$4,"Site",$A6,"Year",C$1,"Transect",$B6)),GETPIVOTDATA("Cover",'Cover PivotTable'!$A$4,"Site",$A6,"Year",C$1)=""), "",GETPIVOTDATA("Cover",'Cover PivotTable'!$A$4,"Site",$A6,"Year",C$1,"Transect",$B6))</f>
        <v>1</v>
      </c>
      <c r="D6" s="17" t="str">
        <f>IF(OR(ISERROR(GETPIVOTDATA("Cover",'Cover PivotTable'!$A$4,"Site",$A6,"Year",D$1,"Transect",$B6)),GETPIVOTDATA("Cover",'Cover PivotTable'!$A$4,"Site",$A6,"Year",D$1)=""), "",GETPIVOTDATA("Cover",'Cover PivotTable'!$A$4,"Site",$A6,"Year",D$1,"Transect",$B6))</f>
        <v/>
      </c>
      <c r="E6" s="17" t="str">
        <f>IF(OR(ISERROR(GETPIVOTDATA("Cover",'Cover PivotTable'!$A$4,"Site",$A6,"Year",E$1,"Transect",$B6)),GETPIVOTDATA("Cover",'Cover PivotTable'!$A$4,"Site",$A6,"Year",E$1)=""), "",GETPIVOTDATA("Cover",'Cover PivotTable'!$A$4,"Site",$A6,"Year",E$1,"Transect",$B6))</f>
        <v/>
      </c>
      <c r="F6" s="17" t="str">
        <f>IF(OR(ISERROR(GETPIVOTDATA("Cover",'Cover PivotTable'!$A$4,"Site",$A6,"Year",F$1,"Transect",$B6)),GETPIVOTDATA("Cover",'Cover PivotTable'!$A$4,"Site",$A6,"Year",F$1)=""), "",GETPIVOTDATA("Cover",'Cover PivotTable'!$A$4,"Site",$A6,"Year",F$1,"Transect",$B6))</f>
        <v/>
      </c>
      <c r="G6" s="17" t="str">
        <f>IF(OR(ISERROR(GETPIVOTDATA("Cover",'Cover PivotTable'!$A$4,"Site",$A6,"Year",G$1,"Transect",$B6)),GETPIVOTDATA("Cover",'Cover PivotTable'!$A$4,"Site",$A6,"Year",G$1)=""), "",GETPIVOTDATA("Cover",'Cover PivotTable'!$A$4,"Site",$A6,"Year",G$1,"Transect",$B6))</f>
        <v/>
      </c>
      <c r="H6" s="17" t="str">
        <f>IF(OR(ISERROR(GETPIVOTDATA("Cover",'Cover PivotTable'!$A$4,"Site",$A6,"Year",H$1,"Transect",$B6)),GETPIVOTDATA("Cover",'Cover PivotTable'!$A$4,"Site",$A6,"Year",H$1)=""), "",GETPIVOTDATA("Cover",'Cover PivotTable'!$A$4,"Site",$A6,"Year",H$1,"Transect",$B6))</f>
        <v/>
      </c>
      <c r="I6" s="17">
        <f>IF(OR(ISERROR(GETPIVOTDATA("Cover",'Cover PivotTable'!$A$4,"Site",$A6,"Year",I$1,"Transect",$B6)),GETPIVOTDATA("Cover",'Cover PivotTable'!$A$4,"Site",$A6,"Year",I$1)=""), "",GETPIVOTDATA("Cover",'Cover PivotTable'!$A$4,"Site",$A6,"Year",I$1,"Transect",$B6))</f>
        <v>0</v>
      </c>
      <c r="J6" s="17" t="str">
        <f>IF(OR(ISERROR(GETPIVOTDATA("Cover",'Cover PivotTable'!$A$4,"Site",$A6,"Year",J$1,"Transect",$B6)),GETPIVOTDATA("Cover",'Cover PivotTable'!$A$4,"Site",$A6,"Year",J$1)=""), "",GETPIVOTDATA("Cover",'Cover PivotTable'!$A$4,"Site",$A6,"Year",J$1,"Transect",$B6))</f>
        <v/>
      </c>
      <c r="K6" s="17" t="str">
        <f>IF(OR(ISERROR(GETPIVOTDATA("Cover",'Cover PivotTable'!$A$4,"Site",$A6,"Year",K$1,"Transect",$B6)),GETPIVOTDATA("Cover",'Cover PivotTable'!$A$4,"Site",$A6,"Year",K$1)=""), "",GETPIVOTDATA("Cover",'Cover PivotTable'!$A$4,"Site",$A6,"Year",K$1,"Transect",$B6))</f>
        <v/>
      </c>
      <c r="L6" s="17">
        <f>IF(OR(ISERROR(GETPIVOTDATA("Cover",'Cover PivotTable'!$A$4,"Site",$A6,"Year",L$1,"Transect",$B6)),GETPIVOTDATA("Cover",'Cover PivotTable'!$A$4,"Site",$A6,"Year",L$1)=""), "",GETPIVOTDATA("Cover",'Cover PivotTable'!$A$4,"Site",$A6,"Year",L$1,"Transect",$B6))</f>
        <v>0.5</v>
      </c>
      <c r="M6" s="17" t="str">
        <f>IF(OR(ISERROR(GETPIVOTDATA("Cover",'Cover PivotTable'!$A$4,"Site",$A6,"Year",M$1,"Transect",$B6)),GETPIVOTDATA("Cover",'Cover PivotTable'!$A$4,"Site",$A6,"Year",M$1)=""), "",GETPIVOTDATA("Cover",'Cover PivotTable'!$A$4,"Site",$A6,"Year",M$1,"Transect",$B6))</f>
        <v/>
      </c>
      <c r="N6" s="17">
        <f>IF(OR(ISERROR(GETPIVOTDATA("Cover",'Cover PivotTable'!$A$4,"Site",$A6,"Year",N$1,"Transect",$B6)),GETPIVOTDATA("Cover",'Cover PivotTable'!$A$4,"Site",$A6,"Year",N$1)=""), "",GETPIVOTDATA("Cover",'Cover PivotTable'!$A$4,"Site",$A6,"Year",N$1,"Transect",$B6))</f>
        <v>1</v>
      </c>
      <c r="O6" s="17">
        <f>IF(OR(ISERROR(GETPIVOTDATA("Cover",'Cover PivotTable'!$A$4,"Site",$A6,"Year",O$1,"Transect",$B6)),GETPIVOTDATA("Cover",'Cover PivotTable'!$A$4,"Site",$A6,"Year",O$1)=""), "",GETPIVOTDATA("Cover",'Cover PivotTable'!$A$4,"Site",$A6,"Year",O$1,"Transect",$B6))</f>
        <v>5.5</v>
      </c>
      <c r="P6" s="17">
        <f>IF(OR(ISERROR(GETPIVOTDATA("Cover",'Cover PivotTable'!$A$4,"Site",$A6,"Year",P$1,"Transect",$B6)),GETPIVOTDATA("Cover",'Cover PivotTable'!$A$4,"Site",$A6,"Year",P$1)=""), "",GETPIVOTDATA("Cover",'Cover PivotTable'!$A$4,"Site",$A6,"Year",P$1,"Transect",$B6))</f>
        <v>12.5</v>
      </c>
    </row>
    <row r="7" spans="1:16" x14ac:dyDescent="0.35">
      <c r="A7" t="s">
        <v>9</v>
      </c>
      <c r="B7">
        <v>1.6</v>
      </c>
      <c r="C7" s="17">
        <f>IF(OR(ISERROR(GETPIVOTDATA("Cover",'Cover PivotTable'!$A$4,"Site",$A7,"Year",C$1,"Transect",$B7)),GETPIVOTDATA("Cover",'Cover PivotTable'!$A$4,"Site",$A7,"Year",C$1)=""), "",GETPIVOTDATA("Cover",'Cover PivotTable'!$A$4,"Site",$A7,"Year",C$1,"Transect",$B7))</f>
        <v>0.5</v>
      </c>
      <c r="D7" s="17" t="str">
        <f>IF(OR(ISERROR(GETPIVOTDATA("Cover",'Cover PivotTable'!$A$4,"Site",$A7,"Year",D$1,"Transect",$B7)),GETPIVOTDATA("Cover",'Cover PivotTable'!$A$4,"Site",$A7,"Year",D$1)=""), "",GETPIVOTDATA("Cover",'Cover PivotTable'!$A$4,"Site",$A7,"Year",D$1,"Transect",$B7))</f>
        <v/>
      </c>
      <c r="E7" s="17" t="str">
        <f>IF(OR(ISERROR(GETPIVOTDATA("Cover",'Cover PivotTable'!$A$4,"Site",$A7,"Year",E$1,"Transect",$B7)),GETPIVOTDATA("Cover",'Cover PivotTable'!$A$4,"Site",$A7,"Year",E$1)=""), "",GETPIVOTDATA("Cover",'Cover PivotTable'!$A$4,"Site",$A7,"Year",E$1,"Transect",$B7))</f>
        <v/>
      </c>
      <c r="F7" s="17" t="str">
        <f>IF(OR(ISERROR(GETPIVOTDATA("Cover",'Cover PivotTable'!$A$4,"Site",$A7,"Year",F$1,"Transect",$B7)),GETPIVOTDATA("Cover",'Cover PivotTable'!$A$4,"Site",$A7,"Year",F$1)=""), "",GETPIVOTDATA("Cover",'Cover PivotTable'!$A$4,"Site",$A7,"Year",F$1,"Transect",$B7))</f>
        <v/>
      </c>
      <c r="G7" s="17" t="str">
        <f>IF(OR(ISERROR(GETPIVOTDATA("Cover",'Cover PivotTable'!$A$4,"Site",$A7,"Year",G$1,"Transect",$B7)),GETPIVOTDATA("Cover",'Cover PivotTable'!$A$4,"Site",$A7,"Year",G$1)=""), "",GETPIVOTDATA("Cover",'Cover PivotTable'!$A$4,"Site",$A7,"Year",G$1,"Transect",$B7))</f>
        <v/>
      </c>
      <c r="H7" s="17" t="str">
        <f>IF(OR(ISERROR(GETPIVOTDATA("Cover",'Cover PivotTable'!$A$4,"Site",$A7,"Year",H$1,"Transect",$B7)),GETPIVOTDATA("Cover",'Cover PivotTable'!$A$4,"Site",$A7,"Year",H$1)=""), "",GETPIVOTDATA("Cover",'Cover PivotTable'!$A$4,"Site",$A7,"Year",H$1,"Transect",$B7))</f>
        <v/>
      </c>
      <c r="I7" s="17">
        <f>IF(OR(ISERROR(GETPIVOTDATA("Cover",'Cover PivotTable'!$A$4,"Site",$A7,"Year",I$1,"Transect",$B7)),GETPIVOTDATA("Cover",'Cover PivotTable'!$A$4,"Site",$A7,"Year",I$1)=""), "",GETPIVOTDATA("Cover",'Cover PivotTable'!$A$4,"Site",$A7,"Year",I$1,"Transect",$B7))</f>
        <v>0</v>
      </c>
      <c r="J7" s="17" t="str">
        <f>IF(OR(ISERROR(GETPIVOTDATA("Cover",'Cover PivotTable'!$A$4,"Site",$A7,"Year",J$1,"Transect",$B7)),GETPIVOTDATA("Cover",'Cover PivotTable'!$A$4,"Site",$A7,"Year",J$1)=""), "",GETPIVOTDATA("Cover",'Cover PivotTable'!$A$4,"Site",$A7,"Year",J$1,"Transect",$B7))</f>
        <v/>
      </c>
      <c r="K7" s="17" t="str">
        <f>IF(OR(ISERROR(GETPIVOTDATA("Cover",'Cover PivotTable'!$A$4,"Site",$A7,"Year",K$1,"Transect",$B7)),GETPIVOTDATA("Cover",'Cover PivotTable'!$A$4,"Site",$A7,"Year",K$1)=""), "",GETPIVOTDATA("Cover",'Cover PivotTable'!$A$4,"Site",$A7,"Year",K$1,"Transect",$B7))</f>
        <v/>
      </c>
      <c r="L7" s="17">
        <f>IF(OR(ISERROR(GETPIVOTDATA("Cover",'Cover PivotTable'!$A$4,"Site",$A7,"Year",L$1,"Transect",$B7)),GETPIVOTDATA("Cover",'Cover PivotTable'!$A$4,"Site",$A7,"Year",L$1)=""), "",GETPIVOTDATA("Cover",'Cover PivotTable'!$A$4,"Site",$A7,"Year",L$1,"Transect",$B7))</f>
        <v>1</v>
      </c>
      <c r="M7" s="17" t="str">
        <f>IF(OR(ISERROR(GETPIVOTDATA("Cover",'Cover PivotTable'!$A$4,"Site",$A7,"Year",M$1,"Transect",$B7)),GETPIVOTDATA("Cover",'Cover PivotTable'!$A$4,"Site",$A7,"Year",M$1)=""), "",GETPIVOTDATA("Cover",'Cover PivotTable'!$A$4,"Site",$A7,"Year",M$1,"Transect",$B7))</f>
        <v/>
      </c>
      <c r="N7" s="17">
        <f>IF(OR(ISERROR(GETPIVOTDATA("Cover",'Cover PivotTable'!$A$4,"Site",$A7,"Year",N$1,"Transect",$B7)),GETPIVOTDATA("Cover",'Cover PivotTable'!$A$4,"Site",$A7,"Year",N$1)=""), "",GETPIVOTDATA("Cover",'Cover PivotTable'!$A$4,"Site",$A7,"Year",N$1,"Transect",$B7))</f>
        <v>1</v>
      </c>
      <c r="O7" s="17">
        <f>IF(OR(ISERROR(GETPIVOTDATA("Cover",'Cover PivotTable'!$A$4,"Site",$A7,"Year",O$1,"Transect",$B7)),GETPIVOTDATA("Cover",'Cover PivotTable'!$A$4,"Site",$A7,"Year",O$1)=""), "",GETPIVOTDATA("Cover",'Cover PivotTable'!$A$4,"Site",$A7,"Year",O$1,"Transect",$B7))</f>
        <v>3.5</v>
      </c>
      <c r="P7" s="17">
        <f>IF(OR(ISERROR(GETPIVOTDATA("Cover",'Cover PivotTable'!$A$4,"Site",$A7,"Year",P$1,"Transect",$B7)),GETPIVOTDATA("Cover",'Cover PivotTable'!$A$4,"Site",$A7,"Year",P$1)=""), "",GETPIVOTDATA("Cover",'Cover PivotTable'!$A$4,"Site",$A7,"Year",P$1,"Transect",$B7))</f>
        <v>7.5</v>
      </c>
    </row>
    <row r="8" spans="1:16" x14ac:dyDescent="0.35">
      <c r="A8" t="s">
        <v>9</v>
      </c>
      <c r="B8">
        <v>1.7</v>
      </c>
      <c r="C8" s="17">
        <f>IF(OR(ISERROR(GETPIVOTDATA("Cover",'Cover PivotTable'!$A$4,"Site",$A8,"Year",C$1,"Transect",$B8)),GETPIVOTDATA("Cover",'Cover PivotTable'!$A$4,"Site",$A8,"Year",C$1)=""), "",GETPIVOTDATA("Cover",'Cover PivotTable'!$A$4,"Site",$A8,"Year",C$1,"Transect",$B8))</f>
        <v>3.5000000000000004</v>
      </c>
      <c r="D8" s="17" t="str">
        <f>IF(OR(ISERROR(GETPIVOTDATA("Cover",'Cover PivotTable'!$A$4,"Site",$A8,"Year",D$1,"Transect",$B8)),GETPIVOTDATA("Cover",'Cover PivotTable'!$A$4,"Site",$A8,"Year",D$1)=""), "",GETPIVOTDATA("Cover",'Cover PivotTable'!$A$4,"Site",$A8,"Year",D$1,"Transect",$B8))</f>
        <v/>
      </c>
      <c r="E8" s="17" t="str">
        <f>IF(OR(ISERROR(GETPIVOTDATA("Cover",'Cover PivotTable'!$A$4,"Site",$A8,"Year",E$1,"Transect",$B8)),GETPIVOTDATA("Cover",'Cover PivotTable'!$A$4,"Site",$A8,"Year",E$1)=""), "",GETPIVOTDATA("Cover",'Cover PivotTable'!$A$4,"Site",$A8,"Year",E$1,"Transect",$B8))</f>
        <v/>
      </c>
      <c r="F8" s="17" t="str">
        <f>IF(OR(ISERROR(GETPIVOTDATA("Cover",'Cover PivotTable'!$A$4,"Site",$A8,"Year",F$1,"Transect",$B8)),GETPIVOTDATA("Cover",'Cover PivotTable'!$A$4,"Site",$A8,"Year",F$1)=""), "",GETPIVOTDATA("Cover",'Cover PivotTable'!$A$4,"Site",$A8,"Year",F$1,"Transect",$B8))</f>
        <v/>
      </c>
      <c r="G8" s="17" t="str">
        <f>IF(OR(ISERROR(GETPIVOTDATA("Cover",'Cover PivotTable'!$A$4,"Site",$A8,"Year",G$1,"Transect",$B8)),GETPIVOTDATA("Cover",'Cover PivotTable'!$A$4,"Site",$A8,"Year",G$1)=""), "",GETPIVOTDATA("Cover",'Cover PivotTable'!$A$4,"Site",$A8,"Year",G$1,"Transect",$B8))</f>
        <v/>
      </c>
      <c r="H8" s="17" t="str">
        <f>IF(OR(ISERROR(GETPIVOTDATA("Cover",'Cover PivotTable'!$A$4,"Site",$A8,"Year",H$1,"Transect",$B8)),GETPIVOTDATA("Cover",'Cover PivotTable'!$A$4,"Site",$A8,"Year",H$1)=""), "",GETPIVOTDATA("Cover",'Cover PivotTable'!$A$4,"Site",$A8,"Year",H$1,"Transect",$B8))</f>
        <v/>
      </c>
      <c r="I8" s="17">
        <f>IF(OR(ISERROR(GETPIVOTDATA("Cover",'Cover PivotTable'!$A$4,"Site",$A8,"Year",I$1,"Transect",$B8)),GETPIVOTDATA("Cover",'Cover PivotTable'!$A$4,"Site",$A8,"Year",I$1)=""), "",GETPIVOTDATA("Cover",'Cover PivotTable'!$A$4,"Site",$A8,"Year",I$1,"Transect",$B8))</f>
        <v>2</v>
      </c>
      <c r="J8" s="17" t="str">
        <f>IF(OR(ISERROR(GETPIVOTDATA("Cover",'Cover PivotTable'!$A$4,"Site",$A8,"Year",J$1,"Transect",$B8)),GETPIVOTDATA("Cover",'Cover PivotTable'!$A$4,"Site",$A8,"Year",J$1)=""), "",GETPIVOTDATA("Cover",'Cover PivotTable'!$A$4,"Site",$A8,"Year",J$1,"Transect",$B8))</f>
        <v/>
      </c>
      <c r="K8" s="17" t="str">
        <f>IF(OR(ISERROR(GETPIVOTDATA("Cover",'Cover PivotTable'!$A$4,"Site",$A8,"Year",K$1,"Transect",$B8)),GETPIVOTDATA("Cover",'Cover PivotTable'!$A$4,"Site",$A8,"Year",K$1)=""), "",GETPIVOTDATA("Cover",'Cover PivotTable'!$A$4,"Site",$A8,"Year",K$1,"Transect",$B8))</f>
        <v/>
      </c>
      <c r="L8" s="17">
        <f>IF(OR(ISERROR(GETPIVOTDATA("Cover",'Cover PivotTable'!$A$4,"Site",$A8,"Year",L$1,"Transect",$B8)),GETPIVOTDATA("Cover",'Cover PivotTable'!$A$4,"Site",$A8,"Year",L$1)=""), "",GETPIVOTDATA("Cover",'Cover PivotTable'!$A$4,"Site",$A8,"Year",L$1,"Transect",$B8))</f>
        <v>6.5</v>
      </c>
      <c r="M8" s="17" t="str">
        <f>IF(OR(ISERROR(GETPIVOTDATA("Cover",'Cover PivotTable'!$A$4,"Site",$A8,"Year",M$1,"Transect",$B8)),GETPIVOTDATA("Cover",'Cover PivotTable'!$A$4,"Site",$A8,"Year",M$1)=""), "",GETPIVOTDATA("Cover",'Cover PivotTable'!$A$4,"Site",$A8,"Year",M$1,"Transect",$B8))</f>
        <v/>
      </c>
      <c r="N8" s="17">
        <f>IF(OR(ISERROR(GETPIVOTDATA("Cover",'Cover PivotTable'!$A$4,"Site",$A8,"Year",N$1,"Transect",$B8)),GETPIVOTDATA("Cover",'Cover PivotTable'!$A$4,"Site",$A8,"Year",N$1)=""), "",GETPIVOTDATA("Cover",'Cover PivotTable'!$A$4,"Site",$A8,"Year",N$1,"Transect",$B8))</f>
        <v>2</v>
      </c>
      <c r="O8" s="17">
        <f>IF(OR(ISERROR(GETPIVOTDATA("Cover",'Cover PivotTable'!$A$4,"Site",$A8,"Year",O$1,"Transect",$B8)),GETPIVOTDATA("Cover",'Cover PivotTable'!$A$4,"Site",$A8,"Year",O$1)=""), "",GETPIVOTDATA("Cover",'Cover PivotTable'!$A$4,"Site",$A8,"Year",O$1,"Transect",$B8))</f>
        <v>8.5</v>
      </c>
      <c r="P8" s="17">
        <f>IF(OR(ISERROR(GETPIVOTDATA("Cover",'Cover PivotTable'!$A$4,"Site",$A8,"Year",P$1,"Transect",$B8)),GETPIVOTDATA("Cover",'Cover PivotTable'!$A$4,"Site",$A8,"Year",P$1)=""), "",GETPIVOTDATA("Cover",'Cover PivotTable'!$A$4,"Site",$A8,"Year",P$1,"Transect",$B8))</f>
        <v>13</v>
      </c>
    </row>
    <row r="9" spans="1:16" x14ac:dyDescent="0.35">
      <c r="A9" t="s">
        <v>9</v>
      </c>
      <c r="B9">
        <v>2.1</v>
      </c>
      <c r="C9" s="17">
        <f>IF(OR(ISERROR(GETPIVOTDATA("Cover",'Cover PivotTable'!$A$4,"Site",$A9,"Year",C$1,"Transect",$B9)),GETPIVOTDATA("Cover",'Cover PivotTable'!$A$4,"Site",$A9,"Year",C$1)=""), "",GETPIVOTDATA("Cover",'Cover PivotTable'!$A$4,"Site",$A9,"Year",C$1,"Transect",$B9))</f>
        <v>6</v>
      </c>
      <c r="D9" s="17" t="str">
        <f>IF(OR(ISERROR(GETPIVOTDATA("Cover",'Cover PivotTable'!$A$4,"Site",$A9,"Year",D$1,"Transect",$B9)),GETPIVOTDATA("Cover",'Cover PivotTable'!$A$4,"Site",$A9,"Year",D$1)=""), "",GETPIVOTDATA("Cover",'Cover PivotTable'!$A$4,"Site",$A9,"Year",D$1,"Transect",$B9))</f>
        <v/>
      </c>
      <c r="E9" s="17" t="str">
        <f>IF(OR(ISERROR(GETPIVOTDATA("Cover",'Cover PivotTable'!$A$4,"Site",$A9,"Year",E$1,"Transect",$B9)),GETPIVOTDATA("Cover",'Cover PivotTable'!$A$4,"Site",$A9,"Year",E$1)=""), "",GETPIVOTDATA("Cover",'Cover PivotTable'!$A$4,"Site",$A9,"Year",E$1,"Transect",$B9))</f>
        <v/>
      </c>
      <c r="F9" s="17" t="str">
        <f>IF(OR(ISERROR(GETPIVOTDATA("Cover",'Cover PivotTable'!$A$4,"Site",$A9,"Year",F$1,"Transect",$B9)),GETPIVOTDATA("Cover",'Cover PivotTable'!$A$4,"Site",$A9,"Year",F$1)=""), "",GETPIVOTDATA("Cover",'Cover PivotTable'!$A$4,"Site",$A9,"Year",F$1,"Transect",$B9))</f>
        <v/>
      </c>
      <c r="G9" s="17" t="str">
        <f>IF(OR(ISERROR(GETPIVOTDATA("Cover",'Cover PivotTable'!$A$4,"Site",$A9,"Year",G$1,"Transect",$B9)),GETPIVOTDATA("Cover",'Cover PivotTable'!$A$4,"Site",$A9,"Year",G$1)=""), "",GETPIVOTDATA("Cover",'Cover PivotTable'!$A$4,"Site",$A9,"Year",G$1,"Transect",$B9))</f>
        <v/>
      </c>
      <c r="H9" s="17" t="str">
        <f>IF(OR(ISERROR(GETPIVOTDATA("Cover",'Cover PivotTable'!$A$4,"Site",$A9,"Year",H$1,"Transect",$B9)),GETPIVOTDATA("Cover",'Cover PivotTable'!$A$4,"Site",$A9,"Year",H$1)=""), "",GETPIVOTDATA("Cover",'Cover PivotTable'!$A$4,"Site",$A9,"Year",H$1,"Transect",$B9))</f>
        <v/>
      </c>
      <c r="I9" s="17">
        <f>IF(OR(ISERROR(GETPIVOTDATA("Cover",'Cover PivotTable'!$A$4,"Site",$A9,"Year",I$1,"Transect",$B9)),GETPIVOTDATA("Cover",'Cover PivotTable'!$A$4,"Site",$A9,"Year",I$1)=""), "",GETPIVOTDATA("Cover",'Cover PivotTable'!$A$4,"Site",$A9,"Year",I$1,"Transect",$B9))</f>
        <v>5.5</v>
      </c>
      <c r="J9" s="17" t="str">
        <f>IF(OR(ISERROR(GETPIVOTDATA("Cover",'Cover PivotTable'!$A$4,"Site",$A9,"Year",J$1,"Transect",$B9)),GETPIVOTDATA("Cover",'Cover PivotTable'!$A$4,"Site",$A9,"Year",J$1)=""), "",GETPIVOTDATA("Cover",'Cover PivotTable'!$A$4,"Site",$A9,"Year",J$1,"Transect",$B9))</f>
        <v/>
      </c>
      <c r="K9" s="17" t="str">
        <f>IF(OR(ISERROR(GETPIVOTDATA("Cover",'Cover PivotTable'!$A$4,"Site",$A9,"Year",K$1,"Transect",$B9)),GETPIVOTDATA("Cover",'Cover PivotTable'!$A$4,"Site",$A9,"Year",K$1)=""), "",GETPIVOTDATA("Cover",'Cover PivotTable'!$A$4,"Site",$A9,"Year",K$1,"Transect",$B9))</f>
        <v/>
      </c>
      <c r="L9" s="17">
        <f>IF(OR(ISERROR(GETPIVOTDATA("Cover",'Cover PivotTable'!$A$4,"Site",$A9,"Year",L$1,"Transect",$B9)),GETPIVOTDATA("Cover",'Cover PivotTable'!$A$4,"Site",$A9,"Year",L$1)=""), "",GETPIVOTDATA("Cover",'Cover PivotTable'!$A$4,"Site",$A9,"Year",L$1,"Transect",$B9))</f>
        <v>4.5</v>
      </c>
      <c r="M9" s="17" t="str">
        <f>IF(OR(ISERROR(GETPIVOTDATA("Cover",'Cover PivotTable'!$A$4,"Site",$A9,"Year",M$1,"Transect",$B9)),GETPIVOTDATA("Cover",'Cover PivotTable'!$A$4,"Site",$A9,"Year",M$1)=""), "",GETPIVOTDATA("Cover",'Cover PivotTable'!$A$4,"Site",$A9,"Year",M$1,"Transect",$B9))</f>
        <v/>
      </c>
      <c r="N9" s="17">
        <f>IF(OR(ISERROR(GETPIVOTDATA("Cover",'Cover PivotTable'!$A$4,"Site",$A9,"Year",N$1,"Transect",$B9)),GETPIVOTDATA("Cover",'Cover PivotTable'!$A$4,"Site",$A9,"Year",N$1)=""), "",GETPIVOTDATA("Cover",'Cover PivotTable'!$A$4,"Site",$A9,"Year",N$1,"Transect",$B9))</f>
        <v>3</v>
      </c>
      <c r="O9" s="17">
        <f>IF(OR(ISERROR(GETPIVOTDATA("Cover",'Cover PivotTable'!$A$4,"Site",$A9,"Year",O$1,"Transect",$B9)),GETPIVOTDATA("Cover",'Cover PivotTable'!$A$4,"Site",$A9,"Year",O$1)=""), "",GETPIVOTDATA("Cover",'Cover PivotTable'!$A$4,"Site",$A9,"Year",O$1,"Transect",$B9))</f>
        <v>2.5</v>
      </c>
      <c r="P9" s="17">
        <f>IF(OR(ISERROR(GETPIVOTDATA("Cover",'Cover PivotTable'!$A$4,"Site",$A9,"Year",P$1,"Transect",$B9)),GETPIVOTDATA("Cover",'Cover PivotTable'!$A$4,"Site",$A9,"Year",P$1)=""), "",GETPIVOTDATA("Cover",'Cover PivotTable'!$A$4,"Site",$A9,"Year",P$1,"Transect",$B9))</f>
        <v>8.5</v>
      </c>
    </row>
    <row r="10" spans="1:16" x14ac:dyDescent="0.35">
      <c r="A10" t="s">
        <v>9</v>
      </c>
      <c r="B10">
        <v>2.2000000000000002</v>
      </c>
      <c r="C10" s="17">
        <f>IF(OR(ISERROR(GETPIVOTDATA("Cover",'Cover PivotTable'!$A$4,"Site",$A10,"Year",C$1,"Transect",$B10)),GETPIVOTDATA("Cover",'Cover PivotTable'!$A$4,"Site",$A10,"Year",C$1)=""), "",GETPIVOTDATA("Cover",'Cover PivotTable'!$A$4,"Site",$A10,"Year",C$1,"Transect",$B10))</f>
        <v>0.5</v>
      </c>
      <c r="D10" s="17" t="str">
        <f>IF(OR(ISERROR(GETPIVOTDATA("Cover",'Cover PivotTable'!$A$4,"Site",$A10,"Year",D$1,"Transect",$B10)),GETPIVOTDATA("Cover",'Cover PivotTable'!$A$4,"Site",$A10,"Year",D$1)=""), "",GETPIVOTDATA("Cover",'Cover PivotTable'!$A$4,"Site",$A10,"Year",D$1,"Transect",$B10))</f>
        <v/>
      </c>
      <c r="E10" s="17" t="str">
        <f>IF(OR(ISERROR(GETPIVOTDATA("Cover",'Cover PivotTable'!$A$4,"Site",$A10,"Year",E$1,"Transect",$B10)),GETPIVOTDATA("Cover",'Cover PivotTable'!$A$4,"Site",$A10,"Year",E$1)=""), "",GETPIVOTDATA("Cover",'Cover PivotTable'!$A$4,"Site",$A10,"Year",E$1,"Transect",$B10))</f>
        <v/>
      </c>
      <c r="F10" s="17" t="str">
        <f>IF(OR(ISERROR(GETPIVOTDATA("Cover",'Cover PivotTable'!$A$4,"Site",$A10,"Year",F$1,"Transect",$B10)),GETPIVOTDATA("Cover",'Cover PivotTable'!$A$4,"Site",$A10,"Year",F$1)=""), "",GETPIVOTDATA("Cover",'Cover PivotTable'!$A$4,"Site",$A10,"Year",F$1,"Transect",$B10))</f>
        <v/>
      </c>
      <c r="G10" s="17" t="str">
        <f>IF(OR(ISERROR(GETPIVOTDATA("Cover",'Cover PivotTable'!$A$4,"Site",$A10,"Year",G$1,"Transect",$B10)),GETPIVOTDATA("Cover",'Cover PivotTable'!$A$4,"Site",$A10,"Year",G$1)=""), "",GETPIVOTDATA("Cover",'Cover PivotTable'!$A$4,"Site",$A10,"Year",G$1,"Transect",$B10))</f>
        <v/>
      </c>
      <c r="H10" s="17" t="str">
        <f>IF(OR(ISERROR(GETPIVOTDATA("Cover",'Cover PivotTable'!$A$4,"Site",$A10,"Year",H$1,"Transect",$B10)),GETPIVOTDATA("Cover",'Cover PivotTable'!$A$4,"Site",$A10,"Year",H$1)=""), "",GETPIVOTDATA("Cover",'Cover PivotTable'!$A$4,"Site",$A10,"Year",H$1,"Transect",$B10))</f>
        <v/>
      </c>
      <c r="I10" s="17">
        <f>IF(OR(ISERROR(GETPIVOTDATA("Cover",'Cover PivotTable'!$A$4,"Site",$A10,"Year",I$1,"Transect",$B10)),GETPIVOTDATA("Cover",'Cover PivotTable'!$A$4,"Site",$A10,"Year",I$1)=""), "",GETPIVOTDATA("Cover",'Cover PivotTable'!$A$4,"Site",$A10,"Year",I$1,"Transect",$B10))</f>
        <v>1.5</v>
      </c>
      <c r="J10" s="17" t="str">
        <f>IF(OR(ISERROR(GETPIVOTDATA("Cover",'Cover PivotTable'!$A$4,"Site",$A10,"Year",J$1,"Transect",$B10)),GETPIVOTDATA("Cover",'Cover PivotTable'!$A$4,"Site",$A10,"Year",J$1)=""), "",GETPIVOTDATA("Cover",'Cover PivotTable'!$A$4,"Site",$A10,"Year",J$1,"Transect",$B10))</f>
        <v/>
      </c>
      <c r="K10" s="17" t="str">
        <f>IF(OR(ISERROR(GETPIVOTDATA("Cover",'Cover PivotTable'!$A$4,"Site",$A10,"Year",K$1,"Transect",$B10)),GETPIVOTDATA("Cover",'Cover PivotTable'!$A$4,"Site",$A10,"Year",K$1)=""), "",GETPIVOTDATA("Cover",'Cover PivotTable'!$A$4,"Site",$A10,"Year",K$1,"Transect",$B10))</f>
        <v/>
      </c>
      <c r="L10" s="17">
        <f>IF(OR(ISERROR(GETPIVOTDATA("Cover",'Cover PivotTable'!$A$4,"Site",$A10,"Year",L$1,"Transect",$B10)),GETPIVOTDATA("Cover",'Cover PivotTable'!$A$4,"Site",$A10,"Year",L$1)=""), "",GETPIVOTDATA("Cover",'Cover PivotTable'!$A$4,"Site",$A10,"Year",L$1,"Transect",$B10))</f>
        <v>3</v>
      </c>
      <c r="M10" s="17" t="str">
        <f>IF(OR(ISERROR(GETPIVOTDATA("Cover",'Cover PivotTable'!$A$4,"Site",$A10,"Year",M$1,"Transect",$B10)),GETPIVOTDATA("Cover",'Cover PivotTable'!$A$4,"Site",$A10,"Year",M$1)=""), "",GETPIVOTDATA("Cover",'Cover PivotTable'!$A$4,"Site",$A10,"Year",M$1,"Transect",$B10))</f>
        <v/>
      </c>
      <c r="N10" s="17">
        <f>IF(OR(ISERROR(GETPIVOTDATA("Cover",'Cover PivotTable'!$A$4,"Site",$A10,"Year",N$1,"Transect",$B10)),GETPIVOTDATA("Cover",'Cover PivotTable'!$A$4,"Site",$A10,"Year",N$1)=""), "",GETPIVOTDATA("Cover",'Cover PivotTable'!$A$4,"Site",$A10,"Year",N$1,"Transect",$B10))</f>
        <v>2</v>
      </c>
      <c r="O10" s="17">
        <f>IF(OR(ISERROR(GETPIVOTDATA("Cover",'Cover PivotTable'!$A$4,"Site",$A10,"Year",O$1,"Transect",$B10)),GETPIVOTDATA("Cover",'Cover PivotTable'!$A$4,"Site",$A10,"Year",O$1)=""), "",GETPIVOTDATA("Cover",'Cover PivotTable'!$A$4,"Site",$A10,"Year",O$1,"Transect",$B10))</f>
        <v>2.5</v>
      </c>
      <c r="P10" s="17">
        <f>IF(OR(ISERROR(GETPIVOTDATA("Cover",'Cover PivotTable'!$A$4,"Site",$A10,"Year",P$1,"Transect",$B10)),GETPIVOTDATA("Cover",'Cover PivotTable'!$A$4,"Site",$A10,"Year",P$1)=""), "",GETPIVOTDATA("Cover",'Cover PivotTable'!$A$4,"Site",$A10,"Year",P$1,"Transect",$B10))</f>
        <v>4</v>
      </c>
    </row>
    <row r="11" spans="1:16" x14ac:dyDescent="0.35">
      <c r="A11" t="s">
        <v>9</v>
      </c>
      <c r="B11">
        <v>2.2999999999999998</v>
      </c>
      <c r="C11" s="17">
        <f>IF(OR(ISERROR(GETPIVOTDATA("Cover",'Cover PivotTable'!$A$4,"Site",$A11,"Year",C$1,"Transect",$B11)),GETPIVOTDATA("Cover",'Cover PivotTable'!$A$4,"Site",$A11,"Year",C$1)=""), "",GETPIVOTDATA("Cover",'Cover PivotTable'!$A$4,"Site",$A11,"Year",C$1,"Transect",$B11))</f>
        <v>1</v>
      </c>
      <c r="D11" s="17" t="str">
        <f>IF(OR(ISERROR(GETPIVOTDATA("Cover",'Cover PivotTable'!$A$4,"Site",$A11,"Year",D$1,"Transect",$B11)),GETPIVOTDATA("Cover",'Cover PivotTable'!$A$4,"Site",$A11,"Year",D$1)=""), "",GETPIVOTDATA("Cover",'Cover PivotTable'!$A$4,"Site",$A11,"Year",D$1,"Transect",$B11))</f>
        <v/>
      </c>
      <c r="E11" s="17" t="str">
        <f>IF(OR(ISERROR(GETPIVOTDATA("Cover",'Cover PivotTable'!$A$4,"Site",$A11,"Year",E$1,"Transect",$B11)),GETPIVOTDATA("Cover",'Cover PivotTable'!$A$4,"Site",$A11,"Year",E$1)=""), "",GETPIVOTDATA("Cover",'Cover PivotTable'!$A$4,"Site",$A11,"Year",E$1,"Transect",$B11))</f>
        <v/>
      </c>
      <c r="F11" s="17" t="str">
        <f>IF(OR(ISERROR(GETPIVOTDATA("Cover",'Cover PivotTable'!$A$4,"Site",$A11,"Year",F$1,"Transect",$B11)),GETPIVOTDATA("Cover",'Cover PivotTable'!$A$4,"Site",$A11,"Year",F$1)=""), "",GETPIVOTDATA("Cover",'Cover PivotTable'!$A$4,"Site",$A11,"Year",F$1,"Transect",$B11))</f>
        <v/>
      </c>
      <c r="G11" s="17" t="str">
        <f>IF(OR(ISERROR(GETPIVOTDATA("Cover",'Cover PivotTable'!$A$4,"Site",$A11,"Year",G$1,"Transect",$B11)),GETPIVOTDATA("Cover",'Cover PivotTable'!$A$4,"Site",$A11,"Year",G$1)=""), "",GETPIVOTDATA("Cover",'Cover PivotTable'!$A$4,"Site",$A11,"Year",G$1,"Transect",$B11))</f>
        <v/>
      </c>
      <c r="H11" s="17" t="str">
        <f>IF(OR(ISERROR(GETPIVOTDATA("Cover",'Cover PivotTable'!$A$4,"Site",$A11,"Year",H$1,"Transect",$B11)),GETPIVOTDATA("Cover",'Cover PivotTable'!$A$4,"Site",$A11,"Year",H$1)=""), "",GETPIVOTDATA("Cover",'Cover PivotTable'!$A$4,"Site",$A11,"Year",H$1,"Transect",$B11))</f>
        <v/>
      </c>
      <c r="I11" s="17">
        <f>IF(OR(ISERROR(GETPIVOTDATA("Cover",'Cover PivotTable'!$A$4,"Site",$A11,"Year",I$1,"Transect",$B11)),GETPIVOTDATA("Cover",'Cover PivotTable'!$A$4,"Site",$A11,"Year",I$1)=""), "",GETPIVOTDATA("Cover",'Cover PivotTable'!$A$4,"Site",$A11,"Year",I$1,"Transect",$B11))</f>
        <v>0.5</v>
      </c>
      <c r="J11" s="17" t="str">
        <f>IF(OR(ISERROR(GETPIVOTDATA("Cover",'Cover PivotTable'!$A$4,"Site",$A11,"Year",J$1,"Transect",$B11)),GETPIVOTDATA("Cover",'Cover PivotTable'!$A$4,"Site",$A11,"Year",J$1)=""), "",GETPIVOTDATA("Cover",'Cover PivotTable'!$A$4,"Site",$A11,"Year",J$1,"Transect",$B11))</f>
        <v/>
      </c>
      <c r="K11" s="17" t="str">
        <f>IF(OR(ISERROR(GETPIVOTDATA("Cover",'Cover PivotTable'!$A$4,"Site",$A11,"Year",K$1,"Transect",$B11)),GETPIVOTDATA("Cover",'Cover PivotTable'!$A$4,"Site",$A11,"Year",K$1)=""), "",GETPIVOTDATA("Cover",'Cover PivotTable'!$A$4,"Site",$A11,"Year",K$1,"Transect",$B11))</f>
        <v/>
      </c>
      <c r="L11" s="17">
        <f>IF(OR(ISERROR(GETPIVOTDATA("Cover",'Cover PivotTable'!$A$4,"Site",$A11,"Year",L$1,"Transect",$B11)),GETPIVOTDATA("Cover",'Cover PivotTable'!$A$4,"Site",$A11,"Year",L$1)=""), "",GETPIVOTDATA("Cover",'Cover PivotTable'!$A$4,"Site",$A11,"Year",L$1,"Transect",$B11))</f>
        <v>0.5</v>
      </c>
      <c r="M11" s="17" t="str">
        <f>IF(OR(ISERROR(GETPIVOTDATA("Cover",'Cover PivotTable'!$A$4,"Site",$A11,"Year",M$1,"Transect",$B11)),GETPIVOTDATA("Cover",'Cover PivotTable'!$A$4,"Site",$A11,"Year",M$1)=""), "",GETPIVOTDATA("Cover",'Cover PivotTable'!$A$4,"Site",$A11,"Year",M$1,"Transect",$B11))</f>
        <v/>
      </c>
      <c r="N11" s="17">
        <f>IF(OR(ISERROR(GETPIVOTDATA("Cover",'Cover PivotTable'!$A$4,"Site",$A11,"Year",N$1,"Transect",$B11)),GETPIVOTDATA("Cover",'Cover PivotTable'!$A$4,"Site",$A11,"Year",N$1)=""), "",GETPIVOTDATA("Cover",'Cover PivotTable'!$A$4,"Site",$A11,"Year",N$1,"Transect",$B11))</f>
        <v>1.5</v>
      </c>
      <c r="O11" s="17">
        <f>IF(OR(ISERROR(GETPIVOTDATA("Cover",'Cover PivotTable'!$A$4,"Site",$A11,"Year",O$1,"Transect",$B11)),GETPIVOTDATA("Cover",'Cover PivotTable'!$A$4,"Site",$A11,"Year",O$1)=""), "",GETPIVOTDATA("Cover",'Cover PivotTable'!$A$4,"Site",$A11,"Year",O$1,"Transect",$B11))</f>
        <v>2</v>
      </c>
      <c r="P11" s="17">
        <f>IF(OR(ISERROR(GETPIVOTDATA("Cover",'Cover PivotTable'!$A$4,"Site",$A11,"Year",P$1,"Transect",$B11)),GETPIVOTDATA("Cover",'Cover PivotTable'!$A$4,"Site",$A11,"Year",P$1)=""), "",GETPIVOTDATA("Cover",'Cover PivotTable'!$A$4,"Site",$A11,"Year",P$1,"Transect",$B11))</f>
        <v>8.5</v>
      </c>
    </row>
    <row r="12" spans="1:16" x14ac:dyDescent="0.35">
      <c r="A12" t="s">
        <v>9</v>
      </c>
      <c r="B12">
        <v>2.4</v>
      </c>
      <c r="C12" s="17">
        <f>IF(OR(ISERROR(GETPIVOTDATA("Cover",'Cover PivotTable'!$A$4,"Site",$A12,"Year",C$1,"Transect",$B12)),GETPIVOTDATA("Cover",'Cover PivotTable'!$A$4,"Site",$A12,"Year",C$1)=""), "",GETPIVOTDATA("Cover",'Cover PivotTable'!$A$4,"Site",$A12,"Year",C$1,"Transect",$B12))</f>
        <v>0</v>
      </c>
      <c r="D12" s="17" t="str">
        <f>IF(OR(ISERROR(GETPIVOTDATA("Cover",'Cover PivotTable'!$A$4,"Site",$A12,"Year",D$1,"Transect",$B12)),GETPIVOTDATA("Cover",'Cover PivotTable'!$A$4,"Site",$A12,"Year",D$1)=""), "",GETPIVOTDATA("Cover",'Cover PivotTable'!$A$4,"Site",$A12,"Year",D$1,"Transect",$B12))</f>
        <v/>
      </c>
      <c r="E12" s="17" t="str">
        <f>IF(OR(ISERROR(GETPIVOTDATA("Cover",'Cover PivotTable'!$A$4,"Site",$A12,"Year",E$1,"Transect",$B12)),GETPIVOTDATA("Cover",'Cover PivotTable'!$A$4,"Site",$A12,"Year",E$1)=""), "",GETPIVOTDATA("Cover",'Cover PivotTable'!$A$4,"Site",$A12,"Year",E$1,"Transect",$B12))</f>
        <v/>
      </c>
      <c r="F12" s="17" t="str">
        <f>IF(OR(ISERROR(GETPIVOTDATA("Cover",'Cover PivotTable'!$A$4,"Site",$A12,"Year",F$1,"Transect",$B12)),GETPIVOTDATA("Cover",'Cover PivotTable'!$A$4,"Site",$A12,"Year",F$1)=""), "",GETPIVOTDATA("Cover",'Cover PivotTable'!$A$4,"Site",$A12,"Year",F$1,"Transect",$B12))</f>
        <v/>
      </c>
      <c r="G12" s="17" t="str">
        <f>IF(OR(ISERROR(GETPIVOTDATA("Cover",'Cover PivotTable'!$A$4,"Site",$A12,"Year",G$1,"Transect",$B12)),GETPIVOTDATA("Cover",'Cover PivotTable'!$A$4,"Site",$A12,"Year",G$1)=""), "",GETPIVOTDATA("Cover",'Cover PivotTable'!$A$4,"Site",$A12,"Year",G$1,"Transect",$B12))</f>
        <v/>
      </c>
      <c r="H12" s="17" t="str">
        <f>IF(OR(ISERROR(GETPIVOTDATA("Cover",'Cover PivotTable'!$A$4,"Site",$A12,"Year",H$1,"Transect",$B12)),GETPIVOTDATA("Cover",'Cover PivotTable'!$A$4,"Site",$A12,"Year",H$1)=""), "",GETPIVOTDATA("Cover",'Cover PivotTable'!$A$4,"Site",$A12,"Year",H$1,"Transect",$B12))</f>
        <v/>
      </c>
      <c r="I12" s="17">
        <f>IF(OR(ISERROR(GETPIVOTDATA("Cover",'Cover PivotTable'!$A$4,"Site",$A12,"Year",I$1,"Transect",$B12)),GETPIVOTDATA("Cover",'Cover PivotTable'!$A$4,"Site",$A12,"Year",I$1)=""), "",GETPIVOTDATA("Cover",'Cover PivotTable'!$A$4,"Site",$A12,"Year",I$1,"Transect",$B12))</f>
        <v>0</v>
      </c>
      <c r="J12" s="17" t="str">
        <f>IF(OR(ISERROR(GETPIVOTDATA("Cover",'Cover PivotTable'!$A$4,"Site",$A12,"Year",J$1,"Transect",$B12)),GETPIVOTDATA("Cover",'Cover PivotTable'!$A$4,"Site",$A12,"Year",J$1)=""), "",GETPIVOTDATA("Cover",'Cover PivotTable'!$A$4,"Site",$A12,"Year",J$1,"Transect",$B12))</f>
        <v/>
      </c>
      <c r="K12" s="17" t="str">
        <f>IF(OR(ISERROR(GETPIVOTDATA("Cover",'Cover PivotTable'!$A$4,"Site",$A12,"Year",K$1,"Transect",$B12)),GETPIVOTDATA("Cover",'Cover PivotTable'!$A$4,"Site",$A12,"Year",K$1)=""), "",GETPIVOTDATA("Cover",'Cover PivotTable'!$A$4,"Site",$A12,"Year",K$1,"Transect",$B12))</f>
        <v/>
      </c>
      <c r="L12" s="17">
        <f>IF(OR(ISERROR(GETPIVOTDATA("Cover",'Cover PivotTable'!$A$4,"Site",$A12,"Year",L$1,"Transect",$B12)),GETPIVOTDATA("Cover",'Cover PivotTable'!$A$4,"Site",$A12,"Year",L$1)=""), "",GETPIVOTDATA("Cover",'Cover PivotTable'!$A$4,"Site",$A12,"Year",L$1,"Transect",$B12))</f>
        <v>0</v>
      </c>
      <c r="M12" s="17" t="str">
        <f>IF(OR(ISERROR(GETPIVOTDATA("Cover",'Cover PivotTable'!$A$4,"Site",$A12,"Year",M$1,"Transect",$B12)),GETPIVOTDATA("Cover",'Cover PivotTable'!$A$4,"Site",$A12,"Year",M$1)=""), "",GETPIVOTDATA("Cover",'Cover PivotTable'!$A$4,"Site",$A12,"Year",M$1,"Transect",$B12))</f>
        <v/>
      </c>
      <c r="N12" s="17">
        <f>IF(OR(ISERROR(GETPIVOTDATA("Cover",'Cover PivotTable'!$A$4,"Site",$A12,"Year",N$1,"Transect",$B12)),GETPIVOTDATA("Cover",'Cover PivotTable'!$A$4,"Site",$A12,"Year",N$1)=""), "",GETPIVOTDATA("Cover",'Cover PivotTable'!$A$4,"Site",$A12,"Year",N$1,"Transect",$B12))</f>
        <v>0.5</v>
      </c>
      <c r="O12" s="17">
        <f>IF(OR(ISERROR(GETPIVOTDATA("Cover",'Cover PivotTable'!$A$4,"Site",$A12,"Year",O$1,"Transect",$B12)),GETPIVOTDATA("Cover",'Cover PivotTable'!$A$4,"Site",$A12,"Year",O$1)=""), "",GETPIVOTDATA("Cover",'Cover PivotTable'!$A$4,"Site",$A12,"Year",O$1,"Transect",$B12))</f>
        <v>1.5</v>
      </c>
      <c r="P12" s="17">
        <f>IF(OR(ISERROR(GETPIVOTDATA("Cover",'Cover PivotTable'!$A$4,"Site",$A12,"Year",P$1,"Transect",$B12)),GETPIVOTDATA("Cover",'Cover PivotTable'!$A$4,"Site",$A12,"Year",P$1)=""), "",GETPIVOTDATA("Cover",'Cover PivotTable'!$A$4,"Site",$A12,"Year",P$1,"Transect",$B12))</f>
        <v>5</v>
      </c>
    </row>
    <row r="13" spans="1:16" x14ac:dyDescent="0.35">
      <c r="A13" t="s">
        <v>9</v>
      </c>
      <c r="B13">
        <v>2.5</v>
      </c>
      <c r="C13" s="17">
        <f>IF(OR(ISERROR(GETPIVOTDATA("Cover",'Cover PivotTable'!$A$4,"Site",$A13,"Year",C$1,"Transect",$B13)),GETPIVOTDATA("Cover",'Cover PivotTable'!$A$4,"Site",$A13,"Year",C$1)=""), "",GETPIVOTDATA("Cover",'Cover PivotTable'!$A$4,"Site",$A13,"Year",C$1,"Transect",$B13))</f>
        <v>0</v>
      </c>
      <c r="D13" s="17" t="str">
        <f>IF(OR(ISERROR(GETPIVOTDATA("Cover",'Cover PivotTable'!$A$4,"Site",$A13,"Year",D$1,"Transect",$B13)),GETPIVOTDATA("Cover",'Cover PivotTable'!$A$4,"Site",$A13,"Year",D$1)=""), "",GETPIVOTDATA("Cover",'Cover PivotTable'!$A$4,"Site",$A13,"Year",D$1,"Transect",$B13))</f>
        <v/>
      </c>
      <c r="E13" s="17" t="str">
        <f>IF(OR(ISERROR(GETPIVOTDATA("Cover",'Cover PivotTable'!$A$4,"Site",$A13,"Year",E$1,"Transect",$B13)),GETPIVOTDATA("Cover",'Cover PivotTable'!$A$4,"Site",$A13,"Year",E$1)=""), "",GETPIVOTDATA("Cover",'Cover PivotTable'!$A$4,"Site",$A13,"Year",E$1,"Transect",$B13))</f>
        <v/>
      </c>
      <c r="F13" s="17" t="str">
        <f>IF(OR(ISERROR(GETPIVOTDATA("Cover",'Cover PivotTable'!$A$4,"Site",$A13,"Year",F$1,"Transect",$B13)),GETPIVOTDATA("Cover",'Cover PivotTable'!$A$4,"Site",$A13,"Year",F$1)=""), "",GETPIVOTDATA("Cover",'Cover PivotTable'!$A$4,"Site",$A13,"Year",F$1,"Transect",$B13))</f>
        <v/>
      </c>
      <c r="G13" s="17" t="str">
        <f>IF(OR(ISERROR(GETPIVOTDATA("Cover",'Cover PivotTable'!$A$4,"Site",$A13,"Year",G$1,"Transect",$B13)),GETPIVOTDATA("Cover",'Cover PivotTable'!$A$4,"Site",$A13,"Year",G$1)=""), "",GETPIVOTDATA("Cover",'Cover PivotTable'!$A$4,"Site",$A13,"Year",G$1,"Transect",$B13))</f>
        <v/>
      </c>
      <c r="H13" s="17" t="str">
        <f>IF(OR(ISERROR(GETPIVOTDATA("Cover",'Cover PivotTable'!$A$4,"Site",$A13,"Year",H$1,"Transect",$B13)),GETPIVOTDATA("Cover",'Cover PivotTable'!$A$4,"Site",$A13,"Year",H$1)=""), "",GETPIVOTDATA("Cover",'Cover PivotTable'!$A$4,"Site",$A13,"Year",H$1,"Transect",$B13))</f>
        <v/>
      </c>
      <c r="I13" s="17">
        <f>IF(OR(ISERROR(GETPIVOTDATA("Cover",'Cover PivotTable'!$A$4,"Site",$A13,"Year",I$1,"Transect",$B13)),GETPIVOTDATA("Cover",'Cover PivotTable'!$A$4,"Site",$A13,"Year",I$1)=""), "",GETPIVOTDATA("Cover",'Cover PivotTable'!$A$4,"Site",$A13,"Year",I$1,"Transect",$B13))</f>
        <v>1</v>
      </c>
      <c r="J13" s="17" t="str">
        <f>IF(OR(ISERROR(GETPIVOTDATA("Cover",'Cover PivotTable'!$A$4,"Site",$A13,"Year",J$1,"Transect",$B13)),GETPIVOTDATA("Cover",'Cover PivotTable'!$A$4,"Site",$A13,"Year",J$1)=""), "",GETPIVOTDATA("Cover",'Cover PivotTable'!$A$4,"Site",$A13,"Year",J$1,"Transect",$B13))</f>
        <v/>
      </c>
      <c r="K13" s="17" t="str">
        <f>IF(OR(ISERROR(GETPIVOTDATA("Cover",'Cover PivotTable'!$A$4,"Site",$A13,"Year",K$1,"Transect",$B13)),GETPIVOTDATA("Cover",'Cover PivotTable'!$A$4,"Site",$A13,"Year",K$1)=""), "",GETPIVOTDATA("Cover",'Cover PivotTable'!$A$4,"Site",$A13,"Year",K$1,"Transect",$B13))</f>
        <v/>
      </c>
      <c r="L13" s="17">
        <f>IF(OR(ISERROR(GETPIVOTDATA("Cover",'Cover PivotTable'!$A$4,"Site",$A13,"Year",L$1,"Transect",$B13)),GETPIVOTDATA("Cover",'Cover PivotTable'!$A$4,"Site",$A13,"Year",L$1)=""), "",GETPIVOTDATA("Cover",'Cover PivotTable'!$A$4,"Site",$A13,"Year",L$1,"Transect",$B13))</f>
        <v>1</v>
      </c>
      <c r="M13" s="17" t="str">
        <f>IF(OR(ISERROR(GETPIVOTDATA("Cover",'Cover PivotTable'!$A$4,"Site",$A13,"Year",M$1,"Transect",$B13)),GETPIVOTDATA("Cover",'Cover PivotTable'!$A$4,"Site",$A13,"Year",M$1)=""), "",GETPIVOTDATA("Cover",'Cover PivotTable'!$A$4,"Site",$A13,"Year",M$1,"Transect",$B13))</f>
        <v/>
      </c>
      <c r="N13" s="17">
        <f>IF(OR(ISERROR(GETPIVOTDATA("Cover",'Cover PivotTable'!$A$4,"Site",$A13,"Year",N$1,"Transect",$B13)),GETPIVOTDATA("Cover",'Cover PivotTable'!$A$4,"Site",$A13,"Year",N$1)=""), "",GETPIVOTDATA("Cover",'Cover PivotTable'!$A$4,"Site",$A13,"Year",N$1,"Transect",$B13))</f>
        <v>1.5</v>
      </c>
      <c r="O13" s="17">
        <f>IF(OR(ISERROR(GETPIVOTDATA("Cover",'Cover PivotTable'!$A$4,"Site",$A13,"Year",O$1,"Transect",$B13)),GETPIVOTDATA("Cover",'Cover PivotTable'!$A$4,"Site",$A13,"Year",O$1)=""), "",GETPIVOTDATA("Cover",'Cover PivotTable'!$A$4,"Site",$A13,"Year",O$1,"Transect",$B13))</f>
        <v>3.5</v>
      </c>
      <c r="P13" s="17">
        <f>IF(OR(ISERROR(GETPIVOTDATA("Cover",'Cover PivotTable'!$A$4,"Site",$A13,"Year",P$1,"Transect",$B13)),GETPIVOTDATA("Cover",'Cover PivotTable'!$A$4,"Site",$A13,"Year",P$1)=""), "",GETPIVOTDATA("Cover",'Cover PivotTable'!$A$4,"Site",$A13,"Year",P$1,"Transect",$B13))</f>
        <v>9.5</v>
      </c>
    </row>
    <row r="14" spans="1:16" x14ac:dyDescent="0.35">
      <c r="A14" t="s">
        <v>9</v>
      </c>
      <c r="B14">
        <v>2.6</v>
      </c>
      <c r="C14" s="17">
        <f>IF(OR(ISERROR(GETPIVOTDATA("Cover",'Cover PivotTable'!$A$4,"Site",$A14,"Year",C$1,"Transect",$B14)),GETPIVOTDATA("Cover",'Cover PivotTable'!$A$4,"Site",$A14,"Year",C$1)=""), "",GETPIVOTDATA("Cover",'Cover PivotTable'!$A$4,"Site",$A14,"Year",C$1,"Transect",$B14))</f>
        <v>1.5</v>
      </c>
      <c r="D14" s="17" t="str">
        <f>IF(OR(ISERROR(GETPIVOTDATA("Cover",'Cover PivotTable'!$A$4,"Site",$A14,"Year",D$1,"Transect",$B14)),GETPIVOTDATA("Cover",'Cover PivotTable'!$A$4,"Site",$A14,"Year",D$1)=""), "",GETPIVOTDATA("Cover",'Cover PivotTable'!$A$4,"Site",$A14,"Year",D$1,"Transect",$B14))</f>
        <v/>
      </c>
      <c r="E14" s="17" t="str">
        <f>IF(OR(ISERROR(GETPIVOTDATA("Cover",'Cover PivotTable'!$A$4,"Site",$A14,"Year",E$1,"Transect",$B14)),GETPIVOTDATA("Cover",'Cover PivotTable'!$A$4,"Site",$A14,"Year",E$1)=""), "",GETPIVOTDATA("Cover",'Cover PivotTable'!$A$4,"Site",$A14,"Year",E$1,"Transect",$B14))</f>
        <v/>
      </c>
      <c r="F14" s="17" t="str">
        <f>IF(OR(ISERROR(GETPIVOTDATA("Cover",'Cover PivotTable'!$A$4,"Site",$A14,"Year",F$1,"Transect",$B14)),GETPIVOTDATA("Cover",'Cover PivotTable'!$A$4,"Site",$A14,"Year",F$1)=""), "",GETPIVOTDATA("Cover",'Cover PivotTable'!$A$4,"Site",$A14,"Year",F$1,"Transect",$B14))</f>
        <v/>
      </c>
      <c r="G14" s="17" t="str">
        <f>IF(OR(ISERROR(GETPIVOTDATA("Cover",'Cover PivotTable'!$A$4,"Site",$A14,"Year",G$1,"Transect",$B14)),GETPIVOTDATA("Cover",'Cover PivotTable'!$A$4,"Site",$A14,"Year",G$1)=""), "",GETPIVOTDATA("Cover",'Cover PivotTable'!$A$4,"Site",$A14,"Year",G$1,"Transect",$B14))</f>
        <v/>
      </c>
      <c r="H14" s="17" t="str">
        <f>IF(OR(ISERROR(GETPIVOTDATA("Cover",'Cover PivotTable'!$A$4,"Site",$A14,"Year",H$1,"Transect",$B14)),GETPIVOTDATA("Cover",'Cover PivotTable'!$A$4,"Site",$A14,"Year",H$1)=""), "",GETPIVOTDATA("Cover",'Cover PivotTable'!$A$4,"Site",$A14,"Year",H$1,"Transect",$B14))</f>
        <v/>
      </c>
      <c r="I14" s="17">
        <f>IF(OR(ISERROR(GETPIVOTDATA("Cover",'Cover PivotTable'!$A$4,"Site",$A14,"Year",I$1,"Transect",$B14)),GETPIVOTDATA("Cover",'Cover PivotTable'!$A$4,"Site",$A14,"Year",I$1)=""), "",GETPIVOTDATA("Cover",'Cover PivotTable'!$A$4,"Site",$A14,"Year",I$1,"Transect",$B14))</f>
        <v>0</v>
      </c>
      <c r="J14" s="17" t="str">
        <f>IF(OR(ISERROR(GETPIVOTDATA("Cover",'Cover PivotTable'!$A$4,"Site",$A14,"Year",J$1,"Transect",$B14)),GETPIVOTDATA("Cover",'Cover PivotTable'!$A$4,"Site",$A14,"Year",J$1)=""), "",GETPIVOTDATA("Cover",'Cover PivotTable'!$A$4,"Site",$A14,"Year",J$1,"Transect",$B14))</f>
        <v/>
      </c>
      <c r="K14" s="17" t="str">
        <f>IF(OR(ISERROR(GETPIVOTDATA("Cover",'Cover PivotTable'!$A$4,"Site",$A14,"Year",K$1,"Transect",$B14)),GETPIVOTDATA("Cover",'Cover PivotTable'!$A$4,"Site",$A14,"Year",K$1)=""), "",GETPIVOTDATA("Cover",'Cover PivotTable'!$A$4,"Site",$A14,"Year",K$1,"Transect",$B14))</f>
        <v/>
      </c>
      <c r="L14" s="17">
        <f>IF(OR(ISERROR(GETPIVOTDATA("Cover",'Cover PivotTable'!$A$4,"Site",$A14,"Year",L$1,"Transect",$B14)),GETPIVOTDATA("Cover",'Cover PivotTable'!$A$4,"Site",$A14,"Year",L$1)=""), "",GETPIVOTDATA("Cover",'Cover PivotTable'!$A$4,"Site",$A14,"Year",L$1,"Transect",$B14))</f>
        <v>0</v>
      </c>
      <c r="M14" s="17" t="str">
        <f>IF(OR(ISERROR(GETPIVOTDATA("Cover",'Cover PivotTable'!$A$4,"Site",$A14,"Year",M$1,"Transect",$B14)),GETPIVOTDATA("Cover",'Cover PivotTable'!$A$4,"Site",$A14,"Year",M$1)=""), "",GETPIVOTDATA("Cover",'Cover PivotTable'!$A$4,"Site",$A14,"Year",M$1,"Transect",$B14))</f>
        <v/>
      </c>
      <c r="N14" s="17">
        <f>IF(OR(ISERROR(GETPIVOTDATA("Cover",'Cover PivotTable'!$A$4,"Site",$A14,"Year",N$1,"Transect",$B14)),GETPIVOTDATA("Cover",'Cover PivotTable'!$A$4,"Site",$A14,"Year",N$1)=""), "",GETPIVOTDATA("Cover",'Cover PivotTable'!$A$4,"Site",$A14,"Year",N$1,"Transect",$B14))</f>
        <v>0.5</v>
      </c>
      <c r="O14" s="17">
        <f>IF(OR(ISERROR(GETPIVOTDATA("Cover",'Cover PivotTable'!$A$4,"Site",$A14,"Year",O$1,"Transect",$B14)),GETPIVOTDATA("Cover",'Cover PivotTable'!$A$4,"Site",$A14,"Year",O$1)=""), "",GETPIVOTDATA("Cover",'Cover PivotTable'!$A$4,"Site",$A14,"Year",O$1,"Transect",$B14))</f>
        <v>2</v>
      </c>
      <c r="P14" s="17">
        <f>IF(OR(ISERROR(GETPIVOTDATA("Cover",'Cover PivotTable'!$A$4,"Site",$A14,"Year",P$1,"Transect",$B14)),GETPIVOTDATA("Cover",'Cover PivotTable'!$A$4,"Site",$A14,"Year",P$1)=""), "",GETPIVOTDATA("Cover",'Cover PivotTable'!$A$4,"Site",$A14,"Year",P$1,"Transect",$B14))</f>
        <v>6</v>
      </c>
    </row>
    <row r="15" spans="1:16" x14ac:dyDescent="0.35">
      <c r="A15" t="s">
        <v>9</v>
      </c>
      <c r="B15">
        <v>2.7</v>
      </c>
      <c r="C15" s="17">
        <f>IF(OR(ISERROR(GETPIVOTDATA("Cover",'Cover PivotTable'!$A$4,"Site",$A15,"Year",C$1,"Transect",$B15)),GETPIVOTDATA("Cover",'Cover PivotTable'!$A$4,"Site",$A15,"Year",C$1)=""), "",GETPIVOTDATA("Cover",'Cover PivotTable'!$A$4,"Site",$A15,"Year",C$1,"Transect",$B15))</f>
        <v>0.5</v>
      </c>
      <c r="D15" s="17" t="str">
        <f>IF(OR(ISERROR(GETPIVOTDATA("Cover",'Cover PivotTable'!$A$4,"Site",$A15,"Year",D$1,"Transect",$B15)),GETPIVOTDATA("Cover",'Cover PivotTable'!$A$4,"Site",$A15,"Year",D$1)=""), "",GETPIVOTDATA("Cover",'Cover PivotTable'!$A$4,"Site",$A15,"Year",D$1,"Transect",$B15))</f>
        <v/>
      </c>
      <c r="E15" s="17" t="str">
        <f>IF(OR(ISERROR(GETPIVOTDATA("Cover",'Cover PivotTable'!$A$4,"Site",$A15,"Year",E$1,"Transect",$B15)),GETPIVOTDATA("Cover",'Cover PivotTable'!$A$4,"Site",$A15,"Year",E$1)=""), "",GETPIVOTDATA("Cover",'Cover PivotTable'!$A$4,"Site",$A15,"Year",E$1,"Transect",$B15))</f>
        <v/>
      </c>
      <c r="F15" s="17" t="str">
        <f>IF(OR(ISERROR(GETPIVOTDATA("Cover",'Cover PivotTable'!$A$4,"Site",$A15,"Year",F$1,"Transect",$B15)),GETPIVOTDATA("Cover",'Cover PivotTable'!$A$4,"Site",$A15,"Year",F$1)=""), "",GETPIVOTDATA("Cover",'Cover PivotTable'!$A$4,"Site",$A15,"Year",F$1,"Transect",$B15))</f>
        <v/>
      </c>
      <c r="G15" s="17" t="str">
        <f>IF(OR(ISERROR(GETPIVOTDATA("Cover",'Cover PivotTable'!$A$4,"Site",$A15,"Year",G$1,"Transect",$B15)),GETPIVOTDATA("Cover",'Cover PivotTable'!$A$4,"Site",$A15,"Year",G$1)=""), "",GETPIVOTDATA("Cover",'Cover PivotTable'!$A$4,"Site",$A15,"Year",G$1,"Transect",$B15))</f>
        <v/>
      </c>
      <c r="H15" s="17" t="str">
        <f>IF(OR(ISERROR(GETPIVOTDATA("Cover",'Cover PivotTable'!$A$4,"Site",$A15,"Year",H$1,"Transect",$B15)),GETPIVOTDATA("Cover",'Cover PivotTable'!$A$4,"Site",$A15,"Year",H$1)=""), "",GETPIVOTDATA("Cover",'Cover PivotTable'!$A$4,"Site",$A15,"Year",H$1,"Transect",$B15))</f>
        <v/>
      </c>
      <c r="I15" s="17">
        <f>IF(OR(ISERROR(GETPIVOTDATA("Cover",'Cover PivotTable'!$A$4,"Site",$A15,"Year",I$1,"Transect",$B15)),GETPIVOTDATA("Cover",'Cover PivotTable'!$A$4,"Site",$A15,"Year",I$1)=""), "",GETPIVOTDATA("Cover",'Cover PivotTable'!$A$4,"Site",$A15,"Year",I$1,"Transect",$B15))</f>
        <v>1</v>
      </c>
      <c r="J15" s="17" t="str">
        <f>IF(OR(ISERROR(GETPIVOTDATA("Cover",'Cover PivotTable'!$A$4,"Site",$A15,"Year",J$1,"Transect",$B15)),GETPIVOTDATA("Cover",'Cover PivotTable'!$A$4,"Site",$A15,"Year",J$1)=""), "",GETPIVOTDATA("Cover",'Cover PivotTable'!$A$4,"Site",$A15,"Year",J$1,"Transect",$B15))</f>
        <v/>
      </c>
      <c r="K15" s="17" t="str">
        <f>IF(OR(ISERROR(GETPIVOTDATA("Cover",'Cover PivotTable'!$A$4,"Site",$A15,"Year",K$1,"Transect",$B15)),GETPIVOTDATA("Cover",'Cover PivotTable'!$A$4,"Site",$A15,"Year",K$1)=""), "",GETPIVOTDATA("Cover",'Cover PivotTable'!$A$4,"Site",$A15,"Year",K$1,"Transect",$B15))</f>
        <v/>
      </c>
      <c r="L15" s="17">
        <f>IF(OR(ISERROR(GETPIVOTDATA("Cover",'Cover PivotTable'!$A$4,"Site",$A15,"Year",L$1,"Transect",$B15)),GETPIVOTDATA("Cover",'Cover PivotTable'!$A$4,"Site",$A15,"Year",L$1)=""), "",GETPIVOTDATA("Cover",'Cover PivotTable'!$A$4,"Site",$A15,"Year",L$1,"Transect",$B15))</f>
        <v>3</v>
      </c>
      <c r="M15" s="17" t="str">
        <f>IF(OR(ISERROR(GETPIVOTDATA("Cover",'Cover PivotTable'!$A$4,"Site",$A15,"Year",M$1,"Transect",$B15)),GETPIVOTDATA("Cover",'Cover PivotTable'!$A$4,"Site",$A15,"Year",M$1)=""), "",GETPIVOTDATA("Cover",'Cover PivotTable'!$A$4,"Site",$A15,"Year",M$1,"Transect",$B15))</f>
        <v/>
      </c>
      <c r="N15" s="17">
        <f>IF(OR(ISERROR(GETPIVOTDATA("Cover",'Cover PivotTable'!$A$4,"Site",$A15,"Year",N$1,"Transect",$B15)),GETPIVOTDATA("Cover",'Cover PivotTable'!$A$4,"Site",$A15,"Year",N$1)=""), "",GETPIVOTDATA("Cover",'Cover PivotTable'!$A$4,"Site",$A15,"Year",N$1,"Transect",$B15))</f>
        <v>2.5</v>
      </c>
      <c r="O15" s="17">
        <f>IF(OR(ISERROR(GETPIVOTDATA("Cover",'Cover PivotTable'!$A$4,"Site",$A15,"Year",O$1,"Transect",$B15)),GETPIVOTDATA("Cover",'Cover PivotTable'!$A$4,"Site",$A15,"Year",O$1)=""), "",GETPIVOTDATA("Cover",'Cover PivotTable'!$A$4,"Site",$A15,"Year",O$1,"Transect",$B15))</f>
        <v>2.5</v>
      </c>
      <c r="P15" s="17">
        <f>IF(OR(ISERROR(GETPIVOTDATA("Cover",'Cover PivotTable'!$A$4,"Site",$A15,"Year",P$1,"Transect",$B15)),GETPIVOTDATA("Cover",'Cover PivotTable'!$A$4,"Site",$A15,"Year",P$1)=""), "",GETPIVOTDATA("Cover",'Cover PivotTable'!$A$4,"Site",$A15,"Year",P$1,"Transect",$B15))</f>
        <v>5</v>
      </c>
    </row>
    <row r="16" spans="1:16" x14ac:dyDescent="0.35">
      <c r="A16" t="s">
        <v>9</v>
      </c>
      <c r="B16">
        <v>3.1</v>
      </c>
      <c r="C16" s="17">
        <f>IF(OR(ISERROR(GETPIVOTDATA("Cover",'Cover PivotTable'!$A$4,"Site",$A16,"Year",C$1,"Transect",$B16)),GETPIVOTDATA("Cover",'Cover PivotTable'!$A$4,"Site",$A16,"Year",C$1)=""), "",GETPIVOTDATA("Cover",'Cover PivotTable'!$A$4,"Site",$A16,"Year",C$1,"Transect",$B16))</f>
        <v>0</v>
      </c>
      <c r="D16" s="17" t="str">
        <f>IF(OR(ISERROR(GETPIVOTDATA("Cover",'Cover PivotTable'!$A$4,"Site",$A16,"Year",D$1,"Transect",$B16)),GETPIVOTDATA("Cover",'Cover PivotTable'!$A$4,"Site",$A16,"Year",D$1)=""), "",GETPIVOTDATA("Cover",'Cover PivotTable'!$A$4,"Site",$A16,"Year",D$1,"Transect",$B16))</f>
        <v/>
      </c>
      <c r="E16" s="17" t="str">
        <f>IF(OR(ISERROR(GETPIVOTDATA("Cover",'Cover PivotTable'!$A$4,"Site",$A16,"Year",E$1,"Transect",$B16)),GETPIVOTDATA("Cover",'Cover PivotTable'!$A$4,"Site",$A16,"Year",E$1)=""), "",GETPIVOTDATA("Cover",'Cover PivotTable'!$A$4,"Site",$A16,"Year",E$1,"Transect",$B16))</f>
        <v/>
      </c>
      <c r="F16" s="17" t="str">
        <f>IF(OR(ISERROR(GETPIVOTDATA("Cover",'Cover PivotTable'!$A$4,"Site",$A16,"Year",F$1,"Transect",$B16)),GETPIVOTDATA("Cover",'Cover PivotTable'!$A$4,"Site",$A16,"Year",F$1)=""), "",GETPIVOTDATA("Cover",'Cover PivotTable'!$A$4,"Site",$A16,"Year",F$1,"Transect",$B16))</f>
        <v/>
      </c>
      <c r="G16" s="17" t="str">
        <f>IF(OR(ISERROR(GETPIVOTDATA("Cover",'Cover PivotTable'!$A$4,"Site",$A16,"Year",G$1,"Transect",$B16)),GETPIVOTDATA("Cover",'Cover PivotTable'!$A$4,"Site",$A16,"Year",G$1)=""), "",GETPIVOTDATA("Cover",'Cover PivotTable'!$A$4,"Site",$A16,"Year",G$1,"Transect",$B16))</f>
        <v/>
      </c>
      <c r="H16" s="17" t="str">
        <f>IF(OR(ISERROR(GETPIVOTDATA("Cover",'Cover PivotTable'!$A$4,"Site",$A16,"Year",H$1,"Transect",$B16)),GETPIVOTDATA("Cover",'Cover PivotTable'!$A$4,"Site",$A16,"Year",H$1)=""), "",GETPIVOTDATA("Cover",'Cover PivotTable'!$A$4,"Site",$A16,"Year",H$1,"Transect",$B16))</f>
        <v/>
      </c>
      <c r="I16" s="17">
        <f>IF(OR(ISERROR(GETPIVOTDATA("Cover",'Cover PivotTable'!$A$4,"Site",$A16,"Year",I$1,"Transect",$B16)),GETPIVOTDATA("Cover",'Cover PivotTable'!$A$4,"Site",$A16,"Year",I$1)=""), "",GETPIVOTDATA("Cover",'Cover PivotTable'!$A$4,"Site",$A16,"Year",I$1,"Transect",$B16))</f>
        <v>0</v>
      </c>
      <c r="J16" s="17" t="str">
        <f>IF(OR(ISERROR(GETPIVOTDATA("Cover",'Cover PivotTable'!$A$4,"Site",$A16,"Year",J$1,"Transect",$B16)),GETPIVOTDATA("Cover",'Cover PivotTable'!$A$4,"Site",$A16,"Year",J$1)=""), "",GETPIVOTDATA("Cover",'Cover PivotTable'!$A$4,"Site",$A16,"Year",J$1,"Transect",$B16))</f>
        <v/>
      </c>
      <c r="K16" s="17" t="str">
        <f>IF(OR(ISERROR(GETPIVOTDATA("Cover",'Cover PivotTable'!$A$4,"Site",$A16,"Year",K$1,"Transect",$B16)),GETPIVOTDATA("Cover",'Cover PivotTable'!$A$4,"Site",$A16,"Year",K$1)=""), "",GETPIVOTDATA("Cover",'Cover PivotTable'!$A$4,"Site",$A16,"Year",K$1,"Transect",$B16))</f>
        <v/>
      </c>
      <c r="L16" s="17">
        <f>IF(OR(ISERROR(GETPIVOTDATA("Cover",'Cover PivotTable'!$A$4,"Site",$A16,"Year",L$1,"Transect",$B16)),GETPIVOTDATA("Cover",'Cover PivotTable'!$A$4,"Site",$A16,"Year",L$1)=""), "",GETPIVOTDATA("Cover",'Cover PivotTable'!$A$4,"Site",$A16,"Year",L$1,"Transect",$B16))</f>
        <v>0</v>
      </c>
      <c r="M16" s="17" t="str">
        <f>IF(OR(ISERROR(GETPIVOTDATA("Cover",'Cover PivotTable'!$A$4,"Site",$A16,"Year",M$1,"Transect",$B16)),GETPIVOTDATA("Cover",'Cover PivotTable'!$A$4,"Site",$A16,"Year",M$1)=""), "",GETPIVOTDATA("Cover",'Cover PivotTable'!$A$4,"Site",$A16,"Year",M$1,"Transect",$B16))</f>
        <v/>
      </c>
      <c r="N16" s="17">
        <f>IF(OR(ISERROR(GETPIVOTDATA("Cover",'Cover PivotTable'!$A$4,"Site",$A16,"Year",N$1,"Transect",$B16)),GETPIVOTDATA("Cover",'Cover PivotTable'!$A$4,"Site",$A16,"Year",N$1)=""), "",GETPIVOTDATA("Cover",'Cover PivotTable'!$A$4,"Site",$A16,"Year",N$1,"Transect",$B16))</f>
        <v>1</v>
      </c>
      <c r="O16" s="17">
        <f>IF(OR(ISERROR(GETPIVOTDATA("Cover",'Cover PivotTable'!$A$4,"Site",$A16,"Year",O$1,"Transect",$B16)),GETPIVOTDATA("Cover",'Cover PivotTable'!$A$4,"Site",$A16,"Year",O$1)=""), "",GETPIVOTDATA("Cover",'Cover PivotTable'!$A$4,"Site",$A16,"Year",O$1,"Transect",$B16))</f>
        <v>1.5</v>
      </c>
      <c r="P16" s="17">
        <f>IF(OR(ISERROR(GETPIVOTDATA("Cover",'Cover PivotTable'!$A$4,"Site",$A16,"Year",P$1,"Transect",$B16)),GETPIVOTDATA("Cover",'Cover PivotTable'!$A$4,"Site",$A16,"Year",P$1)=""), "",GETPIVOTDATA("Cover",'Cover PivotTable'!$A$4,"Site",$A16,"Year",P$1,"Transect",$B16))</f>
        <v>6</v>
      </c>
    </row>
    <row r="17" spans="1:16" x14ac:dyDescent="0.35">
      <c r="A17" t="s">
        <v>9</v>
      </c>
      <c r="B17">
        <v>3.2</v>
      </c>
      <c r="C17" s="17">
        <f>IF(OR(ISERROR(GETPIVOTDATA("Cover",'Cover PivotTable'!$A$4,"Site",$A17,"Year",C$1,"Transect",$B17)),GETPIVOTDATA("Cover",'Cover PivotTable'!$A$4,"Site",$A17,"Year",C$1)=""), "",GETPIVOTDATA("Cover",'Cover PivotTable'!$A$4,"Site",$A17,"Year",C$1,"Transect",$B17))</f>
        <v>0</v>
      </c>
      <c r="D17" s="17" t="str">
        <f>IF(OR(ISERROR(GETPIVOTDATA("Cover",'Cover PivotTable'!$A$4,"Site",$A17,"Year",D$1,"Transect",$B17)),GETPIVOTDATA("Cover",'Cover PivotTable'!$A$4,"Site",$A17,"Year",D$1)=""), "",GETPIVOTDATA("Cover",'Cover PivotTable'!$A$4,"Site",$A17,"Year",D$1,"Transect",$B17))</f>
        <v/>
      </c>
      <c r="E17" s="17" t="str">
        <f>IF(OR(ISERROR(GETPIVOTDATA("Cover",'Cover PivotTable'!$A$4,"Site",$A17,"Year",E$1,"Transect",$B17)),GETPIVOTDATA("Cover",'Cover PivotTable'!$A$4,"Site",$A17,"Year",E$1)=""), "",GETPIVOTDATA("Cover",'Cover PivotTable'!$A$4,"Site",$A17,"Year",E$1,"Transect",$B17))</f>
        <v/>
      </c>
      <c r="F17" s="17" t="str">
        <f>IF(OR(ISERROR(GETPIVOTDATA("Cover",'Cover PivotTable'!$A$4,"Site",$A17,"Year",F$1,"Transect",$B17)),GETPIVOTDATA("Cover",'Cover PivotTable'!$A$4,"Site",$A17,"Year",F$1)=""), "",GETPIVOTDATA("Cover",'Cover PivotTable'!$A$4,"Site",$A17,"Year",F$1,"Transect",$B17))</f>
        <v/>
      </c>
      <c r="G17" s="17" t="str">
        <f>IF(OR(ISERROR(GETPIVOTDATA("Cover",'Cover PivotTable'!$A$4,"Site",$A17,"Year",G$1,"Transect",$B17)),GETPIVOTDATA("Cover",'Cover PivotTable'!$A$4,"Site",$A17,"Year",G$1)=""), "",GETPIVOTDATA("Cover",'Cover PivotTable'!$A$4,"Site",$A17,"Year",G$1,"Transect",$B17))</f>
        <v/>
      </c>
      <c r="H17" s="17" t="str">
        <f>IF(OR(ISERROR(GETPIVOTDATA("Cover",'Cover PivotTable'!$A$4,"Site",$A17,"Year",H$1,"Transect",$B17)),GETPIVOTDATA("Cover",'Cover PivotTable'!$A$4,"Site",$A17,"Year",H$1)=""), "",GETPIVOTDATA("Cover",'Cover PivotTable'!$A$4,"Site",$A17,"Year",H$1,"Transect",$B17))</f>
        <v/>
      </c>
      <c r="I17" s="17">
        <f>IF(OR(ISERROR(GETPIVOTDATA("Cover",'Cover PivotTable'!$A$4,"Site",$A17,"Year",I$1,"Transect",$B17)),GETPIVOTDATA("Cover",'Cover PivotTable'!$A$4,"Site",$A17,"Year",I$1)=""), "",GETPIVOTDATA("Cover",'Cover PivotTable'!$A$4,"Site",$A17,"Year",I$1,"Transect",$B17))</f>
        <v>0</v>
      </c>
      <c r="J17" s="17" t="str">
        <f>IF(OR(ISERROR(GETPIVOTDATA("Cover",'Cover PivotTable'!$A$4,"Site",$A17,"Year",J$1,"Transect",$B17)),GETPIVOTDATA("Cover",'Cover PivotTable'!$A$4,"Site",$A17,"Year",J$1)=""), "",GETPIVOTDATA("Cover",'Cover PivotTable'!$A$4,"Site",$A17,"Year",J$1,"Transect",$B17))</f>
        <v/>
      </c>
      <c r="K17" s="17" t="str">
        <f>IF(OR(ISERROR(GETPIVOTDATA("Cover",'Cover PivotTable'!$A$4,"Site",$A17,"Year",K$1,"Transect",$B17)),GETPIVOTDATA("Cover",'Cover PivotTable'!$A$4,"Site",$A17,"Year",K$1)=""), "",GETPIVOTDATA("Cover",'Cover PivotTable'!$A$4,"Site",$A17,"Year",K$1,"Transect",$B17))</f>
        <v/>
      </c>
      <c r="L17" s="17">
        <f>IF(OR(ISERROR(GETPIVOTDATA("Cover",'Cover PivotTable'!$A$4,"Site",$A17,"Year",L$1,"Transect",$B17)),GETPIVOTDATA("Cover",'Cover PivotTable'!$A$4,"Site",$A17,"Year",L$1)=""), "",GETPIVOTDATA("Cover",'Cover PivotTable'!$A$4,"Site",$A17,"Year",L$1,"Transect",$B17))</f>
        <v>0</v>
      </c>
      <c r="M17" s="17" t="str">
        <f>IF(OR(ISERROR(GETPIVOTDATA("Cover",'Cover PivotTable'!$A$4,"Site",$A17,"Year",M$1,"Transect",$B17)),GETPIVOTDATA("Cover",'Cover PivotTable'!$A$4,"Site",$A17,"Year",M$1)=""), "",GETPIVOTDATA("Cover",'Cover PivotTable'!$A$4,"Site",$A17,"Year",M$1,"Transect",$B17))</f>
        <v/>
      </c>
      <c r="N17" s="17">
        <f>IF(OR(ISERROR(GETPIVOTDATA("Cover",'Cover PivotTable'!$A$4,"Site",$A17,"Year",N$1,"Transect",$B17)),GETPIVOTDATA("Cover",'Cover PivotTable'!$A$4,"Site",$A17,"Year",N$1)=""), "",GETPIVOTDATA("Cover",'Cover PivotTable'!$A$4,"Site",$A17,"Year",N$1,"Transect",$B17))</f>
        <v>0.5</v>
      </c>
      <c r="O17" s="17">
        <f>IF(OR(ISERROR(GETPIVOTDATA("Cover",'Cover PivotTable'!$A$4,"Site",$A17,"Year",O$1,"Transect",$B17)),GETPIVOTDATA("Cover",'Cover PivotTable'!$A$4,"Site",$A17,"Year",O$1)=""), "",GETPIVOTDATA("Cover",'Cover PivotTable'!$A$4,"Site",$A17,"Year",O$1,"Transect",$B17))</f>
        <v>0</v>
      </c>
      <c r="P17" s="17">
        <f>IF(OR(ISERROR(GETPIVOTDATA("Cover",'Cover PivotTable'!$A$4,"Site",$A17,"Year",P$1,"Transect",$B17)),GETPIVOTDATA("Cover",'Cover PivotTable'!$A$4,"Site",$A17,"Year",P$1)=""), "",GETPIVOTDATA("Cover",'Cover PivotTable'!$A$4,"Site",$A17,"Year",P$1,"Transect",$B17))</f>
        <v>6</v>
      </c>
    </row>
    <row r="18" spans="1:16" x14ac:dyDescent="0.35">
      <c r="A18" t="s">
        <v>9</v>
      </c>
      <c r="B18">
        <v>3.4</v>
      </c>
      <c r="C18" s="17">
        <f>IF(OR(ISERROR(GETPIVOTDATA("Cover",'Cover PivotTable'!$A$4,"Site",$A18,"Year",C$1,"Transect",$B18)),GETPIVOTDATA("Cover",'Cover PivotTable'!$A$4,"Site",$A18,"Year",C$1)=""), "",GETPIVOTDATA("Cover",'Cover PivotTable'!$A$4,"Site",$A18,"Year",C$1,"Transect",$B18))</f>
        <v>0</v>
      </c>
      <c r="D18" s="17" t="str">
        <f>IF(OR(ISERROR(GETPIVOTDATA("Cover",'Cover PivotTable'!$A$4,"Site",$A18,"Year",D$1,"Transect",$B18)),GETPIVOTDATA("Cover",'Cover PivotTable'!$A$4,"Site",$A18,"Year",D$1)=""), "",GETPIVOTDATA("Cover",'Cover PivotTable'!$A$4,"Site",$A18,"Year",D$1,"Transect",$B18))</f>
        <v/>
      </c>
      <c r="E18" s="17" t="str">
        <f>IF(OR(ISERROR(GETPIVOTDATA("Cover",'Cover PivotTable'!$A$4,"Site",$A18,"Year",E$1,"Transect",$B18)),GETPIVOTDATA("Cover",'Cover PivotTable'!$A$4,"Site",$A18,"Year",E$1)=""), "",GETPIVOTDATA("Cover",'Cover PivotTable'!$A$4,"Site",$A18,"Year",E$1,"Transect",$B18))</f>
        <v/>
      </c>
      <c r="F18" s="17" t="str">
        <f>IF(OR(ISERROR(GETPIVOTDATA("Cover",'Cover PivotTable'!$A$4,"Site",$A18,"Year",F$1,"Transect",$B18)),GETPIVOTDATA("Cover",'Cover PivotTable'!$A$4,"Site",$A18,"Year",F$1)=""), "",GETPIVOTDATA("Cover",'Cover PivotTable'!$A$4,"Site",$A18,"Year",F$1,"Transect",$B18))</f>
        <v/>
      </c>
      <c r="G18" s="17" t="str">
        <f>IF(OR(ISERROR(GETPIVOTDATA("Cover",'Cover PivotTable'!$A$4,"Site",$A18,"Year",G$1,"Transect",$B18)),GETPIVOTDATA("Cover",'Cover PivotTable'!$A$4,"Site",$A18,"Year",G$1)=""), "",GETPIVOTDATA("Cover",'Cover PivotTable'!$A$4,"Site",$A18,"Year",G$1,"Transect",$B18))</f>
        <v/>
      </c>
      <c r="H18" s="17" t="str">
        <f>IF(OR(ISERROR(GETPIVOTDATA("Cover",'Cover PivotTable'!$A$4,"Site",$A18,"Year",H$1,"Transect",$B18)),GETPIVOTDATA("Cover",'Cover PivotTable'!$A$4,"Site",$A18,"Year",H$1)=""), "",GETPIVOTDATA("Cover",'Cover PivotTable'!$A$4,"Site",$A18,"Year",H$1,"Transect",$B18))</f>
        <v/>
      </c>
      <c r="I18" s="17">
        <f>IF(OR(ISERROR(GETPIVOTDATA("Cover",'Cover PivotTable'!$A$4,"Site",$A18,"Year",I$1,"Transect",$B18)),GETPIVOTDATA("Cover",'Cover PivotTable'!$A$4,"Site",$A18,"Year",I$1)=""), "",GETPIVOTDATA("Cover",'Cover PivotTable'!$A$4,"Site",$A18,"Year",I$1,"Transect",$B18))</f>
        <v>0</v>
      </c>
      <c r="J18" s="17" t="str">
        <f>IF(OR(ISERROR(GETPIVOTDATA("Cover",'Cover PivotTable'!$A$4,"Site",$A18,"Year",J$1,"Transect",$B18)),GETPIVOTDATA("Cover",'Cover PivotTable'!$A$4,"Site",$A18,"Year",J$1)=""), "",GETPIVOTDATA("Cover",'Cover PivotTable'!$A$4,"Site",$A18,"Year",J$1,"Transect",$B18))</f>
        <v/>
      </c>
      <c r="K18" s="17" t="str">
        <f>IF(OR(ISERROR(GETPIVOTDATA("Cover",'Cover PivotTable'!$A$4,"Site",$A18,"Year",K$1,"Transect",$B18)),GETPIVOTDATA("Cover",'Cover PivotTable'!$A$4,"Site",$A18,"Year",K$1)=""), "",GETPIVOTDATA("Cover",'Cover PivotTable'!$A$4,"Site",$A18,"Year",K$1,"Transect",$B18))</f>
        <v/>
      </c>
      <c r="L18" s="17">
        <f>IF(OR(ISERROR(GETPIVOTDATA("Cover",'Cover PivotTable'!$A$4,"Site",$A18,"Year",L$1,"Transect",$B18)),GETPIVOTDATA("Cover",'Cover PivotTable'!$A$4,"Site",$A18,"Year",L$1)=""), "",GETPIVOTDATA("Cover",'Cover PivotTable'!$A$4,"Site",$A18,"Year",L$1,"Transect",$B18))</f>
        <v>0</v>
      </c>
      <c r="M18" s="17" t="str">
        <f>IF(OR(ISERROR(GETPIVOTDATA("Cover",'Cover PivotTable'!$A$4,"Site",$A18,"Year",M$1,"Transect",$B18)),GETPIVOTDATA("Cover",'Cover PivotTable'!$A$4,"Site",$A18,"Year",M$1)=""), "",GETPIVOTDATA("Cover",'Cover PivotTable'!$A$4,"Site",$A18,"Year",M$1,"Transect",$B18))</f>
        <v/>
      </c>
      <c r="N18" s="17">
        <f>IF(OR(ISERROR(GETPIVOTDATA("Cover",'Cover PivotTable'!$A$4,"Site",$A18,"Year",N$1,"Transect",$B18)),GETPIVOTDATA("Cover",'Cover PivotTable'!$A$4,"Site",$A18,"Year",N$1)=""), "",GETPIVOTDATA("Cover",'Cover PivotTable'!$A$4,"Site",$A18,"Year",N$1,"Transect",$B18))</f>
        <v>0.5</v>
      </c>
      <c r="O18" s="17">
        <f>IF(OR(ISERROR(GETPIVOTDATA("Cover",'Cover PivotTable'!$A$4,"Site",$A18,"Year",O$1,"Transect",$B18)),GETPIVOTDATA("Cover",'Cover PivotTable'!$A$4,"Site",$A18,"Year",O$1)=""), "",GETPIVOTDATA("Cover",'Cover PivotTable'!$A$4,"Site",$A18,"Year",O$1,"Transect",$B18))</f>
        <v>11</v>
      </c>
      <c r="P18" s="17">
        <f>IF(OR(ISERROR(GETPIVOTDATA("Cover",'Cover PivotTable'!$A$4,"Site",$A18,"Year",P$1,"Transect",$B18)),GETPIVOTDATA("Cover",'Cover PivotTable'!$A$4,"Site",$A18,"Year",P$1)=""), "",GETPIVOTDATA("Cover",'Cover PivotTable'!$A$4,"Site",$A18,"Year",P$1,"Transect",$B18))</f>
        <v>24.5</v>
      </c>
    </row>
    <row r="19" spans="1:16" x14ac:dyDescent="0.35">
      <c r="A19" t="s">
        <v>9</v>
      </c>
      <c r="B19">
        <v>3.5</v>
      </c>
      <c r="C19" s="17">
        <f>IF(OR(ISERROR(GETPIVOTDATA("Cover",'Cover PivotTable'!$A$4,"Site",$A19,"Year",C$1,"Transect",$B19)),GETPIVOTDATA("Cover",'Cover PivotTable'!$A$4,"Site",$A19,"Year",C$1)=""), "",GETPIVOTDATA("Cover",'Cover PivotTable'!$A$4,"Site",$A19,"Year",C$1,"Transect",$B19))</f>
        <v>0</v>
      </c>
      <c r="D19" s="17" t="str">
        <f>IF(OR(ISERROR(GETPIVOTDATA("Cover",'Cover PivotTable'!$A$4,"Site",$A19,"Year",D$1,"Transect",$B19)),GETPIVOTDATA("Cover",'Cover PivotTable'!$A$4,"Site",$A19,"Year",D$1)=""), "",GETPIVOTDATA("Cover",'Cover PivotTable'!$A$4,"Site",$A19,"Year",D$1,"Transect",$B19))</f>
        <v/>
      </c>
      <c r="E19" s="17" t="str">
        <f>IF(OR(ISERROR(GETPIVOTDATA("Cover",'Cover PivotTable'!$A$4,"Site",$A19,"Year",E$1,"Transect",$B19)),GETPIVOTDATA("Cover",'Cover PivotTable'!$A$4,"Site",$A19,"Year",E$1)=""), "",GETPIVOTDATA("Cover",'Cover PivotTable'!$A$4,"Site",$A19,"Year",E$1,"Transect",$B19))</f>
        <v/>
      </c>
      <c r="F19" s="17" t="str">
        <f>IF(OR(ISERROR(GETPIVOTDATA("Cover",'Cover PivotTable'!$A$4,"Site",$A19,"Year",F$1,"Transect",$B19)),GETPIVOTDATA("Cover",'Cover PivotTable'!$A$4,"Site",$A19,"Year",F$1)=""), "",GETPIVOTDATA("Cover",'Cover PivotTable'!$A$4,"Site",$A19,"Year",F$1,"Transect",$B19))</f>
        <v/>
      </c>
      <c r="G19" s="17" t="str">
        <f>IF(OR(ISERROR(GETPIVOTDATA("Cover",'Cover PivotTable'!$A$4,"Site",$A19,"Year",G$1,"Transect",$B19)),GETPIVOTDATA("Cover",'Cover PivotTable'!$A$4,"Site",$A19,"Year",G$1)=""), "",GETPIVOTDATA("Cover",'Cover PivotTable'!$A$4,"Site",$A19,"Year",G$1,"Transect",$B19))</f>
        <v/>
      </c>
      <c r="H19" s="17" t="str">
        <f>IF(OR(ISERROR(GETPIVOTDATA("Cover",'Cover PivotTable'!$A$4,"Site",$A19,"Year",H$1,"Transect",$B19)),GETPIVOTDATA("Cover",'Cover PivotTable'!$A$4,"Site",$A19,"Year",H$1)=""), "",GETPIVOTDATA("Cover",'Cover PivotTable'!$A$4,"Site",$A19,"Year",H$1,"Transect",$B19))</f>
        <v/>
      </c>
      <c r="I19" s="17">
        <f>IF(OR(ISERROR(GETPIVOTDATA("Cover",'Cover PivotTable'!$A$4,"Site",$A19,"Year",I$1,"Transect",$B19)),GETPIVOTDATA("Cover",'Cover PivotTable'!$A$4,"Site",$A19,"Year",I$1)=""), "",GETPIVOTDATA("Cover",'Cover PivotTable'!$A$4,"Site",$A19,"Year",I$1,"Transect",$B19))</f>
        <v>0</v>
      </c>
      <c r="J19" s="17" t="str">
        <f>IF(OR(ISERROR(GETPIVOTDATA("Cover",'Cover PivotTable'!$A$4,"Site",$A19,"Year",J$1,"Transect",$B19)),GETPIVOTDATA("Cover",'Cover PivotTable'!$A$4,"Site",$A19,"Year",J$1)=""), "",GETPIVOTDATA("Cover",'Cover PivotTable'!$A$4,"Site",$A19,"Year",J$1,"Transect",$B19))</f>
        <v/>
      </c>
      <c r="K19" s="17" t="str">
        <f>IF(OR(ISERROR(GETPIVOTDATA("Cover",'Cover PivotTable'!$A$4,"Site",$A19,"Year",K$1,"Transect",$B19)),GETPIVOTDATA("Cover",'Cover PivotTable'!$A$4,"Site",$A19,"Year",K$1)=""), "",GETPIVOTDATA("Cover",'Cover PivotTable'!$A$4,"Site",$A19,"Year",K$1,"Transect",$B19))</f>
        <v/>
      </c>
      <c r="L19" s="17">
        <f>IF(OR(ISERROR(GETPIVOTDATA("Cover",'Cover PivotTable'!$A$4,"Site",$A19,"Year",L$1,"Transect",$B19)),GETPIVOTDATA("Cover",'Cover PivotTable'!$A$4,"Site",$A19,"Year",L$1)=""), "",GETPIVOTDATA("Cover",'Cover PivotTable'!$A$4,"Site",$A19,"Year",L$1,"Transect",$B19))</f>
        <v>0</v>
      </c>
      <c r="M19" s="17" t="str">
        <f>IF(OR(ISERROR(GETPIVOTDATA("Cover",'Cover PivotTable'!$A$4,"Site",$A19,"Year",M$1,"Transect",$B19)),GETPIVOTDATA("Cover",'Cover PivotTable'!$A$4,"Site",$A19,"Year",M$1)=""), "",GETPIVOTDATA("Cover",'Cover PivotTable'!$A$4,"Site",$A19,"Year",M$1,"Transect",$B19))</f>
        <v/>
      </c>
      <c r="N19" s="17">
        <f>IF(OR(ISERROR(GETPIVOTDATA("Cover",'Cover PivotTable'!$A$4,"Site",$A19,"Year",N$1,"Transect",$B19)),GETPIVOTDATA("Cover",'Cover PivotTable'!$A$4,"Site",$A19,"Year",N$1)=""), "",GETPIVOTDATA("Cover",'Cover PivotTable'!$A$4,"Site",$A19,"Year",N$1,"Transect",$B19))</f>
        <v>0</v>
      </c>
      <c r="O19" s="17">
        <f>IF(OR(ISERROR(GETPIVOTDATA("Cover",'Cover PivotTable'!$A$4,"Site",$A19,"Year",O$1,"Transect",$B19)),GETPIVOTDATA("Cover",'Cover PivotTable'!$A$4,"Site",$A19,"Year",O$1)=""), "",GETPIVOTDATA("Cover",'Cover PivotTable'!$A$4,"Site",$A19,"Year",O$1,"Transect",$B19))</f>
        <v>8</v>
      </c>
      <c r="P19" s="17">
        <f>IF(OR(ISERROR(GETPIVOTDATA("Cover",'Cover PivotTable'!$A$4,"Site",$A19,"Year",P$1,"Transect",$B19)),GETPIVOTDATA("Cover",'Cover PivotTable'!$A$4,"Site",$A19,"Year",P$1)=""), "",GETPIVOTDATA("Cover",'Cover PivotTable'!$A$4,"Site",$A19,"Year",P$1,"Transect",$B19))</f>
        <v>31</v>
      </c>
    </row>
    <row r="20" spans="1:16" x14ac:dyDescent="0.35">
      <c r="A20" t="s">
        <v>9</v>
      </c>
      <c r="B20">
        <v>3.6</v>
      </c>
      <c r="C20" s="17">
        <f>IF(OR(ISERROR(GETPIVOTDATA("Cover",'Cover PivotTable'!$A$4,"Site",$A20,"Year",C$1,"Transect",$B20)),GETPIVOTDATA("Cover",'Cover PivotTable'!$A$4,"Site",$A20,"Year",C$1)=""), "",GETPIVOTDATA("Cover",'Cover PivotTable'!$A$4,"Site",$A20,"Year",C$1,"Transect",$B20))</f>
        <v>3.5000000000000004</v>
      </c>
      <c r="D20" s="17" t="str">
        <f>IF(OR(ISERROR(GETPIVOTDATA("Cover",'Cover PivotTable'!$A$4,"Site",$A20,"Year",D$1,"Transect",$B20)),GETPIVOTDATA("Cover",'Cover PivotTable'!$A$4,"Site",$A20,"Year",D$1)=""), "",GETPIVOTDATA("Cover",'Cover PivotTable'!$A$4,"Site",$A20,"Year",D$1,"Transect",$B20))</f>
        <v/>
      </c>
      <c r="E20" s="17" t="str">
        <f>IF(OR(ISERROR(GETPIVOTDATA("Cover",'Cover PivotTable'!$A$4,"Site",$A20,"Year",E$1,"Transect",$B20)),GETPIVOTDATA("Cover",'Cover PivotTable'!$A$4,"Site",$A20,"Year",E$1)=""), "",GETPIVOTDATA("Cover",'Cover PivotTable'!$A$4,"Site",$A20,"Year",E$1,"Transect",$B20))</f>
        <v/>
      </c>
      <c r="F20" s="17" t="str">
        <f>IF(OR(ISERROR(GETPIVOTDATA("Cover",'Cover PivotTable'!$A$4,"Site",$A20,"Year",F$1,"Transect",$B20)),GETPIVOTDATA("Cover",'Cover PivotTable'!$A$4,"Site",$A20,"Year",F$1)=""), "",GETPIVOTDATA("Cover",'Cover PivotTable'!$A$4,"Site",$A20,"Year",F$1,"Transect",$B20))</f>
        <v/>
      </c>
      <c r="G20" s="17" t="str">
        <f>IF(OR(ISERROR(GETPIVOTDATA("Cover",'Cover PivotTable'!$A$4,"Site",$A20,"Year",G$1,"Transect",$B20)),GETPIVOTDATA("Cover",'Cover PivotTable'!$A$4,"Site",$A20,"Year",G$1)=""), "",GETPIVOTDATA("Cover",'Cover PivotTable'!$A$4,"Site",$A20,"Year",G$1,"Transect",$B20))</f>
        <v/>
      </c>
      <c r="H20" s="17" t="str">
        <f>IF(OR(ISERROR(GETPIVOTDATA("Cover",'Cover PivotTable'!$A$4,"Site",$A20,"Year",H$1,"Transect",$B20)),GETPIVOTDATA("Cover",'Cover PivotTable'!$A$4,"Site",$A20,"Year",H$1)=""), "",GETPIVOTDATA("Cover",'Cover PivotTable'!$A$4,"Site",$A20,"Year",H$1,"Transect",$B20))</f>
        <v/>
      </c>
      <c r="I20" s="17">
        <f>IF(OR(ISERROR(GETPIVOTDATA("Cover",'Cover PivotTable'!$A$4,"Site",$A20,"Year",I$1,"Transect",$B20)),GETPIVOTDATA("Cover",'Cover PivotTable'!$A$4,"Site",$A20,"Year",I$1)=""), "",GETPIVOTDATA("Cover",'Cover PivotTable'!$A$4,"Site",$A20,"Year",I$1,"Transect",$B20))</f>
        <v>4.5</v>
      </c>
      <c r="J20" s="17" t="str">
        <f>IF(OR(ISERROR(GETPIVOTDATA("Cover",'Cover PivotTable'!$A$4,"Site",$A20,"Year",J$1,"Transect",$B20)),GETPIVOTDATA("Cover",'Cover PivotTable'!$A$4,"Site",$A20,"Year",J$1)=""), "",GETPIVOTDATA("Cover",'Cover PivotTable'!$A$4,"Site",$A20,"Year",J$1,"Transect",$B20))</f>
        <v/>
      </c>
      <c r="K20" s="17" t="str">
        <f>IF(OR(ISERROR(GETPIVOTDATA("Cover",'Cover PivotTable'!$A$4,"Site",$A20,"Year",K$1,"Transect",$B20)),GETPIVOTDATA("Cover",'Cover PivotTable'!$A$4,"Site",$A20,"Year",K$1)=""), "",GETPIVOTDATA("Cover",'Cover PivotTable'!$A$4,"Site",$A20,"Year",K$1,"Transect",$B20))</f>
        <v/>
      </c>
      <c r="L20" s="17">
        <f>IF(OR(ISERROR(GETPIVOTDATA("Cover",'Cover PivotTable'!$A$4,"Site",$A20,"Year",L$1,"Transect",$B20)),GETPIVOTDATA("Cover",'Cover PivotTable'!$A$4,"Site",$A20,"Year",L$1)=""), "",GETPIVOTDATA("Cover",'Cover PivotTable'!$A$4,"Site",$A20,"Year",L$1,"Transect",$B20))</f>
        <v>3</v>
      </c>
      <c r="M20" s="17" t="str">
        <f>IF(OR(ISERROR(GETPIVOTDATA("Cover",'Cover PivotTable'!$A$4,"Site",$A20,"Year",M$1,"Transect",$B20)),GETPIVOTDATA("Cover",'Cover PivotTable'!$A$4,"Site",$A20,"Year",M$1)=""), "",GETPIVOTDATA("Cover",'Cover PivotTable'!$A$4,"Site",$A20,"Year",M$1,"Transect",$B20))</f>
        <v/>
      </c>
      <c r="N20" s="17">
        <f>IF(OR(ISERROR(GETPIVOTDATA("Cover",'Cover PivotTable'!$A$4,"Site",$A20,"Year",N$1,"Transect",$B20)),GETPIVOTDATA("Cover",'Cover PivotTable'!$A$4,"Site",$A20,"Year",N$1)=""), "",GETPIVOTDATA("Cover",'Cover PivotTable'!$A$4,"Site",$A20,"Year",N$1,"Transect",$B20))</f>
        <v>0.5</v>
      </c>
      <c r="O20" s="17">
        <f>IF(OR(ISERROR(GETPIVOTDATA("Cover",'Cover PivotTable'!$A$4,"Site",$A20,"Year",O$1,"Transect",$B20)),GETPIVOTDATA("Cover",'Cover PivotTable'!$A$4,"Site",$A20,"Year",O$1)=""), "",GETPIVOTDATA("Cover",'Cover PivotTable'!$A$4,"Site",$A20,"Year",O$1,"Transect",$B20))</f>
        <v>1.5</v>
      </c>
      <c r="P20" s="17">
        <f>IF(OR(ISERROR(GETPIVOTDATA("Cover",'Cover PivotTable'!$A$4,"Site",$A20,"Year",P$1,"Transect",$B20)),GETPIVOTDATA("Cover",'Cover PivotTable'!$A$4,"Site",$A20,"Year",P$1)=""), "",GETPIVOTDATA("Cover",'Cover PivotTable'!$A$4,"Site",$A20,"Year",P$1,"Transect",$B20))</f>
        <v>4.5</v>
      </c>
    </row>
    <row r="21" spans="1:16" x14ac:dyDescent="0.35">
      <c r="A21" t="s">
        <v>9</v>
      </c>
      <c r="B21">
        <v>3.7</v>
      </c>
      <c r="C21" s="17">
        <f>IF(OR(ISERROR(GETPIVOTDATA("Cover",'Cover PivotTable'!$A$4,"Site",$A21,"Year",C$1,"Transect",$B21)),GETPIVOTDATA("Cover",'Cover PivotTable'!$A$4,"Site",$A21,"Year",C$1)=""), "",GETPIVOTDATA("Cover",'Cover PivotTable'!$A$4,"Site",$A21,"Year",C$1,"Transect",$B21))</f>
        <v>4</v>
      </c>
      <c r="D21" s="17" t="str">
        <f>IF(OR(ISERROR(GETPIVOTDATA("Cover",'Cover PivotTable'!$A$4,"Site",$A21,"Year",D$1,"Transect",$B21)),GETPIVOTDATA("Cover",'Cover PivotTable'!$A$4,"Site",$A21,"Year",D$1)=""), "",GETPIVOTDATA("Cover",'Cover PivotTable'!$A$4,"Site",$A21,"Year",D$1,"Transect",$B21))</f>
        <v/>
      </c>
      <c r="E21" s="17" t="str">
        <f>IF(OR(ISERROR(GETPIVOTDATA("Cover",'Cover PivotTable'!$A$4,"Site",$A21,"Year",E$1,"Transect",$B21)),GETPIVOTDATA("Cover",'Cover PivotTable'!$A$4,"Site",$A21,"Year",E$1)=""), "",GETPIVOTDATA("Cover",'Cover PivotTable'!$A$4,"Site",$A21,"Year",E$1,"Transect",$B21))</f>
        <v/>
      </c>
      <c r="F21" s="17" t="str">
        <f>IF(OR(ISERROR(GETPIVOTDATA("Cover",'Cover PivotTable'!$A$4,"Site",$A21,"Year",F$1,"Transect",$B21)),GETPIVOTDATA("Cover",'Cover PivotTable'!$A$4,"Site",$A21,"Year",F$1)=""), "",GETPIVOTDATA("Cover",'Cover PivotTable'!$A$4,"Site",$A21,"Year",F$1,"Transect",$B21))</f>
        <v/>
      </c>
      <c r="G21" s="17" t="str">
        <f>IF(OR(ISERROR(GETPIVOTDATA("Cover",'Cover PivotTable'!$A$4,"Site",$A21,"Year",G$1,"Transect",$B21)),GETPIVOTDATA("Cover",'Cover PivotTable'!$A$4,"Site",$A21,"Year",G$1)=""), "",GETPIVOTDATA("Cover",'Cover PivotTable'!$A$4,"Site",$A21,"Year",G$1,"Transect",$B21))</f>
        <v/>
      </c>
      <c r="H21" s="17" t="str">
        <f>IF(OR(ISERROR(GETPIVOTDATA("Cover",'Cover PivotTable'!$A$4,"Site",$A21,"Year",H$1,"Transect",$B21)),GETPIVOTDATA("Cover",'Cover PivotTable'!$A$4,"Site",$A21,"Year",H$1)=""), "",GETPIVOTDATA("Cover",'Cover PivotTable'!$A$4,"Site",$A21,"Year",H$1,"Transect",$B21))</f>
        <v/>
      </c>
      <c r="I21" s="17">
        <f>IF(OR(ISERROR(GETPIVOTDATA("Cover",'Cover PivotTable'!$A$4,"Site",$A21,"Year",I$1,"Transect",$B21)),GETPIVOTDATA("Cover",'Cover PivotTable'!$A$4,"Site",$A21,"Year",I$1)=""), "",GETPIVOTDATA("Cover",'Cover PivotTable'!$A$4,"Site",$A21,"Year",I$1,"Transect",$B21))</f>
        <v>8</v>
      </c>
      <c r="J21" s="17" t="str">
        <f>IF(OR(ISERROR(GETPIVOTDATA("Cover",'Cover PivotTable'!$A$4,"Site",$A21,"Year",J$1,"Transect",$B21)),GETPIVOTDATA("Cover",'Cover PivotTable'!$A$4,"Site",$A21,"Year",J$1)=""), "",GETPIVOTDATA("Cover",'Cover PivotTable'!$A$4,"Site",$A21,"Year",J$1,"Transect",$B21))</f>
        <v/>
      </c>
      <c r="K21" s="17" t="str">
        <f>IF(OR(ISERROR(GETPIVOTDATA("Cover",'Cover PivotTable'!$A$4,"Site",$A21,"Year",K$1,"Transect",$B21)),GETPIVOTDATA("Cover",'Cover PivotTable'!$A$4,"Site",$A21,"Year",K$1)=""), "",GETPIVOTDATA("Cover",'Cover PivotTable'!$A$4,"Site",$A21,"Year",K$1,"Transect",$B21))</f>
        <v/>
      </c>
      <c r="L21" s="17">
        <f>IF(OR(ISERROR(GETPIVOTDATA("Cover",'Cover PivotTable'!$A$4,"Site",$A21,"Year",L$1,"Transect",$B21)),GETPIVOTDATA("Cover",'Cover PivotTable'!$A$4,"Site",$A21,"Year",L$1)=""), "",GETPIVOTDATA("Cover",'Cover PivotTable'!$A$4,"Site",$A21,"Year",L$1,"Transect",$B21))</f>
        <v>1</v>
      </c>
      <c r="M21" s="17" t="str">
        <f>IF(OR(ISERROR(GETPIVOTDATA("Cover",'Cover PivotTable'!$A$4,"Site",$A21,"Year",M$1,"Transect",$B21)),GETPIVOTDATA("Cover",'Cover PivotTable'!$A$4,"Site",$A21,"Year",M$1)=""), "",GETPIVOTDATA("Cover",'Cover PivotTable'!$A$4,"Site",$A21,"Year",M$1,"Transect",$B21))</f>
        <v/>
      </c>
      <c r="N21" s="17">
        <f>IF(OR(ISERROR(GETPIVOTDATA("Cover",'Cover PivotTable'!$A$4,"Site",$A21,"Year",N$1,"Transect",$B21)),GETPIVOTDATA("Cover",'Cover PivotTable'!$A$4,"Site",$A21,"Year",N$1)=""), "",GETPIVOTDATA("Cover",'Cover PivotTable'!$A$4,"Site",$A21,"Year",N$1,"Transect",$B21))</f>
        <v>4</v>
      </c>
      <c r="O21" s="17">
        <f>IF(OR(ISERROR(GETPIVOTDATA("Cover",'Cover PivotTable'!$A$4,"Site",$A21,"Year",O$1,"Transect",$B21)),GETPIVOTDATA("Cover",'Cover PivotTable'!$A$4,"Site",$A21,"Year",O$1)=""), "",GETPIVOTDATA("Cover",'Cover PivotTable'!$A$4,"Site",$A21,"Year",O$1,"Transect",$B21))</f>
        <v>6</v>
      </c>
      <c r="P21" s="17">
        <f>IF(OR(ISERROR(GETPIVOTDATA("Cover",'Cover PivotTable'!$A$4,"Site",$A21,"Year",P$1,"Transect",$B21)),GETPIVOTDATA("Cover",'Cover PivotTable'!$A$4,"Site",$A21,"Year",P$1)=""), "",GETPIVOTDATA("Cover",'Cover PivotTable'!$A$4,"Site",$A21,"Year",P$1,"Transect",$B21))</f>
        <v>13</v>
      </c>
    </row>
    <row r="22" spans="1:16" x14ac:dyDescent="0.35">
      <c r="A22" t="s">
        <v>9</v>
      </c>
      <c r="B22">
        <v>4.0999999999999996</v>
      </c>
      <c r="C22" s="17">
        <f>IF(OR(ISERROR(GETPIVOTDATA("Cover",'Cover PivotTable'!$A$4,"Site",$A22,"Year",C$1,"Transect",$B22)),GETPIVOTDATA("Cover",'Cover PivotTable'!$A$4,"Site",$A22,"Year",C$1)=""), "",GETPIVOTDATA("Cover",'Cover PivotTable'!$A$4,"Site",$A22,"Year",C$1,"Transect",$B22))</f>
        <v>8</v>
      </c>
      <c r="D22" s="17" t="str">
        <f>IF(OR(ISERROR(GETPIVOTDATA("Cover",'Cover PivotTable'!$A$4,"Site",$A22,"Year",D$1,"Transect",$B22)),GETPIVOTDATA("Cover",'Cover PivotTable'!$A$4,"Site",$A22,"Year",D$1)=""), "",GETPIVOTDATA("Cover",'Cover PivotTable'!$A$4,"Site",$A22,"Year",D$1,"Transect",$B22))</f>
        <v/>
      </c>
      <c r="E22" s="17" t="str">
        <f>IF(OR(ISERROR(GETPIVOTDATA("Cover",'Cover PivotTable'!$A$4,"Site",$A22,"Year",E$1,"Transect",$B22)),GETPIVOTDATA("Cover",'Cover PivotTable'!$A$4,"Site",$A22,"Year",E$1)=""), "",GETPIVOTDATA("Cover",'Cover PivotTable'!$A$4,"Site",$A22,"Year",E$1,"Transect",$B22))</f>
        <v/>
      </c>
      <c r="F22" s="17" t="str">
        <f>IF(OR(ISERROR(GETPIVOTDATA("Cover",'Cover PivotTable'!$A$4,"Site",$A22,"Year",F$1,"Transect",$B22)),GETPIVOTDATA("Cover",'Cover PivotTable'!$A$4,"Site",$A22,"Year",F$1)=""), "",GETPIVOTDATA("Cover",'Cover PivotTable'!$A$4,"Site",$A22,"Year",F$1,"Transect",$B22))</f>
        <v/>
      </c>
      <c r="G22" s="17" t="str">
        <f>IF(OR(ISERROR(GETPIVOTDATA("Cover",'Cover PivotTable'!$A$4,"Site",$A22,"Year",G$1,"Transect",$B22)),GETPIVOTDATA("Cover",'Cover PivotTable'!$A$4,"Site",$A22,"Year",G$1)=""), "",GETPIVOTDATA("Cover",'Cover PivotTable'!$A$4,"Site",$A22,"Year",G$1,"Transect",$B22))</f>
        <v/>
      </c>
      <c r="H22" s="17" t="str">
        <f>IF(OR(ISERROR(GETPIVOTDATA("Cover",'Cover PivotTable'!$A$4,"Site",$A22,"Year",H$1,"Transect",$B22)),GETPIVOTDATA("Cover",'Cover PivotTable'!$A$4,"Site",$A22,"Year",H$1)=""), "",GETPIVOTDATA("Cover",'Cover PivotTable'!$A$4,"Site",$A22,"Year",H$1,"Transect",$B22))</f>
        <v/>
      </c>
      <c r="I22" s="17">
        <f>IF(OR(ISERROR(GETPIVOTDATA("Cover",'Cover PivotTable'!$A$4,"Site",$A22,"Year",I$1,"Transect",$B22)),GETPIVOTDATA("Cover",'Cover PivotTable'!$A$4,"Site",$A22,"Year",I$1)=""), "",GETPIVOTDATA("Cover",'Cover PivotTable'!$A$4,"Site",$A22,"Year",I$1,"Transect",$B22))</f>
        <v>2.5</v>
      </c>
      <c r="J22" s="17" t="str">
        <f>IF(OR(ISERROR(GETPIVOTDATA("Cover",'Cover PivotTable'!$A$4,"Site",$A22,"Year",J$1,"Transect",$B22)),GETPIVOTDATA("Cover",'Cover PivotTable'!$A$4,"Site",$A22,"Year",J$1)=""), "",GETPIVOTDATA("Cover",'Cover PivotTable'!$A$4,"Site",$A22,"Year",J$1,"Transect",$B22))</f>
        <v/>
      </c>
      <c r="K22" s="17" t="str">
        <f>IF(OR(ISERROR(GETPIVOTDATA("Cover",'Cover PivotTable'!$A$4,"Site",$A22,"Year",K$1,"Transect",$B22)),GETPIVOTDATA("Cover",'Cover PivotTable'!$A$4,"Site",$A22,"Year",K$1)=""), "",GETPIVOTDATA("Cover",'Cover PivotTable'!$A$4,"Site",$A22,"Year",K$1,"Transect",$B22))</f>
        <v/>
      </c>
      <c r="L22" s="17">
        <f>IF(OR(ISERROR(GETPIVOTDATA("Cover",'Cover PivotTable'!$A$4,"Site",$A22,"Year",L$1,"Transect",$B22)),GETPIVOTDATA("Cover",'Cover PivotTable'!$A$4,"Site",$A22,"Year",L$1)=""), "",GETPIVOTDATA("Cover",'Cover PivotTable'!$A$4,"Site",$A22,"Year",L$1,"Transect",$B22))</f>
        <v>1</v>
      </c>
      <c r="M22" s="17" t="str">
        <f>IF(OR(ISERROR(GETPIVOTDATA("Cover",'Cover PivotTable'!$A$4,"Site",$A22,"Year",M$1,"Transect",$B22)),GETPIVOTDATA("Cover",'Cover PivotTable'!$A$4,"Site",$A22,"Year",M$1)=""), "",GETPIVOTDATA("Cover",'Cover PivotTable'!$A$4,"Site",$A22,"Year",M$1,"Transect",$B22))</f>
        <v/>
      </c>
      <c r="N22" s="17">
        <f>IF(OR(ISERROR(GETPIVOTDATA("Cover",'Cover PivotTable'!$A$4,"Site",$A22,"Year",N$1,"Transect",$B22)),GETPIVOTDATA("Cover",'Cover PivotTable'!$A$4,"Site",$A22,"Year",N$1)=""), "",GETPIVOTDATA("Cover",'Cover PivotTable'!$A$4,"Site",$A22,"Year",N$1,"Transect",$B22))</f>
        <v>6.5</v>
      </c>
      <c r="O22" s="17">
        <f>IF(OR(ISERROR(GETPIVOTDATA("Cover",'Cover PivotTable'!$A$4,"Site",$A22,"Year",O$1,"Transect",$B22)),GETPIVOTDATA("Cover",'Cover PivotTable'!$A$4,"Site",$A22,"Year",O$1)=""), "",GETPIVOTDATA("Cover",'Cover PivotTable'!$A$4,"Site",$A22,"Year",O$1,"Transect",$B22))</f>
        <v>7.0000000000000009</v>
      </c>
      <c r="P22" s="17">
        <f>IF(OR(ISERROR(GETPIVOTDATA("Cover",'Cover PivotTable'!$A$4,"Site",$A22,"Year",P$1,"Transect",$B22)),GETPIVOTDATA("Cover",'Cover PivotTable'!$A$4,"Site",$A22,"Year",P$1)=""), "",GETPIVOTDATA("Cover",'Cover PivotTable'!$A$4,"Site",$A22,"Year",P$1,"Transect",$B22))</f>
        <v>7</v>
      </c>
    </row>
    <row r="23" spans="1:16" x14ac:dyDescent="0.35">
      <c r="A23" t="s">
        <v>9</v>
      </c>
      <c r="B23">
        <v>4.2</v>
      </c>
      <c r="C23" s="17">
        <f>IF(OR(ISERROR(GETPIVOTDATA("Cover",'Cover PivotTable'!$A$4,"Site",$A23,"Year",C$1,"Transect",$B23)),GETPIVOTDATA("Cover",'Cover PivotTable'!$A$4,"Site",$A23,"Year",C$1)=""), "",GETPIVOTDATA("Cover",'Cover PivotTable'!$A$4,"Site",$A23,"Year",C$1,"Transect",$B23))</f>
        <v>0.5</v>
      </c>
      <c r="D23" s="17" t="str">
        <f>IF(OR(ISERROR(GETPIVOTDATA("Cover",'Cover PivotTable'!$A$4,"Site",$A23,"Year",D$1,"Transect",$B23)),GETPIVOTDATA("Cover",'Cover PivotTable'!$A$4,"Site",$A23,"Year",D$1)=""), "",GETPIVOTDATA("Cover",'Cover PivotTable'!$A$4,"Site",$A23,"Year",D$1,"Transect",$B23))</f>
        <v/>
      </c>
      <c r="E23" s="17" t="str">
        <f>IF(OR(ISERROR(GETPIVOTDATA("Cover",'Cover PivotTable'!$A$4,"Site",$A23,"Year",E$1,"Transect",$B23)),GETPIVOTDATA("Cover",'Cover PivotTable'!$A$4,"Site",$A23,"Year",E$1)=""), "",GETPIVOTDATA("Cover",'Cover PivotTable'!$A$4,"Site",$A23,"Year",E$1,"Transect",$B23))</f>
        <v/>
      </c>
      <c r="F23" s="17" t="str">
        <f>IF(OR(ISERROR(GETPIVOTDATA("Cover",'Cover PivotTable'!$A$4,"Site",$A23,"Year",F$1,"Transect",$B23)),GETPIVOTDATA("Cover",'Cover PivotTable'!$A$4,"Site",$A23,"Year",F$1)=""), "",GETPIVOTDATA("Cover",'Cover PivotTable'!$A$4,"Site",$A23,"Year",F$1,"Transect",$B23))</f>
        <v/>
      </c>
      <c r="G23" s="17" t="str">
        <f>IF(OR(ISERROR(GETPIVOTDATA("Cover",'Cover PivotTable'!$A$4,"Site",$A23,"Year",G$1,"Transect",$B23)),GETPIVOTDATA("Cover",'Cover PivotTable'!$A$4,"Site",$A23,"Year",G$1)=""), "",GETPIVOTDATA("Cover",'Cover PivotTable'!$A$4,"Site",$A23,"Year",G$1,"Transect",$B23))</f>
        <v/>
      </c>
      <c r="H23" s="17" t="str">
        <f>IF(OR(ISERROR(GETPIVOTDATA("Cover",'Cover PivotTable'!$A$4,"Site",$A23,"Year",H$1,"Transect",$B23)),GETPIVOTDATA("Cover",'Cover PivotTable'!$A$4,"Site",$A23,"Year",H$1)=""), "",GETPIVOTDATA("Cover",'Cover PivotTable'!$A$4,"Site",$A23,"Year",H$1,"Transect",$B23))</f>
        <v/>
      </c>
      <c r="I23" s="17">
        <f>IF(OR(ISERROR(GETPIVOTDATA("Cover",'Cover PivotTable'!$A$4,"Site",$A23,"Year",I$1,"Transect",$B23)),GETPIVOTDATA("Cover",'Cover PivotTable'!$A$4,"Site",$A23,"Year",I$1)=""), "",GETPIVOTDATA("Cover",'Cover PivotTable'!$A$4,"Site",$A23,"Year",I$1,"Transect",$B23))</f>
        <v>2.5</v>
      </c>
      <c r="J23" s="17" t="str">
        <f>IF(OR(ISERROR(GETPIVOTDATA("Cover",'Cover PivotTable'!$A$4,"Site",$A23,"Year",J$1,"Transect",$B23)),GETPIVOTDATA("Cover",'Cover PivotTable'!$A$4,"Site",$A23,"Year",J$1)=""), "",GETPIVOTDATA("Cover",'Cover PivotTable'!$A$4,"Site",$A23,"Year",J$1,"Transect",$B23))</f>
        <v/>
      </c>
      <c r="K23" s="17" t="str">
        <f>IF(OR(ISERROR(GETPIVOTDATA("Cover",'Cover PivotTable'!$A$4,"Site",$A23,"Year",K$1,"Transect",$B23)),GETPIVOTDATA("Cover",'Cover PivotTable'!$A$4,"Site",$A23,"Year",K$1)=""), "",GETPIVOTDATA("Cover",'Cover PivotTable'!$A$4,"Site",$A23,"Year",K$1,"Transect",$B23))</f>
        <v/>
      </c>
      <c r="L23" s="17">
        <f>IF(OR(ISERROR(GETPIVOTDATA("Cover",'Cover PivotTable'!$A$4,"Site",$A23,"Year",L$1,"Transect",$B23)),GETPIVOTDATA("Cover",'Cover PivotTable'!$A$4,"Site",$A23,"Year",L$1)=""), "",GETPIVOTDATA("Cover",'Cover PivotTable'!$A$4,"Site",$A23,"Year",L$1,"Transect",$B23))</f>
        <v>3</v>
      </c>
      <c r="M23" s="17" t="str">
        <f>IF(OR(ISERROR(GETPIVOTDATA("Cover",'Cover PivotTable'!$A$4,"Site",$A23,"Year",M$1,"Transect",$B23)),GETPIVOTDATA("Cover",'Cover PivotTable'!$A$4,"Site",$A23,"Year",M$1)=""), "",GETPIVOTDATA("Cover",'Cover PivotTable'!$A$4,"Site",$A23,"Year",M$1,"Transect",$B23))</f>
        <v/>
      </c>
      <c r="N23" s="17">
        <f>IF(OR(ISERROR(GETPIVOTDATA("Cover",'Cover PivotTable'!$A$4,"Site",$A23,"Year",N$1,"Transect",$B23)),GETPIVOTDATA("Cover",'Cover PivotTable'!$A$4,"Site",$A23,"Year",N$1)=""), "",GETPIVOTDATA("Cover",'Cover PivotTable'!$A$4,"Site",$A23,"Year",N$1,"Transect",$B23))</f>
        <v>1.5</v>
      </c>
      <c r="O23" s="17">
        <f>IF(OR(ISERROR(GETPIVOTDATA("Cover",'Cover PivotTable'!$A$4,"Site",$A23,"Year",O$1,"Transect",$B23)),GETPIVOTDATA("Cover",'Cover PivotTable'!$A$4,"Site",$A23,"Year",O$1)=""), "",GETPIVOTDATA("Cover",'Cover PivotTable'!$A$4,"Site",$A23,"Year",O$1,"Transect",$B23))</f>
        <v>2</v>
      </c>
      <c r="P23" s="17">
        <f>IF(OR(ISERROR(GETPIVOTDATA("Cover",'Cover PivotTable'!$A$4,"Site",$A23,"Year",P$1,"Transect",$B23)),GETPIVOTDATA("Cover",'Cover PivotTable'!$A$4,"Site",$A23,"Year",P$1)=""), "",GETPIVOTDATA("Cover",'Cover PivotTable'!$A$4,"Site",$A23,"Year",P$1,"Transect",$B23))</f>
        <v>4</v>
      </c>
    </row>
    <row r="24" spans="1:16" x14ac:dyDescent="0.35">
      <c r="A24" t="s">
        <v>9</v>
      </c>
      <c r="B24">
        <v>4.3</v>
      </c>
      <c r="C24" s="17">
        <f>IF(OR(ISERROR(GETPIVOTDATA("Cover",'Cover PivotTable'!$A$4,"Site",$A24,"Year",C$1,"Transect",$B24)),GETPIVOTDATA("Cover",'Cover PivotTable'!$A$4,"Site",$A24,"Year",C$1)=""), "",GETPIVOTDATA("Cover",'Cover PivotTable'!$A$4,"Site",$A24,"Year",C$1,"Transect",$B24))</f>
        <v>1</v>
      </c>
      <c r="D24" s="17" t="str">
        <f>IF(OR(ISERROR(GETPIVOTDATA("Cover",'Cover PivotTable'!$A$4,"Site",$A24,"Year",D$1,"Transect",$B24)),GETPIVOTDATA("Cover",'Cover PivotTable'!$A$4,"Site",$A24,"Year",D$1)=""), "",GETPIVOTDATA("Cover",'Cover PivotTable'!$A$4,"Site",$A24,"Year",D$1,"Transect",$B24))</f>
        <v/>
      </c>
      <c r="E24" s="17" t="str">
        <f>IF(OR(ISERROR(GETPIVOTDATA("Cover",'Cover PivotTable'!$A$4,"Site",$A24,"Year",E$1,"Transect",$B24)),GETPIVOTDATA("Cover",'Cover PivotTable'!$A$4,"Site",$A24,"Year",E$1)=""), "",GETPIVOTDATA("Cover",'Cover PivotTable'!$A$4,"Site",$A24,"Year",E$1,"Transect",$B24))</f>
        <v/>
      </c>
      <c r="F24" s="17" t="str">
        <f>IF(OR(ISERROR(GETPIVOTDATA("Cover",'Cover PivotTable'!$A$4,"Site",$A24,"Year",F$1,"Transect",$B24)),GETPIVOTDATA("Cover",'Cover PivotTable'!$A$4,"Site",$A24,"Year",F$1)=""), "",GETPIVOTDATA("Cover",'Cover PivotTable'!$A$4,"Site",$A24,"Year",F$1,"Transect",$B24))</f>
        <v/>
      </c>
      <c r="G24" s="17" t="str">
        <f>IF(OR(ISERROR(GETPIVOTDATA("Cover",'Cover PivotTable'!$A$4,"Site",$A24,"Year",G$1,"Transect",$B24)),GETPIVOTDATA("Cover",'Cover PivotTable'!$A$4,"Site",$A24,"Year",G$1)=""), "",GETPIVOTDATA("Cover",'Cover PivotTable'!$A$4,"Site",$A24,"Year",G$1,"Transect",$B24))</f>
        <v/>
      </c>
      <c r="H24" s="17" t="str">
        <f>IF(OR(ISERROR(GETPIVOTDATA("Cover",'Cover PivotTable'!$A$4,"Site",$A24,"Year",H$1,"Transect",$B24)),GETPIVOTDATA("Cover",'Cover PivotTable'!$A$4,"Site",$A24,"Year",H$1)=""), "",GETPIVOTDATA("Cover",'Cover PivotTable'!$A$4,"Site",$A24,"Year",H$1,"Transect",$B24))</f>
        <v/>
      </c>
      <c r="I24" s="17">
        <f>IF(OR(ISERROR(GETPIVOTDATA("Cover",'Cover PivotTable'!$A$4,"Site",$A24,"Year",I$1,"Transect",$B24)),GETPIVOTDATA("Cover",'Cover PivotTable'!$A$4,"Site",$A24,"Year",I$1)=""), "",GETPIVOTDATA("Cover",'Cover PivotTable'!$A$4,"Site",$A24,"Year",I$1,"Transect",$B24))</f>
        <v>1</v>
      </c>
      <c r="J24" s="17" t="str">
        <f>IF(OR(ISERROR(GETPIVOTDATA("Cover",'Cover PivotTable'!$A$4,"Site",$A24,"Year",J$1,"Transect",$B24)),GETPIVOTDATA("Cover",'Cover PivotTable'!$A$4,"Site",$A24,"Year",J$1)=""), "",GETPIVOTDATA("Cover",'Cover PivotTable'!$A$4,"Site",$A24,"Year",J$1,"Transect",$B24))</f>
        <v/>
      </c>
      <c r="K24" s="17" t="str">
        <f>IF(OR(ISERROR(GETPIVOTDATA("Cover",'Cover PivotTable'!$A$4,"Site",$A24,"Year",K$1,"Transect",$B24)),GETPIVOTDATA("Cover",'Cover PivotTable'!$A$4,"Site",$A24,"Year",K$1)=""), "",GETPIVOTDATA("Cover",'Cover PivotTable'!$A$4,"Site",$A24,"Year",K$1,"Transect",$B24))</f>
        <v/>
      </c>
      <c r="L24" s="17">
        <f>IF(OR(ISERROR(GETPIVOTDATA("Cover",'Cover PivotTable'!$A$4,"Site",$A24,"Year",L$1,"Transect",$B24)),GETPIVOTDATA("Cover",'Cover PivotTable'!$A$4,"Site",$A24,"Year",L$1)=""), "",GETPIVOTDATA("Cover",'Cover PivotTable'!$A$4,"Site",$A24,"Year",L$1,"Transect",$B24))</f>
        <v>1.5</v>
      </c>
      <c r="M24" s="17" t="str">
        <f>IF(OR(ISERROR(GETPIVOTDATA("Cover",'Cover PivotTable'!$A$4,"Site",$A24,"Year",M$1,"Transect",$B24)),GETPIVOTDATA("Cover",'Cover PivotTable'!$A$4,"Site",$A24,"Year",M$1)=""), "",GETPIVOTDATA("Cover",'Cover PivotTable'!$A$4,"Site",$A24,"Year",M$1,"Transect",$B24))</f>
        <v/>
      </c>
      <c r="N24" s="17">
        <f>IF(OR(ISERROR(GETPIVOTDATA("Cover",'Cover PivotTable'!$A$4,"Site",$A24,"Year",N$1,"Transect",$B24)),GETPIVOTDATA("Cover",'Cover PivotTable'!$A$4,"Site",$A24,"Year",N$1)=""), "",GETPIVOTDATA("Cover",'Cover PivotTable'!$A$4,"Site",$A24,"Year",N$1,"Transect",$B24))</f>
        <v>2.5</v>
      </c>
      <c r="O24" s="17">
        <f>IF(OR(ISERROR(GETPIVOTDATA("Cover",'Cover PivotTable'!$A$4,"Site",$A24,"Year",O$1,"Transect",$B24)),GETPIVOTDATA("Cover",'Cover PivotTable'!$A$4,"Site",$A24,"Year",O$1)=""), "",GETPIVOTDATA("Cover",'Cover PivotTable'!$A$4,"Site",$A24,"Year",O$1,"Transect",$B24))</f>
        <v>4.5</v>
      </c>
      <c r="P24" s="17">
        <f>IF(OR(ISERROR(GETPIVOTDATA("Cover",'Cover PivotTable'!$A$4,"Site",$A24,"Year",P$1,"Transect",$B24)),GETPIVOTDATA("Cover",'Cover PivotTable'!$A$4,"Site",$A24,"Year",P$1)=""), "",GETPIVOTDATA("Cover",'Cover PivotTable'!$A$4,"Site",$A24,"Year",P$1,"Transect",$B24))</f>
        <v>11.5</v>
      </c>
    </row>
    <row r="25" spans="1:16" x14ac:dyDescent="0.35">
      <c r="A25" t="s">
        <v>9</v>
      </c>
      <c r="B25">
        <v>4.4000000000000004</v>
      </c>
      <c r="C25" s="17">
        <f>IF(OR(ISERROR(GETPIVOTDATA("Cover",'Cover PivotTable'!$A$4,"Site",$A25,"Year",C$1,"Transect",$B25)),GETPIVOTDATA("Cover",'Cover PivotTable'!$A$4,"Site",$A25,"Year",C$1)=""), "",GETPIVOTDATA("Cover",'Cover PivotTable'!$A$4,"Site",$A25,"Year",C$1,"Transect",$B25))</f>
        <v>0</v>
      </c>
      <c r="D25" s="17" t="str">
        <f>IF(OR(ISERROR(GETPIVOTDATA("Cover",'Cover PivotTable'!$A$4,"Site",$A25,"Year",D$1,"Transect",$B25)),GETPIVOTDATA("Cover",'Cover PivotTable'!$A$4,"Site",$A25,"Year",D$1)=""), "",GETPIVOTDATA("Cover",'Cover PivotTable'!$A$4,"Site",$A25,"Year",D$1,"Transect",$B25))</f>
        <v/>
      </c>
      <c r="E25" s="17" t="str">
        <f>IF(OR(ISERROR(GETPIVOTDATA("Cover",'Cover PivotTable'!$A$4,"Site",$A25,"Year",E$1,"Transect",$B25)),GETPIVOTDATA("Cover",'Cover PivotTable'!$A$4,"Site",$A25,"Year",E$1)=""), "",GETPIVOTDATA("Cover",'Cover PivotTable'!$A$4,"Site",$A25,"Year",E$1,"Transect",$B25))</f>
        <v/>
      </c>
      <c r="F25" s="17" t="str">
        <f>IF(OR(ISERROR(GETPIVOTDATA("Cover",'Cover PivotTable'!$A$4,"Site",$A25,"Year",F$1,"Transect",$B25)),GETPIVOTDATA("Cover",'Cover PivotTable'!$A$4,"Site",$A25,"Year",F$1)=""), "",GETPIVOTDATA("Cover",'Cover PivotTable'!$A$4,"Site",$A25,"Year",F$1,"Transect",$B25))</f>
        <v/>
      </c>
      <c r="G25" s="17" t="str">
        <f>IF(OR(ISERROR(GETPIVOTDATA("Cover",'Cover PivotTable'!$A$4,"Site",$A25,"Year",G$1,"Transect",$B25)),GETPIVOTDATA("Cover",'Cover PivotTable'!$A$4,"Site",$A25,"Year",G$1)=""), "",GETPIVOTDATA("Cover",'Cover PivotTable'!$A$4,"Site",$A25,"Year",G$1,"Transect",$B25))</f>
        <v/>
      </c>
      <c r="H25" s="17" t="str">
        <f>IF(OR(ISERROR(GETPIVOTDATA("Cover",'Cover PivotTable'!$A$4,"Site",$A25,"Year",H$1,"Transect",$B25)),GETPIVOTDATA("Cover",'Cover PivotTable'!$A$4,"Site",$A25,"Year",H$1)=""), "",GETPIVOTDATA("Cover",'Cover PivotTable'!$A$4,"Site",$A25,"Year",H$1,"Transect",$B25))</f>
        <v/>
      </c>
      <c r="I25" s="17">
        <f>IF(OR(ISERROR(GETPIVOTDATA("Cover",'Cover PivotTable'!$A$4,"Site",$A25,"Year",I$1,"Transect",$B25)),GETPIVOTDATA("Cover",'Cover PivotTable'!$A$4,"Site",$A25,"Year",I$1)=""), "",GETPIVOTDATA("Cover",'Cover PivotTable'!$A$4,"Site",$A25,"Year",I$1,"Transect",$B25))</f>
        <v>0</v>
      </c>
      <c r="J25" s="17" t="str">
        <f>IF(OR(ISERROR(GETPIVOTDATA("Cover",'Cover PivotTable'!$A$4,"Site",$A25,"Year",J$1,"Transect",$B25)),GETPIVOTDATA("Cover",'Cover PivotTable'!$A$4,"Site",$A25,"Year",J$1)=""), "",GETPIVOTDATA("Cover",'Cover PivotTable'!$A$4,"Site",$A25,"Year",J$1,"Transect",$B25))</f>
        <v/>
      </c>
      <c r="K25" s="17" t="str">
        <f>IF(OR(ISERROR(GETPIVOTDATA("Cover",'Cover PivotTable'!$A$4,"Site",$A25,"Year",K$1,"Transect",$B25)),GETPIVOTDATA("Cover",'Cover PivotTable'!$A$4,"Site",$A25,"Year",K$1)=""), "",GETPIVOTDATA("Cover",'Cover PivotTable'!$A$4,"Site",$A25,"Year",K$1,"Transect",$B25))</f>
        <v/>
      </c>
      <c r="L25" s="17">
        <f>IF(OR(ISERROR(GETPIVOTDATA("Cover",'Cover PivotTable'!$A$4,"Site",$A25,"Year",L$1,"Transect",$B25)),GETPIVOTDATA("Cover",'Cover PivotTable'!$A$4,"Site",$A25,"Year",L$1)=""), "",GETPIVOTDATA("Cover",'Cover PivotTable'!$A$4,"Site",$A25,"Year",L$1,"Transect",$B25))</f>
        <v>0</v>
      </c>
      <c r="M25" s="17" t="str">
        <f>IF(OR(ISERROR(GETPIVOTDATA("Cover",'Cover PivotTable'!$A$4,"Site",$A25,"Year",M$1,"Transect",$B25)),GETPIVOTDATA("Cover",'Cover PivotTable'!$A$4,"Site",$A25,"Year",M$1)=""), "",GETPIVOTDATA("Cover",'Cover PivotTable'!$A$4,"Site",$A25,"Year",M$1,"Transect",$B25))</f>
        <v/>
      </c>
      <c r="N25" s="17">
        <f>IF(OR(ISERROR(GETPIVOTDATA("Cover",'Cover PivotTable'!$A$4,"Site",$A25,"Year",N$1,"Transect",$B25)),GETPIVOTDATA("Cover",'Cover PivotTable'!$A$4,"Site",$A25,"Year",N$1)=""), "",GETPIVOTDATA("Cover",'Cover PivotTable'!$A$4,"Site",$A25,"Year",N$1,"Transect",$B25))</f>
        <v>0</v>
      </c>
      <c r="O25" s="17">
        <f>IF(OR(ISERROR(GETPIVOTDATA("Cover",'Cover PivotTable'!$A$4,"Site",$A25,"Year",O$1,"Transect",$B25)),GETPIVOTDATA("Cover",'Cover PivotTable'!$A$4,"Site",$A25,"Year",O$1)=""), "",GETPIVOTDATA("Cover",'Cover PivotTable'!$A$4,"Site",$A25,"Year",O$1,"Transect",$B25))</f>
        <v>3.5000000000000004</v>
      </c>
      <c r="P25" s="17">
        <f>IF(OR(ISERROR(GETPIVOTDATA("Cover",'Cover PivotTable'!$A$4,"Site",$A25,"Year",P$1,"Transect",$B25)),GETPIVOTDATA("Cover",'Cover PivotTable'!$A$4,"Site",$A25,"Year",P$1)=""), "",GETPIVOTDATA("Cover",'Cover PivotTable'!$A$4,"Site",$A25,"Year",P$1,"Transect",$B25))</f>
        <v>12.5</v>
      </c>
    </row>
    <row r="26" spans="1:16" x14ac:dyDescent="0.35">
      <c r="A26" t="s">
        <v>9</v>
      </c>
      <c r="B26">
        <v>4.5</v>
      </c>
      <c r="C26" s="17">
        <f>IF(OR(ISERROR(GETPIVOTDATA("Cover",'Cover PivotTable'!$A$4,"Site",$A26,"Year",C$1,"Transect",$B26)),GETPIVOTDATA("Cover",'Cover PivotTable'!$A$4,"Site",$A26,"Year",C$1)=""), "",GETPIVOTDATA("Cover",'Cover PivotTable'!$A$4,"Site",$A26,"Year",C$1,"Transect",$B26))</f>
        <v>1.5</v>
      </c>
      <c r="D26" s="17" t="str">
        <f>IF(OR(ISERROR(GETPIVOTDATA("Cover",'Cover PivotTable'!$A$4,"Site",$A26,"Year",D$1,"Transect",$B26)),GETPIVOTDATA("Cover",'Cover PivotTable'!$A$4,"Site",$A26,"Year",D$1)=""), "",GETPIVOTDATA("Cover",'Cover PivotTable'!$A$4,"Site",$A26,"Year",D$1,"Transect",$B26))</f>
        <v/>
      </c>
      <c r="E26" s="17" t="str">
        <f>IF(OR(ISERROR(GETPIVOTDATA("Cover",'Cover PivotTable'!$A$4,"Site",$A26,"Year",E$1,"Transect",$B26)),GETPIVOTDATA("Cover",'Cover PivotTable'!$A$4,"Site",$A26,"Year",E$1)=""), "",GETPIVOTDATA("Cover",'Cover PivotTable'!$A$4,"Site",$A26,"Year",E$1,"Transect",$B26))</f>
        <v/>
      </c>
      <c r="F26" s="17" t="str">
        <f>IF(OR(ISERROR(GETPIVOTDATA("Cover",'Cover PivotTable'!$A$4,"Site",$A26,"Year",F$1,"Transect",$B26)),GETPIVOTDATA("Cover",'Cover PivotTable'!$A$4,"Site",$A26,"Year",F$1)=""), "",GETPIVOTDATA("Cover",'Cover PivotTable'!$A$4,"Site",$A26,"Year",F$1,"Transect",$B26))</f>
        <v/>
      </c>
      <c r="G26" s="17" t="str">
        <f>IF(OR(ISERROR(GETPIVOTDATA("Cover",'Cover PivotTable'!$A$4,"Site",$A26,"Year",G$1,"Transect",$B26)),GETPIVOTDATA("Cover",'Cover PivotTable'!$A$4,"Site",$A26,"Year",G$1)=""), "",GETPIVOTDATA("Cover",'Cover PivotTable'!$A$4,"Site",$A26,"Year",G$1,"Transect",$B26))</f>
        <v/>
      </c>
      <c r="H26" s="17" t="str">
        <f>IF(OR(ISERROR(GETPIVOTDATA("Cover",'Cover PivotTable'!$A$4,"Site",$A26,"Year",H$1,"Transect",$B26)),GETPIVOTDATA("Cover",'Cover PivotTable'!$A$4,"Site",$A26,"Year",H$1)=""), "",GETPIVOTDATA("Cover",'Cover PivotTable'!$A$4,"Site",$A26,"Year",H$1,"Transect",$B26))</f>
        <v/>
      </c>
      <c r="I26" s="17">
        <f>IF(OR(ISERROR(GETPIVOTDATA("Cover",'Cover PivotTable'!$A$4,"Site",$A26,"Year",I$1,"Transect",$B26)),GETPIVOTDATA("Cover",'Cover PivotTable'!$A$4,"Site",$A26,"Year",I$1)=""), "",GETPIVOTDATA("Cover",'Cover PivotTable'!$A$4,"Site",$A26,"Year",I$1,"Transect",$B26))</f>
        <v>1</v>
      </c>
      <c r="J26" s="17" t="str">
        <f>IF(OR(ISERROR(GETPIVOTDATA("Cover",'Cover PivotTable'!$A$4,"Site",$A26,"Year",J$1,"Transect",$B26)),GETPIVOTDATA("Cover",'Cover PivotTable'!$A$4,"Site",$A26,"Year",J$1)=""), "",GETPIVOTDATA("Cover",'Cover PivotTable'!$A$4,"Site",$A26,"Year",J$1,"Transect",$B26))</f>
        <v/>
      </c>
      <c r="K26" s="17" t="str">
        <f>IF(OR(ISERROR(GETPIVOTDATA("Cover",'Cover PivotTable'!$A$4,"Site",$A26,"Year",K$1,"Transect",$B26)),GETPIVOTDATA("Cover",'Cover PivotTable'!$A$4,"Site",$A26,"Year",K$1)=""), "",GETPIVOTDATA("Cover",'Cover PivotTable'!$A$4,"Site",$A26,"Year",K$1,"Transect",$B26))</f>
        <v/>
      </c>
      <c r="L26" s="17">
        <f>IF(OR(ISERROR(GETPIVOTDATA("Cover",'Cover PivotTable'!$A$4,"Site",$A26,"Year",L$1,"Transect",$B26)),GETPIVOTDATA("Cover",'Cover PivotTable'!$A$4,"Site",$A26,"Year",L$1)=""), "",GETPIVOTDATA("Cover",'Cover PivotTable'!$A$4,"Site",$A26,"Year",L$1,"Transect",$B26))</f>
        <v>0</v>
      </c>
      <c r="M26" s="17" t="str">
        <f>IF(OR(ISERROR(GETPIVOTDATA("Cover",'Cover PivotTable'!$A$4,"Site",$A26,"Year",M$1,"Transect",$B26)),GETPIVOTDATA("Cover",'Cover PivotTable'!$A$4,"Site",$A26,"Year",M$1)=""), "",GETPIVOTDATA("Cover",'Cover PivotTable'!$A$4,"Site",$A26,"Year",M$1,"Transect",$B26))</f>
        <v/>
      </c>
      <c r="N26" s="17">
        <f>IF(OR(ISERROR(GETPIVOTDATA("Cover",'Cover PivotTable'!$A$4,"Site",$A26,"Year",N$1,"Transect",$B26)),GETPIVOTDATA("Cover",'Cover PivotTable'!$A$4,"Site",$A26,"Year",N$1)=""), "",GETPIVOTDATA("Cover",'Cover PivotTable'!$A$4,"Site",$A26,"Year",N$1,"Transect",$B26))</f>
        <v>0.5</v>
      </c>
      <c r="O26" s="17">
        <f>IF(OR(ISERROR(GETPIVOTDATA("Cover",'Cover PivotTable'!$A$4,"Site",$A26,"Year",O$1,"Transect",$B26)),GETPIVOTDATA("Cover",'Cover PivotTable'!$A$4,"Site",$A26,"Year",O$1)=""), "",GETPIVOTDATA("Cover",'Cover PivotTable'!$A$4,"Site",$A26,"Year",O$1,"Transect",$B26))</f>
        <v>2.5</v>
      </c>
      <c r="P26" s="17">
        <f>IF(OR(ISERROR(GETPIVOTDATA("Cover",'Cover PivotTable'!$A$4,"Site",$A26,"Year",P$1,"Transect",$B26)),GETPIVOTDATA("Cover",'Cover PivotTable'!$A$4,"Site",$A26,"Year",P$1)=""), "",GETPIVOTDATA("Cover",'Cover PivotTable'!$A$4,"Site",$A26,"Year",P$1,"Transect",$B26))</f>
        <v>12</v>
      </c>
    </row>
    <row r="27" spans="1:16" x14ac:dyDescent="0.35">
      <c r="A27" t="s">
        <v>9</v>
      </c>
      <c r="B27">
        <v>4.5999999999999996</v>
      </c>
      <c r="C27" s="17">
        <f>IF(OR(ISERROR(GETPIVOTDATA("Cover",'Cover PivotTable'!$A$4,"Site",$A27,"Year",C$1,"Transect",$B27)),GETPIVOTDATA("Cover",'Cover PivotTable'!$A$4,"Site",$A27,"Year",C$1)=""), "",GETPIVOTDATA("Cover",'Cover PivotTable'!$A$4,"Site",$A27,"Year",C$1,"Transect",$B27))</f>
        <v>2.5</v>
      </c>
      <c r="D27" s="17" t="str">
        <f>IF(OR(ISERROR(GETPIVOTDATA("Cover",'Cover PivotTable'!$A$4,"Site",$A27,"Year",D$1,"Transect",$B27)),GETPIVOTDATA("Cover",'Cover PivotTable'!$A$4,"Site",$A27,"Year",D$1)=""), "",GETPIVOTDATA("Cover",'Cover PivotTable'!$A$4,"Site",$A27,"Year",D$1,"Transect",$B27))</f>
        <v/>
      </c>
      <c r="E27" s="17" t="str">
        <f>IF(OR(ISERROR(GETPIVOTDATA("Cover",'Cover PivotTable'!$A$4,"Site",$A27,"Year",E$1,"Transect",$B27)),GETPIVOTDATA("Cover",'Cover PivotTable'!$A$4,"Site",$A27,"Year",E$1)=""), "",GETPIVOTDATA("Cover",'Cover PivotTable'!$A$4,"Site",$A27,"Year",E$1,"Transect",$B27))</f>
        <v/>
      </c>
      <c r="F27" s="17" t="str">
        <f>IF(OR(ISERROR(GETPIVOTDATA("Cover",'Cover PivotTable'!$A$4,"Site",$A27,"Year",F$1,"Transect",$B27)),GETPIVOTDATA("Cover",'Cover PivotTable'!$A$4,"Site",$A27,"Year",F$1)=""), "",GETPIVOTDATA("Cover",'Cover PivotTable'!$A$4,"Site",$A27,"Year",F$1,"Transect",$B27))</f>
        <v/>
      </c>
      <c r="G27" s="17" t="str">
        <f>IF(OR(ISERROR(GETPIVOTDATA("Cover",'Cover PivotTable'!$A$4,"Site",$A27,"Year",G$1,"Transect",$B27)),GETPIVOTDATA("Cover",'Cover PivotTable'!$A$4,"Site",$A27,"Year",G$1)=""), "",GETPIVOTDATA("Cover",'Cover PivotTable'!$A$4,"Site",$A27,"Year",G$1,"Transect",$B27))</f>
        <v/>
      </c>
      <c r="H27" s="17" t="str">
        <f>IF(OR(ISERROR(GETPIVOTDATA("Cover",'Cover PivotTable'!$A$4,"Site",$A27,"Year",H$1,"Transect",$B27)),GETPIVOTDATA("Cover",'Cover PivotTable'!$A$4,"Site",$A27,"Year",H$1)=""), "",GETPIVOTDATA("Cover",'Cover PivotTable'!$A$4,"Site",$A27,"Year",H$1,"Transect",$B27))</f>
        <v/>
      </c>
      <c r="I27" s="17">
        <f>IF(OR(ISERROR(GETPIVOTDATA("Cover",'Cover PivotTable'!$A$4,"Site",$A27,"Year",I$1,"Transect",$B27)),GETPIVOTDATA("Cover",'Cover PivotTable'!$A$4,"Site",$A27,"Year",I$1)=""), "",GETPIVOTDATA("Cover",'Cover PivotTable'!$A$4,"Site",$A27,"Year",I$1,"Transect",$B27))</f>
        <v>3.5</v>
      </c>
      <c r="J27" s="17" t="str">
        <f>IF(OR(ISERROR(GETPIVOTDATA("Cover",'Cover PivotTable'!$A$4,"Site",$A27,"Year",J$1,"Transect",$B27)),GETPIVOTDATA("Cover",'Cover PivotTable'!$A$4,"Site",$A27,"Year",J$1)=""), "",GETPIVOTDATA("Cover",'Cover PivotTable'!$A$4,"Site",$A27,"Year",J$1,"Transect",$B27))</f>
        <v/>
      </c>
      <c r="K27" s="17" t="str">
        <f>IF(OR(ISERROR(GETPIVOTDATA("Cover",'Cover PivotTable'!$A$4,"Site",$A27,"Year",K$1,"Transect",$B27)),GETPIVOTDATA("Cover",'Cover PivotTable'!$A$4,"Site",$A27,"Year",K$1)=""), "",GETPIVOTDATA("Cover",'Cover PivotTable'!$A$4,"Site",$A27,"Year",K$1,"Transect",$B27))</f>
        <v/>
      </c>
      <c r="L27" s="17">
        <f>IF(OR(ISERROR(GETPIVOTDATA("Cover",'Cover PivotTable'!$A$4,"Site",$A27,"Year",L$1,"Transect",$B27)),GETPIVOTDATA("Cover",'Cover PivotTable'!$A$4,"Site",$A27,"Year",L$1)=""), "",GETPIVOTDATA("Cover",'Cover PivotTable'!$A$4,"Site",$A27,"Year",L$1,"Transect",$B27))</f>
        <v>6</v>
      </c>
      <c r="M27" s="17" t="str">
        <f>IF(OR(ISERROR(GETPIVOTDATA("Cover",'Cover PivotTable'!$A$4,"Site",$A27,"Year",M$1,"Transect",$B27)),GETPIVOTDATA("Cover",'Cover PivotTable'!$A$4,"Site",$A27,"Year",M$1)=""), "",GETPIVOTDATA("Cover",'Cover PivotTable'!$A$4,"Site",$A27,"Year",M$1,"Transect",$B27))</f>
        <v/>
      </c>
      <c r="N27" s="17">
        <f>IF(OR(ISERROR(GETPIVOTDATA("Cover",'Cover PivotTable'!$A$4,"Site",$A27,"Year",N$1,"Transect",$B27)),GETPIVOTDATA("Cover",'Cover PivotTable'!$A$4,"Site",$A27,"Year",N$1)=""), "",GETPIVOTDATA("Cover",'Cover PivotTable'!$A$4,"Site",$A27,"Year",N$1,"Transect",$B27))</f>
        <v>3</v>
      </c>
      <c r="O27" s="17">
        <f>IF(OR(ISERROR(GETPIVOTDATA("Cover",'Cover PivotTable'!$A$4,"Site",$A27,"Year",O$1,"Transect",$B27)),GETPIVOTDATA("Cover",'Cover PivotTable'!$A$4,"Site",$A27,"Year",O$1)=""), "",GETPIVOTDATA("Cover",'Cover PivotTable'!$A$4,"Site",$A27,"Year",O$1,"Transect",$B27))</f>
        <v>6.5</v>
      </c>
      <c r="P27" s="17">
        <f>IF(OR(ISERROR(GETPIVOTDATA("Cover",'Cover PivotTable'!$A$4,"Site",$A27,"Year",P$1,"Transect",$B27)),GETPIVOTDATA("Cover",'Cover PivotTable'!$A$4,"Site",$A27,"Year",P$1)=""), "",GETPIVOTDATA("Cover",'Cover PivotTable'!$A$4,"Site",$A27,"Year",P$1,"Transect",$B27))</f>
        <v>9.5</v>
      </c>
    </row>
    <row r="28" spans="1:16" x14ac:dyDescent="0.35">
      <c r="A28" t="s">
        <v>9</v>
      </c>
      <c r="B28">
        <v>4.7</v>
      </c>
      <c r="C28" s="17">
        <f>IF(OR(ISERROR(GETPIVOTDATA("Cover",'Cover PivotTable'!$A$4,"Site",$A28,"Year",C$1,"Transect",$B28)),GETPIVOTDATA("Cover",'Cover PivotTable'!$A$4,"Site",$A28,"Year",C$1)=""), "",GETPIVOTDATA("Cover",'Cover PivotTable'!$A$4,"Site",$A28,"Year",C$1,"Transect",$B28))</f>
        <v>0</v>
      </c>
      <c r="D28" s="17" t="str">
        <f>IF(OR(ISERROR(GETPIVOTDATA("Cover",'Cover PivotTable'!$A$4,"Site",$A28,"Year",D$1,"Transect",$B28)),GETPIVOTDATA("Cover",'Cover PivotTable'!$A$4,"Site",$A28,"Year",D$1)=""), "",GETPIVOTDATA("Cover",'Cover PivotTable'!$A$4,"Site",$A28,"Year",D$1,"Transect",$B28))</f>
        <v/>
      </c>
      <c r="E28" s="17" t="str">
        <f>IF(OR(ISERROR(GETPIVOTDATA("Cover",'Cover PivotTable'!$A$4,"Site",$A28,"Year",E$1,"Transect",$B28)),GETPIVOTDATA("Cover",'Cover PivotTable'!$A$4,"Site",$A28,"Year",E$1)=""), "",GETPIVOTDATA("Cover",'Cover PivotTable'!$A$4,"Site",$A28,"Year",E$1,"Transect",$B28))</f>
        <v/>
      </c>
      <c r="F28" s="17" t="str">
        <f>IF(OR(ISERROR(GETPIVOTDATA("Cover",'Cover PivotTable'!$A$4,"Site",$A28,"Year",F$1,"Transect",$B28)),GETPIVOTDATA("Cover",'Cover PivotTable'!$A$4,"Site",$A28,"Year",F$1)=""), "",GETPIVOTDATA("Cover",'Cover PivotTable'!$A$4,"Site",$A28,"Year",F$1,"Transect",$B28))</f>
        <v/>
      </c>
      <c r="G28" s="17" t="str">
        <f>IF(OR(ISERROR(GETPIVOTDATA("Cover",'Cover PivotTable'!$A$4,"Site",$A28,"Year",G$1,"Transect",$B28)),GETPIVOTDATA("Cover",'Cover PivotTable'!$A$4,"Site",$A28,"Year",G$1)=""), "",GETPIVOTDATA("Cover",'Cover PivotTable'!$A$4,"Site",$A28,"Year",G$1,"Transect",$B28))</f>
        <v/>
      </c>
      <c r="H28" s="17" t="str">
        <f>IF(OR(ISERROR(GETPIVOTDATA("Cover",'Cover PivotTable'!$A$4,"Site",$A28,"Year",H$1,"Transect",$B28)),GETPIVOTDATA("Cover",'Cover PivotTable'!$A$4,"Site",$A28,"Year",H$1)=""), "",GETPIVOTDATA("Cover",'Cover PivotTable'!$A$4,"Site",$A28,"Year",H$1,"Transect",$B28))</f>
        <v/>
      </c>
      <c r="I28" s="17">
        <f>IF(OR(ISERROR(GETPIVOTDATA("Cover",'Cover PivotTable'!$A$4,"Site",$A28,"Year",I$1,"Transect",$B28)),GETPIVOTDATA("Cover",'Cover PivotTable'!$A$4,"Site",$A28,"Year",I$1)=""), "",GETPIVOTDATA("Cover",'Cover PivotTable'!$A$4,"Site",$A28,"Year",I$1,"Transect",$B28))</f>
        <v>2.5</v>
      </c>
      <c r="J28" s="17" t="str">
        <f>IF(OR(ISERROR(GETPIVOTDATA("Cover",'Cover PivotTable'!$A$4,"Site",$A28,"Year",J$1,"Transect",$B28)),GETPIVOTDATA("Cover",'Cover PivotTable'!$A$4,"Site",$A28,"Year",J$1)=""), "",GETPIVOTDATA("Cover",'Cover PivotTable'!$A$4,"Site",$A28,"Year",J$1,"Transect",$B28))</f>
        <v/>
      </c>
      <c r="K28" s="17" t="str">
        <f>IF(OR(ISERROR(GETPIVOTDATA("Cover",'Cover PivotTable'!$A$4,"Site",$A28,"Year",K$1,"Transect",$B28)),GETPIVOTDATA("Cover",'Cover PivotTable'!$A$4,"Site",$A28,"Year",K$1)=""), "",GETPIVOTDATA("Cover",'Cover PivotTable'!$A$4,"Site",$A28,"Year",K$1,"Transect",$B28))</f>
        <v/>
      </c>
      <c r="L28" s="17">
        <f>IF(OR(ISERROR(GETPIVOTDATA("Cover",'Cover PivotTable'!$A$4,"Site",$A28,"Year",L$1,"Transect",$B28)),GETPIVOTDATA("Cover",'Cover PivotTable'!$A$4,"Site",$A28,"Year",L$1)=""), "",GETPIVOTDATA("Cover",'Cover PivotTable'!$A$4,"Site",$A28,"Year",L$1,"Transect",$B28))</f>
        <v>4.5</v>
      </c>
      <c r="M28" s="17" t="str">
        <f>IF(OR(ISERROR(GETPIVOTDATA("Cover",'Cover PivotTable'!$A$4,"Site",$A28,"Year",M$1,"Transect",$B28)),GETPIVOTDATA("Cover",'Cover PivotTable'!$A$4,"Site",$A28,"Year",M$1)=""), "",GETPIVOTDATA("Cover",'Cover PivotTable'!$A$4,"Site",$A28,"Year",M$1,"Transect",$B28))</f>
        <v/>
      </c>
      <c r="N28" s="17">
        <f>IF(OR(ISERROR(GETPIVOTDATA("Cover",'Cover PivotTable'!$A$4,"Site",$A28,"Year",N$1,"Transect",$B28)),GETPIVOTDATA("Cover",'Cover PivotTable'!$A$4,"Site",$A28,"Year",N$1)=""), "",GETPIVOTDATA("Cover",'Cover PivotTable'!$A$4,"Site",$A28,"Year",N$1,"Transect",$B28))</f>
        <v>3.5</v>
      </c>
      <c r="O28" s="17">
        <f>IF(OR(ISERROR(GETPIVOTDATA("Cover",'Cover PivotTable'!$A$4,"Site",$A28,"Year",O$1,"Transect",$B28)),GETPIVOTDATA("Cover",'Cover PivotTable'!$A$4,"Site",$A28,"Year",O$1)=""), "",GETPIVOTDATA("Cover",'Cover PivotTable'!$A$4,"Site",$A28,"Year",O$1,"Transect",$B28))</f>
        <v>5</v>
      </c>
      <c r="P28" s="17">
        <f>IF(OR(ISERROR(GETPIVOTDATA("Cover",'Cover PivotTable'!$A$4,"Site",$A28,"Year",P$1,"Transect",$B28)),GETPIVOTDATA("Cover",'Cover PivotTable'!$A$4,"Site",$A28,"Year",P$1)=""), "",GETPIVOTDATA("Cover",'Cover PivotTable'!$A$4,"Site",$A28,"Year",P$1,"Transect",$B28))</f>
        <v>8.5</v>
      </c>
    </row>
    <row r="29" spans="1:16" x14ac:dyDescent="0.35">
      <c r="A29" t="s">
        <v>9</v>
      </c>
      <c r="B29">
        <v>5.0999999999999996</v>
      </c>
      <c r="C29" s="17">
        <f>IF(OR(ISERROR(GETPIVOTDATA("Cover",'Cover PivotTable'!$A$4,"Site",$A29,"Year",C$1,"Transect",$B29)),GETPIVOTDATA("Cover",'Cover PivotTable'!$A$4,"Site",$A29,"Year",C$1)=""), "",GETPIVOTDATA("Cover",'Cover PivotTable'!$A$4,"Site",$A29,"Year",C$1,"Transect",$B29))</f>
        <v>7.5</v>
      </c>
      <c r="D29" s="17" t="str">
        <f>IF(OR(ISERROR(GETPIVOTDATA("Cover",'Cover PivotTable'!$A$4,"Site",$A29,"Year",D$1,"Transect",$B29)),GETPIVOTDATA("Cover",'Cover PivotTable'!$A$4,"Site",$A29,"Year",D$1)=""), "",GETPIVOTDATA("Cover",'Cover PivotTable'!$A$4,"Site",$A29,"Year",D$1,"Transect",$B29))</f>
        <v/>
      </c>
      <c r="E29" s="17" t="str">
        <f>IF(OR(ISERROR(GETPIVOTDATA("Cover",'Cover PivotTable'!$A$4,"Site",$A29,"Year",E$1,"Transect",$B29)),GETPIVOTDATA("Cover",'Cover PivotTable'!$A$4,"Site",$A29,"Year",E$1)=""), "",GETPIVOTDATA("Cover",'Cover PivotTable'!$A$4,"Site",$A29,"Year",E$1,"Transect",$B29))</f>
        <v/>
      </c>
      <c r="F29" s="17" t="str">
        <f>IF(OR(ISERROR(GETPIVOTDATA("Cover",'Cover PivotTable'!$A$4,"Site",$A29,"Year",F$1,"Transect",$B29)),GETPIVOTDATA("Cover",'Cover PivotTable'!$A$4,"Site",$A29,"Year",F$1)=""), "",GETPIVOTDATA("Cover",'Cover PivotTable'!$A$4,"Site",$A29,"Year",F$1,"Transect",$B29))</f>
        <v/>
      </c>
      <c r="G29" s="17" t="str">
        <f>IF(OR(ISERROR(GETPIVOTDATA("Cover",'Cover PivotTable'!$A$4,"Site",$A29,"Year",G$1,"Transect",$B29)),GETPIVOTDATA("Cover",'Cover PivotTable'!$A$4,"Site",$A29,"Year",G$1)=""), "",GETPIVOTDATA("Cover",'Cover PivotTable'!$A$4,"Site",$A29,"Year",G$1,"Transect",$B29))</f>
        <v/>
      </c>
      <c r="H29" s="17" t="str">
        <f>IF(OR(ISERROR(GETPIVOTDATA("Cover",'Cover PivotTable'!$A$4,"Site",$A29,"Year",H$1,"Transect",$B29)),GETPIVOTDATA("Cover",'Cover PivotTable'!$A$4,"Site",$A29,"Year",H$1)=""), "",GETPIVOTDATA("Cover",'Cover PivotTable'!$A$4,"Site",$A29,"Year",H$1,"Transect",$B29))</f>
        <v/>
      </c>
      <c r="I29" s="17">
        <f>IF(OR(ISERROR(GETPIVOTDATA("Cover",'Cover PivotTable'!$A$4,"Site",$A29,"Year",I$1,"Transect",$B29)),GETPIVOTDATA("Cover",'Cover PivotTable'!$A$4,"Site",$A29,"Year",I$1)=""), "",GETPIVOTDATA("Cover",'Cover PivotTable'!$A$4,"Site",$A29,"Year",I$1,"Transect",$B29))</f>
        <v>5</v>
      </c>
      <c r="J29" s="17" t="str">
        <f>IF(OR(ISERROR(GETPIVOTDATA("Cover",'Cover PivotTable'!$A$4,"Site",$A29,"Year",J$1,"Transect",$B29)),GETPIVOTDATA("Cover",'Cover PivotTable'!$A$4,"Site",$A29,"Year",J$1)=""), "",GETPIVOTDATA("Cover",'Cover PivotTable'!$A$4,"Site",$A29,"Year",J$1,"Transect",$B29))</f>
        <v/>
      </c>
      <c r="K29" s="17" t="str">
        <f>IF(OR(ISERROR(GETPIVOTDATA("Cover",'Cover PivotTable'!$A$4,"Site",$A29,"Year",K$1,"Transect",$B29)),GETPIVOTDATA("Cover",'Cover PivotTable'!$A$4,"Site",$A29,"Year",K$1)=""), "",GETPIVOTDATA("Cover",'Cover PivotTable'!$A$4,"Site",$A29,"Year",K$1,"Transect",$B29))</f>
        <v/>
      </c>
      <c r="L29" s="17">
        <f>IF(OR(ISERROR(GETPIVOTDATA("Cover",'Cover PivotTable'!$A$4,"Site",$A29,"Year",L$1,"Transect",$B29)),GETPIVOTDATA("Cover",'Cover PivotTable'!$A$4,"Site",$A29,"Year",L$1)=""), "",GETPIVOTDATA("Cover",'Cover PivotTable'!$A$4,"Site",$A29,"Year",L$1,"Transect",$B29))</f>
        <v>11.917098445595855</v>
      </c>
      <c r="M29" s="17" t="str">
        <f>IF(OR(ISERROR(GETPIVOTDATA("Cover",'Cover PivotTable'!$A$4,"Site",$A29,"Year",M$1,"Transect",$B29)),GETPIVOTDATA("Cover",'Cover PivotTable'!$A$4,"Site",$A29,"Year",M$1)=""), "",GETPIVOTDATA("Cover",'Cover PivotTable'!$A$4,"Site",$A29,"Year",M$1,"Transect",$B29))</f>
        <v/>
      </c>
      <c r="N29" s="17">
        <f>IF(OR(ISERROR(GETPIVOTDATA("Cover",'Cover PivotTable'!$A$4,"Site",$A29,"Year",N$1,"Transect",$B29)),GETPIVOTDATA("Cover",'Cover PivotTable'!$A$4,"Site",$A29,"Year",N$1)=""), "",GETPIVOTDATA("Cover",'Cover PivotTable'!$A$4,"Site",$A29,"Year",N$1,"Transect",$B29))</f>
        <v>3</v>
      </c>
      <c r="O29" s="17">
        <f>IF(OR(ISERROR(GETPIVOTDATA("Cover",'Cover PivotTable'!$A$4,"Site",$A29,"Year",O$1,"Transect",$B29)),GETPIVOTDATA("Cover",'Cover PivotTable'!$A$4,"Site",$A29,"Year",O$1)=""), "",GETPIVOTDATA("Cover",'Cover PivotTable'!$A$4,"Site",$A29,"Year",O$1,"Transect",$B29))</f>
        <v>6</v>
      </c>
      <c r="P29" s="17">
        <f>IF(OR(ISERROR(GETPIVOTDATA("Cover",'Cover PivotTable'!$A$4,"Site",$A29,"Year",P$1,"Transect",$B29)),GETPIVOTDATA("Cover",'Cover PivotTable'!$A$4,"Site",$A29,"Year",P$1)=""), "",GETPIVOTDATA("Cover",'Cover PivotTable'!$A$4,"Site",$A29,"Year",P$1,"Transect",$B29))</f>
        <v>14.5</v>
      </c>
    </row>
    <row r="30" spans="1:16" x14ac:dyDescent="0.35">
      <c r="A30" t="s">
        <v>9</v>
      </c>
      <c r="B30">
        <v>5.2</v>
      </c>
      <c r="C30" s="17">
        <f>IF(OR(ISERROR(GETPIVOTDATA("Cover",'Cover PivotTable'!$A$4,"Site",$A30,"Year",C$1,"Transect",$B30)),GETPIVOTDATA("Cover",'Cover PivotTable'!$A$4,"Site",$A30,"Year",C$1)=""), "",GETPIVOTDATA("Cover",'Cover PivotTable'!$A$4,"Site",$A30,"Year",C$1,"Transect",$B30))</f>
        <v>1.5</v>
      </c>
      <c r="D30" s="17" t="str">
        <f>IF(OR(ISERROR(GETPIVOTDATA("Cover",'Cover PivotTable'!$A$4,"Site",$A30,"Year",D$1,"Transect",$B30)),GETPIVOTDATA("Cover",'Cover PivotTable'!$A$4,"Site",$A30,"Year",D$1)=""), "",GETPIVOTDATA("Cover",'Cover PivotTable'!$A$4,"Site",$A30,"Year",D$1,"Transect",$B30))</f>
        <v/>
      </c>
      <c r="E30" s="17" t="str">
        <f>IF(OR(ISERROR(GETPIVOTDATA("Cover",'Cover PivotTable'!$A$4,"Site",$A30,"Year",E$1,"Transect",$B30)),GETPIVOTDATA("Cover",'Cover PivotTable'!$A$4,"Site",$A30,"Year",E$1)=""), "",GETPIVOTDATA("Cover",'Cover PivotTable'!$A$4,"Site",$A30,"Year",E$1,"Transect",$B30))</f>
        <v/>
      </c>
      <c r="F30" s="17" t="str">
        <f>IF(OR(ISERROR(GETPIVOTDATA("Cover",'Cover PivotTable'!$A$4,"Site",$A30,"Year",F$1,"Transect",$B30)),GETPIVOTDATA("Cover",'Cover PivotTable'!$A$4,"Site",$A30,"Year",F$1)=""), "",GETPIVOTDATA("Cover",'Cover PivotTable'!$A$4,"Site",$A30,"Year",F$1,"Transect",$B30))</f>
        <v/>
      </c>
      <c r="G30" s="17" t="str">
        <f>IF(OR(ISERROR(GETPIVOTDATA("Cover",'Cover PivotTable'!$A$4,"Site",$A30,"Year",G$1,"Transect",$B30)),GETPIVOTDATA("Cover",'Cover PivotTable'!$A$4,"Site",$A30,"Year",G$1)=""), "",GETPIVOTDATA("Cover",'Cover PivotTable'!$A$4,"Site",$A30,"Year",G$1,"Transect",$B30))</f>
        <v/>
      </c>
      <c r="H30" s="17" t="str">
        <f>IF(OR(ISERROR(GETPIVOTDATA("Cover",'Cover PivotTable'!$A$4,"Site",$A30,"Year",H$1,"Transect",$B30)),GETPIVOTDATA("Cover",'Cover PivotTable'!$A$4,"Site",$A30,"Year",H$1)=""), "",GETPIVOTDATA("Cover",'Cover PivotTable'!$A$4,"Site",$A30,"Year",H$1,"Transect",$B30))</f>
        <v/>
      </c>
      <c r="I30" s="17">
        <f>IF(OR(ISERROR(GETPIVOTDATA("Cover",'Cover PivotTable'!$A$4,"Site",$A30,"Year",I$1,"Transect",$B30)),GETPIVOTDATA("Cover",'Cover PivotTable'!$A$4,"Site",$A30,"Year",I$1)=""), "",GETPIVOTDATA("Cover",'Cover PivotTable'!$A$4,"Site",$A30,"Year",I$1,"Transect",$B30))</f>
        <v>1.5</v>
      </c>
      <c r="J30" s="17" t="str">
        <f>IF(OR(ISERROR(GETPIVOTDATA("Cover",'Cover PivotTable'!$A$4,"Site",$A30,"Year",J$1,"Transect",$B30)),GETPIVOTDATA("Cover",'Cover PivotTable'!$A$4,"Site",$A30,"Year",J$1)=""), "",GETPIVOTDATA("Cover",'Cover PivotTable'!$A$4,"Site",$A30,"Year",J$1,"Transect",$B30))</f>
        <v/>
      </c>
      <c r="K30" s="17" t="str">
        <f>IF(OR(ISERROR(GETPIVOTDATA("Cover",'Cover PivotTable'!$A$4,"Site",$A30,"Year",K$1,"Transect",$B30)),GETPIVOTDATA("Cover",'Cover PivotTable'!$A$4,"Site",$A30,"Year",K$1)=""), "",GETPIVOTDATA("Cover",'Cover PivotTable'!$A$4,"Site",$A30,"Year",K$1,"Transect",$B30))</f>
        <v/>
      </c>
      <c r="L30" s="17">
        <f>IF(OR(ISERROR(GETPIVOTDATA("Cover",'Cover PivotTable'!$A$4,"Site",$A30,"Year",L$1,"Transect",$B30)),GETPIVOTDATA("Cover",'Cover PivotTable'!$A$4,"Site",$A30,"Year",L$1)=""), "",GETPIVOTDATA("Cover",'Cover PivotTable'!$A$4,"Site",$A30,"Year",L$1,"Transect",$B30))</f>
        <v>2.0202020202020203</v>
      </c>
      <c r="M30" s="17" t="str">
        <f>IF(OR(ISERROR(GETPIVOTDATA("Cover",'Cover PivotTable'!$A$4,"Site",$A30,"Year",M$1,"Transect",$B30)),GETPIVOTDATA("Cover",'Cover PivotTable'!$A$4,"Site",$A30,"Year",M$1)=""), "",GETPIVOTDATA("Cover",'Cover PivotTable'!$A$4,"Site",$A30,"Year",M$1,"Transect",$B30))</f>
        <v/>
      </c>
      <c r="N30" s="17">
        <f>IF(OR(ISERROR(GETPIVOTDATA("Cover",'Cover PivotTable'!$A$4,"Site",$A30,"Year",N$1,"Transect",$B30)),GETPIVOTDATA("Cover",'Cover PivotTable'!$A$4,"Site",$A30,"Year",N$1)=""), "",GETPIVOTDATA("Cover",'Cover PivotTable'!$A$4,"Site",$A30,"Year",N$1,"Transect",$B30))</f>
        <v>0.5</v>
      </c>
      <c r="O30" s="17">
        <f>IF(OR(ISERROR(GETPIVOTDATA("Cover",'Cover PivotTable'!$A$4,"Site",$A30,"Year",O$1,"Transect",$B30)),GETPIVOTDATA("Cover",'Cover PivotTable'!$A$4,"Site",$A30,"Year",O$1)=""), "",GETPIVOTDATA("Cover",'Cover PivotTable'!$A$4,"Site",$A30,"Year",O$1,"Transect",$B30))</f>
        <v>2</v>
      </c>
      <c r="P30" s="17">
        <f>IF(OR(ISERROR(GETPIVOTDATA("Cover",'Cover PivotTable'!$A$4,"Site",$A30,"Year",P$1,"Transect",$B30)),GETPIVOTDATA("Cover",'Cover PivotTable'!$A$4,"Site",$A30,"Year",P$1)=""), "",GETPIVOTDATA("Cover",'Cover PivotTable'!$A$4,"Site",$A30,"Year",P$1,"Transect",$B30))</f>
        <v>3</v>
      </c>
    </row>
    <row r="31" spans="1:16" x14ac:dyDescent="0.35">
      <c r="A31" t="s">
        <v>9</v>
      </c>
      <c r="B31">
        <v>5.3</v>
      </c>
      <c r="C31" s="17">
        <f>IF(OR(ISERROR(GETPIVOTDATA("Cover",'Cover PivotTable'!$A$4,"Site",$A31,"Year",C$1,"Transect",$B31)),GETPIVOTDATA("Cover",'Cover PivotTable'!$A$4,"Site",$A31,"Year",C$1)=""), "",GETPIVOTDATA("Cover",'Cover PivotTable'!$A$4,"Site",$A31,"Year",C$1,"Transect",$B31))</f>
        <v>4.5</v>
      </c>
      <c r="D31" s="17" t="str">
        <f>IF(OR(ISERROR(GETPIVOTDATA("Cover",'Cover PivotTable'!$A$4,"Site",$A31,"Year",D$1,"Transect",$B31)),GETPIVOTDATA("Cover",'Cover PivotTable'!$A$4,"Site",$A31,"Year",D$1)=""), "",GETPIVOTDATA("Cover",'Cover PivotTable'!$A$4,"Site",$A31,"Year",D$1,"Transect",$B31))</f>
        <v/>
      </c>
      <c r="E31" s="17" t="str">
        <f>IF(OR(ISERROR(GETPIVOTDATA("Cover",'Cover PivotTable'!$A$4,"Site",$A31,"Year",E$1,"Transect",$B31)),GETPIVOTDATA("Cover",'Cover PivotTable'!$A$4,"Site",$A31,"Year",E$1)=""), "",GETPIVOTDATA("Cover",'Cover PivotTable'!$A$4,"Site",$A31,"Year",E$1,"Transect",$B31))</f>
        <v/>
      </c>
      <c r="F31" s="17" t="str">
        <f>IF(OR(ISERROR(GETPIVOTDATA("Cover",'Cover PivotTable'!$A$4,"Site",$A31,"Year",F$1,"Transect",$B31)),GETPIVOTDATA("Cover",'Cover PivotTable'!$A$4,"Site",$A31,"Year",F$1)=""), "",GETPIVOTDATA("Cover",'Cover PivotTable'!$A$4,"Site",$A31,"Year",F$1,"Transect",$B31))</f>
        <v/>
      </c>
      <c r="G31" s="17" t="str">
        <f>IF(OR(ISERROR(GETPIVOTDATA("Cover",'Cover PivotTable'!$A$4,"Site",$A31,"Year",G$1,"Transect",$B31)),GETPIVOTDATA("Cover",'Cover PivotTable'!$A$4,"Site",$A31,"Year",G$1)=""), "",GETPIVOTDATA("Cover",'Cover PivotTable'!$A$4,"Site",$A31,"Year",G$1,"Transect",$B31))</f>
        <v/>
      </c>
      <c r="H31" s="17" t="str">
        <f>IF(OR(ISERROR(GETPIVOTDATA("Cover",'Cover PivotTable'!$A$4,"Site",$A31,"Year",H$1,"Transect",$B31)),GETPIVOTDATA("Cover",'Cover PivotTable'!$A$4,"Site",$A31,"Year",H$1)=""), "",GETPIVOTDATA("Cover",'Cover PivotTable'!$A$4,"Site",$A31,"Year",H$1,"Transect",$B31))</f>
        <v/>
      </c>
      <c r="I31" s="17">
        <f>IF(OR(ISERROR(GETPIVOTDATA("Cover",'Cover PivotTable'!$A$4,"Site",$A31,"Year",I$1,"Transect",$B31)),GETPIVOTDATA("Cover",'Cover PivotTable'!$A$4,"Site",$A31,"Year",I$1)=""), "",GETPIVOTDATA("Cover",'Cover PivotTable'!$A$4,"Site",$A31,"Year",I$1,"Transect",$B31))</f>
        <v>5</v>
      </c>
      <c r="J31" s="17" t="str">
        <f>IF(OR(ISERROR(GETPIVOTDATA("Cover",'Cover PivotTable'!$A$4,"Site",$A31,"Year",J$1,"Transect",$B31)),GETPIVOTDATA("Cover",'Cover PivotTable'!$A$4,"Site",$A31,"Year",J$1)=""), "",GETPIVOTDATA("Cover",'Cover PivotTable'!$A$4,"Site",$A31,"Year",J$1,"Transect",$B31))</f>
        <v/>
      </c>
      <c r="K31" s="17" t="str">
        <f>IF(OR(ISERROR(GETPIVOTDATA("Cover",'Cover PivotTable'!$A$4,"Site",$A31,"Year",K$1,"Transect",$B31)),GETPIVOTDATA("Cover",'Cover PivotTable'!$A$4,"Site",$A31,"Year",K$1)=""), "",GETPIVOTDATA("Cover",'Cover PivotTable'!$A$4,"Site",$A31,"Year",K$1,"Transect",$B31))</f>
        <v/>
      </c>
      <c r="L31" s="17">
        <f>IF(OR(ISERROR(GETPIVOTDATA("Cover",'Cover PivotTable'!$A$4,"Site",$A31,"Year",L$1,"Transect",$B31)),GETPIVOTDATA("Cover",'Cover PivotTable'!$A$4,"Site",$A31,"Year",L$1)=""), "",GETPIVOTDATA("Cover",'Cover PivotTable'!$A$4,"Site",$A31,"Year",L$1,"Transect",$B31))</f>
        <v>5.0505050505050502</v>
      </c>
      <c r="M31" s="17" t="str">
        <f>IF(OR(ISERROR(GETPIVOTDATA("Cover",'Cover PivotTable'!$A$4,"Site",$A31,"Year",M$1,"Transect",$B31)),GETPIVOTDATA("Cover",'Cover PivotTable'!$A$4,"Site",$A31,"Year",M$1)=""), "",GETPIVOTDATA("Cover",'Cover PivotTable'!$A$4,"Site",$A31,"Year",M$1,"Transect",$B31))</f>
        <v/>
      </c>
      <c r="N31" s="17">
        <f>IF(OR(ISERROR(GETPIVOTDATA("Cover",'Cover PivotTable'!$A$4,"Site",$A31,"Year",N$1,"Transect",$B31)),GETPIVOTDATA("Cover",'Cover PivotTable'!$A$4,"Site",$A31,"Year",N$1)=""), "",GETPIVOTDATA("Cover",'Cover PivotTable'!$A$4,"Site",$A31,"Year",N$1,"Transect",$B31))</f>
        <v>2.5</v>
      </c>
      <c r="O31" s="17">
        <f>IF(OR(ISERROR(GETPIVOTDATA("Cover",'Cover PivotTable'!$A$4,"Site",$A31,"Year",O$1,"Transect",$B31)),GETPIVOTDATA("Cover",'Cover PivotTable'!$A$4,"Site",$A31,"Year",O$1)=""), "",GETPIVOTDATA("Cover",'Cover PivotTable'!$A$4,"Site",$A31,"Year",O$1,"Transect",$B31))</f>
        <v>7</v>
      </c>
      <c r="P31" s="17">
        <f>IF(OR(ISERROR(GETPIVOTDATA("Cover",'Cover PivotTable'!$A$4,"Site",$A31,"Year",P$1,"Transect",$B31)),GETPIVOTDATA("Cover",'Cover PivotTable'!$A$4,"Site",$A31,"Year",P$1)=""), "",GETPIVOTDATA("Cover",'Cover PivotTable'!$A$4,"Site",$A31,"Year",P$1,"Transect",$B31))</f>
        <v>10.5</v>
      </c>
    </row>
    <row r="32" spans="1:16" x14ac:dyDescent="0.35">
      <c r="A32" t="s">
        <v>9</v>
      </c>
      <c r="B32">
        <v>5.4</v>
      </c>
      <c r="C32" s="17">
        <f>IF(OR(ISERROR(GETPIVOTDATA("Cover",'Cover PivotTable'!$A$4,"Site",$A32,"Year",C$1,"Transect",$B32)),GETPIVOTDATA("Cover",'Cover PivotTable'!$A$4,"Site",$A32,"Year",C$1)=""), "",GETPIVOTDATA("Cover",'Cover PivotTable'!$A$4,"Site",$A32,"Year",C$1,"Transect",$B32))</f>
        <v>0</v>
      </c>
      <c r="D32" s="17" t="str">
        <f>IF(OR(ISERROR(GETPIVOTDATA("Cover",'Cover PivotTable'!$A$4,"Site",$A32,"Year",D$1,"Transect",$B32)),GETPIVOTDATA("Cover",'Cover PivotTable'!$A$4,"Site",$A32,"Year",D$1)=""), "",GETPIVOTDATA("Cover",'Cover PivotTable'!$A$4,"Site",$A32,"Year",D$1,"Transect",$B32))</f>
        <v/>
      </c>
      <c r="E32" s="17" t="str">
        <f>IF(OR(ISERROR(GETPIVOTDATA("Cover",'Cover PivotTable'!$A$4,"Site",$A32,"Year",E$1,"Transect",$B32)),GETPIVOTDATA("Cover",'Cover PivotTable'!$A$4,"Site",$A32,"Year",E$1)=""), "",GETPIVOTDATA("Cover",'Cover PivotTable'!$A$4,"Site",$A32,"Year",E$1,"Transect",$B32))</f>
        <v/>
      </c>
      <c r="F32" s="17" t="str">
        <f>IF(OR(ISERROR(GETPIVOTDATA("Cover",'Cover PivotTable'!$A$4,"Site",$A32,"Year",F$1,"Transect",$B32)),GETPIVOTDATA("Cover",'Cover PivotTable'!$A$4,"Site",$A32,"Year",F$1)=""), "",GETPIVOTDATA("Cover",'Cover PivotTable'!$A$4,"Site",$A32,"Year",F$1,"Transect",$B32))</f>
        <v/>
      </c>
      <c r="G32" s="17" t="str">
        <f>IF(OR(ISERROR(GETPIVOTDATA("Cover",'Cover PivotTable'!$A$4,"Site",$A32,"Year",G$1,"Transect",$B32)),GETPIVOTDATA("Cover",'Cover PivotTable'!$A$4,"Site",$A32,"Year",G$1)=""), "",GETPIVOTDATA("Cover",'Cover PivotTable'!$A$4,"Site",$A32,"Year",G$1,"Transect",$B32))</f>
        <v/>
      </c>
      <c r="H32" s="17" t="str">
        <f>IF(OR(ISERROR(GETPIVOTDATA("Cover",'Cover PivotTable'!$A$4,"Site",$A32,"Year",H$1,"Transect",$B32)),GETPIVOTDATA("Cover",'Cover PivotTable'!$A$4,"Site",$A32,"Year",H$1)=""), "",GETPIVOTDATA("Cover",'Cover PivotTable'!$A$4,"Site",$A32,"Year",H$1,"Transect",$B32))</f>
        <v/>
      </c>
      <c r="I32" s="17">
        <f>IF(OR(ISERROR(GETPIVOTDATA("Cover",'Cover PivotTable'!$A$4,"Site",$A32,"Year",I$1,"Transect",$B32)),GETPIVOTDATA("Cover",'Cover PivotTable'!$A$4,"Site",$A32,"Year",I$1)=""), "",GETPIVOTDATA("Cover",'Cover PivotTable'!$A$4,"Site",$A32,"Year",I$1,"Transect",$B32))</f>
        <v>0</v>
      </c>
      <c r="J32" s="17" t="str">
        <f>IF(OR(ISERROR(GETPIVOTDATA("Cover",'Cover PivotTable'!$A$4,"Site",$A32,"Year",J$1,"Transect",$B32)),GETPIVOTDATA("Cover",'Cover PivotTable'!$A$4,"Site",$A32,"Year",J$1)=""), "",GETPIVOTDATA("Cover",'Cover PivotTable'!$A$4,"Site",$A32,"Year",J$1,"Transect",$B32))</f>
        <v/>
      </c>
      <c r="K32" s="17" t="str">
        <f>IF(OR(ISERROR(GETPIVOTDATA("Cover",'Cover PivotTable'!$A$4,"Site",$A32,"Year",K$1,"Transect",$B32)),GETPIVOTDATA("Cover",'Cover PivotTable'!$A$4,"Site",$A32,"Year",K$1)=""), "",GETPIVOTDATA("Cover",'Cover PivotTable'!$A$4,"Site",$A32,"Year",K$1,"Transect",$B32))</f>
        <v/>
      </c>
      <c r="L32" s="17">
        <f>IF(OR(ISERROR(GETPIVOTDATA("Cover",'Cover PivotTable'!$A$4,"Site",$A32,"Year",L$1,"Transect",$B32)),GETPIVOTDATA("Cover",'Cover PivotTable'!$A$4,"Site",$A32,"Year",L$1)=""), "",GETPIVOTDATA("Cover",'Cover PivotTable'!$A$4,"Site",$A32,"Year",L$1,"Transect",$B32))</f>
        <v>0</v>
      </c>
      <c r="M32" s="17" t="str">
        <f>IF(OR(ISERROR(GETPIVOTDATA("Cover",'Cover PivotTable'!$A$4,"Site",$A32,"Year",M$1,"Transect",$B32)),GETPIVOTDATA("Cover",'Cover PivotTable'!$A$4,"Site",$A32,"Year",M$1)=""), "",GETPIVOTDATA("Cover",'Cover PivotTable'!$A$4,"Site",$A32,"Year",M$1,"Transect",$B32))</f>
        <v/>
      </c>
      <c r="N32" s="17">
        <f>IF(OR(ISERROR(GETPIVOTDATA("Cover",'Cover PivotTable'!$A$4,"Site",$A32,"Year",N$1,"Transect",$B32)),GETPIVOTDATA("Cover",'Cover PivotTable'!$A$4,"Site",$A32,"Year",N$1)=""), "",GETPIVOTDATA("Cover",'Cover PivotTable'!$A$4,"Site",$A32,"Year",N$1,"Transect",$B32))</f>
        <v>0</v>
      </c>
      <c r="O32" s="17">
        <f>IF(OR(ISERROR(GETPIVOTDATA("Cover",'Cover PivotTable'!$A$4,"Site",$A32,"Year",O$1,"Transect",$B32)),GETPIVOTDATA("Cover",'Cover PivotTable'!$A$4,"Site",$A32,"Year",O$1)=""), "",GETPIVOTDATA("Cover",'Cover PivotTable'!$A$4,"Site",$A32,"Year",O$1,"Transect",$B32))</f>
        <v>4.5</v>
      </c>
      <c r="P32" s="17">
        <f>IF(OR(ISERROR(GETPIVOTDATA("Cover",'Cover PivotTable'!$A$4,"Site",$A32,"Year",P$1,"Transect",$B32)),GETPIVOTDATA("Cover",'Cover PivotTable'!$A$4,"Site",$A32,"Year",P$1)=""), "",GETPIVOTDATA("Cover",'Cover PivotTable'!$A$4,"Site",$A32,"Year",P$1,"Transect",$B32))</f>
        <v>13.5</v>
      </c>
    </row>
    <row r="33" spans="1:16" x14ac:dyDescent="0.35">
      <c r="A33" t="s">
        <v>9</v>
      </c>
      <c r="B33">
        <v>5.5</v>
      </c>
      <c r="C33" s="17">
        <f>IF(OR(ISERROR(GETPIVOTDATA("Cover",'Cover PivotTable'!$A$4,"Site",$A33,"Year",C$1,"Transect",$B33)),GETPIVOTDATA("Cover",'Cover PivotTable'!$A$4,"Site",$A33,"Year",C$1)=""), "",GETPIVOTDATA("Cover",'Cover PivotTable'!$A$4,"Site",$A33,"Year",C$1,"Transect",$B33))</f>
        <v>2</v>
      </c>
      <c r="D33" s="17" t="str">
        <f>IF(OR(ISERROR(GETPIVOTDATA("Cover",'Cover PivotTable'!$A$4,"Site",$A33,"Year",D$1,"Transect",$B33)),GETPIVOTDATA("Cover",'Cover PivotTable'!$A$4,"Site",$A33,"Year",D$1)=""), "",GETPIVOTDATA("Cover",'Cover PivotTable'!$A$4,"Site",$A33,"Year",D$1,"Transect",$B33))</f>
        <v/>
      </c>
      <c r="E33" s="17" t="str">
        <f>IF(OR(ISERROR(GETPIVOTDATA("Cover",'Cover PivotTable'!$A$4,"Site",$A33,"Year",E$1,"Transect",$B33)),GETPIVOTDATA("Cover",'Cover PivotTable'!$A$4,"Site",$A33,"Year",E$1)=""), "",GETPIVOTDATA("Cover",'Cover PivotTable'!$A$4,"Site",$A33,"Year",E$1,"Transect",$B33))</f>
        <v/>
      </c>
      <c r="F33" s="17" t="str">
        <f>IF(OR(ISERROR(GETPIVOTDATA("Cover",'Cover PivotTable'!$A$4,"Site",$A33,"Year",F$1,"Transect",$B33)),GETPIVOTDATA("Cover",'Cover PivotTable'!$A$4,"Site",$A33,"Year",F$1)=""), "",GETPIVOTDATA("Cover",'Cover PivotTable'!$A$4,"Site",$A33,"Year",F$1,"Transect",$B33))</f>
        <v/>
      </c>
      <c r="G33" s="17" t="str">
        <f>IF(OR(ISERROR(GETPIVOTDATA("Cover",'Cover PivotTable'!$A$4,"Site",$A33,"Year",G$1,"Transect",$B33)),GETPIVOTDATA("Cover",'Cover PivotTable'!$A$4,"Site",$A33,"Year",G$1)=""), "",GETPIVOTDATA("Cover",'Cover PivotTable'!$A$4,"Site",$A33,"Year",G$1,"Transect",$B33))</f>
        <v/>
      </c>
      <c r="H33" s="17" t="str">
        <f>IF(OR(ISERROR(GETPIVOTDATA("Cover",'Cover PivotTable'!$A$4,"Site",$A33,"Year",H$1,"Transect",$B33)),GETPIVOTDATA("Cover",'Cover PivotTable'!$A$4,"Site",$A33,"Year",H$1)=""), "",GETPIVOTDATA("Cover",'Cover PivotTable'!$A$4,"Site",$A33,"Year",H$1,"Transect",$B33))</f>
        <v/>
      </c>
      <c r="I33" s="17">
        <f>IF(OR(ISERROR(GETPIVOTDATA("Cover",'Cover PivotTable'!$A$4,"Site",$A33,"Year",I$1,"Transect",$B33)),GETPIVOTDATA("Cover",'Cover PivotTable'!$A$4,"Site",$A33,"Year",I$1)=""), "",GETPIVOTDATA("Cover",'Cover PivotTable'!$A$4,"Site",$A33,"Year",I$1,"Transect",$B33))</f>
        <v>2</v>
      </c>
      <c r="J33" s="17" t="str">
        <f>IF(OR(ISERROR(GETPIVOTDATA("Cover",'Cover PivotTable'!$A$4,"Site",$A33,"Year",J$1,"Transect",$B33)),GETPIVOTDATA("Cover",'Cover PivotTable'!$A$4,"Site",$A33,"Year",J$1)=""), "",GETPIVOTDATA("Cover",'Cover PivotTable'!$A$4,"Site",$A33,"Year",J$1,"Transect",$B33))</f>
        <v/>
      </c>
      <c r="K33" s="17" t="str">
        <f>IF(OR(ISERROR(GETPIVOTDATA("Cover",'Cover PivotTable'!$A$4,"Site",$A33,"Year",K$1,"Transect",$B33)),GETPIVOTDATA("Cover",'Cover PivotTable'!$A$4,"Site",$A33,"Year",K$1)=""), "",GETPIVOTDATA("Cover",'Cover PivotTable'!$A$4,"Site",$A33,"Year",K$1,"Transect",$B33))</f>
        <v/>
      </c>
      <c r="L33" s="17">
        <f>IF(OR(ISERROR(GETPIVOTDATA("Cover",'Cover PivotTable'!$A$4,"Site",$A33,"Year",L$1,"Transect",$B33)),GETPIVOTDATA("Cover",'Cover PivotTable'!$A$4,"Site",$A33,"Year",L$1)=""), "",GETPIVOTDATA("Cover",'Cover PivotTable'!$A$4,"Site",$A33,"Year",L$1,"Transect",$B33))</f>
        <v>0.50505050505050508</v>
      </c>
      <c r="M33" s="17" t="str">
        <f>IF(OR(ISERROR(GETPIVOTDATA("Cover",'Cover PivotTable'!$A$4,"Site",$A33,"Year",M$1,"Transect",$B33)),GETPIVOTDATA("Cover",'Cover PivotTable'!$A$4,"Site",$A33,"Year",M$1)=""), "",GETPIVOTDATA("Cover",'Cover PivotTable'!$A$4,"Site",$A33,"Year",M$1,"Transect",$B33))</f>
        <v/>
      </c>
      <c r="N33" s="17">
        <f>IF(OR(ISERROR(GETPIVOTDATA("Cover",'Cover PivotTable'!$A$4,"Site",$A33,"Year",N$1,"Transect",$B33)),GETPIVOTDATA("Cover",'Cover PivotTable'!$A$4,"Site",$A33,"Year",N$1)=""), "",GETPIVOTDATA("Cover",'Cover PivotTable'!$A$4,"Site",$A33,"Year",N$1,"Transect",$B33))</f>
        <v>2.5</v>
      </c>
      <c r="O33" s="17">
        <f>IF(OR(ISERROR(GETPIVOTDATA("Cover",'Cover PivotTable'!$A$4,"Site",$A33,"Year",O$1,"Transect",$B33)),GETPIVOTDATA("Cover",'Cover PivotTable'!$A$4,"Site",$A33,"Year",O$1)=""), "",GETPIVOTDATA("Cover",'Cover PivotTable'!$A$4,"Site",$A33,"Year",O$1,"Transect",$B33))</f>
        <v>4</v>
      </c>
      <c r="P33" s="17">
        <f>IF(OR(ISERROR(GETPIVOTDATA("Cover",'Cover PivotTable'!$A$4,"Site",$A33,"Year",P$1,"Transect",$B33)),GETPIVOTDATA("Cover",'Cover PivotTable'!$A$4,"Site",$A33,"Year",P$1)=""), "",GETPIVOTDATA("Cover",'Cover PivotTable'!$A$4,"Site",$A33,"Year",P$1,"Transect",$B33))</f>
        <v>16</v>
      </c>
    </row>
    <row r="34" spans="1:16" x14ac:dyDescent="0.35">
      <c r="A34" t="s">
        <v>9</v>
      </c>
      <c r="B34">
        <v>5.6</v>
      </c>
      <c r="C34" s="17">
        <f>IF(OR(ISERROR(GETPIVOTDATA("Cover",'Cover PivotTable'!$A$4,"Site",$A34,"Year",C$1,"Transect",$B34)),GETPIVOTDATA("Cover",'Cover PivotTable'!$A$4,"Site",$A34,"Year",C$1)=""), "",GETPIVOTDATA("Cover",'Cover PivotTable'!$A$4,"Site",$A34,"Year",C$1,"Transect",$B34))</f>
        <v>0</v>
      </c>
      <c r="D34" s="17" t="str">
        <f>IF(OR(ISERROR(GETPIVOTDATA("Cover",'Cover PivotTable'!$A$4,"Site",$A34,"Year",D$1,"Transect",$B34)),GETPIVOTDATA("Cover",'Cover PivotTable'!$A$4,"Site",$A34,"Year",D$1)=""), "",GETPIVOTDATA("Cover",'Cover PivotTable'!$A$4,"Site",$A34,"Year",D$1,"Transect",$B34))</f>
        <v/>
      </c>
      <c r="E34" s="17" t="str">
        <f>IF(OR(ISERROR(GETPIVOTDATA("Cover",'Cover PivotTable'!$A$4,"Site",$A34,"Year",E$1,"Transect",$B34)),GETPIVOTDATA("Cover",'Cover PivotTable'!$A$4,"Site",$A34,"Year",E$1)=""), "",GETPIVOTDATA("Cover",'Cover PivotTable'!$A$4,"Site",$A34,"Year",E$1,"Transect",$B34))</f>
        <v/>
      </c>
      <c r="F34" s="17" t="str">
        <f>IF(OR(ISERROR(GETPIVOTDATA("Cover",'Cover PivotTable'!$A$4,"Site",$A34,"Year",F$1,"Transect",$B34)),GETPIVOTDATA("Cover",'Cover PivotTable'!$A$4,"Site",$A34,"Year",F$1)=""), "",GETPIVOTDATA("Cover",'Cover PivotTable'!$A$4,"Site",$A34,"Year",F$1,"Transect",$B34))</f>
        <v/>
      </c>
      <c r="G34" s="17" t="str">
        <f>IF(OR(ISERROR(GETPIVOTDATA("Cover",'Cover PivotTable'!$A$4,"Site",$A34,"Year",G$1,"Transect",$B34)),GETPIVOTDATA("Cover",'Cover PivotTable'!$A$4,"Site",$A34,"Year",G$1)=""), "",GETPIVOTDATA("Cover",'Cover PivotTable'!$A$4,"Site",$A34,"Year",G$1,"Transect",$B34))</f>
        <v/>
      </c>
      <c r="H34" s="17" t="str">
        <f>IF(OR(ISERROR(GETPIVOTDATA("Cover",'Cover PivotTable'!$A$4,"Site",$A34,"Year",H$1,"Transect",$B34)),GETPIVOTDATA("Cover",'Cover PivotTable'!$A$4,"Site",$A34,"Year",H$1)=""), "",GETPIVOTDATA("Cover",'Cover PivotTable'!$A$4,"Site",$A34,"Year",H$1,"Transect",$B34))</f>
        <v/>
      </c>
      <c r="I34" s="17">
        <f>IF(OR(ISERROR(GETPIVOTDATA("Cover",'Cover PivotTable'!$A$4,"Site",$A34,"Year",I$1,"Transect",$B34)),GETPIVOTDATA("Cover",'Cover PivotTable'!$A$4,"Site",$A34,"Year",I$1)=""), "",GETPIVOTDATA("Cover",'Cover PivotTable'!$A$4,"Site",$A34,"Year",I$1,"Transect",$B34))</f>
        <v>0</v>
      </c>
      <c r="J34" s="17" t="str">
        <f>IF(OR(ISERROR(GETPIVOTDATA("Cover",'Cover PivotTable'!$A$4,"Site",$A34,"Year",J$1,"Transect",$B34)),GETPIVOTDATA("Cover",'Cover PivotTable'!$A$4,"Site",$A34,"Year",J$1)=""), "",GETPIVOTDATA("Cover",'Cover PivotTable'!$A$4,"Site",$A34,"Year",J$1,"Transect",$B34))</f>
        <v/>
      </c>
      <c r="K34" s="17" t="str">
        <f>IF(OR(ISERROR(GETPIVOTDATA("Cover",'Cover PivotTable'!$A$4,"Site",$A34,"Year",K$1,"Transect",$B34)),GETPIVOTDATA("Cover",'Cover PivotTable'!$A$4,"Site",$A34,"Year",K$1)=""), "",GETPIVOTDATA("Cover",'Cover PivotTable'!$A$4,"Site",$A34,"Year",K$1,"Transect",$B34))</f>
        <v/>
      </c>
      <c r="L34" s="17">
        <f>IF(OR(ISERROR(GETPIVOTDATA("Cover",'Cover PivotTable'!$A$4,"Site",$A34,"Year",L$1,"Transect",$B34)),GETPIVOTDATA("Cover",'Cover PivotTable'!$A$4,"Site",$A34,"Year",L$1)=""), "",GETPIVOTDATA("Cover",'Cover PivotTable'!$A$4,"Site",$A34,"Year",L$1,"Transect",$B34))</f>
        <v>2.5</v>
      </c>
      <c r="M34" s="17" t="str">
        <f>IF(OR(ISERROR(GETPIVOTDATA("Cover",'Cover PivotTable'!$A$4,"Site",$A34,"Year",M$1,"Transect",$B34)),GETPIVOTDATA("Cover",'Cover PivotTable'!$A$4,"Site",$A34,"Year",M$1)=""), "",GETPIVOTDATA("Cover",'Cover PivotTable'!$A$4,"Site",$A34,"Year",M$1,"Transect",$B34))</f>
        <v/>
      </c>
      <c r="N34" s="17">
        <f>IF(OR(ISERROR(GETPIVOTDATA("Cover",'Cover PivotTable'!$A$4,"Site",$A34,"Year",N$1,"Transect",$B34)),GETPIVOTDATA("Cover",'Cover PivotTable'!$A$4,"Site",$A34,"Year",N$1)=""), "",GETPIVOTDATA("Cover",'Cover PivotTable'!$A$4,"Site",$A34,"Year",N$1,"Transect",$B34))</f>
        <v>2</v>
      </c>
      <c r="O34" s="17">
        <f>IF(OR(ISERROR(GETPIVOTDATA("Cover",'Cover PivotTable'!$A$4,"Site",$A34,"Year",O$1,"Transect",$B34)),GETPIVOTDATA("Cover",'Cover PivotTable'!$A$4,"Site",$A34,"Year",O$1)=""), "",GETPIVOTDATA("Cover",'Cover PivotTable'!$A$4,"Site",$A34,"Year",O$1,"Transect",$B34))</f>
        <v>4</v>
      </c>
      <c r="P34" s="17">
        <f>IF(OR(ISERROR(GETPIVOTDATA("Cover",'Cover PivotTable'!$A$4,"Site",$A34,"Year",P$1,"Transect",$B34)),GETPIVOTDATA("Cover",'Cover PivotTable'!$A$4,"Site",$A34,"Year",P$1)=""), "",GETPIVOTDATA("Cover",'Cover PivotTable'!$A$4,"Site",$A34,"Year",P$1,"Transect",$B34))</f>
        <v>8.5</v>
      </c>
    </row>
    <row r="35" spans="1:16" x14ac:dyDescent="0.35">
      <c r="A35" t="s">
        <v>9</v>
      </c>
      <c r="B35">
        <v>5.7</v>
      </c>
      <c r="C35" s="17">
        <f>IF(OR(ISERROR(GETPIVOTDATA("Cover",'Cover PivotTable'!$A$4,"Site",$A35,"Year",C$1,"Transect",$B35)),GETPIVOTDATA("Cover",'Cover PivotTable'!$A$4,"Site",$A35,"Year",C$1)=""), "",GETPIVOTDATA("Cover",'Cover PivotTable'!$A$4,"Site",$A35,"Year",C$1,"Transect",$B35))</f>
        <v>2.5</v>
      </c>
      <c r="D35" s="17" t="str">
        <f>IF(OR(ISERROR(GETPIVOTDATA("Cover",'Cover PivotTable'!$A$4,"Site",$A35,"Year",D$1,"Transect",$B35)),GETPIVOTDATA("Cover",'Cover PivotTable'!$A$4,"Site",$A35,"Year",D$1)=""), "",GETPIVOTDATA("Cover",'Cover PivotTable'!$A$4,"Site",$A35,"Year",D$1,"Transect",$B35))</f>
        <v/>
      </c>
      <c r="E35" s="17" t="str">
        <f>IF(OR(ISERROR(GETPIVOTDATA("Cover",'Cover PivotTable'!$A$4,"Site",$A35,"Year",E$1,"Transect",$B35)),GETPIVOTDATA("Cover",'Cover PivotTable'!$A$4,"Site",$A35,"Year",E$1)=""), "",GETPIVOTDATA("Cover",'Cover PivotTable'!$A$4,"Site",$A35,"Year",E$1,"Transect",$B35))</f>
        <v/>
      </c>
      <c r="F35" s="17" t="str">
        <f>IF(OR(ISERROR(GETPIVOTDATA("Cover",'Cover PivotTable'!$A$4,"Site",$A35,"Year",F$1,"Transect",$B35)),GETPIVOTDATA("Cover",'Cover PivotTable'!$A$4,"Site",$A35,"Year",F$1)=""), "",GETPIVOTDATA("Cover",'Cover PivotTable'!$A$4,"Site",$A35,"Year",F$1,"Transect",$B35))</f>
        <v/>
      </c>
      <c r="G35" s="17" t="str">
        <f>IF(OR(ISERROR(GETPIVOTDATA("Cover",'Cover PivotTable'!$A$4,"Site",$A35,"Year",G$1,"Transect",$B35)),GETPIVOTDATA("Cover",'Cover PivotTable'!$A$4,"Site",$A35,"Year",G$1)=""), "",GETPIVOTDATA("Cover",'Cover PivotTable'!$A$4,"Site",$A35,"Year",G$1,"Transect",$B35))</f>
        <v/>
      </c>
      <c r="H35" s="17" t="str">
        <f>IF(OR(ISERROR(GETPIVOTDATA("Cover",'Cover PivotTable'!$A$4,"Site",$A35,"Year",H$1,"Transect",$B35)),GETPIVOTDATA("Cover",'Cover PivotTable'!$A$4,"Site",$A35,"Year",H$1)=""), "",GETPIVOTDATA("Cover",'Cover PivotTable'!$A$4,"Site",$A35,"Year",H$1,"Transect",$B35))</f>
        <v/>
      </c>
      <c r="I35" s="17">
        <f>IF(OR(ISERROR(GETPIVOTDATA("Cover",'Cover PivotTable'!$A$4,"Site",$A35,"Year",I$1,"Transect",$B35)),GETPIVOTDATA("Cover",'Cover PivotTable'!$A$4,"Site",$A35,"Year",I$1)=""), "",GETPIVOTDATA("Cover",'Cover PivotTable'!$A$4,"Site",$A35,"Year",I$1,"Transect",$B35))</f>
        <v>7</v>
      </c>
      <c r="J35" s="17" t="str">
        <f>IF(OR(ISERROR(GETPIVOTDATA("Cover",'Cover PivotTable'!$A$4,"Site",$A35,"Year",J$1,"Transect",$B35)),GETPIVOTDATA("Cover",'Cover PivotTable'!$A$4,"Site",$A35,"Year",J$1)=""), "",GETPIVOTDATA("Cover",'Cover PivotTable'!$A$4,"Site",$A35,"Year",J$1,"Transect",$B35))</f>
        <v/>
      </c>
      <c r="K35" s="17" t="str">
        <f>IF(OR(ISERROR(GETPIVOTDATA("Cover",'Cover PivotTable'!$A$4,"Site",$A35,"Year",K$1,"Transect",$B35)),GETPIVOTDATA("Cover",'Cover PivotTable'!$A$4,"Site",$A35,"Year",K$1)=""), "",GETPIVOTDATA("Cover",'Cover PivotTable'!$A$4,"Site",$A35,"Year",K$1,"Transect",$B35))</f>
        <v/>
      </c>
      <c r="L35" s="17">
        <f>IF(OR(ISERROR(GETPIVOTDATA("Cover",'Cover PivotTable'!$A$4,"Site",$A35,"Year",L$1,"Transect",$B35)),GETPIVOTDATA("Cover",'Cover PivotTable'!$A$4,"Site",$A35,"Year",L$1)=""), "",GETPIVOTDATA("Cover",'Cover PivotTable'!$A$4,"Site",$A35,"Year",L$1,"Transect",$B35))</f>
        <v>6.5656565656565666</v>
      </c>
      <c r="M35" s="17" t="str">
        <f>IF(OR(ISERROR(GETPIVOTDATA("Cover",'Cover PivotTable'!$A$4,"Site",$A35,"Year",M$1,"Transect",$B35)),GETPIVOTDATA("Cover",'Cover PivotTable'!$A$4,"Site",$A35,"Year",M$1)=""), "",GETPIVOTDATA("Cover",'Cover PivotTable'!$A$4,"Site",$A35,"Year",M$1,"Transect",$B35))</f>
        <v/>
      </c>
      <c r="N35" s="17">
        <f>IF(OR(ISERROR(GETPIVOTDATA("Cover",'Cover PivotTable'!$A$4,"Site",$A35,"Year",N$1,"Transect",$B35)),GETPIVOTDATA("Cover",'Cover PivotTable'!$A$4,"Site",$A35,"Year",N$1)=""), "",GETPIVOTDATA("Cover",'Cover PivotTable'!$A$4,"Site",$A35,"Year",N$1,"Transect",$B35))</f>
        <v>0.5</v>
      </c>
      <c r="O35" s="17">
        <f>IF(OR(ISERROR(GETPIVOTDATA("Cover",'Cover PivotTable'!$A$4,"Site",$A35,"Year",O$1,"Transect",$B35)),GETPIVOTDATA("Cover",'Cover PivotTable'!$A$4,"Site",$A35,"Year",O$1)=""), "",GETPIVOTDATA("Cover",'Cover PivotTable'!$A$4,"Site",$A35,"Year",O$1,"Transect",$B35))</f>
        <v>2.5</v>
      </c>
      <c r="P35" s="17">
        <f>IF(OR(ISERROR(GETPIVOTDATA("Cover",'Cover PivotTable'!$A$4,"Site",$A35,"Year",P$1,"Transect",$B35)),GETPIVOTDATA("Cover",'Cover PivotTable'!$A$4,"Site",$A35,"Year",P$1)=""), "",GETPIVOTDATA("Cover",'Cover PivotTable'!$A$4,"Site",$A35,"Year",P$1,"Transect",$B35))</f>
        <v>6.5</v>
      </c>
    </row>
    <row r="36" spans="1:16" x14ac:dyDescent="0.35">
      <c r="A36" t="s">
        <v>9</v>
      </c>
      <c r="B36">
        <v>6.1</v>
      </c>
      <c r="C36" s="17">
        <f>IF(OR(ISERROR(GETPIVOTDATA("Cover",'Cover PivotTable'!$A$4,"Site",$A36,"Year",C$1,"Transect",$B36)),GETPIVOTDATA("Cover",'Cover PivotTable'!$A$4,"Site",$A36,"Year",C$1)=""), "",GETPIVOTDATA("Cover",'Cover PivotTable'!$A$4,"Site",$A36,"Year",C$1,"Transect",$B36))</f>
        <v>2</v>
      </c>
      <c r="D36" s="17" t="str">
        <f>IF(OR(ISERROR(GETPIVOTDATA("Cover",'Cover PivotTable'!$A$4,"Site",$A36,"Year",D$1,"Transect",$B36)),GETPIVOTDATA("Cover",'Cover PivotTable'!$A$4,"Site",$A36,"Year",D$1)=""), "",GETPIVOTDATA("Cover",'Cover PivotTable'!$A$4,"Site",$A36,"Year",D$1,"Transect",$B36))</f>
        <v/>
      </c>
      <c r="E36" s="17" t="str">
        <f>IF(OR(ISERROR(GETPIVOTDATA("Cover",'Cover PivotTable'!$A$4,"Site",$A36,"Year",E$1,"Transect",$B36)),GETPIVOTDATA("Cover",'Cover PivotTable'!$A$4,"Site",$A36,"Year",E$1)=""), "",GETPIVOTDATA("Cover",'Cover PivotTable'!$A$4,"Site",$A36,"Year",E$1,"Transect",$B36))</f>
        <v/>
      </c>
      <c r="F36" s="17" t="str">
        <f>IF(OR(ISERROR(GETPIVOTDATA("Cover",'Cover PivotTable'!$A$4,"Site",$A36,"Year",F$1,"Transect",$B36)),GETPIVOTDATA("Cover",'Cover PivotTable'!$A$4,"Site",$A36,"Year",F$1)=""), "",GETPIVOTDATA("Cover",'Cover PivotTable'!$A$4,"Site",$A36,"Year",F$1,"Transect",$B36))</f>
        <v/>
      </c>
      <c r="G36" s="17" t="str">
        <f>IF(OR(ISERROR(GETPIVOTDATA("Cover",'Cover PivotTable'!$A$4,"Site",$A36,"Year",G$1,"Transect",$B36)),GETPIVOTDATA("Cover",'Cover PivotTable'!$A$4,"Site",$A36,"Year",G$1)=""), "",GETPIVOTDATA("Cover",'Cover PivotTable'!$A$4,"Site",$A36,"Year",G$1,"Transect",$B36))</f>
        <v/>
      </c>
      <c r="H36" s="17" t="str">
        <f>IF(OR(ISERROR(GETPIVOTDATA("Cover",'Cover PivotTable'!$A$4,"Site",$A36,"Year",H$1,"Transect",$B36)),GETPIVOTDATA("Cover",'Cover PivotTable'!$A$4,"Site",$A36,"Year",H$1)=""), "",GETPIVOTDATA("Cover",'Cover PivotTable'!$A$4,"Site",$A36,"Year",H$1,"Transect",$B36))</f>
        <v/>
      </c>
      <c r="I36" s="17">
        <f>IF(OR(ISERROR(GETPIVOTDATA("Cover",'Cover PivotTable'!$A$4,"Site",$A36,"Year",I$1,"Transect",$B36)),GETPIVOTDATA("Cover",'Cover PivotTable'!$A$4,"Site",$A36,"Year",I$1)=""), "",GETPIVOTDATA("Cover",'Cover PivotTable'!$A$4,"Site",$A36,"Year",I$1,"Transect",$B36))</f>
        <v>1</v>
      </c>
      <c r="J36" s="17" t="str">
        <f>IF(OR(ISERROR(GETPIVOTDATA("Cover",'Cover PivotTable'!$A$4,"Site",$A36,"Year",J$1,"Transect",$B36)),GETPIVOTDATA("Cover",'Cover PivotTable'!$A$4,"Site",$A36,"Year",J$1)=""), "",GETPIVOTDATA("Cover",'Cover PivotTable'!$A$4,"Site",$A36,"Year",J$1,"Transect",$B36))</f>
        <v/>
      </c>
      <c r="K36" s="17" t="str">
        <f>IF(OR(ISERROR(GETPIVOTDATA("Cover",'Cover PivotTable'!$A$4,"Site",$A36,"Year",K$1,"Transect",$B36)),GETPIVOTDATA("Cover",'Cover PivotTable'!$A$4,"Site",$A36,"Year",K$1)=""), "",GETPIVOTDATA("Cover",'Cover PivotTable'!$A$4,"Site",$A36,"Year",K$1,"Transect",$B36))</f>
        <v/>
      </c>
      <c r="L36" s="17">
        <f>IF(OR(ISERROR(GETPIVOTDATA("Cover",'Cover PivotTable'!$A$4,"Site",$A36,"Year",L$1,"Transect",$B36)),GETPIVOTDATA("Cover",'Cover PivotTable'!$A$4,"Site",$A36,"Year",L$1)=""), "",GETPIVOTDATA("Cover",'Cover PivotTable'!$A$4,"Site",$A36,"Year",L$1,"Transect",$B36))</f>
        <v>1.5151515151515151</v>
      </c>
      <c r="M36" s="17" t="str">
        <f>IF(OR(ISERROR(GETPIVOTDATA("Cover",'Cover PivotTable'!$A$4,"Site",$A36,"Year",M$1,"Transect",$B36)),GETPIVOTDATA("Cover",'Cover PivotTable'!$A$4,"Site",$A36,"Year",M$1)=""), "",GETPIVOTDATA("Cover",'Cover PivotTable'!$A$4,"Site",$A36,"Year",M$1,"Transect",$B36))</f>
        <v/>
      </c>
      <c r="N36" s="17">
        <f>IF(OR(ISERROR(GETPIVOTDATA("Cover",'Cover PivotTable'!$A$4,"Site",$A36,"Year",N$1,"Transect",$B36)),GETPIVOTDATA("Cover",'Cover PivotTable'!$A$4,"Site",$A36,"Year",N$1)=""), "",GETPIVOTDATA("Cover",'Cover PivotTable'!$A$4,"Site",$A36,"Year",N$1,"Transect",$B36))</f>
        <v>0</v>
      </c>
      <c r="O36" s="17">
        <f>IF(OR(ISERROR(GETPIVOTDATA("Cover",'Cover PivotTable'!$A$4,"Site",$A36,"Year",O$1,"Transect",$B36)),GETPIVOTDATA("Cover",'Cover PivotTable'!$A$4,"Site",$A36,"Year",O$1)=""), "",GETPIVOTDATA("Cover",'Cover PivotTable'!$A$4,"Site",$A36,"Year",O$1,"Transect",$B36))</f>
        <v>0</v>
      </c>
      <c r="P36" s="17">
        <f>IF(OR(ISERROR(GETPIVOTDATA("Cover",'Cover PivotTable'!$A$4,"Site",$A36,"Year",P$1,"Transect",$B36)),GETPIVOTDATA("Cover",'Cover PivotTable'!$A$4,"Site",$A36,"Year",P$1)=""), "",GETPIVOTDATA("Cover",'Cover PivotTable'!$A$4,"Site",$A36,"Year",P$1,"Transect",$B36))</f>
        <v>0</v>
      </c>
    </row>
    <row r="37" spans="1:16" x14ac:dyDescent="0.35">
      <c r="A37" t="s">
        <v>9</v>
      </c>
      <c r="B37">
        <v>6.2</v>
      </c>
      <c r="C37" s="17">
        <f>IF(OR(ISERROR(GETPIVOTDATA("Cover",'Cover PivotTable'!$A$4,"Site",$A37,"Year",C$1,"Transect",$B37)),GETPIVOTDATA("Cover",'Cover PivotTable'!$A$4,"Site",$A37,"Year",C$1)=""), "",GETPIVOTDATA("Cover",'Cover PivotTable'!$A$4,"Site",$A37,"Year",C$1,"Transect",$B37))</f>
        <v>0.5</v>
      </c>
      <c r="D37" s="17" t="str">
        <f>IF(OR(ISERROR(GETPIVOTDATA("Cover",'Cover PivotTable'!$A$4,"Site",$A37,"Year",D$1,"Transect",$B37)),GETPIVOTDATA("Cover",'Cover PivotTable'!$A$4,"Site",$A37,"Year",D$1)=""), "",GETPIVOTDATA("Cover",'Cover PivotTable'!$A$4,"Site",$A37,"Year",D$1,"Transect",$B37))</f>
        <v/>
      </c>
      <c r="E37" s="17" t="str">
        <f>IF(OR(ISERROR(GETPIVOTDATA("Cover",'Cover PivotTable'!$A$4,"Site",$A37,"Year",E$1,"Transect",$B37)),GETPIVOTDATA("Cover",'Cover PivotTable'!$A$4,"Site",$A37,"Year",E$1)=""), "",GETPIVOTDATA("Cover",'Cover PivotTable'!$A$4,"Site",$A37,"Year",E$1,"Transect",$B37))</f>
        <v/>
      </c>
      <c r="F37" s="17" t="str">
        <f>IF(OR(ISERROR(GETPIVOTDATA("Cover",'Cover PivotTable'!$A$4,"Site",$A37,"Year",F$1,"Transect",$B37)),GETPIVOTDATA("Cover",'Cover PivotTable'!$A$4,"Site",$A37,"Year",F$1)=""), "",GETPIVOTDATA("Cover",'Cover PivotTable'!$A$4,"Site",$A37,"Year",F$1,"Transect",$B37))</f>
        <v/>
      </c>
      <c r="G37" s="17" t="str">
        <f>IF(OR(ISERROR(GETPIVOTDATA("Cover",'Cover PivotTable'!$A$4,"Site",$A37,"Year",G$1,"Transect",$B37)),GETPIVOTDATA("Cover",'Cover PivotTable'!$A$4,"Site",$A37,"Year",G$1)=""), "",GETPIVOTDATA("Cover",'Cover PivotTable'!$A$4,"Site",$A37,"Year",G$1,"Transect",$B37))</f>
        <v/>
      </c>
      <c r="H37" s="17" t="str">
        <f>IF(OR(ISERROR(GETPIVOTDATA("Cover",'Cover PivotTable'!$A$4,"Site",$A37,"Year",H$1,"Transect",$B37)),GETPIVOTDATA("Cover",'Cover PivotTable'!$A$4,"Site",$A37,"Year",H$1)=""), "",GETPIVOTDATA("Cover",'Cover PivotTable'!$A$4,"Site",$A37,"Year",H$1,"Transect",$B37))</f>
        <v/>
      </c>
      <c r="I37" s="17">
        <f>IF(OR(ISERROR(GETPIVOTDATA("Cover",'Cover PivotTable'!$A$4,"Site",$A37,"Year",I$1,"Transect",$B37)),GETPIVOTDATA("Cover",'Cover PivotTable'!$A$4,"Site",$A37,"Year",I$1)=""), "",GETPIVOTDATA("Cover",'Cover PivotTable'!$A$4,"Site",$A37,"Year",I$1,"Transect",$B37))</f>
        <v>0</v>
      </c>
      <c r="J37" s="17" t="str">
        <f>IF(OR(ISERROR(GETPIVOTDATA("Cover",'Cover PivotTable'!$A$4,"Site",$A37,"Year",J$1,"Transect",$B37)),GETPIVOTDATA("Cover",'Cover PivotTable'!$A$4,"Site",$A37,"Year",J$1)=""), "",GETPIVOTDATA("Cover",'Cover PivotTable'!$A$4,"Site",$A37,"Year",J$1,"Transect",$B37))</f>
        <v/>
      </c>
      <c r="K37" s="17" t="str">
        <f>IF(OR(ISERROR(GETPIVOTDATA("Cover",'Cover PivotTable'!$A$4,"Site",$A37,"Year",K$1,"Transect",$B37)),GETPIVOTDATA("Cover",'Cover PivotTable'!$A$4,"Site",$A37,"Year",K$1)=""), "",GETPIVOTDATA("Cover",'Cover PivotTable'!$A$4,"Site",$A37,"Year",K$1,"Transect",$B37))</f>
        <v/>
      </c>
      <c r="L37" s="17">
        <f>IF(OR(ISERROR(GETPIVOTDATA("Cover",'Cover PivotTable'!$A$4,"Site",$A37,"Year",L$1,"Transect",$B37)),GETPIVOTDATA("Cover",'Cover PivotTable'!$A$4,"Site",$A37,"Year",L$1)=""), "",GETPIVOTDATA("Cover",'Cover PivotTable'!$A$4,"Site",$A37,"Year",L$1,"Transect",$B37))</f>
        <v>0</v>
      </c>
      <c r="M37" s="17" t="str">
        <f>IF(OR(ISERROR(GETPIVOTDATA("Cover",'Cover PivotTable'!$A$4,"Site",$A37,"Year",M$1,"Transect",$B37)),GETPIVOTDATA("Cover",'Cover PivotTable'!$A$4,"Site",$A37,"Year",M$1)=""), "",GETPIVOTDATA("Cover",'Cover PivotTable'!$A$4,"Site",$A37,"Year",M$1,"Transect",$B37))</f>
        <v/>
      </c>
      <c r="N37" s="17">
        <f>IF(OR(ISERROR(GETPIVOTDATA("Cover",'Cover PivotTable'!$A$4,"Site",$A37,"Year",N$1,"Transect",$B37)),GETPIVOTDATA("Cover",'Cover PivotTable'!$A$4,"Site",$A37,"Year",N$1)=""), "",GETPIVOTDATA("Cover",'Cover PivotTable'!$A$4,"Site",$A37,"Year",N$1,"Transect",$B37))</f>
        <v>0</v>
      </c>
      <c r="O37" s="17">
        <f>IF(OR(ISERROR(GETPIVOTDATA("Cover",'Cover PivotTable'!$A$4,"Site",$A37,"Year",O$1,"Transect",$B37)),GETPIVOTDATA("Cover",'Cover PivotTable'!$A$4,"Site",$A37,"Year",O$1)=""), "",GETPIVOTDATA("Cover",'Cover PivotTable'!$A$4,"Site",$A37,"Year",O$1,"Transect",$B37))</f>
        <v>0.5</v>
      </c>
      <c r="P37" s="17">
        <f>IF(OR(ISERROR(GETPIVOTDATA("Cover",'Cover PivotTable'!$A$4,"Site",$A37,"Year",P$1,"Transect",$B37)),GETPIVOTDATA("Cover",'Cover PivotTable'!$A$4,"Site",$A37,"Year",P$1)=""), "",GETPIVOTDATA("Cover",'Cover PivotTable'!$A$4,"Site",$A37,"Year",P$1,"Transect",$B37))</f>
        <v>5.5</v>
      </c>
    </row>
    <row r="38" spans="1:16" x14ac:dyDescent="0.35">
      <c r="A38" t="s">
        <v>9</v>
      </c>
      <c r="B38">
        <v>6.3</v>
      </c>
      <c r="C38" s="17">
        <f>IF(OR(ISERROR(GETPIVOTDATA("Cover",'Cover PivotTable'!$A$4,"Site",$A38,"Year",C$1,"Transect",$B38)),GETPIVOTDATA("Cover",'Cover PivotTable'!$A$4,"Site",$A38,"Year",C$1)=""), "",GETPIVOTDATA("Cover",'Cover PivotTable'!$A$4,"Site",$A38,"Year",C$1,"Transect",$B38))</f>
        <v>1.5</v>
      </c>
      <c r="D38" s="17" t="str">
        <f>IF(OR(ISERROR(GETPIVOTDATA("Cover",'Cover PivotTable'!$A$4,"Site",$A38,"Year",D$1,"Transect",$B38)),GETPIVOTDATA("Cover",'Cover PivotTable'!$A$4,"Site",$A38,"Year",D$1)=""), "",GETPIVOTDATA("Cover",'Cover PivotTable'!$A$4,"Site",$A38,"Year",D$1,"Transect",$B38))</f>
        <v/>
      </c>
      <c r="E38" s="17" t="str">
        <f>IF(OR(ISERROR(GETPIVOTDATA("Cover",'Cover PivotTable'!$A$4,"Site",$A38,"Year",E$1,"Transect",$B38)),GETPIVOTDATA("Cover",'Cover PivotTable'!$A$4,"Site",$A38,"Year",E$1)=""), "",GETPIVOTDATA("Cover",'Cover PivotTable'!$A$4,"Site",$A38,"Year",E$1,"Transect",$B38))</f>
        <v/>
      </c>
      <c r="F38" s="17" t="str">
        <f>IF(OR(ISERROR(GETPIVOTDATA("Cover",'Cover PivotTable'!$A$4,"Site",$A38,"Year",F$1,"Transect",$B38)),GETPIVOTDATA("Cover",'Cover PivotTable'!$A$4,"Site",$A38,"Year",F$1)=""), "",GETPIVOTDATA("Cover",'Cover PivotTable'!$A$4,"Site",$A38,"Year",F$1,"Transect",$B38))</f>
        <v/>
      </c>
      <c r="G38" s="17" t="str">
        <f>IF(OR(ISERROR(GETPIVOTDATA("Cover",'Cover PivotTable'!$A$4,"Site",$A38,"Year",G$1,"Transect",$B38)),GETPIVOTDATA("Cover",'Cover PivotTable'!$A$4,"Site",$A38,"Year",G$1)=""), "",GETPIVOTDATA("Cover",'Cover PivotTable'!$A$4,"Site",$A38,"Year",G$1,"Transect",$B38))</f>
        <v/>
      </c>
      <c r="H38" s="17" t="str">
        <f>IF(OR(ISERROR(GETPIVOTDATA("Cover",'Cover PivotTable'!$A$4,"Site",$A38,"Year",H$1,"Transect",$B38)),GETPIVOTDATA("Cover",'Cover PivotTable'!$A$4,"Site",$A38,"Year",H$1)=""), "",GETPIVOTDATA("Cover",'Cover PivotTable'!$A$4,"Site",$A38,"Year",H$1,"Transect",$B38))</f>
        <v/>
      </c>
      <c r="I38" s="17">
        <f>IF(OR(ISERROR(GETPIVOTDATA("Cover",'Cover PivotTable'!$A$4,"Site",$A38,"Year",I$1,"Transect",$B38)),GETPIVOTDATA("Cover",'Cover PivotTable'!$A$4,"Site",$A38,"Year",I$1)=""), "",GETPIVOTDATA("Cover",'Cover PivotTable'!$A$4,"Site",$A38,"Year",I$1,"Transect",$B38))</f>
        <v>1</v>
      </c>
      <c r="J38" s="17" t="str">
        <f>IF(OR(ISERROR(GETPIVOTDATA("Cover",'Cover PivotTable'!$A$4,"Site",$A38,"Year",J$1,"Transect",$B38)),GETPIVOTDATA("Cover",'Cover PivotTable'!$A$4,"Site",$A38,"Year",J$1)=""), "",GETPIVOTDATA("Cover",'Cover PivotTable'!$A$4,"Site",$A38,"Year",J$1,"Transect",$B38))</f>
        <v/>
      </c>
      <c r="K38" s="17" t="str">
        <f>IF(OR(ISERROR(GETPIVOTDATA("Cover",'Cover PivotTable'!$A$4,"Site",$A38,"Year",K$1,"Transect",$B38)),GETPIVOTDATA("Cover",'Cover PivotTable'!$A$4,"Site",$A38,"Year",K$1)=""), "",GETPIVOTDATA("Cover",'Cover PivotTable'!$A$4,"Site",$A38,"Year",K$1,"Transect",$B38))</f>
        <v/>
      </c>
      <c r="L38" s="17">
        <f>IF(OR(ISERROR(GETPIVOTDATA("Cover",'Cover PivotTable'!$A$4,"Site",$A38,"Year",L$1,"Transect",$B38)),GETPIVOTDATA("Cover",'Cover PivotTable'!$A$4,"Site",$A38,"Year",L$1)=""), "",GETPIVOTDATA("Cover",'Cover PivotTable'!$A$4,"Site",$A38,"Year",L$1,"Transect",$B38))</f>
        <v>1.5151515151515151</v>
      </c>
      <c r="M38" s="17" t="str">
        <f>IF(OR(ISERROR(GETPIVOTDATA("Cover",'Cover PivotTable'!$A$4,"Site",$A38,"Year",M$1,"Transect",$B38)),GETPIVOTDATA("Cover",'Cover PivotTable'!$A$4,"Site",$A38,"Year",M$1)=""), "",GETPIVOTDATA("Cover",'Cover PivotTable'!$A$4,"Site",$A38,"Year",M$1,"Transect",$B38))</f>
        <v/>
      </c>
      <c r="N38" s="17">
        <f>IF(OR(ISERROR(GETPIVOTDATA("Cover",'Cover PivotTable'!$A$4,"Site",$A38,"Year",N$1,"Transect",$B38)),GETPIVOTDATA("Cover",'Cover PivotTable'!$A$4,"Site",$A38,"Year",N$1)=""), "",GETPIVOTDATA("Cover",'Cover PivotTable'!$A$4,"Site",$A38,"Year",N$1,"Transect",$B38))</f>
        <v>2.5</v>
      </c>
      <c r="O38" s="17">
        <f>IF(OR(ISERROR(GETPIVOTDATA("Cover",'Cover PivotTable'!$A$4,"Site",$A38,"Year",O$1,"Transect",$B38)),GETPIVOTDATA("Cover",'Cover PivotTable'!$A$4,"Site",$A38,"Year",O$1)=""), "",GETPIVOTDATA("Cover",'Cover PivotTable'!$A$4,"Site",$A38,"Year",O$1,"Transect",$B38))</f>
        <v>2.5</v>
      </c>
      <c r="P38" s="17">
        <f>IF(OR(ISERROR(GETPIVOTDATA("Cover",'Cover PivotTable'!$A$4,"Site",$A38,"Year",P$1,"Transect",$B38)),GETPIVOTDATA("Cover",'Cover PivotTable'!$A$4,"Site",$A38,"Year",P$1)=""), "",GETPIVOTDATA("Cover",'Cover PivotTable'!$A$4,"Site",$A38,"Year",P$1,"Transect",$B38))</f>
        <v>11.5</v>
      </c>
    </row>
    <row r="39" spans="1:16" x14ac:dyDescent="0.35">
      <c r="A39" t="s">
        <v>9</v>
      </c>
      <c r="B39">
        <v>6.4</v>
      </c>
      <c r="C39" s="17">
        <f>IF(OR(ISERROR(GETPIVOTDATA("Cover",'Cover PivotTable'!$A$4,"Site",$A39,"Year",C$1,"Transect",$B39)),GETPIVOTDATA("Cover",'Cover PivotTable'!$A$4,"Site",$A39,"Year",C$1)=""), "",GETPIVOTDATA("Cover",'Cover PivotTable'!$A$4,"Site",$A39,"Year",C$1,"Transect",$B39))</f>
        <v>0</v>
      </c>
      <c r="D39" s="17" t="str">
        <f>IF(OR(ISERROR(GETPIVOTDATA("Cover",'Cover PivotTable'!$A$4,"Site",$A39,"Year",D$1,"Transect",$B39)),GETPIVOTDATA("Cover",'Cover PivotTable'!$A$4,"Site",$A39,"Year",D$1)=""), "",GETPIVOTDATA("Cover",'Cover PivotTable'!$A$4,"Site",$A39,"Year",D$1,"Transect",$B39))</f>
        <v/>
      </c>
      <c r="E39" s="17" t="str">
        <f>IF(OR(ISERROR(GETPIVOTDATA("Cover",'Cover PivotTable'!$A$4,"Site",$A39,"Year",E$1,"Transect",$B39)),GETPIVOTDATA("Cover",'Cover PivotTable'!$A$4,"Site",$A39,"Year",E$1)=""), "",GETPIVOTDATA("Cover",'Cover PivotTable'!$A$4,"Site",$A39,"Year",E$1,"Transect",$B39))</f>
        <v/>
      </c>
      <c r="F39" s="17" t="str">
        <f>IF(OR(ISERROR(GETPIVOTDATA("Cover",'Cover PivotTable'!$A$4,"Site",$A39,"Year",F$1,"Transect",$B39)),GETPIVOTDATA("Cover",'Cover PivotTable'!$A$4,"Site",$A39,"Year",F$1)=""), "",GETPIVOTDATA("Cover",'Cover PivotTable'!$A$4,"Site",$A39,"Year",F$1,"Transect",$B39))</f>
        <v/>
      </c>
      <c r="G39" s="17" t="str">
        <f>IF(OR(ISERROR(GETPIVOTDATA("Cover",'Cover PivotTable'!$A$4,"Site",$A39,"Year",G$1,"Transect",$B39)),GETPIVOTDATA("Cover",'Cover PivotTable'!$A$4,"Site",$A39,"Year",G$1)=""), "",GETPIVOTDATA("Cover",'Cover PivotTable'!$A$4,"Site",$A39,"Year",G$1,"Transect",$B39))</f>
        <v/>
      </c>
      <c r="H39" s="17" t="str">
        <f>IF(OR(ISERROR(GETPIVOTDATA("Cover",'Cover PivotTable'!$A$4,"Site",$A39,"Year",H$1,"Transect",$B39)),GETPIVOTDATA("Cover",'Cover PivotTable'!$A$4,"Site",$A39,"Year",H$1)=""), "",GETPIVOTDATA("Cover",'Cover PivotTable'!$A$4,"Site",$A39,"Year",H$1,"Transect",$B39))</f>
        <v/>
      </c>
      <c r="I39" s="17">
        <f>IF(OR(ISERROR(GETPIVOTDATA("Cover",'Cover PivotTable'!$A$4,"Site",$A39,"Year",I$1,"Transect",$B39)),GETPIVOTDATA("Cover",'Cover PivotTable'!$A$4,"Site",$A39,"Year",I$1)=""), "",GETPIVOTDATA("Cover",'Cover PivotTable'!$A$4,"Site",$A39,"Year",I$1,"Transect",$B39))</f>
        <v>0</v>
      </c>
      <c r="J39" s="17" t="str">
        <f>IF(OR(ISERROR(GETPIVOTDATA("Cover",'Cover PivotTable'!$A$4,"Site",$A39,"Year",J$1,"Transect",$B39)),GETPIVOTDATA("Cover",'Cover PivotTable'!$A$4,"Site",$A39,"Year",J$1)=""), "",GETPIVOTDATA("Cover",'Cover PivotTable'!$A$4,"Site",$A39,"Year",J$1,"Transect",$B39))</f>
        <v/>
      </c>
      <c r="K39" s="17" t="str">
        <f>IF(OR(ISERROR(GETPIVOTDATA("Cover",'Cover PivotTable'!$A$4,"Site",$A39,"Year",K$1,"Transect",$B39)),GETPIVOTDATA("Cover",'Cover PivotTable'!$A$4,"Site",$A39,"Year",K$1)=""), "",GETPIVOTDATA("Cover",'Cover PivotTable'!$A$4,"Site",$A39,"Year",K$1,"Transect",$B39))</f>
        <v/>
      </c>
      <c r="L39" s="17">
        <f>IF(OR(ISERROR(GETPIVOTDATA("Cover",'Cover PivotTable'!$A$4,"Site",$A39,"Year",L$1,"Transect",$B39)),GETPIVOTDATA("Cover",'Cover PivotTable'!$A$4,"Site",$A39,"Year",L$1)=""), "",GETPIVOTDATA("Cover",'Cover PivotTable'!$A$4,"Site",$A39,"Year",L$1,"Transect",$B39))</f>
        <v>1.5151515151515151</v>
      </c>
      <c r="M39" s="17" t="str">
        <f>IF(OR(ISERROR(GETPIVOTDATA("Cover",'Cover PivotTable'!$A$4,"Site",$A39,"Year",M$1,"Transect",$B39)),GETPIVOTDATA("Cover",'Cover PivotTable'!$A$4,"Site",$A39,"Year",M$1)=""), "",GETPIVOTDATA("Cover",'Cover PivotTable'!$A$4,"Site",$A39,"Year",M$1,"Transect",$B39))</f>
        <v/>
      </c>
      <c r="N39" s="17">
        <f>IF(OR(ISERROR(GETPIVOTDATA("Cover",'Cover PivotTable'!$A$4,"Site",$A39,"Year",N$1,"Transect",$B39)),GETPIVOTDATA("Cover",'Cover PivotTable'!$A$4,"Site",$A39,"Year",N$1)=""), "",GETPIVOTDATA("Cover",'Cover PivotTable'!$A$4,"Site",$A39,"Year",N$1,"Transect",$B39))</f>
        <v>1</v>
      </c>
      <c r="O39" s="17">
        <f>IF(OR(ISERROR(GETPIVOTDATA("Cover",'Cover PivotTable'!$A$4,"Site",$A39,"Year",O$1,"Transect",$B39)),GETPIVOTDATA("Cover",'Cover PivotTable'!$A$4,"Site",$A39,"Year",O$1)=""), "",GETPIVOTDATA("Cover",'Cover PivotTable'!$A$4,"Site",$A39,"Year",O$1,"Transect",$B39))</f>
        <v>1</v>
      </c>
      <c r="P39" s="17">
        <f>IF(OR(ISERROR(GETPIVOTDATA("Cover",'Cover PivotTable'!$A$4,"Site",$A39,"Year",P$1,"Transect",$B39)),GETPIVOTDATA("Cover",'Cover PivotTable'!$A$4,"Site",$A39,"Year",P$1)=""), "",GETPIVOTDATA("Cover",'Cover PivotTable'!$A$4,"Site",$A39,"Year",P$1,"Transect",$B39))</f>
        <v>3</v>
      </c>
    </row>
    <row r="40" spans="1:16" x14ac:dyDescent="0.35">
      <c r="A40" t="s">
        <v>9</v>
      </c>
      <c r="B40">
        <v>6.5</v>
      </c>
      <c r="C40" s="17">
        <f>IF(OR(ISERROR(GETPIVOTDATA("Cover",'Cover PivotTable'!$A$4,"Site",$A40,"Year",C$1,"Transect",$B40)),GETPIVOTDATA("Cover",'Cover PivotTable'!$A$4,"Site",$A40,"Year",C$1)=""), "",GETPIVOTDATA("Cover",'Cover PivotTable'!$A$4,"Site",$A40,"Year",C$1,"Transect",$B40))</f>
        <v>1</v>
      </c>
      <c r="D40" s="17" t="str">
        <f>IF(OR(ISERROR(GETPIVOTDATA("Cover",'Cover PivotTable'!$A$4,"Site",$A40,"Year",D$1,"Transect",$B40)),GETPIVOTDATA("Cover",'Cover PivotTable'!$A$4,"Site",$A40,"Year",D$1)=""), "",GETPIVOTDATA("Cover",'Cover PivotTable'!$A$4,"Site",$A40,"Year",D$1,"Transect",$B40))</f>
        <v/>
      </c>
      <c r="E40" s="17" t="str">
        <f>IF(OR(ISERROR(GETPIVOTDATA("Cover",'Cover PivotTable'!$A$4,"Site",$A40,"Year",E$1,"Transect",$B40)),GETPIVOTDATA("Cover",'Cover PivotTable'!$A$4,"Site",$A40,"Year",E$1)=""), "",GETPIVOTDATA("Cover",'Cover PivotTable'!$A$4,"Site",$A40,"Year",E$1,"Transect",$B40))</f>
        <v/>
      </c>
      <c r="F40" s="17" t="str">
        <f>IF(OR(ISERROR(GETPIVOTDATA("Cover",'Cover PivotTable'!$A$4,"Site",$A40,"Year",F$1,"Transect",$B40)),GETPIVOTDATA("Cover",'Cover PivotTable'!$A$4,"Site",$A40,"Year",F$1)=""), "",GETPIVOTDATA("Cover",'Cover PivotTable'!$A$4,"Site",$A40,"Year",F$1,"Transect",$B40))</f>
        <v/>
      </c>
      <c r="G40" s="17" t="str">
        <f>IF(OR(ISERROR(GETPIVOTDATA("Cover",'Cover PivotTable'!$A$4,"Site",$A40,"Year",G$1,"Transect",$B40)),GETPIVOTDATA("Cover",'Cover PivotTable'!$A$4,"Site",$A40,"Year",G$1)=""), "",GETPIVOTDATA("Cover",'Cover PivotTable'!$A$4,"Site",$A40,"Year",G$1,"Transect",$B40))</f>
        <v/>
      </c>
      <c r="H40" s="17" t="str">
        <f>IF(OR(ISERROR(GETPIVOTDATA("Cover",'Cover PivotTable'!$A$4,"Site",$A40,"Year",H$1,"Transect",$B40)),GETPIVOTDATA("Cover",'Cover PivotTable'!$A$4,"Site",$A40,"Year",H$1)=""), "",GETPIVOTDATA("Cover",'Cover PivotTable'!$A$4,"Site",$A40,"Year",H$1,"Transect",$B40))</f>
        <v/>
      </c>
      <c r="I40" s="17">
        <f>IF(OR(ISERROR(GETPIVOTDATA("Cover",'Cover PivotTable'!$A$4,"Site",$A40,"Year",I$1,"Transect",$B40)),GETPIVOTDATA("Cover",'Cover PivotTable'!$A$4,"Site",$A40,"Year",I$1)=""), "",GETPIVOTDATA("Cover",'Cover PivotTable'!$A$4,"Site",$A40,"Year",I$1,"Transect",$B40))</f>
        <v>1.5</v>
      </c>
      <c r="J40" s="17" t="str">
        <f>IF(OR(ISERROR(GETPIVOTDATA("Cover",'Cover PivotTable'!$A$4,"Site",$A40,"Year",J$1,"Transect",$B40)),GETPIVOTDATA("Cover",'Cover PivotTable'!$A$4,"Site",$A40,"Year",J$1)=""), "",GETPIVOTDATA("Cover",'Cover PivotTable'!$A$4,"Site",$A40,"Year",J$1,"Transect",$B40))</f>
        <v/>
      </c>
      <c r="K40" s="17" t="str">
        <f>IF(OR(ISERROR(GETPIVOTDATA("Cover",'Cover PivotTable'!$A$4,"Site",$A40,"Year",K$1,"Transect",$B40)),GETPIVOTDATA("Cover",'Cover PivotTable'!$A$4,"Site",$A40,"Year",K$1)=""), "",GETPIVOTDATA("Cover",'Cover PivotTable'!$A$4,"Site",$A40,"Year",K$1,"Transect",$B40))</f>
        <v/>
      </c>
      <c r="L40" s="17">
        <f>IF(OR(ISERROR(GETPIVOTDATA("Cover",'Cover PivotTable'!$A$4,"Site",$A40,"Year",L$1,"Transect",$B40)),GETPIVOTDATA("Cover",'Cover PivotTable'!$A$4,"Site",$A40,"Year",L$1)=""), "",GETPIVOTDATA("Cover",'Cover PivotTable'!$A$4,"Site",$A40,"Year",L$1,"Transect",$B40))</f>
        <v>5.5555555555555554</v>
      </c>
      <c r="M40" s="17" t="str">
        <f>IF(OR(ISERROR(GETPIVOTDATA("Cover",'Cover PivotTable'!$A$4,"Site",$A40,"Year",M$1,"Transect",$B40)),GETPIVOTDATA("Cover",'Cover PivotTable'!$A$4,"Site",$A40,"Year",M$1)=""), "",GETPIVOTDATA("Cover",'Cover PivotTable'!$A$4,"Site",$A40,"Year",M$1,"Transect",$B40))</f>
        <v/>
      </c>
      <c r="N40" s="17">
        <f>IF(OR(ISERROR(GETPIVOTDATA("Cover",'Cover PivotTable'!$A$4,"Site",$A40,"Year",N$1,"Transect",$B40)),GETPIVOTDATA("Cover",'Cover PivotTable'!$A$4,"Site",$A40,"Year",N$1)=""), "",GETPIVOTDATA("Cover",'Cover PivotTable'!$A$4,"Site",$A40,"Year",N$1,"Transect",$B40))</f>
        <v>3.5000000000000004</v>
      </c>
      <c r="O40" s="17">
        <f>IF(OR(ISERROR(GETPIVOTDATA("Cover",'Cover PivotTable'!$A$4,"Site",$A40,"Year",O$1,"Transect",$B40)),GETPIVOTDATA("Cover",'Cover PivotTable'!$A$4,"Site",$A40,"Year",O$1)=""), "",GETPIVOTDATA("Cover",'Cover PivotTable'!$A$4,"Site",$A40,"Year",O$1,"Transect",$B40))</f>
        <v>5</v>
      </c>
      <c r="P40" s="17">
        <f>IF(OR(ISERROR(GETPIVOTDATA("Cover",'Cover PivotTable'!$A$4,"Site",$A40,"Year",P$1,"Transect",$B40)),GETPIVOTDATA("Cover",'Cover PivotTable'!$A$4,"Site",$A40,"Year",P$1)=""), "",GETPIVOTDATA("Cover",'Cover PivotTable'!$A$4,"Site",$A40,"Year",P$1,"Transect",$B40))</f>
        <v>11</v>
      </c>
    </row>
    <row r="41" spans="1:16" x14ac:dyDescent="0.35">
      <c r="A41" t="s">
        <v>9</v>
      </c>
      <c r="B41">
        <v>6.6</v>
      </c>
      <c r="C41" s="17">
        <f>IF(OR(ISERROR(GETPIVOTDATA("Cover",'Cover PivotTable'!$A$4,"Site",$A41,"Year",C$1,"Transect",$B41)),GETPIVOTDATA("Cover",'Cover PivotTable'!$A$4,"Site",$A41,"Year",C$1)=""), "",GETPIVOTDATA("Cover",'Cover PivotTable'!$A$4,"Site",$A41,"Year",C$1,"Transect",$B41))</f>
        <v>0</v>
      </c>
      <c r="D41" s="17" t="str">
        <f>IF(OR(ISERROR(GETPIVOTDATA("Cover",'Cover PivotTable'!$A$4,"Site",$A41,"Year",D$1,"Transect",$B41)),GETPIVOTDATA("Cover",'Cover PivotTable'!$A$4,"Site",$A41,"Year",D$1)=""), "",GETPIVOTDATA("Cover",'Cover PivotTable'!$A$4,"Site",$A41,"Year",D$1,"Transect",$B41))</f>
        <v/>
      </c>
      <c r="E41" s="17" t="str">
        <f>IF(OR(ISERROR(GETPIVOTDATA("Cover",'Cover PivotTable'!$A$4,"Site",$A41,"Year",E$1,"Transect",$B41)),GETPIVOTDATA("Cover",'Cover PivotTable'!$A$4,"Site",$A41,"Year",E$1)=""), "",GETPIVOTDATA("Cover",'Cover PivotTable'!$A$4,"Site",$A41,"Year",E$1,"Transect",$B41))</f>
        <v/>
      </c>
      <c r="F41" s="17" t="str">
        <f>IF(OR(ISERROR(GETPIVOTDATA("Cover",'Cover PivotTable'!$A$4,"Site",$A41,"Year",F$1,"Transect",$B41)),GETPIVOTDATA("Cover",'Cover PivotTable'!$A$4,"Site",$A41,"Year",F$1)=""), "",GETPIVOTDATA("Cover",'Cover PivotTable'!$A$4,"Site",$A41,"Year",F$1,"Transect",$B41))</f>
        <v/>
      </c>
      <c r="G41" s="17" t="str">
        <f>IF(OR(ISERROR(GETPIVOTDATA("Cover",'Cover PivotTable'!$A$4,"Site",$A41,"Year",G$1,"Transect",$B41)),GETPIVOTDATA("Cover",'Cover PivotTable'!$A$4,"Site",$A41,"Year",G$1)=""), "",GETPIVOTDATA("Cover",'Cover PivotTable'!$A$4,"Site",$A41,"Year",G$1,"Transect",$B41))</f>
        <v/>
      </c>
      <c r="H41" s="17" t="str">
        <f>IF(OR(ISERROR(GETPIVOTDATA("Cover",'Cover PivotTable'!$A$4,"Site",$A41,"Year",H$1,"Transect",$B41)),GETPIVOTDATA("Cover",'Cover PivotTable'!$A$4,"Site",$A41,"Year",H$1)=""), "",GETPIVOTDATA("Cover",'Cover PivotTable'!$A$4,"Site",$A41,"Year",H$1,"Transect",$B41))</f>
        <v/>
      </c>
      <c r="I41" s="17">
        <f>IF(OR(ISERROR(GETPIVOTDATA("Cover",'Cover PivotTable'!$A$4,"Site",$A41,"Year",I$1,"Transect",$B41)),GETPIVOTDATA("Cover",'Cover PivotTable'!$A$4,"Site",$A41,"Year",I$1)=""), "",GETPIVOTDATA("Cover",'Cover PivotTable'!$A$4,"Site",$A41,"Year",I$1,"Transect",$B41))</f>
        <v>0</v>
      </c>
      <c r="J41" s="17" t="str">
        <f>IF(OR(ISERROR(GETPIVOTDATA("Cover",'Cover PivotTable'!$A$4,"Site",$A41,"Year",J$1,"Transect",$B41)),GETPIVOTDATA("Cover",'Cover PivotTable'!$A$4,"Site",$A41,"Year",J$1)=""), "",GETPIVOTDATA("Cover",'Cover PivotTable'!$A$4,"Site",$A41,"Year",J$1,"Transect",$B41))</f>
        <v/>
      </c>
      <c r="K41" s="17" t="str">
        <f>IF(OR(ISERROR(GETPIVOTDATA("Cover",'Cover PivotTable'!$A$4,"Site",$A41,"Year",K$1,"Transect",$B41)),GETPIVOTDATA("Cover",'Cover PivotTable'!$A$4,"Site",$A41,"Year",K$1)=""), "",GETPIVOTDATA("Cover",'Cover PivotTable'!$A$4,"Site",$A41,"Year",K$1,"Transect",$B41))</f>
        <v/>
      </c>
      <c r="L41" s="17">
        <f>IF(OR(ISERROR(GETPIVOTDATA("Cover",'Cover PivotTable'!$A$4,"Site",$A41,"Year",L$1,"Transect",$B41)),GETPIVOTDATA("Cover",'Cover PivotTable'!$A$4,"Site",$A41,"Year",L$1)=""), "",GETPIVOTDATA("Cover",'Cover PivotTable'!$A$4,"Site",$A41,"Year",L$1,"Transect",$B41))</f>
        <v>0</v>
      </c>
      <c r="M41" s="17" t="str">
        <f>IF(OR(ISERROR(GETPIVOTDATA("Cover",'Cover PivotTable'!$A$4,"Site",$A41,"Year",M$1,"Transect",$B41)),GETPIVOTDATA("Cover",'Cover PivotTable'!$A$4,"Site",$A41,"Year",M$1)=""), "",GETPIVOTDATA("Cover",'Cover PivotTable'!$A$4,"Site",$A41,"Year",M$1,"Transect",$B41))</f>
        <v/>
      </c>
      <c r="N41" s="17">
        <f>IF(OR(ISERROR(GETPIVOTDATA("Cover",'Cover PivotTable'!$A$4,"Site",$A41,"Year",N$1,"Transect",$B41)),GETPIVOTDATA("Cover",'Cover PivotTable'!$A$4,"Site",$A41,"Year",N$1)=""), "",GETPIVOTDATA("Cover",'Cover PivotTable'!$A$4,"Site",$A41,"Year",N$1,"Transect",$B41))</f>
        <v>1</v>
      </c>
      <c r="O41" s="17">
        <f>IF(OR(ISERROR(GETPIVOTDATA("Cover",'Cover PivotTable'!$A$4,"Site",$A41,"Year",O$1,"Transect",$B41)),GETPIVOTDATA("Cover",'Cover PivotTable'!$A$4,"Site",$A41,"Year",O$1)=""), "",GETPIVOTDATA("Cover",'Cover PivotTable'!$A$4,"Site",$A41,"Year",O$1,"Transect",$B41))</f>
        <v>1.5</v>
      </c>
      <c r="P41" s="17">
        <f>IF(OR(ISERROR(GETPIVOTDATA("Cover",'Cover PivotTable'!$A$4,"Site",$A41,"Year",P$1,"Transect",$B41)),GETPIVOTDATA("Cover",'Cover PivotTable'!$A$4,"Site",$A41,"Year",P$1)=""), "",GETPIVOTDATA("Cover",'Cover PivotTable'!$A$4,"Site",$A41,"Year",P$1,"Transect",$B41))</f>
        <v>4.5</v>
      </c>
    </row>
    <row r="42" spans="1:16" x14ac:dyDescent="0.35">
      <c r="A42" t="s">
        <v>9</v>
      </c>
      <c r="B42">
        <v>6.7</v>
      </c>
      <c r="C42" s="17">
        <f>IF(OR(ISERROR(GETPIVOTDATA("Cover",'Cover PivotTable'!$A$4,"Site",$A42,"Year",C$1,"Transect",$B42)),GETPIVOTDATA("Cover",'Cover PivotTable'!$A$4,"Site",$A42,"Year",C$1)=""), "",GETPIVOTDATA("Cover",'Cover PivotTable'!$A$4,"Site",$A42,"Year",C$1,"Transect",$B42))</f>
        <v>0.5</v>
      </c>
      <c r="D42" s="17" t="str">
        <f>IF(OR(ISERROR(GETPIVOTDATA("Cover",'Cover PivotTable'!$A$4,"Site",$A42,"Year",D$1,"Transect",$B42)),GETPIVOTDATA("Cover",'Cover PivotTable'!$A$4,"Site",$A42,"Year",D$1)=""), "",GETPIVOTDATA("Cover",'Cover PivotTable'!$A$4,"Site",$A42,"Year",D$1,"Transect",$B42))</f>
        <v/>
      </c>
      <c r="E42" s="17" t="str">
        <f>IF(OR(ISERROR(GETPIVOTDATA("Cover",'Cover PivotTable'!$A$4,"Site",$A42,"Year",E$1,"Transect",$B42)),GETPIVOTDATA("Cover",'Cover PivotTable'!$A$4,"Site",$A42,"Year",E$1)=""), "",GETPIVOTDATA("Cover",'Cover PivotTable'!$A$4,"Site",$A42,"Year",E$1,"Transect",$B42))</f>
        <v/>
      </c>
      <c r="F42" s="17" t="str">
        <f>IF(OR(ISERROR(GETPIVOTDATA("Cover",'Cover PivotTable'!$A$4,"Site",$A42,"Year",F$1,"Transect",$B42)),GETPIVOTDATA("Cover",'Cover PivotTable'!$A$4,"Site",$A42,"Year",F$1)=""), "",GETPIVOTDATA("Cover",'Cover PivotTable'!$A$4,"Site",$A42,"Year",F$1,"Transect",$B42))</f>
        <v/>
      </c>
      <c r="G42" s="17" t="str">
        <f>IF(OR(ISERROR(GETPIVOTDATA("Cover",'Cover PivotTable'!$A$4,"Site",$A42,"Year",G$1,"Transect",$B42)),GETPIVOTDATA("Cover",'Cover PivotTable'!$A$4,"Site",$A42,"Year",G$1)=""), "",GETPIVOTDATA("Cover",'Cover PivotTable'!$A$4,"Site",$A42,"Year",G$1,"Transect",$B42))</f>
        <v/>
      </c>
      <c r="H42" s="17" t="str">
        <f>IF(OR(ISERROR(GETPIVOTDATA("Cover",'Cover PivotTable'!$A$4,"Site",$A42,"Year",H$1,"Transect",$B42)),GETPIVOTDATA("Cover",'Cover PivotTable'!$A$4,"Site",$A42,"Year",H$1)=""), "",GETPIVOTDATA("Cover",'Cover PivotTable'!$A$4,"Site",$A42,"Year",H$1,"Transect",$B42))</f>
        <v/>
      </c>
      <c r="I42" s="17">
        <f>IF(OR(ISERROR(GETPIVOTDATA("Cover",'Cover PivotTable'!$A$4,"Site",$A42,"Year",I$1,"Transect",$B42)),GETPIVOTDATA("Cover",'Cover PivotTable'!$A$4,"Site",$A42,"Year",I$1)=""), "",GETPIVOTDATA("Cover",'Cover PivotTable'!$A$4,"Site",$A42,"Year",I$1,"Transect",$B42))</f>
        <v>0</v>
      </c>
      <c r="J42" s="17" t="str">
        <f>IF(OR(ISERROR(GETPIVOTDATA("Cover",'Cover PivotTable'!$A$4,"Site",$A42,"Year",J$1,"Transect",$B42)),GETPIVOTDATA("Cover",'Cover PivotTable'!$A$4,"Site",$A42,"Year",J$1)=""), "",GETPIVOTDATA("Cover",'Cover PivotTable'!$A$4,"Site",$A42,"Year",J$1,"Transect",$B42))</f>
        <v/>
      </c>
      <c r="K42" s="17" t="str">
        <f>IF(OR(ISERROR(GETPIVOTDATA("Cover",'Cover PivotTable'!$A$4,"Site",$A42,"Year",K$1,"Transect",$B42)),GETPIVOTDATA("Cover",'Cover PivotTable'!$A$4,"Site",$A42,"Year",K$1)=""), "",GETPIVOTDATA("Cover",'Cover PivotTable'!$A$4,"Site",$A42,"Year",K$1,"Transect",$B42))</f>
        <v/>
      </c>
      <c r="L42" s="17">
        <f>IF(OR(ISERROR(GETPIVOTDATA("Cover",'Cover PivotTable'!$A$4,"Site",$A42,"Year",L$1,"Transect",$B42)),GETPIVOTDATA("Cover",'Cover PivotTable'!$A$4,"Site",$A42,"Year",L$1)=""), "",GETPIVOTDATA("Cover",'Cover PivotTable'!$A$4,"Site",$A42,"Year",L$1,"Transect",$B42))</f>
        <v>2.5252525252525251</v>
      </c>
      <c r="M42" s="17" t="str">
        <f>IF(OR(ISERROR(GETPIVOTDATA("Cover",'Cover PivotTable'!$A$4,"Site",$A42,"Year",M$1,"Transect",$B42)),GETPIVOTDATA("Cover",'Cover PivotTable'!$A$4,"Site",$A42,"Year",M$1)=""), "",GETPIVOTDATA("Cover",'Cover PivotTable'!$A$4,"Site",$A42,"Year",M$1,"Transect",$B42))</f>
        <v/>
      </c>
      <c r="N42" s="17">
        <f>IF(OR(ISERROR(GETPIVOTDATA("Cover",'Cover PivotTable'!$A$4,"Site",$A42,"Year",N$1,"Transect",$B42)),GETPIVOTDATA("Cover",'Cover PivotTable'!$A$4,"Site",$A42,"Year",N$1)=""), "",GETPIVOTDATA("Cover",'Cover PivotTable'!$A$4,"Site",$A42,"Year",N$1,"Transect",$B42))</f>
        <v>1.5</v>
      </c>
      <c r="O42" s="17">
        <f>IF(OR(ISERROR(GETPIVOTDATA("Cover",'Cover PivotTable'!$A$4,"Site",$A42,"Year",O$1,"Transect",$B42)),GETPIVOTDATA("Cover",'Cover PivotTable'!$A$4,"Site",$A42,"Year",O$1)=""), "",GETPIVOTDATA("Cover",'Cover PivotTable'!$A$4,"Site",$A42,"Year",O$1,"Transect",$B42))</f>
        <v>6</v>
      </c>
      <c r="P42" s="17">
        <f>IF(OR(ISERROR(GETPIVOTDATA("Cover",'Cover PivotTable'!$A$4,"Site",$A42,"Year",P$1,"Transect",$B42)),GETPIVOTDATA("Cover",'Cover PivotTable'!$A$4,"Site",$A42,"Year",P$1)=""), "",GETPIVOTDATA("Cover",'Cover PivotTable'!$A$4,"Site",$A42,"Year",P$1,"Transect",$B42))</f>
        <v>7.5</v>
      </c>
    </row>
    <row r="43" spans="1:16" x14ac:dyDescent="0.35">
      <c r="A43" t="s">
        <v>9</v>
      </c>
      <c r="B43">
        <v>7.1</v>
      </c>
      <c r="C43" s="17">
        <f>IF(OR(ISERROR(GETPIVOTDATA("Cover",'Cover PivotTable'!$A$4,"Site",$A43,"Year",C$1,"Transect",$B43)),GETPIVOTDATA("Cover",'Cover PivotTable'!$A$4,"Site",$A43,"Year",C$1)=""), "",GETPIVOTDATA("Cover",'Cover PivotTable'!$A$4,"Site",$A43,"Year",C$1,"Transect",$B43))</f>
        <v>0.5</v>
      </c>
      <c r="D43" s="17" t="str">
        <f>IF(OR(ISERROR(GETPIVOTDATA("Cover",'Cover PivotTable'!$A$4,"Site",$A43,"Year",D$1,"Transect",$B43)),GETPIVOTDATA("Cover",'Cover PivotTable'!$A$4,"Site",$A43,"Year",D$1)=""), "",GETPIVOTDATA("Cover",'Cover PivotTable'!$A$4,"Site",$A43,"Year",D$1,"Transect",$B43))</f>
        <v/>
      </c>
      <c r="E43" s="17" t="str">
        <f>IF(OR(ISERROR(GETPIVOTDATA("Cover",'Cover PivotTable'!$A$4,"Site",$A43,"Year",E$1,"Transect",$B43)),GETPIVOTDATA("Cover",'Cover PivotTable'!$A$4,"Site",$A43,"Year",E$1)=""), "",GETPIVOTDATA("Cover",'Cover PivotTable'!$A$4,"Site",$A43,"Year",E$1,"Transect",$B43))</f>
        <v/>
      </c>
      <c r="F43" s="17" t="str">
        <f>IF(OR(ISERROR(GETPIVOTDATA("Cover",'Cover PivotTable'!$A$4,"Site",$A43,"Year",F$1,"Transect",$B43)),GETPIVOTDATA("Cover",'Cover PivotTable'!$A$4,"Site",$A43,"Year",F$1)=""), "",GETPIVOTDATA("Cover",'Cover PivotTable'!$A$4,"Site",$A43,"Year",F$1,"Transect",$B43))</f>
        <v/>
      </c>
      <c r="G43" s="17" t="str">
        <f>IF(OR(ISERROR(GETPIVOTDATA("Cover",'Cover PivotTable'!$A$4,"Site",$A43,"Year",G$1,"Transect",$B43)),GETPIVOTDATA("Cover",'Cover PivotTable'!$A$4,"Site",$A43,"Year",G$1)=""), "",GETPIVOTDATA("Cover",'Cover PivotTable'!$A$4,"Site",$A43,"Year",G$1,"Transect",$B43))</f>
        <v/>
      </c>
      <c r="H43" s="17" t="str">
        <f>IF(OR(ISERROR(GETPIVOTDATA("Cover",'Cover PivotTable'!$A$4,"Site",$A43,"Year",H$1,"Transect",$B43)),GETPIVOTDATA("Cover",'Cover PivotTable'!$A$4,"Site",$A43,"Year",H$1)=""), "",GETPIVOTDATA("Cover",'Cover PivotTable'!$A$4,"Site",$A43,"Year",H$1,"Transect",$B43))</f>
        <v/>
      </c>
      <c r="I43" s="17">
        <f>IF(OR(ISERROR(GETPIVOTDATA("Cover",'Cover PivotTable'!$A$4,"Site",$A43,"Year",I$1,"Transect",$B43)),GETPIVOTDATA("Cover",'Cover PivotTable'!$A$4,"Site",$A43,"Year",I$1)=""), "",GETPIVOTDATA("Cover",'Cover PivotTable'!$A$4,"Site",$A43,"Year",I$1,"Transect",$B43))</f>
        <v>0</v>
      </c>
      <c r="J43" s="17" t="str">
        <f>IF(OR(ISERROR(GETPIVOTDATA("Cover",'Cover PivotTable'!$A$4,"Site",$A43,"Year",J$1,"Transect",$B43)),GETPIVOTDATA("Cover",'Cover PivotTable'!$A$4,"Site",$A43,"Year",J$1)=""), "",GETPIVOTDATA("Cover",'Cover PivotTable'!$A$4,"Site",$A43,"Year",J$1,"Transect",$B43))</f>
        <v/>
      </c>
      <c r="K43" s="17" t="str">
        <f>IF(OR(ISERROR(GETPIVOTDATA("Cover",'Cover PivotTable'!$A$4,"Site",$A43,"Year",K$1,"Transect",$B43)),GETPIVOTDATA("Cover",'Cover PivotTable'!$A$4,"Site",$A43,"Year",K$1)=""), "",GETPIVOTDATA("Cover",'Cover PivotTable'!$A$4,"Site",$A43,"Year",K$1,"Transect",$B43))</f>
        <v/>
      </c>
      <c r="L43" s="17">
        <f>IF(OR(ISERROR(GETPIVOTDATA("Cover",'Cover PivotTable'!$A$4,"Site",$A43,"Year",L$1,"Transect",$B43)),GETPIVOTDATA("Cover",'Cover PivotTable'!$A$4,"Site",$A43,"Year",L$1)=""), "",GETPIVOTDATA("Cover",'Cover PivotTable'!$A$4,"Site",$A43,"Year",L$1,"Transect",$B43))</f>
        <v>0</v>
      </c>
      <c r="M43" s="17" t="str">
        <f>IF(OR(ISERROR(GETPIVOTDATA("Cover",'Cover PivotTable'!$A$4,"Site",$A43,"Year",M$1,"Transect",$B43)),GETPIVOTDATA("Cover",'Cover PivotTable'!$A$4,"Site",$A43,"Year",M$1)=""), "",GETPIVOTDATA("Cover",'Cover PivotTable'!$A$4,"Site",$A43,"Year",M$1,"Transect",$B43))</f>
        <v/>
      </c>
      <c r="N43" s="17">
        <f>IF(OR(ISERROR(GETPIVOTDATA("Cover",'Cover PivotTable'!$A$4,"Site",$A43,"Year",N$1,"Transect",$B43)),GETPIVOTDATA("Cover",'Cover PivotTable'!$A$4,"Site",$A43,"Year",N$1)=""), "",GETPIVOTDATA("Cover",'Cover PivotTable'!$A$4,"Site",$A43,"Year",N$1,"Transect",$B43))</f>
        <v>0</v>
      </c>
      <c r="O43" s="17">
        <f>IF(OR(ISERROR(GETPIVOTDATA("Cover",'Cover PivotTable'!$A$4,"Site",$A43,"Year",O$1,"Transect",$B43)),GETPIVOTDATA("Cover",'Cover PivotTable'!$A$4,"Site",$A43,"Year",O$1)=""), "",GETPIVOTDATA("Cover",'Cover PivotTable'!$A$4,"Site",$A43,"Year",O$1,"Transect",$B43))</f>
        <v>0</v>
      </c>
      <c r="P43" s="17">
        <f>IF(OR(ISERROR(GETPIVOTDATA("Cover",'Cover PivotTable'!$A$4,"Site",$A43,"Year",P$1,"Transect",$B43)),GETPIVOTDATA("Cover",'Cover PivotTable'!$A$4,"Site",$A43,"Year",P$1)=""), "",GETPIVOTDATA("Cover",'Cover PivotTable'!$A$4,"Site",$A43,"Year",P$1,"Transect",$B43))</f>
        <v>3.5000000000000004</v>
      </c>
    </row>
    <row r="44" spans="1:16" x14ac:dyDescent="0.35">
      <c r="A44" t="s">
        <v>9</v>
      </c>
      <c r="B44">
        <v>7.2</v>
      </c>
      <c r="C44" s="17">
        <f>IF(OR(ISERROR(GETPIVOTDATA("Cover",'Cover PivotTable'!$A$4,"Site",$A44,"Year",C$1,"Transect",$B44)),GETPIVOTDATA("Cover",'Cover PivotTable'!$A$4,"Site",$A44,"Year",C$1)=""), "",GETPIVOTDATA("Cover",'Cover PivotTable'!$A$4,"Site",$A44,"Year",C$1,"Transect",$B44))</f>
        <v>3</v>
      </c>
      <c r="D44" s="17" t="str">
        <f>IF(OR(ISERROR(GETPIVOTDATA("Cover",'Cover PivotTable'!$A$4,"Site",$A44,"Year",D$1,"Transect",$B44)),GETPIVOTDATA("Cover",'Cover PivotTable'!$A$4,"Site",$A44,"Year",D$1)=""), "",GETPIVOTDATA("Cover",'Cover PivotTable'!$A$4,"Site",$A44,"Year",D$1,"Transect",$B44))</f>
        <v/>
      </c>
      <c r="E44" s="17" t="str">
        <f>IF(OR(ISERROR(GETPIVOTDATA("Cover",'Cover PivotTable'!$A$4,"Site",$A44,"Year",E$1,"Transect",$B44)),GETPIVOTDATA("Cover",'Cover PivotTable'!$A$4,"Site",$A44,"Year",E$1)=""), "",GETPIVOTDATA("Cover",'Cover PivotTable'!$A$4,"Site",$A44,"Year",E$1,"Transect",$B44))</f>
        <v/>
      </c>
      <c r="F44" s="17" t="str">
        <f>IF(OR(ISERROR(GETPIVOTDATA("Cover",'Cover PivotTable'!$A$4,"Site",$A44,"Year",F$1,"Transect",$B44)),GETPIVOTDATA("Cover",'Cover PivotTable'!$A$4,"Site",$A44,"Year",F$1)=""), "",GETPIVOTDATA("Cover",'Cover PivotTable'!$A$4,"Site",$A44,"Year",F$1,"Transect",$B44))</f>
        <v/>
      </c>
      <c r="G44" s="17" t="str">
        <f>IF(OR(ISERROR(GETPIVOTDATA("Cover",'Cover PivotTable'!$A$4,"Site",$A44,"Year",G$1,"Transect",$B44)),GETPIVOTDATA("Cover",'Cover PivotTable'!$A$4,"Site",$A44,"Year",G$1)=""), "",GETPIVOTDATA("Cover",'Cover PivotTable'!$A$4,"Site",$A44,"Year",G$1,"Transect",$B44))</f>
        <v/>
      </c>
      <c r="H44" s="17" t="str">
        <f>IF(OR(ISERROR(GETPIVOTDATA("Cover",'Cover PivotTable'!$A$4,"Site",$A44,"Year",H$1,"Transect",$B44)),GETPIVOTDATA("Cover",'Cover PivotTable'!$A$4,"Site",$A44,"Year",H$1)=""), "",GETPIVOTDATA("Cover",'Cover PivotTable'!$A$4,"Site",$A44,"Year",H$1,"Transect",$B44))</f>
        <v/>
      </c>
      <c r="I44" s="17">
        <f>IF(OR(ISERROR(GETPIVOTDATA("Cover",'Cover PivotTable'!$A$4,"Site",$A44,"Year",I$1,"Transect",$B44)),GETPIVOTDATA("Cover",'Cover PivotTable'!$A$4,"Site",$A44,"Year",I$1)=""), "",GETPIVOTDATA("Cover",'Cover PivotTable'!$A$4,"Site",$A44,"Year",I$1,"Transect",$B44))</f>
        <v>2</v>
      </c>
      <c r="J44" s="17" t="str">
        <f>IF(OR(ISERROR(GETPIVOTDATA("Cover",'Cover PivotTable'!$A$4,"Site",$A44,"Year",J$1,"Transect",$B44)),GETPIVOTDATA("Cover",'Cover PivotTable'!$A$4,"Site",$A44,"Year",J$1)=""), "",GETPIVOTDATA("Cover",'Cover PivotTable'!$A$4,"Site",$A44,"Year",J$1,"Transect",$B44))</f>
        <v/>
      </c>
      <c r="K44" s="17" t="str">
        <f>IF(OR(ISERROR(GETPIVOTDATA("Cover",'Cover PivotTable'!$A$4,"Site",$A44,"Year",K$1,"Transect",$B44)),GETPIVOTDATA("Cover",'Cover PivotTable'!$A$4,"Site",$A44,"Year",K$1)=""), "",GETPIVOTDATA("Cover",'Cover PivotTable'!$A$4,"Site",$A44,"Year",K$1,"Transect",$B44))</f>
        <v/>
      </c>
      <c r="L44" s="17">
        <f>IF(OR(ISERROR(GETPIVOTDATA("Cover",'Cover PivotTable'!$A$4,"Site",$A44,"Year",L$1,"Transect",$B44)),GETPIVOTDATA("Cover",'Cover PivotTable'!$A$4,"Site",$A44,"Year",L$1)=""), "",GETPIVOTDATA("Cover",'Cover PivotTable'!$A$4,"Site",$A44,"Year",L$1,"Transect",$B44))</f>
        <v>1.5</v>
      </c>
      <c r="M44" s="17" t="str">
        <f>IF(OR(ISERROR(GETPIVOTDATA("Cover",'Cover PivotTable'!$A$4,"Site",$A44,"Year",M$1,"Transect",$B44)),GETPIVOTDATA("Cover",'Cover PivotTable'!$A$4,"Site",$A44,"Year",M$1)=""), "",GETPIVOTDATA("Cover",'Cover PivotTable'!$A$4,"Site",$A44,"Year",M$1,"Transect",$B44))</f>
        <v/>
      </c>
      <c r="N44" s="17">
        <f>IF(OR(ISERROR(GETPIVOTDATA("Cover",'Cover PivotTable'!$A$4,"Site",$A44,"Year",N$1,"Transect",$B44)),GETPIVOTDATA("Cover",'Cover PivotTable'!$A$4,"Site",$A44,"Year",N$1)=""), "",GETPIVOTDATA("Cover",'Cover PivotTable'!$A$4,"Site",$A44,"Year",N$1,"Transect",$B44))</f>
        <v>0.5</v>
      </c>
      <c r="O44" s="17">
        <f>IF(OR(ISERROR(GETPIVOTDATA("Cover",'Cover PivotTable'!$A$4,"Site",$A44,"Year",O$1,"Transect",$B44)),GETPIVOTDATA("Cover",'Cover PivotTable'!$A$4,"Site",$A44,"Year",O$1)=""), "",GETPIVOTDATA("Cover",'Cover PivotTable'!$A$4,"Site",$A44,"Year",O$1,"Transect",$B44))</f>
        <v>0</v>
      </c>
      <c r="P44" s="17">
        <f>IF(OR(ISERROR(GETPIVOTDATA("Cover",'Cover PivotTable'!$A$4,"Site",$A44,"Year",P$1,"Transect",$B44)),GETPIVOTDATA("Cover",'Cover PivotTable'!$A$4,"Site",$A44,"Year",P$1)=""), "",GETPIVOTDATA("Cover",'Cover PivotTable'!$A$4,"Site",$A44,"Year",P$1,"Transect",$B44))</f>
        <v>8.5</v>
      </c>
    </row>
    <row r="45" spans="1:16" x14ac:dyDescent="0.35">
      <c r="A45" t="s">
        <v>9</v>
      </c>
      <c r="B45">
        <v>7.3</v>
      </c>
      <c r="C45" s="17">
        <f>IF(OR(ISERROR(GETPIVOTDATA("Cover",'Cover PivotTable'!$A$4,"Site",$A45,"Year",C$1,"Transect",$B45)),GETPIVOTDATA("Cover",'Cover PivotTable'!$A$4,"Site",$A45,"Year",C$1)=""), "",GETPIVOTDATA("Cover",'Cover PivotTable'!$A$4,"Site",$A45,"Year",C$1,"Transect",$B45))</f>
        <v>2.5</v>
      </c>
      <c r="D45" s="17" t="str">
        <f>IF(OR(ISERROR(GETPIVOTDATA("Cover",'Cover PivotTable'!$A$4,"Site",$A45,"Year",D$1,"Transect",$B45)),GETPIVOTDATA("Cover",'Cover PivotTable'!$A$4,"Site",$A45,"Year",D$1)=""), "",GETPIVOTDATA("Cover",'Cover PivotTable'!$A$4,"Site",$A45,"Year",D$1,"Transect",$B45))</f>
        <v/>
      </c>
      <c r="E45" s="17" t="str">
        <f>IF(OR(ISERROR(GETPIVOTDATA("Cover",'Cover PivotTable'!$A$4,"Site",$A45,"Year",E$1,"Transect",$B45)),GETPIVOTDATA("Cover",'Cover PivotTable'!$A$4,"Site",$A45,"Year",E$1)=""), "",GETPIVOTDATA("Cover",'Cover PivotTable'!$A$4,"Site",$A45,"Year",E$1,"Transect",$B45))</f>
        <v/>
      </c>
      <c r="F45" s="17" t="str">
        <f>IF(OR(ISERROR(GETPIVOTDATA("Cover",'Cover PivotTable'!$A$4,"Site",$A45,"Year",F$1,"Transect",$B45)),GETPIVOTDATA("Cover",'Cover PivotTable'!$A$4,"Site",$A45,"Year",F$1)=""), "",GETPIVOTDATA("Cover",'Cover PivotTable'!$A$4,"Site",$A45,"Year",F$1,"Transect",$B45))</f>
        <v/>
      </c>
      <c r="G45" s="17" t="str">
        <f>IF(OR(ISERROR(GETPIVOTDATA("Cover",'Cover PivotTable'!$A$4,"Site",$A45,"Year",G$1,"Transect",$B45)),GETPIVOTDATA("Cover",'Cover PivotTable'!$A$4,"Site",$A45,"Year",G$1)=""), "",GETPIVOTDATA("Cover",'Cover PivotTable'!$A$4,"Site",$A45,"Year",G$1,"Transect",$B45))</f>
        <v/>
      </c>
      <c r="H45" s="17" t="str">
        <f>IF(OR(ISERROR(GETPIVOTDATA("Cover",'Cover PivotTable'!$A$4,"Site",$A45,"Year",H$1,"Transect",$B45)),GETPIVOTDATA("Cover",'Cover PivotTable'!$A$4,"Site",$A45,"Year",H$1)=""), "",GETPIVOTDATA("Cover",'Cover PivotTable'!$A$4,"Site",$A45,"Year",H$1,"Transect",$B45))</f>
        <v/>
      </c>
      <c r="I45" s="17">
        <f>IF(OR(ISERROR(GETPIVOTDATA("Cover",'Cover PivotTable'!$A$4,"Site",$A45,"Year",I$1,"Transect",$B45)),GETPIVOTDATA("Cover",'Cover PivotTable'!$A$4,"Site",$A45,"Year",I$1)=""), "",GETPIVOTDATA("Cover",'Cover PivotTable'!$A$4,"Site",$A45,"Year",I$1,"Transect",$B45))</f>
        <v>3.5</v>
      </c>
      <c r="J45" s="17" t="str">
        <f>IF(OR(ISERROR(GETPIVOTDATA("Cover",'Cover PivotTable'!$A$4,"Site",$A45,"Year",J$1,"Transect",$B45)),GETPIVOTDATA("Cover",'Cover PivotTable'!$A$4,"Site",$A45,"Year",J$1)=""), "",GETPIVOTDATA("Cover",'Cover PivotTable'!$A$4,"Site",$A45,"Year",J$1,"Transect",$B45))</f>
        <v/>
      </c>
      <c r="K45" s="17" t="str">
        <f>IF(OR(ISERROR(GETPIVOTDATA("Cover",'Cover PivotTable'!$A$4,"Site",$A45,"Year",K$1,"Transect",$B45)),GETPIVOTDATA("Cover",'Cover PivotTable'!$A$4,"Site",$A45,"Year",K$1)=""), "",GETPIVOTDATA("Cover",'Cover PivotTable'!$A$4,"Site",$A45,"Year",K$1,"Transect",$B45))</f>
        <v/>
      </c>
      <c r="L45" s="17">
        <f>IF(OR(ISERROR(GETPIVOTDATA("Cover",'Cover PivotTable'!$A$4,"Site",$A45,"Year",L$1,"Transect",$B45)),GETPIVOTDATA("Cover",'Cover PivotTable'!$A$4,"Site",$A45,"Year",L$1)=""), "",GETPIVOTDATA("Cover",'Cover PivotTable'!$A$4,"Site",$A45,"Year",L$1,"Transect",$B45))</f>
        <v>1.5</v>
      </c>
      <c r="M45" s="17" t="str">
        <f>IF(OR(ISERROR(GETPIVOTDATA("Cover",'Cover PivotTable'!$A$4,"Site",$A45,"Year",M$1,"Transect",$B45)),GETPIVOTDATA("Cover",'Cover PivotTable'!$A$4,"Site",$A45,"Year",M$1)=""), "",GETPIVOTDATA("Cover",'Cover PivotTable'!$A$4,"Site",$A45,"Year",M$1,"Transect",$B45))</f>
        <v/>
      </c>
      <c r="N45" s="17">
        <f>IF(OR(ISERROR(GETPIVOTDATA("Cover",'Cover PivotTable'!$A$4,"Site",$A45,"Year",N$1,"Transect",$B45)),GETPIVOTDATA("Cover",'Cover PivotTable'!$A$4,"Site",$A45,"Year",N$1)=""), "",GETPIVOTDATA("Cover",'Cover PivotTable'!$A$4,"Site",$A45,"Year",N$1,"Transect",$B45))</f>
        <v>0.5</v>
      </c>
      <c r="O45" s="17">
        <f>IF(OR(ISERROR(GETPIVOTDATA("Cover",'Cover PivotTable'!$A$4,"Site",$A45,"Year",O$1,"Transect",$B45)),GETPIVOTDATA("Cover",'Cover PivotTable'!$A$4,"Site",$A45,"Year",O$1)=""), "",GETPIVOTDATA("Cover",'Cover PivotTable'!$A$4,"Site",$A45,"Year",O$1,"Transect",$B45))</f>
        <v>0</v>
      </c>
      <c r="P45" s="17">
        <f>IF(OR(ISERROR(GETPIVOTDATA("Cover",'Cover PivotTable'!$A$4,"Site",$A45,"Year",P$1,"Transect",$B45)),GETPIVOTDATA("Cover",'Cover PivotTable'!$A$4,"Site",$A45,"Year",P$1)=""), "",GETPIVOTDATA("Cover",'Cover PivotTable'!$A$4,"Site",$A45,"Year",P$1,"Transect",$B45))</f>
        <v>3</v>
      </c>
    </row>
    <row r="46" spans="1:16" x14ac:dyDescent="0.35">
      <c r="A46" t="s">
        <v>9</v>
      </c>
      <c r="B46">
        <v>7.4</v>
      </c>
      <c r="C46" s="17">
        <f>IF(OR(ISERROR(GETPIVOTDATA("Cover",'Cover PivotTable'!$A$4,"Site",$A46,"Year",C$1,"Transect",$B46)),GETPIVOTDATA("Cover",'Cover PivotTable'!$A$4,"Site",$A46,"Year",C$1)=""), "",GETPIVOTDATA("Cover",'Cover PivotTable'!$A$4,"Site",$A46,"Year",C$1,"Transect",$B46))</f>
        <v>0</v>
      </c>
      <c r="D46" s="17" t="str">
        <f>IF(OR(ISERROR(GETPIVOTDATA("Cover",'Cover PivotTable'!$A$4,"Site",$A46,"Year",D$1,"Transect",$B46)),GETPIVOTDATA("Cover",'Cover PivotTable'!$A$4,"Site",$A46,"Year",D$1)=""), "",GETPIVOTDATA("Cover",'Cover PivotTable'!$A$4,"Site",$A46,"Year",D$1,"Transect",$B46))</f>
        <v/>
      </c>
      <c r="E46" s="17" t="str">
        <f>IF(OR(ISERROR(GETPIVOTDATA("Cover",'Cover PivotTable'!$A$4,"Site",$A46,"Year",E$1,"Transect",$B46)),GETPIVOTDATA("Cover",'Cover PivotTable'!$A$4,"Site",$A46,"Year",E$1)=""), "",GETPIVOTDATA("Cover",'Cover PivotTable'!$A$4,"Site",$A46,"Year",E$1,"Transect",$B46))</f>
        <v/>
      </c>
      <c r="F46" s="17" t="str">
        <f>IF(OR(ISERROR(GETPIVOTDATA("Cover",'Cover PivotTable'!$A$4,"Site",$A46,"Year",F$1,"Transect",$B46)),GETPIVOTDATA("Cover",'Cover PivotTable'!$A$4,"Site",$A46,"Year",F$1)=""), "",GETPIVOTDATA("Cover",'Cover PivotTable'!$A$4,"Site",$A46,"Year",F$1,"Transect",$B46))</f>
        <v/>
      </c>
      <c r="G46" s="17" t="str">
        <f>IF(OR(ISERROR(GETPIVOTDATA("Cover",'Cover PivotTable'!$A$4,"Site",$A46,"Year",G$1,"Transect",$B46)),GETPIVOTDATA("Cover",'Cover PivotTable'!$A$4,"Site",$A46,"Year",G$1)=""), "",GETPIVOTDATA("Cover",'Cover PivotTable'!$A$4,"Site",$A46,"Year",G$1,"Transect",$B46))</f>
        <v/>
      </c>
      <c r="H46" s="17" t="str">
        <f>IF(OR(ISERROR(GETPIVOTDATA("Cover",'Cover PivotTable'!$A$4,"Site",$A46,"Year",H$1,"Transect",$B46)),GETPIVOTDATA("Cover",'Cover PivotTable'!$A$4,"Site",$A46,"Year",H$1)=""), "",GETPIVOTDATA("Cover",'Cover PivotTable'!$A$4,"Site",$A46,"Year",H$1,"Transect",$B46))</f>
        <v/>
      </c>
      <c r="I46" s="17">
        <f>IF(OR(ISERROR(GETPIVOTDATA("Cover",'Cover PivotTable'!$A$4,"Site",$A46,"Year",I$1,"Transect",$B46)),GETPIVOTDATA("Cover",'Cover PivotTable'!$A$4,"Site",$A46,"Year",I$1)=""), "",GETPIVOTDATA("Cover",'Cover PivotTable'!$A$4,"Site",$A46,"Year",I$1,"Transect",$B46))</f>
        <v>0</v>
      </c>
      <c r="J46" s="17" t="str">
        <f>IF(OR(ISERROR(GETPIVOTDATA("Cover",'Cover PivotTable'!$A$4,"Site",$A46,"Year",J$1,"Transect",$B46)),GETPIVOTDATA("Cover",'Cover PivotTable'!$A$4,"Site",$A46,"Year",J$1)=""), "",GETPIVOTDATA("Cover",'Cover PivotTable'!$A$4,"Site",$A46,"Year",J$1,"Transect",$B46))</f>
        <v/>
      </c>
      <c r="K46" s="17" t="str">
        <f>IF(OR(ISERROR(GETPIVOTDATA("Cover",'Cover PivotTable'!$A$4,"Site",$A46,"Year",K$1,"Transect",$B46)),GETPIVOTDATA("Cover",'Cover PivotTable'!$A$4,"Site",$A46,"Year",K$1)=""), "",GETPIVOTDATA("Cover",'Cover PivotTable'!$A$4,"Site",$A46,"Year",K$1,"Transect",$B46))</f>
        <v/>
      </c>
      <c r="L46" s="17">
        <f>IF(OR(ISERROR(GETPIVOTDATA("Cover",'Cover PivotTable'!$A$4,"Site",$A46,"Year",L$1,"Transect",$B46)),GETPIVOTDATA("Cover",'Cover PivotTable'!$A$4,"Site",$A46,"Year",L$1)=""), "",GETPIVOTDATA("Cover",'Cover PivotTable'!$A$4,"Site",$A46,"Year",L$1,"Transect",$B46))</f>
        <v>0.5</v>
      </c>
      <c r="M46" s="17" t="str">
        <f>IF(OR(ISERROR(GETPIVOTDATA("Cover",'Cover PivotTable'!$A$4,"Site",$A46,"Year",M$1,"Transect",$B46)),GETPIVOTDATA("Cover",'Cover PivotTable'!$A$4,"Site",$A46,"Year",M$1)=""), "",GETPIVOTDATA("Cover",'Cover PivotTable'!$A$4,"Site",$A46,"Year",M$1,"Transect",$B46))</f>
        <v/>
      </c>
      <c r="N46" s="17">
        <f>IF(OR(ISERROR(GETPIVOTDATA("Cover",'Cover PivotTable'!$A$4,"Site",$A46,"Year",N$1,"Transect",$B46)),GETPIVOTDATA("Cover",'Cover PivotTable'!$A$4,"Site",$A46,"Year",N$1)=""), "",GETPIVOTDATA("Cover",'Cover PivotTable'!$A$4,"Site",$A46,"Year",N$1,"Transect",$B46))</f>
        <v>0.5</v>
      </c>
      <c r="O46" s="17">
        <f>IF(OR(ISERROR(GETPIVOTDATA("Cover",'Cover PivotTable'!$A$4,"Site",$A46,"Year",O$1,"Transect",$B46)),GETPIVOTDATA("Cover",'Cover PivotTable'!$A$4,"Site",$A46,"Year",O$1)=""), "",GETPIVOTDATA("Cover",'Cover PivotTable'!$A$4,"Site",$A46,"Year",O$1,"Transect",$B46))</f>
        <v>0</v>
      </c>
      <c r="P46" s="17">
        <f>IF(OR(ISERROR(GETPIVOTDATA("Cover",'Cover PivotTable'!$A$4,"Site",$A46,"Year",P$1,"Transect",$B46)),GETPIVOTDATA("Cover",'Cover PivotTable'!$A$4,"Site",$A46,"Year",P$1)=""), "",GETPIVOTDATA("Cover",'Cover PivotTable'!$A$4,"Site",$A46,"Year",P$1,"Transect",$B46))</f>
        <v>2</v>
      </c>
    </row>
    <row r="47" spans="1:16" x14ac:dyDescent="0.35">
      <c r="A47" t="s">
        <v>9</v>
      </c>
      <c r="B47">
        <v>7.5</v>
      </c>
      <c r="C47" s="17">
        <f>IF(OR(ISERROR(GETPIVOTDATA("Cover",'Cover PivotTable'!$A$4,"Site",$A47,"Year",C$1,"Transect",$B47)),GETPIVOTDATA("Cover",'Cover PivotTable'!$A$4,"Site",$A47,"Year",C$1)=""), "",GETPIVOTDATA("Cover",'Cover PivotTable'!$A$4,"Site",$A47,"Year",C$1,"Transect",$B47))</f>
        <v>5.5</v>
      </c>
      <c r="D47" s="17" t="str">
        <f>IF(OR(ISERROR(GETPIVOTDATA("Cover",'Cover PivotTable'!$A$4,"Site",$A47,"Year",D$1,"Transect",$B47)),GETPIVOTDATA("Cover",'Cover PivotTable'!$A$4,"Site",$A47,"Year",D$1)=""), "",GETPIVOTDATA("Cover",'Cover PivotTable'!$A$4,"Site",$A47,"Year",D$1,"Transect",$B47))</f>
        <v/>
      </c>
      <c r="E47" s="17" t="str">
        <f>IF(OR(ISERROR(GETPIVOTDATA("Cover",'Cover PivotTable'!$A$4,"Site",$A47,"Year",E$1,"Transect",$B47)),GETPIVOTDATA("Cover",'Cover PivotTable'!$A$4,"Site",$A47,"Year",E$1)=""), "",GETPIVOTDATA("Cover",'Cover PivotTable'!$A$4,"Site",$A47,"Year",E$1,"Transect",$B47))</f>
        <v/>
      </c>
      <c r="F47" s="17" t="str">
        <f>IF(OR(ISERROR(GETPIVOTDATA("Cover",'Cover PivotTable'!$A$4,"Site",$A47,"Year",F$1,"Transect",$B47)),GETPIVOTDATA("Cover",'Cover PivotTable'!$A$4,"Site",$A47,"Year",F$1)=""), "",GETPIVOTDATA("Cover",'Cover PivotTable'!$A$4,"Site",$A47,"Year",F$1,"Transect",$B47))</f>
        <v/>
      </c>
      <c r="G47" s="17" t="str">
        <f>IF(OR(ISERROR(GETPIVOTDATA("Cover",'Cover PivotTable'!$A$4,"Site",$A47,"Year",G$1,"Transect",$B47)),GETPIVOTDATA("Cover",'Cover PivotTable'!$A$4,"Site",$A47,"Year",G$1)=""), "",GETPIVOTDATA("Cover",'Cover PivotTable'!$A$4,"Site",$A47,"Year",G$1,"Transect",$B47))</f>
        <v/>
      </c>
      <c r="H47" s="17" t="str">
        <f>IF(OR(ISERROR(GETPIVOTDATA("Cover",'Cover PivotTable'!$A$4,"Site",$A47,"Year",H$1,"Transect",$B47)),GETPIVOTDATA("Cover",'Cover PivotTable'!$A$4,"Site",$A47,"Year",H$1)=""), "",GETPIVOTDATA("Cover",'Cover PivotTable'!$A$4,"Site",$A47,"Year",H$1,"Transect",$B47))</f>
        <v/>
      </c>
      <c r="I47" s="17">
        <f>IF(OR(ISERROR(GETPIVOTDATA("Cover",'Cover PivotTable'!$A$4,"Site",$A47,"Year",I$1,"Transect",$B47)),GETPIVOTDATA("Cover",'Cover PivotTable'!$A$4,"Site",$A47,"Year",I$1)=""), "",GETPIVOTDATA("Cover",'Cover PivotTable'!$A$4,"Site",$A47,"Year",I$1,"Transect",$B47))</f>
        <v>4</v>
      </c>
      <c r="J47" s="17" t="str">
        <f>IF(OR(ISERROR(GETPIVOTDATA("Cover",'Cover PivotTable'!$A$4,"Site",$A47,"Year",J$1,"Transect",$B47)),GETPIVOTDATA("Cover",'Cover PivotTable'!$A$4,"Site",$A47,"Year",J$1)=""), "",GETPIVOTDATA("Cover",'Cover PivotTable'!$A$4,"Site",$A47,"Year",J$1,"Transect",$B47))</f>
        <v/>
      </c>
      <c r="K47" s="17" t="str">
        <f>IF(OR(ISERROR(GETPIVOTDATA("Cover",'Cover PivotTable'!$A$4,"Site",$A47,"Year",K$1,"Transect",$B47)),GETPIVOTDATA("Cover",'Cover PivotTable'!$A$4,"Site",$A47,"Year",K$1)=""), "",GETPIVOTDATA("Cover",'Cover PivotTable'!$A$4,"Site",$A47,"Year",K$1,"Transect",$B47))</f>
        <v/>
      </c>
      <c r="L47" s="17">
        <f>IF(OR(ISERROR(GETPIVOTDATA("Cover",'Cover PivotTable'!$A$4,"Site",$A47,"Year",L$1,"Transect",$B47)),GETPIVOTDATA("Cover",'Cover PivotTable'!$A$4,"Site",$A47,"Year",L$1)=""), "",GETPIVOTDATA("Cover",'Cover PivotTable'!$A$4,"Site",$A47,"Year",L$1,"Transect",$B47))</f>
        <v>5.5</v>
      </c>
      <c r="M47" s="17" t="str">
        <f>IF(OR(ISERROR(GETPIVOTDATA("Cover",'Cover PivotTable'!$A$4,"Site",$A47,"Year",M$1,"Transect",$B47)),GETPIVOTDATA("Cover",'Cover PivotTable'!$A$4,"Site",$A47,"Year",M$1)=""), "",GETPIVOTDATA("Cover",'Cover PivotTable'!$A$4,"Site",$A47,"Year",M$1,"Transect",$B47))</f>
        <v/>
      </c>
      <c r="N47" s="17">
        <f>IF(OR(ISERROR(GETPIVOTDATA("Cover",'Cover PivotTable'!$A$4,"Site",$A47,"Year",N$1,"Transect",$B47)),GETPIVOTDATA("Cover",'Cover PivotTable'!$A$4,"Site",$A47,"Year",N$1)=""), "",GETPIVOTDATA("Cover",'Cover PivotTable'!$A$4,"Site",$A47,"Year",N$1,"Transect",$B47))</f>
        <v>4</v>
      </c>
      <c r="O47" s="17">
        <f>IF(OR(ISERROR(GETPIVOTDATA("Cover",'Cover PivotTable'!$A$4,"Site",$A47,"Year",O$1,"Transect",$B47)),GETPIVOTDATA("Cover",'Cover PivotTable'!$A$4,"Site",$A47,"Year",O$1)=""), "",GETPIVOTDATA("Cover",'Cover PivotTable'!$A$4,"Site",$A47,"Year",O$1,"Transect",$B47))</f>
        <v>7</v>
      </c>
      <c r="P47" s="17">
        <f>IF(OR(ISERROR(GETPIVOTDATA("Cover",'Cover PivotTable'!$A$4,"Site",$A47,"Year",P$1,"Transect",$B47)),GETPIVOTDATA("Cover",'Cover PivotTable'!$A$4,"Site",$A47,"Year",P$1)=""), "",GETPIVOTDATA("Cover",'Cover PivotTable'!$A$4,"Site",$A47,"Year",P$1,"Transect",$B47))</f>
        <v>11.5</v>
      </c>
    </row>
    <row r="48" spans="1:16" x14ac:dyDescent="0.35">
      <c r="A48" t="s">
        <v>9</v>
      </c>
      <c r="B48">
        <v>7.6</v>
      </c>
      <c r="C48" s="17">
        <f>IF(OR(ISERROR(GETPIVOTDATA("Cover",'Cover PivotTable'!$A$4,"Site",$A48,"Year",C$1,"Transect",$B48)),GETPIVOTDATA("Cover",'Cover PivotTable'!$A$4,"Site",$A48,"Year",C$1)=""), "",GETPIVOTDATA("Cover",'Cover PivotTable'!$A$4,"Site",$A48,"Year",C$1,"Transect",$B48))</f>
        <v>0.5</v>
      </c>
      <c r="D48" s="17" t="str">
        <f>IF(OR(ISERROR(GETPIVOTDATA("Cover",'Cover PivotTable'!$A$4,"Site",$A48,"Year",D$1,"Transect",$B48)),GETPIVOTDATA("Cover",'Cover PivotTable'!$A$4,"Site",$A48,"Year",D$1)=""), "",GETPIVOTDATA("Cover",'Cover PivotTable'!$A$4,"Site",$A48,"Year",D$1,"Transect",$B48))</f>
        <v/>
      </c>
      <c r="E48" s="17" t="str">
        <f>IF(OR(ISERROR(GETPIVOTDATA("Cover",'Cover PivotTable'!$A$4,"Site",$A48,"Year",E$1,"Transect",$B48)),GETPIVOTDATA("Cover",'Cover PivotTable'!$A$4,"Site",$A48,"Year",E$1)=""), "",GETPIVOTDATA("Cover",'Cover PivotTable'!$A$4,"Site",$A48,"Year",E$1,"Transect",$B48))</f>
        <v/>
      </c>
      <c r="F48" s="17" t="str">
        <f>IF(OR(ISERROR(GETPIVOTDATA("Cover",'Cover PivotTable'!$A$4,"Site",$A48,"Year",F$1,"Transect",$B48)),GETPIVOTDATA("Cover",'Cover PivotTable'!$A$4,"Site",$A48,"Year",F$1)=""), "",GETPIVOTDATA("Cover",'Cover PivotTable'!$A$4,"Site",$A48,"Year",F$1,"Transect",$B48))</f>
        <v/>
      </c>
      <c r="G48" s="17" t="str">
        <f>IF(OR(ISERROR(GETPIVOTDATA("Cover",'Cover PivotTable'!$A$4,"Site",$A48,"Year",G$1,"Transect",$B48)),GETPIVOTDATA("Cover",'Cover PivotTable'!$A$4,"Site",$A48,"Year",G$1)=""), "",GETPIVOTDATA("Cover",'Cover PivotTable'!$A$4,"Site",$A48,"Year",G$1,"Transect",$B48))</f>
        <v/>
      </c>
      <c r="H48" s="17" t="str">
        <f>IF(OR(ISERROR(GETPIVOTDATA("Cover",'Cover PivotTable'!$A$4,"Site",$A48,"Year",H$1,"Transect",$B48)),GETPIVOTDATA("Cover",'Cover PivotTable'!$A$4,"Site",$A48,"Year",H$1)=""), "",GETPIVOTDATA("Cover",'Cover PivotTable'!$A$4,"Site",$A48,"Year",H$1,"Transect",$B48))</f>
        <v/>
      </c>
      <c r="I48" s="17">
        <f>IF(OR(ISERROR(GETPIVOTDATA("Cover",'Cover PivotTable'!$A$4,"Site",$A48,"Year",I$1,"Transect",$B48)),GETPIVOTDATA("Cover",'Cover PivotTable'!$A$4,"Site",$A48,"Year",I$1)=""), "",GETPIVOTDATA("Cover",'Cover PivotTable'!$A$4,"Site",$A48,"Year",I$1,"Transect",$B48))</f>
        <v>3</v>
      </c>
      <c r="J48" s="17" t="str">
        <f>IF(OR(ISERROR(GETPIVOTDATA("Cover",'Cover PivotTable'!$A$4,"Site",$A48,"Year",J$1,"Transect",$B48)),GETPIVOTDATA("Cover",'Cover PivotTable'!$A$4,"Site",$A48,"Year",J$1)=""), "",GETPIVOTDATA("Cover",'Cover PivotTable'!$A$4,"Site",$A48,"Year",J$1,"Transect",$B48))</f>
        <v/>
      </c>
      <c r="K48" s="17" t="str">
        <f>IF(OR(ISERROR(GETPIVOTDATA("Cover",'Cover PivotTable'!$A$4,"Site",$A48,"Year",K$1,"Transect",$B48)),GETPIVOTDATA("Cover",'Cover PivotTable'!$A$4,"Site",$A48,"Year",K$1)=""), "",GETPIVOTDATA("Cover",'Cover PivotTable'!$A$4,"Site",$A48,"Year",K$1,"Transect",$B48))</f>
        <v/>
      </c>
      <c r="L48" s="17">
        <f>IF(OR(ISERROR(GETPIVOTDATA("Cover",'Cover PivotTable'!$A$4,"Site",$A48,"Year",L$1,"Transect",$B48)),GETPIVOTDATA("Cover",'Cover PivotTable'!$A$4,"Site",$A48,"Year",L$1)=""), "",GETPIVOTDATA("Cover",'Cover PivotTable'!$A$4,"Site",$A48,"Year",L$1,"Transect",$B48))</f>
        <v>2</v>
      </c>
      <c r="M48" s="17" t="str">
        <f>IF(OR(ISERROR(GETPIVOTDATA("Cover",'Cover PivotTable'!$A$4,"Site",$A48,"Year",M$1,"Transect",$B48)),GETPIVOTDATA("Cover",'Cover PivotTable'!$A$4,"Site",$A48,"Year",M$1)=""), "",GETPIVOTDATA("Cover",'Cover PivotTable'!$A$4,"Site",$A48,"Year",M$1,"Transect",$B48))</f>
        <v/>
      </c>
      <c r="N48" s="17">
        <f>IF(OR(ISERROR(GETPIVOTDATA("Cover",'Cover PivotTable'!$A$4,"Site",$A48,"Year",N$1,"Transect",$B48)),GETPIVOTDATA("Cover",'Cover PivotTable'!$A$4,"Site",$A48,"Year",N$1)=""), "",GETPIVOTDATA("Cover",'Cover PivotTable'!$A$4,"Site",$A48,"Year",N$1,"Transect",$B48))</f>
        <v>0</v>
      </c>
      <c r="O48" s="17">
        <f>IF(OR(ISERROR(GETPIVOTDATA("Cover",'Cover PivotTable'!$A$4,"Site",$A48,"Year",O$1,"Transect",$B48)),GETPIVOTDATA("Cover",'Cover PivotTable'!$A$4,"Site",$A48,"Year",O$1)=""), "",GETPIVOTDATA("Cover",'Cover PivotTable'!$A$4,"Site",$A48,"Year",O$1,"Transect",$B48))</f>
        <v>1</v>
      </c>
      <c r="P48" s="17">
        <f>IF(OR(ISERROR(GETPIVOTDATA("Cover",'Cover PivotTable'!$A$4,"Site",$A48,"Year",P$1,"Transect",$B48)),GETPIVOTDATA("Cover",'Cover PivotTable'!$A$4,"Site",$A48,"Year",P$1)=""), "",GETPIVOTDATA("Cover",'Cover PivotTable'!$A$4,"Site",$A48,"Year",P$1,"Transect",$B48))</f>
        <v>5</v>
      </c>
    </row>
    <row r="49" spans="1:16" x14ac:dyDescent="0.35">
      <c r="A49" t="s">
        <v>9</v>
      </c>
      <c r="B49">
        <v>7.7</v>
      </c>
      <c r="C49" s="17">
        <f>IF(OR(ISERROR(GETPIVOTDATA("Cover",'Cover PivotTable'!$A$4,"Site",$A49,"Year",C$1,"Transect",$B49)),GETPIVOTDATA("Cover",'Cover PivotTable'!$A$4,"Site",$A49,"Year",C$1)=""), "",GETPIVOTDATA("Cover",'Cover PivotTable'!$A$4,"Site",$A49,"Year",C$1,"Transect",$B49))</f>
        <v>23.5</v>
      </c>
      <c r="D49" s="17" t="str">
        <f>IF(OR(ISERROR(GETPIVOTDATA("Cover",'Cover PivotTable'!$A$4,"Site",$A49,"Year",D$1,"Transect",$B49)),GETPIVOTDATA("Cover",'Cover PivotTable'!$A$4,"Site",$A49,"Year",D$1)=""), "",GETPIVOTDATA("Cover",'Cover PivotTable'!$A$4,"Site",$A49,"Year",D$1,"Transect",$B49))</f>
        <v/>
      </c>
      <c r="E49" s="17" t="str">
        <f>IF(OR(ISERROR(GETPIVOTDATA("Cover",'Cover PivotTable'!$A$4,"Site",$A49,"Year",E$1,"Transect",$B49)),GETPIVOTDATA("Cover",'Cover PivotTable'!$A$4,"Site",$A49,"Year",E$1)=""), "",GETPIVOTDATA("Cover",'Cover PivotTable'!$A$4,"Site",$A49,"Year",E$1,"Transect",$B49))</f>
        <v/>
      </c>
      <c r="F49" s="17" t="str">
        <f>IF(OR(ISERROR(GETPIVOTDATA("Cover",'Cover PivotTable'!$A$4,"Site",$A49,"Year",F$1,"Transect",$B49)),GETPIVOTDATA("Cover",'Cover PivotTable'!$A$4,"Site",$A49,"Year",F$1)=""), "",GETPIVOTDATA("Cover",'Cover PivotTable'!$A$4,"Site",$A49,"Year",F$1,"Transect",$B49))</f>
        <v/>
      </c>
      <c r="G49" s="17" t="str">
        <f>IF(OR(ISERROR(GETPIVOTDATA("Cover",'Cover PivotTable'!$A$4,"Site",$A49,"Year",G$1,"Transect",$B49)),GETPIVOTDATA("Cover",'Cover PivotTable'!$A$4,"Site",$A49,"Year",G$1)=""), "",GETPIVOTDATA("Cover",'Cover PivotTable'!$A$4,"Site",$A49,"Year",G$1,"Transect",$B49))</f>
        <v/>
      </c>
      <c r="H49" s="17" t="str">
        <f>IF(OR(ISERROR(GETPIVOTDATA("Cover",'Cover PivotTable'!$A$4,"Site",$A49,"Year",H$1,"Transect",$B49)),GETPIVOTDATA("Cover",'Cover PivotTable'!$A$4,"Site",$A49,"Year",H$1)=""), "",GETPIVOTDATA("Cover",'Cover PivotTable'!$A$4,"Site",$A49,"Year",H$1,"Transect",$B49))</f>
        <v/>
      </c>
      <c r="I49" s="17">
        <f>IF(OR(ISERROR(GETPIVOTDATA("Cover",'Cover PivotTable'!$A$4,"Site",$A49,"Year",I$1,"Transect",$B49)),GETPIVOTDATA("Cover",'Cover PivotTable'!$A$4,"Site",$A49,"Year",I$1)=""), "",GETPIVOTDATA("Cover",'Cover PivotTable'!$A$4,"Site",$A49,"Year",I$1,"Transect",$B49))</f>
        <v>21.5</v>
      </c>
      <c r="J49" s="17" t="str">
        <f>IF(OR(ISERROR(GETPIVOTDATA("Cover",'Cover PivotTable'!$A$4,"Site",$A49,"Year",J$1,"Transect",$B49)),GETPIVOTDATA("Cover",'Cover PivotTable'!$A$4,"Site",$A49,"Year",J$1)=""), "",GETPIVOTDATA("Cover",'Cover PivotTable'!$A$4,"Site",$A49,"Year",J$1,"Transect",$B49))</f>
        <v/>
      </c>
      <c r="K49" s="17" t="str">
        <f>IF(OR(ISERROR(GETPIVOTDATA("Cover",'Cover PivotTable'!$A$4,"Site",$A49,"Year",K$1,"Transect",$B49)),GETPIVOTDATA("Cover",'Cover PivotTable'!$A$4,"Site",$A49,"Year",K$1)=""), "",GETPIVOTDATA("Cover",'Cover PivotTable'!$A$4,"Site",$A49,"Year",K$1,"Transect",$B49))</f>
        <v/>
      </c>
      <c r="L49" s="17">
        <f>IF(OR(ISERROR(GETPIVOTDATA("Cover",'Cover PivotTable'!$A$4,"Site",$A49,"Year",L$1,"Transect",$B49)),GETPIVOTDATA("Cover",'Cover PivotTable'!$A$4,"Site",$A49,"Year",L$1)=""), "",GETPIVOTDATA("Cover",'Cover PivotTable'!$A$4,"Site",$A49,"Year",L$1,"Transect",$B49))</f>
        <v>21.5</v>
      </c>
      <c r="M49" s="17" t="str">
        <f>IF(OR(ISERROR(GETPIVOTDATA("Cover",'Cover PivotTable'!$A$4,"Site",$A49,"Year",M$1,"Transect",$B49)),GETPIVOTDATA("Cover",'Cover PivotTable'!$A$4,"Site",$A49,"Year",M$1)=""), "",GETPIVOTDATA("Cover",'Cover PivotTable'!$A$4,"Site",$A49,"Year",M$1,"Transect",$B49))</f>
        <v/>
      </c>
      <c r="N49" s="17">
        <f>IF(OR(ISERROR(GETPIVOTDATA("Cover",'Cover PivotTable'!$A$4,"Site",$A49,"Year",N$1,"Transect",$B49)),GETPIVOTDATA("Cover",'Cover PivotTable'!$A$4,"Site",$A49,"Year",N$1)=""), "",GETPIVOTDATA("Cover",'Cover PivotTable'!$A$4,"Site",$A49,"Year",N$1,"Transect",$B49))</f>
        <v>4</v>
      </c>
      <c r="O49" s="17">
        <f>IF(OR(ISERROR(GETPIVOTDATA("Cover",'Cover PivotTable'!$A$4,"Site",$A49,"Year",O$1,"Transect",$B49)),GETPIVOTDATA("Cover",'Cover PivotTable'!$A$4,"Site",$A49,"Year",O$1)=""), "",GETPIVOTDATA("Cover",'Cover PivotTable'!$A$4,"Site",$A49,"Year",O$1,"Transect",$B49))</f>
        <v>6</v>
      </c>
      <c r="P49" s="17">
        <f>IF(OR(ISERROR(GETPIVOTDATA("Cover",'Cover PivotTable'!$A$4,"Site",$A49,"Year",P$1,"Transect",$B49)),GETPIVOTDATA("Cover",'Cover PivotTable'!$A$4,"Site",$A49,"Year",P$1)=""), "",GETPIVOTDATA("Cover",'Cover PivotTable'!$A$4,"Site",$A49,"Year",P$1,"Transect",$B49))</f>
        <v>13</v>
      </c>
    </row>
    <row r="50" spans="1:16" x14ac:dyDescent="0.35">
      <c r="A50" t="s">
        <v>9</v>
      </c>
      <c r="B50">
        <v>8.1</v>
      </c>
      <c r="C50" s="17">
        <f>IF(OR(ISERROR(GETPIVOTDATA("Cover",'Cover PivotTable'!$A$4,"Site",$A50,"Year",C$1,"Transect",$B50)),GETPIVOTDATA("Cover",'Cover PivotTable'!$A$4,"Site",$A50,"Year",C$1)=""), "",GETPIVOTDATA("Cover",'Cover PivotTable'!$A$4,"Site",$A50,"Year",C$1,"Transect",$B50))</f>
        <v>6</v>
      </c>
      <c r="D50" s="17" t="str">
        <f>IF(OR(ISERROR(GETPIVOTDATA("Cover",'Cover PivotTable'!$A$4,"Site",$A50,"Year",D$1,"Transect",$B50)),GETPIVOTDATA("Cover",'Cover PivotTable'!$A$4,"Site",$A50,"Year",D$1)=""), "",GETPIVOTDATA("Cover",'Cover PivotTable'!$A$4,"Site",$A50,"Year",D$1,"Transect",$B50))</f>
        <v/>
      </c>
      <c r="E50" s="17" t="str">
        <f>IF(OR(ISERROR(GETPIVOTDATA("Cover",'Cover PivotTable'!$A$4,"Site",$A50,"Year",E$1,"Transect",$B50)),GETPIVOTDATA("Cover",'Cover PivotTable'!$A$4,"Site",$A50,"Year",E$1)=""), "",GETPIVOTDATA("Cover",'Cover PivotTable'!$A$4,"Site",$A50,"Year",E$1,"Transect",$B50))</f>
        <v/>
      </c>
      <c r="F50" s="17" t="str">
        <f>IF(OR(ISERROR(GETPIVOTDATA("Cover",'Cover PivotTable'!$A$4,"Site",$A50,"Year",F$1,"Transect",$B50)),GETPIVOTDATA("Cover",'Cover PivotTable'!$A$4,"Site",$A50,"Year",F$1)=""), "",GETPIVOTDATA("Cover",'Cover PivotTable'!$A$4,"Site",$A50,"Year",F$1,"Transect",$B50))</f>
        <v/>
      </c>
      <c r="G50" s="17" t="str">
        <f>IF(OR(ISERROR(GETPIVOTDATA("Cover",'Cover PivotTable'!$A$4,"Site",$A50,"Year",G$1,"Transect",$B50)),GETPIVOTDATA("Cover",'Cover PivotTable'!$A$4,"Site",$A50,"Year",G$1)=""), "",GETPIVOTDATA("Cover",'Cover PivotTable'!$A$4,"Site",$A50,"Year",G$1,"Transect",$B50))</f>
        <v/>
      </c>
      <c r="H50" s="17" t="str">
        <f>IF(OR(ISERROR(GETPIVOTDATA("Cover",'Cover PivotTable'!$A$4,"Site",$A50,"Year",H$1,"Transect",$B50)),GETPIVOTDATA("Cover",'Cover PivotTable'!$A$4,"Site",$A50,"Year",H$1)=""), "",GETPIVOTDATA("Cover",'Cover PivotTable'!$A$4,"Site",$A50,"Year",H$1,"Transect",$B50))</f>
        <v/>
      </c>
      <c r="I50" s="17">
        <f>IF(OR(ISERROR(GETPIVOTDATA("Cover",'Cover PivotTable'!$A$4,"Site",$A50,"Year",I$1,"Transect",$B50)),GETPIVOTDATA("Cover",'Cover PivotTable'!$A$4,"Site",$A50,"Year",I$1)=""), "",GETPIVOTDATA("Cover",'Cover PivotTable'!$A$4,"Site",$A50,"Year",I$1,"Transect",$B50))</f>
        <v>17</v>
      </c>
      <c r="J50" s="17" t="str">
        <f>IF(OR(ISERROR(GETPIVOTDATA("Cover",'Cover PivotTable'!$A$4,"Site",$A50,"Year",J$1,"Transect",$B50)),GETPIVOTDATA("Cover",'Cover PivotTable'!$A$4,"Site",$A50,"Year",J$1)=""), "",GETPIVOTDATA("Cover",'Cover PivotTable'!$A$4,"Site",$A50,"Year",J$1,"Transect",$B50))</f>
        <v/>
      </c>
      <c r="K50" s="17" t="str">
        <f>IF(OR(ISERROR(GETPIVOTDATA("Cover",'Cover PivotTable'!$A$4,"Site",$A50,"Year",K$1,"Transect",$B50)),GETPIVOTDATA("Cover",'Cover PivotTable'!$A$4,"Site",$A50,"Year",K$1)=""), "",GETPIVOTDATA("Cover",'Cover PivotTable'!$A$4,"Site",$A50,"Year",K$1,"Transect",$B50))</f>
        <v/>
      </c>
      <c r="L50" s="17">
        <f>IF(OR(ISERROR(GETPIVOTDATA("Cover",'Cover PivotTable'!$A$4,"Site",$A50,"Year",L$1,"Transect",$B50)),GETPIVOTDATA("Cover",'Cover PivotTable'!$A$4,"Site",$A50,"Year",L$1)=""), "",GETPIVOTDATA("Cover",'Cover PivotTable'!$A$4,"Site",$A50,"Year",L$1,"Transect",$B50))</f>
        <v>11</v>
      </c>
      <c r="M50" s="17" t="str">
        <f>IF(OR(ISERROR(GETPIVOTDATA("Cover",'Cover PivotTable'!$A$4,"Site",$A50,"Year",M$1,"Transect",$B50)),GETPIVOTDATA("Cover",'Cover PivotTable'!$A$4,"Site",$A50,"Year",M$1)=""), "",GETPIVOTDATA("Cover",'Cover PivotTable'!$A$4,"Site",$A50,"Year",M$1,"Transect",$B50))</f>
        <v/>
      </c>
      <c r="N50" s="17">
        <f>IF(OR(ISERROR(GETPIVOTDATA("Cover",'Cover PivotTable'!$A$4,"Site",$A50,"Year",N$1,"Transect",$B50)),GETPIVOTDATA("Cover",'Cover PivotTable'!$A$4,"Site",$A50,"Year",N$1)=""), "",GETPIVOTDATA("Cover",'Cover PivotTable'!$A$4,"Site",$A50,"Year",N$1,"Transect",$B50))</f>
        <v>7.5</v>
      </c>
      <c r="O50" s="17">
        <f>IF(OR(ISERROR(GETPIVOTDATA("Cover",'Cover PivotTable'!$A$4,"Site",$A50,"Year",O$1,"Transect",$B50)),GETPIVOTDATA("Cover",'Cover PivotTable'!$A$4,"Site",$A50,"Year",O$1)=""), "",GETPIVOTDATA("Cover",'Cover PivotTable'!$A$4,"Site",$A50,"Year",O$1,"Transect",$B50))</f>
        <v>16</v>
      </c>
      <c r="P50" s="17">
        <f>IF(OR(ISERROR(GETPIVOTDATA("Cover",'Cover PivotTable'!$A$4,"Site",$A50,"Year",P$1,"Transect",$B50)),GETPIVOTDATA("Cover",'Cover PivotTable'!$A$4,"Site",$A50,"Year",P$1)=""), "",GETPIVOTDATA("Cover",'Cover PivotTable'!$A$4,"Site",$A50,"Year",P$1,"Transect",$B50))</f>
        <v>19</v>
      </c>
    </row>
    <row r="51" spans="1:16" x14ac:dyDescent="0.35">
      <c r="A51" t="s">
        <v>9</v>
      </c>
      <c r="B51">
        <v>8.1999999999999993</v>
      </c>
      <c r="C51" s="17">
        <f>IF(OR(ISERROR(GETPIVOTDATA("Cover",'Cover PivotTable'!$A$4,"Site",$A51,"Year",C$1,"Transect",$B51)),GETPIVOTDATA("Cover",'Cover PivotTable'!$A$4,"Site",$A51,"Year",C$1)=""), "",GETPIVOTDATA("Cover",'Cover PivotTable'!$A$4,"Site",$A51,"Year",C$1,"Transect",$B51))</f>
        <v>3</v>
      </c>
      <c r="D51" s="17" t="str">
        <f>IF(OR(ISERROR(GETPIVOTDATA("Cover",'Cover PivotTable'!$A$4,"Site",$A51,"Year",D$1,"Transect",$B51)),GETPIVOTDATA("Cover",'Cover PivotTable'!$A$4,"Site",$A51,"Year",D$1)=""), "",GETPIVOTDATA("Cover",'Cover PivotTable'!$A$4,"Site",$A51,"Year",D$1,"Transect",$B51))</f>
        <v/>
      </c>
      <c r="E51" s="17" t="str">
        <f>IF(OR(ISERROR(GETPIVOTDATA("Cover",'Cover PivotTable'!$A$4,"Site",$A51,"Year",E$1,"Transect",$B51)),GETPIVOTDATA("Cover",'Cover PivotTable'!$A$4,"Site",$A51,"Year",E$1)=""), "",GETPIVOTDATA("Cover",'Cover PivotTable'!$A$4,"Site",$A51,"Year",E$1,"Transect",$B51))</f>
        <v/>
      </c>
      <c r="F51" s="17" t="str">
        <f>IF(OR(ISERROR(GETPIVOTDATA("Cover",'Cover PivotTable'!$A$4,"Site",$A51,"Year",F$1,"Transect",$B51)),GETPIVOTDATA("Cover",'Cover PivotTable'!$A$4,"Site",$A51,"Year",F$1)=""), "",GETPIVOTDATA("Cover",'Cover PivotTable'!$A$4,"Site",$A51,"Year",F$1,"Transect",$B51))</f>
        <v/>
      </c>
      <c r="G51" s="17" t="str">
        <f>IF(OR(ISERROR(GETPIVOTDATA("Cover",'Cover PivotTable'!$A$4,"Site",$A51,"Year",G$1,"Transect",$B51)),GETPIVOTDATA("Cover",'Cover PivotTable'!$A$4,"Site",$A51,"Year",G$1)=""), "",GETPIVOTDATA("Cover",'Cover PivotTable'!$A$4,"Site",$A51,"Year",G$1,"Transect",$B51))</f>
        <v/>
      </c>
      <c r="H51" s="17" t="str">
        <f>IF(OR(ISERROR(GETPIVOTDATA("Cover",'Cover PivotTable'!$A$4,"Site",$A51,"Year",H$1,"Transect",$B51)),GETPIVOTDATA("Cover",'Cover PivotTable'!$A$4,"Site",$A51,"Year",H$1)=""), "",GETPIVOTDATA("Cover",'Cover PivotTable'!$A$4,"Site",$A51,"Year",H$1,"Transect",$B51))</f>
        <v/>
      </c>
      <c r="I51" s="17">
        <f>IF(OR(ISERROR(GETPIVOTDATA("Cover",'Cover PivotTable'!$A$4,"Site",$A51,"Year",I$1,"Transect",$B51)),GETPIVOTDATA("Cover",'Cover PivotTable'!$A$4,"Site",$A51,"Year",I$1)=""), "",GETPIVOTDATA("Cover",'Cover PivotTable'!$A$4,"Site",$A51,"Year",I$1,"Transect",$B51))</f>
        <v>9.5</v>
      </c>
      <c r="J51" s="17" t="str">
        <f>IF(OR(ISERROR(GETPIVOTDATA("Cover",'Cover PivotTable'!$A$4,"Site",$A51,"Year",J$1,"Transect",$B51)),GETPIVOTDATA("Cover",'Cover PivotTable'!$A$4,"Site",$A51,"Year",J$1)=""), "",GETPIVOTDATA("Cover",'Cover PivotTable'!$A$4,"Site",$A51,"Year",J$1,"Transect",$B51))</f>
        <v/>
      </c>
      <c r="K51" s="17" t="str">
        <f>IF(OR(ISERROR(GETPIVOTDATA("Cover",'Cover PivotTable'!$A$4,"Site",$A51,"Year",K$1,"Transect",$B51)),GETPIVOTDATA("Cover",'Cover PivotTable'!$A$4,"Site",$A51,"Year",K$1)=""), "",GETPIVOTDATA("Cover",'Cover PivotTable'!$A$4,"Site",$A51,"Year",K$1,"Transect",$B51))</f>
        <v/>
      </c>
      <c r="L51" s="17">
        <f>IF(OR(ISERROR(GETPIVOTDATA("Cover",'Cover PivotTable'!$A$4,"Site",$A51,"Year",L$1,"Transect",$B51)),GETPIVOTDATA("Cover",'Cover PivotTable'!$A$4,"Site",$A51,"Year",L$1)=""), "",GETPIVOTDATA("Cover",'Cover PivotTable'!$A$4,"Site",$A51,"Year",L$1,"Transect",$B51))</f>
        <v>2.5</v>
      </c>
      <c r="M51" s="17" t="str">
        <f>IF(OR(ISERROR(GETPIVOTDATA("Cover",'Cover PivotTable'!$A$4,"Site",$A51,"Year",M$1,"Transect",$B51)),GETPIVOTDATA("Cover",'Cover PivotTable'!$A$4,"Site",$A51,"Year",M$1)=""), "",GETPIVOTDATA("Cover",'Cover PivotTable'!$A$4,"Site",$A51,"Year",M$1,"Transect",$B51))</f>
        <v/>
      </c>
      <c r="N51" s="17">
        <f>IF(OR(ISERROR(GETPIVOTDATA("Cover",'Cover PivotTable'!$A$4,"Site",$A51,"Year",N$1,"Transect",$B51)),GETPIVOTDATA("Cover",'Cover PivotTable'!$A$4,"Site",$A51,"Year",N$1)=""), "",GETPIVOTDATA("Cover",'Cover PivotTable'!$A$4,"Site",$A51,"Year",N$1,"Transect",$B51))</f>
        <v>2</v>
      </c>
      <c r="O51" s="17">
        <f>IF(OR(ISERROR(GETPIVOTDATA("Cover",'Cover PivotTable'!$A$4,"Site",$A51,"Year",O$1,"Transect",$B51)),GETPIVOTDATA("Cover",'Cover PivotTable'!$A$4,"Site",$A51,"Year",O$1)=""), "",GETPIVOTDATA("Cover",'Cover PivotTable'!$A$4,"Site",$A51,"Year",O$1,"Transect",$B51))</f>
        <v>3</v>
      </c>
      <c r="P51" s="17">
        <f>IF(OR(ISERROR(GETPIVOTDATA("Cover",'Cover PivotTable'!$A$4,"Site",$A51,"Year",P$1,"Transect",$B51)),GETPIVOTDATA("Cover",'Cover PivotTable'!$A$4,"Site",$A51,"Year",P$1)=""), "",GETPIVOTDATA("Cover",'Cover PivotTable'!$A$4,"Site",$A51,"Year",P$1,"Transect",$B51))</f>
        <v>3.5</v>
      </c>
    </row>
    <row r="52" spans="1:16" x14ac:dyDescent="0.35">
      <c r="A52" t="s">
        <v>9</v>
      </c>
      <c r="B52">
        <v>8.3000000000000007</v>
      </c>
      <c r="C52" s="17">
        <f>IF(OR(ISERROR(GETPIVOTDATA("Cover",'Cover PivotTable'!$A$4,"Site",$A52,"Year",C$1,"Transect",$B52)),GETPIVOTDATA("Cover",'Cover PivotTable'!$A$4,"Site",$A52,"Year",C$1)=""), "",GETPIVOTDATA("Cover",'Cover PivotTable'!$A$4,"Site",$A52,"Year",C$1,"Transect",$B52))</f>
        <v>5.5</v>
      </c>
      <c r="D52" s="17" t="str">
        <f>IF(OR(ISERROR(GETPIVOTDATA("Cover",'Cover PivotTable'!$A$4,"Site",$A52,"Year",D$1,"Transect",$B52)),GETPIVOTDATA("Cover",'Cover PivotTable'!$A$4,"Site",$A52,"Year",D$1)=""), "",GETPIVOTDATA("Cover",'Cover PivotTable'!$A$4,"Site",$A52,"Year",D$1,"Transect",$B52))</f>
        <v/>
      </c>
      <c r="E52" s="17" t="str">
        <f>IF(OR(ISERROR(GETPIVOTDATA("Cover",'Cover PivotTable'!$A$4,"Site",$A52,"Year",E$1,"Transect",$B52)),GETPIVOTDATA("Cover",'Cover PivotTable'!$A$4,"Site",$A52,"Year",E$1)=""), "",GETPIVOTDATA("Cover",'Cover PivotTable'!$A$4,"Site",$A52,"Year",E$1,"Transect",$B52))</f>
        <v/>
      </c>
      <c r="F52" s="17" t="str">
        <f>IF(OR(ISERROR(GETPIVOTDATA("Cover",'Cover PivotTable'!$A$4,"Site",$A52,"Year",F$1,"Transect",$B52)),GETPIVOTDATA("Cover",'Cover PivotTable'!$A$4,"Site",$A52,"Year",F$1)=""), "",GETPIVOTDATA("Cover",'Cover PivotTable'!$A$4,"Site",$A52,"Year",F$1,"Transect",$B52))</f>
        <v/>
      </c>
      <c r="G52" s="17" t="str">
        <f>IF(OR(ISERROR(GETPIVOTDATA("Cover",'Cover PivotTable'!$A$4,"Site",$A52,"Year",G$1,"Transect",$B52)),GETPIVOTDATA("Cover",'Cover PivotTable'!$A$4,"Site",$A52,"Year",G$1)=""), "",GETPIVOTDATA("Cover",'Cover PivotTable'!$A$4,"Site",$A52,"Year",G$1,"Transect",$B52))</f>
        <v/>
      </c>
      <c r="H52" s="17" t="str">
        <f>IF(OR(ISERROR(GETPIVOTDATA("Cover",'Cover PivotTable'!$A$4,"Site",$A52,"Year",H$1,"Transect",$B52)),GETPIVOTDATA("Cover",'Cover PivotTable'!$A$4,"Site",$A52,"Year",H$1)=""), "",GETPIVOTDATA("Cover",'Cover PivotTable'!$A$4,"Site",$A52,"Year",H$1,"Transect",$B52))</f>
        <v/>
      </c>
      <c r="I52" s="17">
        <f>IF(OR(ISERROR(GETPIVOTDATA("Cover",'Cover PivotTable'!$A$4,"Site",$A52,"Year",I$1,"Transect",$B52)),GETPIVOTDATA("Cover",'Cover PivotTable'!$A$4,"Site",$A52,"Year",I$1)=""), "",GETPIVOTDATA("Cover",'Cover PivotTable'!$A$4,"Site",$A52,"Year",I$1,"Transect",$B52))</f>
        <v>12.5</v>
      </c>
      <c r="J52" s="17" t="str">
        <f>IF(OR(ISERROR(GETPIVOTDATA("Cover",'Cover PivotTable'!$A$4,"Site",$A52,"Year",J$1,"Transect",$B52)),GETPIVOTDATA("Cover",'Cover PivotTable'!$A$4,"Site",$A52,"Year",J$1)=""), "",GETPIVOTDATA("Cover",'Cover PivotTable'!$A$4,"Site",$A52,"Year",J$1,"Transect",$B52))</f>
        <v/>
      </c>
      <c r="K52" s="17" t="str">
        <f>IF(OR(ISERROR(GETPIVOTDATA("Cover",'Cover PivotTable'!$A$4,"Site",$A52,"Year",K$1,"Transect",$B52)),GETPIVOTDATA("Cover",'Cover PivotTable'!$A$4,"Site",$A52,"Year",K$1)=""), "",GETPIVOTDATA("Cover",'Cover PivotTable'!$A$4,"Site",$A52,"Year",K$1,"Transect",$B52))</f>
        <v/>
      </c>
      <c r="L52" s="17">
        <f>IF(OR(ISERROR(GETPIVOTDATA("Cover",'Cover PivotTable'!$A$4,"Site",$A52,"Year",L$1,"Transect",$B52)),GETPIVOTDATA("Cover",'Cover PivotTable'!$A$4,"Site",$A52,"Year",L$1)=""), "",GETPIVOTDATA("Cover",'Cover PivotTable'!$A$4,"Site",$A52,"Year",L$1,"Transect",$B52))</f>
        <v>6</v>
      </c>
      <c r="M52" s="17" t="str">
        <f>IF(OR(ISERROR(GETPIVOTDATA("Cover",'Cover PivotTable'!$A$4,"Site",$A52,"Year",M$1,"Transect",$B52)),GETPIVOTDATA("Cover",'Cover PivotTable'!$A$4,"Site",$A52,"Year",M$1)=""), "",GETPIVOTDATA("Cover",'Cover PivotTable'!$A$4,"Site",$A52,"Year",M$1,"Transect",$B52))</f>
        <v/>
      </c>
      <c r="N52" s="17">
        <f>IF(OR(ISERROR(GETPIVOTDATA("Cover",'Cover PivotTable'!$A$4,"Site",$A52,"Year",N$1,"Transect",$B52)),GETPIVOTDATA("Cover",'Cover PivotTable'!$A$4,"Site",$A52,"Year",N$1)=""), "",GETPIVOTDATA("Cover",'Cover PivotTable'!$A$4,"Site",$A52,"Year",N$1,"Transect",$B52))</f>
        <v>1.5</v>
      </c>
      <c r="O52" s="17">
        <f>IF(OR(ISERROR(GETPIVOTDATA("Cover",'Cover PivotTable'!$A$4,"Site",$A52,"Year",O$1,"Transect",$B52)),GETPIVOTDATA("Cover",'Cover PivotTable'!$A$4,"Site",$A52,"Year",O$1)=""), "",GETPIVOTDATA("Cover",'Cover PivotTable'!$A$4,"Site",$A52,"Year",O$1,"Transect",$B52))</f>
        <v>2</v>
      </c>
      <c r="P52" s="17">
        <f>IF(OR(ISERROR(GETPIVOTDATA("Cover",'Cover PivotTable'!$A$4,"Site",$A52,"Year",P$1,"Transect",$B52)),GETPIVOTDATA("Cover",'Cover PivotTable'!$A$4,"Site",$A52,"Year",P$1)=""), "",GETPIVOTDATA("Cover",'Cover PivotTable'!$A$4,"Site",$A52,"Year",P$1,"Transect",$B52))</f>
        <v>2</v>
      </c>
    </row>
    <row r="53" spans="1:16" x14ac:dyDescent="0.35">
      <c r="A53" t="s">
        <v>9</v>
      </c>
      <c r="B53">
        <v>8.4</v>
      </c>
      <c r="C53" s="17">
        <f>IF(OR(ISERROR(GETPIVOTDATA("Cover",'Cover PivotTable'!$A$4,"Site",$A53,"Year",C$1,"Transect",$B53)),GETPIVOTDATA("Cover",'Cover PivotTable'!$A$4,"Site",$A53,"Year",C$1)=""), "",GETPIVOTDATA("Cover",'Cover PivotTable'!$A$4,"Site",$A53,"Year",C$1,"Transect",$B53))</f>
        <v>6</v>
      </c>
      <c r="D53" s="17" t="str">
        <f>IF(OR(ISERROR(GETPIVOTDATA("Cover",'Cover PivotTable'!$A$4,"Site",$A53,"Year",D$1,"Transect",$B53)),GETPIVOTDATA("Cover",'Cover PivotTable'!$A$4,"Site",$A53,"Year",D$1)=""), "",GETPIVOTDATA("Cover",'Cover PivotTable'!$A$4,"Site",$A53,"Year",D$1,"Transect",$B53))</f>
        <v/>
      </c>
      <c r="E53" s="17" t="str">
        <f>IF(OR(ISERROR(GETPIVOTDATA("Cover",'Cover PivotTable'!$A$4,"Site",$A53,"Year",E$1,"Transect",$B53)),GETPIVOTDATA("Cover",'Cover PivotTable'!$A$4,"Site",$A53,"Year",E$1)=""), "",GETPIVOTDATA("Cover",'Cover PivotTable'!$A$4,"Site",$A53,"Year",E$1,"Transect",$B53))</f>
        <v/>
      </c>
      <c r="F53" s="17" t="str">
        <f>IF(OR(ISERROR(GETPIVOTDATA("Cover",'Cover PivotTable'!$A$4,"Site",$A53,"Year",F$1,"Transect",$B53)),GETPIVOTDATA("Cover",'Cover PivotTable'!$A$4,"Site",$A53,"Year",F$1)=""), "",GETPIVOTDATA("Cover",'Cover PivotTable'!$A$4,"Site",$A53,"Year",F$1,"Transect",$B53))</f>
        <v/>
      </c>
      <c r="G53" s="17" t="str">
        <f>IF(OR(ISERROR(GETPIVOTDATA("Cover",'Cover PivotTable'!$A$4,"Site",$A53,"Year",G$1,"Transect",$B53)),GETPIVOTDATA("Cover",'Cover PivotTable'!$A$4,"Site",$A53,"Year",G$1)=""), "",GETPIVOTDATA("Cover",'Cover PivotTable'!$A$4,"Site",$A53,"Year",G$1,"Transect",$B53))</f>
        <v/>
      </c>
      <c r="H53" s="17" t="str">
        <f>IF(OR(ISERROR(GETPIVOTDATA("Cover",'Cover PivotTable'!$A$4,"Site",$A53,"Year",H$1,"Transect",$B53)),GETPIVOTDATA("Cover",'Cover PivotTable'!$A$4,"Site",$A53,"Year",H$1)=""), "",GETPIVOTDATA("Cover",'Cover PivotTable'!$A$4,"Site",$A53,"Year",H$1,"Transect",$B53))</f>
        <v/>
      </c>
      <c r="I53" s="17">
        <f>IF(OR(ISERROR(GETPIVOTDATA("Cover",'Cover PivotTable'!$A$4,"Site",$A53,"Year",I$1,"Transect",$B53)),GETPIVOTDATA("Cover",'Cover PivotTable'!$A$4,"Site",$A53,"Year",I$1)=""), "",GETPIVOTDATA("Cover",'Cover PivotTable'!$A$4,"Site",$A53,"Year",I$1,"Transect",$B53))</f>
        <v>14</v>
      </c>
      <c r="J53" s="17" t="str">
        <f>IF(OR(ISERROR(GETPIVOTDATA("Cover",'Cover PivotTable'!$A$4,"Site",$A53,"Year",J$1,"Transect",$B53)),GETPIVOTDATA("Cover",'Cover PivotTable'!$A$4,"Site",$A53,"Year",J$1)=""), "",GETPIVOTDATA("Cover",'Cover PivotTable'!$A$4,"Site",$A53,"Year",J$1,"Transect",$B53))</f>
        <v/>
      </c>
      <c r="K53" s="17" t="str">
        <f>IF(OR(ISERROR(GETPIVOTDATA("Cover",'Cover PivotTable'!$A$4,"Site",$A53,"Year",K$1,"Transect",$B53)),GETPIVOTDATA("Cover",'Cover PivotTable'!$A$4,"Site",$A53,"Year",K$1)=""), "",GETPIVOTDATA("Cover",'Cover PivotTable'!$A$4,"Site",$A53,"Year",K$1,"Transect",$B53))</f>
        <v/>
      </c>
      <c r="L53" s="17">
        <f>IF(OR(ISERROR(GETPIVOTDATA("Cover",'Cover PivotTable'!$A$4,"Site",$A53,"Year",L$1,"Transect",$B53)),GETPIVOTDATA("Cover",'Cover PivotTable'!$A$4,"Site",$A53,"Year",L$1)=""), "",GETPIVOTDATA("Cover",'Cover PivotTable'!$A$4,"Site",$A53,"Year",L$1,"Transect",$B53))</f>
        <v>9</v>
      </c>
      <c r="M53" s="17" t="str">
        <f>IF(OR(ISERROR(GETPIVOTDATA("Cover",'Cover PivotTable'!$A$4,"Site",$A53,"Year",M$1,"Transect",$B53)),GETPIVOTDATA("Cover",'Cover PivotTable'!$A$4,"Site",$A53,"Year",M$1)=""), "",GETPIVOTDATA("Cover",'Cover PivotTable'!$A$4,"Site",$A53,"Year",M$1,"Transect",$B53))</f>
        <v/>
      </c>
      <c r="N53" s="17">
        <f>IF(OR(ISERROR(GETPIVOTDATA("Cover",'Cover PivotTable'!$A$4,"Site",$A53,"Year",N$1,"Transect",$B53)),GETPIVOTDATA("Cover",'Cover PivotTable'!$A$4,"Site",$A53,"Year",N$1)=""), "",GETPIVOTDATA("Cover",'Cover PivotTable'!$A$4,"Site",$A53,"Year",N$1,"Transect",$B53))</f>
        <v>5</v>
      </c>
      <c r="O53" s="17">
        <f>IF(OR(ISERROR(GETPIVOTDATA("Cover",'Cover PivotTable'!$A$4,"Site",$A53,"Year",O$1,"Transect",$B53)),GETPIVOTDATA("Cover",'Cover PivotTable'!$A$4,"Site",$A53,"Year",O$1)=""), "",GETPIVOTDATA("Cover",'Cover PivotTable'!$A$4,"Site",$A53,"Year",O$1,"Transect",$B53))</f>
        <v>14.999999999999998</v>
      </c>
      <c r="P53" s="17">
        <f>IF(OR(ISERROR(GETPIVOTDATA("Cover",'Cover PivotTable'!$A$4,"Site",$A53,"Year",P$1,"Transect",$B53)),GETPIVOTDATA("Cover",'Cover PivotTable'!$A$4,"Site",$A53,"Year",P$1)=""), "",GETPIVOTDATA("Cover",'Cover PivotTable'!$A$4,"Site",$A53,"Year",P$1,"Transect",$B53))</f>
        <v>22</v>
      </c>
    </row>
    <row r="54" spans="1:16" x14ac:dyDescent="0.35">
      <c r="A54" t="s">
        <v>9</v>
      </c>
      <c r="B54">
        <v>8.5</v>
      </c>
      <c r="C54" s="17">
        <f>IF(OR(ISERROR(GETPIVOTDATA("Cover",'Cover PivotTable'!$A$4,"Site",$A54,"Year",C$1,"Transect",$B54)),GETPIVOTDATA("Cover",'Cover PivotTable'!$A$4,"Site",$A54,"Year",C$1)=""), "",GETPIVOTDATA("Cover",'Cover PivotTable'!$A$4,"Site",$A54,"Year",C$1,"Transect",$B54))</f>
        <v>8</v>
      </c>
      <c r="D54" s="17" t="str">
        <f>IF(OR(ISERROR(GETPIVOTDATA("Cover",'Cover PivotTable'!$A$4,"Site",$A54,"Year",D$1,"Transect",$B54)),GETPIVOTDATA("Cover",'Cover PivotTable'!$A$4,"Site",$A54,"Year",D$1)=""), "",GETPIVOTDATA("Cover",'Cover PivotTable'!$A$4,"Site",$A54,"Year",D$1,"Transect",$B54))</f>
        <v/>
      </c>
      <c r="E54" s="17" t="str">
        <f>IF(OR(ISERROR(GETPIVOTDATA("Cover",'Cover PivotTable'!$A$4,"Site",$A54,"Year",E$1,"Transect",$B54)),GETPIVOTDATA("Cover",'Cover PivotTable'!$A$4,"Site",$A54,"Year",E$1)=""), "",GETPIVOTDATA("Cover",'Cover PivotTable'!$A$4,"Site",$A54,"Year",E$1,"Transect",$B54))</f>
        <v/>
      </c>
      <c r="F54" s="17" t="str">
        <f>IF(OR(ISERROR(GETPIVOTDATA("Cover",'Cover PivotTable'!$A$4,"Site",$A54,"Year",F$1,"Transect",$B54)),GETPIVOTDATA("Cover",'Cover PivotTable'!$A$4,"Site",$A54,"Year",F$1)=""), "",GETPIVOTDATA("Cover",'Cover PivotTable'!$A$4,"Site",$A54,"Year",F$1,"Transect",$B54))</f>
        <v/>
      </c>
      <c r="G54" s="17" t="str">
        <f>IF(OR(ISERROR(GETPIVOTDATA("Cover",'Cover PivotTable'!$A$4,"Site",$A54,"Year",G$1,"Transect",$B54)),GETPIVOTDATA("Cover",'Cover PivotTable'!$A$4,"Site",$A54,"Year",G$1)=""), "",GETPIVOTDATA("Cover",'Cover PivotTable'!$A$4,"Site",$A54,"Year",G$1,"Transect",$B54))</f>
        <v/>
      </c>
      <c r="H54" s="17" t="str">
        <f>IF(OR(ISERROR(GETPIVOTDATA("Cover",'Cover PivotTable'!$A$4,"Site",$A54,"Year",H$1,"Transect",$B54)),GETPIVOTDATA("Cover",'Cover PivotTable'!$A$4,"Site",$A54,"Year",H$1)=""), "",GETPIVOTDATA("Cover",'Cover PivotTable'!$A$4,"Site",$A54,"Year",H$1,"Transect",$B54))</f>
        <v/>
      </c>
      <c r="I54" s="17">
        <f>IF(OR(ISERROR(GETPIVOTDATA("Cover",'Cover PivotTable'!$A$4,"Site",$A54,"Year",I$1,"Transect",$B54)),GETPIVOTDATA("Cover",'Cover PivotTable'!$A$4,"Site",$A54,"Year",I$1)=""), "",GETPIVOTDATA("Cover",'Cover PivotTable'!$A$4,"Site",$A54,"Year",I$1,"Transect",$B54))</f>
        <v>12</v>
      </c>
      <c r="J54" s="17" t="str">
        <f>IF(OR(ISERROR(GETPIVOTDATA("Cover",'Cover PivotTable'!$A$4,"Site",$A54,"Year",J$1,"Transect",$B54)),GETPIVOTDATA("Cover",'Cover PivotTable'!$A$4,"Site",$A54,"Year",J$1)=""), "",GETPIVOTDATA("Cover",'Cover PivotTable'!$A$4,"Site",$A54,"Year",J$1,"Transect",$B54))</f>
        <v/>
      </c>
      <c r="K54" s="17" t="str">
        <f>IF(OR(ISERROR(GETPIVOTDATA("Cover",'Cover PivotTable'!$A$4,"Site",$A54,"Year",K$1,"Transect",$B54)),GETPIVOTDATA("Cover",'Cover PivotTable'!$A$4,"Site",$A54,"Year",K$1)=""), "",GETPIVOTDATA("Cover",'Cover PivotTable'!$A$4,"Site",$A54,"Year",K$1,"Transect",$B54))</f>
        <v/>
      </c>
      <c r="L54" s="17">
        <f>IF(OR(ISERROR(GETPIVOTDATA("Cover",'Cover PivotTable'!$A$4,"Site",$A54,"Year",L$1,"Transect",$B54)),GETPIVOTDATA("Cover",'Cover PivotTable'!$A$4,"Site",$A54,"Year",L$1)=""), "",GETPIVOTDATA("Cover",'Cover PivotTable'!$A$4,"Site",$A54,"Year",L$1,"Transect",$B54))</f>
        <v>6.5</v>
      </c>
      <c r="M54" s="17" t="str">
        <f>IF(OR(ISERROR(GETPIVOTDATA("Cover",'Cover PivotTable'!$A$4,"Site",$A54,"Year",M$1,"Transect",$B54)),GETPIVOTDATA("Cover",'Cover PivotTable'!$A$4,"Site",$A54,"Year",M$1)=""), "",GETPIVOTDATA("Cover",'Cover PivotTable'!$A$4,"Site",$A54,"Year",M$1,"Transect",$B54))</f>
        <v/>
      </c>
      <c r="N54" s="17">
        <f>IF(OR(ISERROR(GETPIVOTDATA("Cover",'Cover PivotTable'!$A$4,"Site",$A54,"Year",N$1,"Transect",$B54)),GETPIVOTDATA("Cover",'Cover PivotTable'!$A$4,"Site",$A54,"Year",N$1)=""), "",GETPIVOTDATA("Cover",'Cover PivotTable'!$A$4,"Site",$A54,"Year",N$1,"Transect",$B54))</f>
        <v>3.5</v>
      </c>
      <c r="O54" s="17">
        <f>IF(OR(ISERROR(GETPIVOTDATA("Cover",'Cover PivotTable'!$A$4,"Site",$A54,"Year",O$1,"Transect",$B54)),GETPIVOTDATA("Cover",'Cover PivotTable'!$A$4,"Site",$A54,"Year",O$1)=""), "",GETPIVOTDATA("Cover",'Cover PivotTable'!$A$4,"Site",$A54,"Year",O$1,"Transect",$B54))</f>
        <v>9.5</v>
      </c>
      <c r="P54" s="17">
        <f>IF(OR(ISERROR(GETPIVOTDATA("Cover",'Cover PivotTable'!$A$4,"Site",$A54,"Year",P$1,"Transect",$B54)),GETPIVOTDATA("Cover",'Cover PivotTable'!$A$4,"Site",$A54,"Year",P$1)=""), "",GETPIVOTDATA("Cover",'Cover PivotTable'!$A$4,"Site",$A54,"Year",P$1,"Transect",$B54))</f>
        <v>13.5</v>
      </c>
    </row>
    <row r="55" spans="1:16" ht="15" thickBot="1" x14ac:dyDescent="0.4">
      <c r="A55" s="19"/>
      <c r="B55" s="19"/>
      <c r="C55" s="35"/>
      <c r="D55" s="35"/>
      <c r="E55" s="35"/>
      <c r="F55" s="35"/>
      <c r="G55" s="35"/>
      <c r="H55" s="35"/>
      <c r="I55" s="35"/>
      <c r="J55" s="35"/>
      <c r="K55" s="35"/>
      <c r="L55" s="35"/>
      <c r="M55" s="35"/>
      <c r="N55" s="35"/>
      <c r="O55" s="35"/>
      <c r="P55" s="35"/>
    </row>
    <row r="57" spans="1:16" x14ac:dyDescent="0.35">
      <c r="A57" t="s">
        <v>274</v>
      </c>
      <c r="C57" s="17">
        <f>IF(SUM(C2:C54)=0, "", AVERAGE(C2:C54))</f>
        <v>2.4150943396226414</v>
      </c>
      <c r="D57" s="17" t="str">
        <f t="shared" ref="D57:I57" si="0">IF(SUM(D2:D54)=0, "", AVERAGE(D2:D54))</f>
        <v/>
      </c>
      <c r="E57" s="17" t="str">
        <f t="shared" si="0"/>
        <v/>
      </c>
      <c r="F57" s="17" t="str">
        <f t="shared" si="0"/>
        <v/>
      </c>
      <c r="G57" s="17" t="str">
        <f t="shared" si="0"/>
        <v/>
      </c>
      <c r="H57" s="17" t="str">
        <f t="shared" si="0"/>
        <v/>
      </c>
      <c r="I57" s="17">
        <f t="shared" si="0"/>
        <v>3.2547169811320753</v>
      </c>
      <c r="J57" s="17" t="str">
        <f t="shared" ref="J57:O57" si="1">IF(SUM(J2:J54)=0, "", AVERAGE(J2:J54))</f>
        <v/>
      </c>
      <c r="K57" s="17" t="str">
        <f t="shared" si="1"/>
        <v/>
      </c>
      <c r="L57" s="17">
        <f t="shared" si="1"/>
        <v>3.1261278342126912</v>
      </c>
      <c r="M57" s="17" t="str">
        <f t="shared" si="1"/>
        <v/>
      </c>
      <c r="N57" s="17">
        <f t="shared" si="1"/>
        <v>2.0283018867924527</v>
      </c>
      <c r="O57" s="17">
        <f t="shared" si="1"/>
        <v>4.6415094339622645</v>
      </c>
      <c r="P57" s="17">
        <f>IF(SUM(P2:P54)=0, "", AVERAGE(P2:P54))</f>
        <v>9.6792452830188687</v>
      </c>
    </row>
    <row r="58" spans="1:16" x14ac:dyDescent="0.35">
      <c r="A58" t="s">
        <v>275</v>
      </c>
      <c r="C58" s="17">
        <f>IF(SUM(C2:C54)=0, "",STDEV(C2:C54))</f>
        <v>3.7541462322659429</v>
      </c>
      <c r="D58" s="17" t="str">
        <f t="shared" ref="D58:I58" si="2">IF(SUM(D2:D54)=0, "",STDEV(D2:D54))</f>
        <v/>
      </c>
      <c r="E58" s="17" t="str">
        <f t="shared" si="2"/>
        <v/>
      </c>
      <c r="F58" s="17" t="str">
        <f t="shared" si="2"/>
        <v/>
      </c>
      <c r="G58" s="17" t="str">
        <f t="shared" si="2"/>
        <v/>
      </c>
      <c r="H58" s="17" t="str">
        <f t="shared" si="2"/>
        <v/>
      </c>
      <c r="I58" s="17">
        <f t="shared" si="2"/>
        <v>4.7824022784553923</v>
      </c>
      <c r="J58" s="17" t="str">
        <f t="shared" ref="J58:O58" si="3">IF(SUM(J2:J54)=0, "",STDEV(J2:J54))</f>
        <v/>
      </c>
      <c r="K58" s="17" t="str">
        <f t="shared" si="3"/>
        <v/>
      </c>
      <c r="L58" s="17">
        <f t="shared" si="3"/>
        <v>4.0135475811251808</v>
      </c>
      <c r="M58" s="17" t="str">
        <f t="shared" si="3"/>
        <v/>
      </c>
      <c r="N58" s="17">
        <f t="shared" si="3"/>
        <v>1.9841077590240528</v>
      </c>
      <c r="O58" s="17">
        <f t="shared" si="3"/>
        <v>4.1986460254497135</v>
      </c>
      <c r="P58" s="17">
        <f>IF(SUM(P2:P54)=0, "",STDEV(P2:P54))</f>
        <v>6.0622526433460493</v>
      </c>
    </row>
    <row r="59" spans="1:16" x14ac:dyDescent="0.35">
      <c r="A59" t="s">
        <v>276</v>
      </c>
      <c r="C59" s="16">
        <f>IF(SUM(C2:C54)=0,"",_xlfn.CONFIDENCE.T(0.2,C58,COUNT(C2:C54)))</f>
        <v>0.66936500698851487</v>
      </c>
      <c r="D59" s="16" t="str">
        <f t="shared" ref="D59:I59" si="4">IF(SUM(D2:D54)=0,"",_xlfn.CONFIDENCE.T(0.2,D58,COUNT(D2:D54)))</f>
        <v/>
      </c>
      <c r="E59" s="16" t="str">
        <f t="shared" si="4"/>
        <v/>
      </c>
      <c r="F59" s="16" t="str">
        <f t="shared" si="4"/>
        <v/>
      </c>
      <c r="G59" s="16" t="str">
        <f t="shared" si="4"/>
        <v/>
      </c>
      <c r="H59" s="16" t="str">
        <f t="shared" si="4"/>
        <v/>
      </c>
      <c r="I59" s="16">
        <f t="shared" si="4"/>
        <v>0.85270326100430194</v>
      </c>
      <c r="J59" s="16" t="str">
        <f t="shared" ref="J59:O59" si="5">IF(SUM(J2:J54)=0,"",_xlfn.CONFIDENCE.T(0.2,J58,COUNT(J2:J54)))</f>
        <v/>
      </c>
      <c r="K59" s="16" t="str">
        <f t="shared" si="5"/>
        <v/>
      </c>
      <c r="L59" s="16">
        <f t="shared" si="5"/>
        <v>0.71561631819201876</v>
      </c>
      <c r="M59" s="16" t="str">
        <f t="shared" si="5"/>
        <v/>
      </c>
      <c r="N59" s="16">
        <f t="shared" si="5"/>
        <v>0.35376680124244553</v>
      </c>
      <c r="O59" s="16">
        <f t="shared" si="5"/>
        <v>0.74861940699393548</v>
      </c>
      <c r="P59" s="16">
        <f>IF(SUM(P2:P54)=0,"",_xlfn.CONFIDENCE.T(0.2,P58,COUNT(P2:P54)))</f>
        <v>1.0809008312204746</v>
      </c>
    </row>
    <row r="60" spans="1:16" x14ac:dyDescent="0.35">
      <c r="A60" t="s">
        <v>277</v>
      </c>
      <c r="C60" s="17">
        <f>IF(C59="","",C57+C59)</f>
        <v>3.0844593466111565</v>
      </c>
      <c r="D60" s="17" t="str">
        <f t="shared" ref="D60:I60" si="6">IF(D59="","",D57+D59)</f>
        <v/>
      </c>
      <c r="E60" s="17" t="str">
        <f t="shared" si="6"/>
        <v/>
      </c>
      <c r="F60" s="17" t="str">
        <f t="shared" si="6"/>
        <v/>
      </c>
      <c r="G60" s="17" t="str">
        <f t="shared" si="6"/>
        <v/>
      </c>
      <c r="H60" s="17" t="str">
        <f t="shared" si="6"/>
        <v/>
      </c>
      <c r="I60" s="17">
        <f t="shared" si="6"/>
        <v>4.107420242136377</v>
      </c>
      <c r="J60" s="17" t="str">
        <f t="shared" ref="J60:O60" si="7">IF(J59="","",J57+J59)</f>
        <v/>
      </c>
      <c r="K60" s="17" t="str">
        <f t="shared" si="7"/>
        <v/>
      </c>
      <c r="L60" s="17">
        <f t="shared" si="7"/>
        <v>3.84174415240471</v>
      </c>
      <c r="M60" s="17" t="str">
        <f t="shared" si="7"/>
        <v/>
      </c>
      <c r="N60" s="17">
        <f t="shared" si="7"/>
        <v>2.3820686880348982</v>
      </c>
      <c r="O60" s="17">
        <f t="shared" si="7"/>
        <v>5.3901288409561996</v>
      </c>
      <c r="P60" s="17">
        <f>IF(P59="","",P57+P59)</f>
        <v>10.760146114239344</v>
      </c>
    </row>
    <row r="62" spans="1:16" x14ac:dyDescent="0.35">
      <c r="A62" t="s">
        <v>270</v>
      </c>
      <c r="C62" s="17">
        <f t="shared" ref="C62:P62" si="8">VLOOKUP($A$2, TargetCover, 2, FALSE)*0.9</f>
        <v>15.93</v>
      </c>
      <c r="D62" s="17">
        <f t="shared" si="8"/>
        <v>15.93</v>
      </c>
      <c r="E62" s="17">
        <f t="shared" si="8"/>
        <v>15.93</v>
      </c>
      <c r="F62" s="17">
        <f t="shared" si="8"/>
        <v>15.93</v>
      </c>
      <c r="G62" s="17">
        <f t="shared" si="8"/>
        <v>15.93</v>
      </c>
      <c r="H62" s="17">
        <f t="shared" si="8"/>
        <v>15.93</v>
      </c>
      <c r="I62" s="17">
        <f t="shared" si="8"/>
        <v>15.93</v>
      </c>
      <c r="J62" s="17">
        <f t="shared" si="8"/>
        <v>15.93</v>
      </c>
      <c r="K62" s="17">
        <f t="shared" si="8"/>
        <v>15.93</v>
      </c>
      <c r="L62" s="17">
        <f t="shared" si="8"/>
        <v>15.93</v>
      </c>
      <c r="M62" s="17">
        <f t="shared" si="8"/>
        <v>15.93</v>
      </c>
      <c r="N62" s="17">
        <f t="shared" si="8"/>
        <v>15.93</v>
      </c>
      <c r="O62" s="17">
        <f t="shared" si="8"/>
        <v>15.93</v>
      </c>
      <c r="P62" s="17">
        <f t="shared" si="8"/>
        <v>15.93</v>
      </c>
    </row>
    <row r="63" spans="1:16" x14ac:dyDescent="0.35">
      <c r="A63" t="s">
        <v>283</v>
      </c>
      <c r="C63" s="17">
        <f t="shared" ref="C63:I63" si="9">IF(C60="","",C60-C62)</f>
        <v>-12.845540653388843</v>
      </c>
      <c r="D63" s="17" t="str">
        <f t="shared" si="9"/>
        <v/>
      </c>
      <c r="E63" s="17" t="str">
        <f t="shared" si="9"/>
        <v/>
      </c>
      <c r="F63" s="17" t="str">
        <f t="shared" si="9"/>
        <v/>
      </c>
      <c r="G63" s="17" t="str">
        <f t="shared" si="9"/>
        <v/>
      </c>
      <c r="H63" s="17" t="str">
        <f t="shared" si="9"/>
        <v/>
      </c>
      <c r="I63" s="17">
        <f t="shared" si="9"/>
        <v>-11.822579757863622</v>
      </c>
      <c r="J63" s="17" t="str">
        <f t="shared" ref="J63:O63" si="10">IF(J60="","",J60-J62)</f>
        <v/>
      </c>
      <c r="K63" s="17" t="str">
        <f t="shared" si="10"/>
        <v/>
      </c>
      <c r="L63" s="17">
        <f t="shared" si="10"/>
        <v>-12.08825584759529</v>
      </c>
      <c r="M63" s="17" t="str">
        <f t="shared" si="10"/>
        <v/>
      </c>
      <c r="N63" s="17">
        <f t="shared" si="10"/>
        <v>-13.547931311965101</v>
      </c>
      <c r="O63" s="17">
        <f t="shared" si="10"/>
        <v>-10.5398711590438</v>
      </c>
      <c r="P63" s="17">
        <f>IF(P60="","",P60-P62)</f>
        <v>-5.1698538857606557</v>
      </c>
    </row>
    <row r="64" spans="1:16" x14ac:dyDescent="0.35">
      <c r="A64" t="s">
        <v>279</v>
      </c>
      <c r="C64" t="b">
        <f>IF(C63="","",C63&gt;=0)</f>
        <v>0</v>
      </c>
      <c r="D64" t="str">
        <f t="shared" ref="D64:I64" si="11">IF(D63="","",D63&gt;=0)</f>
        <v/>
      </c>
      <c r="E64" t="str">
        <f t="shared" si="11"/>
        <v/>
      </c>
      <c r="F64" t="str">
        <f t="shared" si="11"/>
        <v/>
      </c>
      <c r="G64" t="str">
        <f t="shared" si="11"/>
        <v/>
      </c>
      <c r="H64" t="str">
        <f t="shared" si="11"/>
        <v/>
      </c>
      <c r="I64" t="b">
        <f t="shared" si="11"/>
        <v>0</v>
      </c>
      <c r="J64" t="str">
        <f t="shared" ref="J64:O64" si="12">IF(J63="","",J63&gt;=0)</f>
        <v/>
      </c>
      <c r="K64" t="str">
        <f t="shared" si="12"/>
        <v/>
      </c>
      <c r="L64" t="b">
        <f t="shared" si="12"/>
        <v>0</v>
      </c>
      <c r="M64" t="str">
        <f t="shared" si="12"/>
        <v/>
      </c>
      <c r="N64" t="b">
        <f t="shared" si="12"/>
        <v>0</v>
      </c>
      <c r="O64" t="b">
        <f t="shared" si="12"/>
        <v>0</v>
      </c>
      <c r="P64" t="b">
        <f>IF(P63="","",P63&gt;=0)</f>
        <v>0</v>
      </c>
    </row>
    <row r="65" spans="1:16" x14ac:dyDescent="0.35">
      <c r="A65" s="20"/>
      <c r="B65" s="20"/>
      <c r="C65" s="20"/>
      <c r="D65" s="20"/>
      <c r="E65" s="20"/>
      <c r="F65" s="20"/>
      <c r="G65" s="20"/>
      <c r="H65" s="20"/>
      <c r="I65" s="20"/>
      <c r="J65" s="20"/>
      <c r="K65" s="20"/>
      <c r="L65" s="20"/>
      <c r="M65" s="20"/>
      <c r="N65" s="20"/>
      <c r="O65" s="20"/>
      <c r="P65" s="20"/>
    </row>
    <row r="67" spans="1:16" x14ac:dyDescent="0.35">
      <c r="A67" t="s">
        <v>280</v>
      </c>
      <c r="C67">
        <f>IF(GETPIVOTDATA("Helper_SPP",'Species Richness PivotTable'!$A$4,"Site",$A$2,"Year",C$1)="", "", GETPIVOTDATA("Helper_SPP",'Species Richness PivotTable'!$A$4,"Site",$A$2,"Year",C$1))</f>
        <v>11</v>
      </c>
      <c r="D67" t="str">
        <f>IF(GETPIVOTDATA("Helper_SPP",'Species Richness PivotTable'!$A$4,"Site",$A$2,"Year",D$1)="", "", GETPIVOTDATA("Helper_SPP",'Species Richness PivotTable'!$A$4,"Site",$A$2,"Year",D$1))</f>
        <v/>
      </c>
      <c r="E67" t="str">
        <f>IF(GETPIVOTDATA("Helper_SPP",'Species Richness PivotTable'!$A$4,"Site",$A$2,"Year",E$1)="", "", GETPIVOTDATA("Helper_SPP",'Species Richness PivotTable'!$A$4,"Site",$A$2,"Year",E$1))</f>
        <v/>
      </c>
      <c r="F67" t="str">
        <f>IF(GETPIVOTDATA("Helper_SPP",'Species Richness PivotTable'!$A$4,"Site",$A$2,"Year",F$1)="", "", GETPIVOTDATA("Helper_SPP",'Species Richness PivotTable'!$A$4,"Site",$A$2,"Year",F$1))</f>
        <v/>
      </c>
      <c r="G67" t="str">
        <f>IF(GETPIVOTDATA("Helper_SPP",'Species Richness PivotTable'!$A$4,"Site",$A$2,"Year",G$1)="", "", GETPIVOTDATA("Helper_SPP",'Species Richness PivotTable'!$A$4,"Site",$A$2,"Year",G$1))</f>
        <v/>
      </c>
      <c r="H67" t="str">
        <f>IF(GETPIVOTDATA("Helper_SPP",'Species Richness PivotTable'!$A$4,"Site",$A$2,"Year",H$1)="", "", GETPIVOTDATA("Helper_SPP",'Species Richness PivotTable'!$A$4,"Site",$A$2,"Year",H$1))</f>
        <v/>
      </c>
      <c r="I67">
        <f>IF(GETPIVOTDATA("Helper_SPP",'Species Richness PivotTable'!$A$4,"Site",$A$2,"Year",I$1)="", "", GETPIVOTDATA("Helper_SPP",'Species Richness PivotTable'!$A$4,"Site",$A$2,"Year",I$1))</f>
        <v>11</v>
      </c>
      <c r="J67" t="str">
        <f>IF(GETPIVOTDATA("Helper_SPP",'Species Richness PivotTable'!$A$4,"Site",$A$2,"Year",J$1)="", "", GETPIVOTDATA("Helper_SPP",'Species Richness PivotTable'!$A$4,"Site",$A$2,"Year",J$1))</f>
        <v/>
      </c>
      <c r="K67" t="str">
        <f>IF(GETPIVOTDATA("Helper_SPP",'Species Richness PivotTable'!$A$4,"Site",$A$2,"Year",K$1)="", "", GETPIVOTDATA("Helper_SPP",'Species Richness PivotTable'!$A$4,"Site",$A$2,"Year",K$1))</f>
        <v/>
      </c>
      <c r="L67">
        <f>IF(GETPIVOTDATA("Helper_SPP",'Species Richness PivotTable'!$A$4,"Site",$A$2,"Year",L$1)="", "", GETPIVOTDATA("Helper_SPP",'Species Richness PivotTable'!$A$4,"Site",$A$2,"Year",L$1))</f>
        <v>9</v>
      </c>
      <c r="M67" t="str">
        <f>IF(GETPIVOTDATA("Helper_SPP",'Species Richness PivotTable'!$A$4,"Site",$A$2,"Year",M$1)="", "", GETPIVOTDATA("Helper_SPP",'Species Richness PivotTable'!$A$4,"Site",$A$2,"Year",M$1))</f>
        <v/>
      </c>
      <c r="N67">
        <f>IF(GETPIVOTDATA("Helper_SPP",'Species Richness PivotTable'!$A$4,"Site",$A$2,"Year",N$1)="", "", GETPIVOTDATA("Helper_SPP",'Species Richness PivotTable'!$A$4,"Site",$A$2,"Year",N$1))</f>
        <v>9</v>
      </c>
      <c r="O67">
        <f>IF(GETPIVOTDATA("Helper_SPP",'Species Richness PivotTable'!$A$4,"Site",$A$2,"Year",O$1)="", "", GETPIVOTDATA("Helper_SPP",'Species Richness PivotTable'!$A$4,"Site",$A$2,"Year",O$1))</f>
        <v>13</v>
      </c>
      <c r="P67">
        <f>IF(GETPIVOTDATA("Helper_SPP",'Species Richness PivotTable'!$A$4,"Site",$A$2,"Year",P$1)="", "", GETPIVOTDATA("Helper_SPP",'Species Richness PivotTable'!$A$4,"Site",$A$2,"Year",P$1))</f>
        <v>11</v>
      </c>
    </row>
    <row r="68" spans="1:16" x14ac:dyDescent="0.35">
      <c r="A68" t="s">
        <v>281</v>
      </c>
      <c r="C68" s="18">
        <f t="shared" ref="C68:P68" si="13">VLOOKUP($A$2, TargetCover, 3, FALSE)*0.75</f>
        <v>7.5</v>
      </c>
      <c r="D68" s="18">
        <f t="shared" si="13"/>
        <v>7.5</v>
      </c>
      <c r="E68" s="18">
        <f t="shared" si="13"/>
        <v>7.5</v>
      </c>
      <c r="F68" s="18">
        <f t="shared" si="13"/>
        <v>7.5</v>
      </c>
      <c r="G68" s="18">
        <f t="shared" si="13"/>
        <v>7.5</v>
      </c>
      <c r="H68" s="18">
        <f t="shared" si="13"/>
        <v>7.5</v>
      </c>
      <c r="I68" s="18">
        <f t="shared" si="13"/>
        <v>7.5</v>
      </c>
      <c r="J68" s="18">
        <f t="shared" si="13"/>
        <v>7.5</v>
      </c>
      <c r="K68" s="18">
        <f t="shared" si="13"/>
        <v>7.5</v>
      </c>
      <c r="L68" s="18">
        <f t="shared" si="13"/>
        <v>7.5</v>
      </c>
      <c r="M68" s="18">
        <f t="shared" si="13"/>
        <v>7.5</v>
      </c>
      <c r="N68" s="18">
        <f t="shared" si="13"/>
        <v>7.5</v>
      </c>
      <c r="O68" s="18">
        <f t="shared" si="13"/>
        <v>7.5</v>
      </c>
      <c r="P68" s="18">
        <f t="shared" si="13"/>
        <v>7.5</v>
      </c>
    </row>
    <row r="69" spans="1:16" x14ac:dyDescent="0.35">
      <c r="A69" t="s">
        <v>282</v>
      </c>
      <c r="C69" t="b">
        <f t="shared" ref="C69:I69" si="14">IF(C67="","",C67&gt;=C68)</f>
        <v>1</v>
      </c>
      <c r="D69" t="str">
        <f t="shared" si="14"/>
        <v/>
      </c>
      <c r="E69" t="str">
        <f t="shared" si="14"/>
        <v/>
      </c>
      <c r="F69" t="str">
        <f t="shared" si="14"/>
        <v/>
      </c>
      <c r="G69" t="str">
        <f t="shared" si="14"/>
        <v/>
      </c>
      <c r="H69" t="str">
        <f t="shared" si="14"/>
        <v/>
      </c>
      <c r="I69" t="b">
        <f t="shared" si="14"/>
        <v>1</v>
      </c>
      <c r="J69" t="str">
        <f t="shared" ref="J69:O69" si="15">IF(J67="","",J67&gt;=J68)</f>
        <v/>
      </c>
      <c r="K69" t="str">
        <f t="shared" si="15"/>
        <v/>
      </c>
      <c r="L69" t="b">
        <f t="shared" si="15"/>
        <v>1</v>
      </c>
      <c r="M69" t="str">
        <f t="shared" si="15"/>
        <v/>
      </c>
      <c r="N69" t="b">
        <f t="shared" si="15"/>
        <v>1</v>
      </c>
      <c r="O69" t="b">
        <f t="shared" si="15"/>
        <v>1</v>
      </c>
      <c r="P69" t="b">
        <f>IF(P67="","",P67&gt;=P68)</f>
        <v>1</v>
      </c>
    </row>
    <row r="70" spans="1:16" ht="15" thickBot="1" x14ac:dyDescent="0.4">
      <c r="A70" s="19"/>
      <c r="B70" s="19"/>
      <c r="C70" s="19"/>
      <c r="D70" s="19"/>
      <c r="E70" s="19"/>
      <c r="F70" s="19"/>
      <c r="G70" s="19"/>
      <c r="H70" s="19"/>
      <c r="I70" s="19"/>
      <c r="J70" s="19"/>
      <c r="K70" s="19"/>
      <c r="L70" s="19"/>
      <c r="M70" s="19"/>
      <c r="N70" s="19"/>
      <c r="O70" s="19"/>
      <c r="P70" s="19"/>
    </row>
  </sheetData>
  <conditionalFormatting sqref="C64:G65 C64:P64 C69:P69">
    <cfRule type="cellIs" dxfId="43" priority="27" operator="equal">
      <formula>TRUE</formula>
    </cfRule>
    <cfRule type="cellIs" dxfId="42" priority="28" operator="equal">
      <formula>FALSE</formula>
    </cfRule>
  </conditionalFormatting>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4"/>
  <dimension ref="A1:O25"/>
  <sheetViews>
    <sheetView workbookViewId="0">
      <pane xSplit="2" ySplit="1" topLeftCell="C8" activePane="bottomRight" state="frozen"/>
      <selection pane="topRight" activeCell="C1" sqref="C1"/>
      <selection pane="bottomLeft" activeCell="A2" sqref="A2"/>
      <selection pane="bottomRight" activeCell="L29" sqref="L29"/>
    </sheetView>
  </sheetViews>
  <sheetFormatPr defaultColWidth="9.08984375" defaultRowHeight="14.5" x14ac:dyDescent="0.35"/>
  <cols>
    <col min="3" max="3" width="9.08984375" customWidth="1"/>
  </cols>
  <sheetData>
    <row r="1" spans="1:15" x14ac:dyDescent="0.35">
      <c r="A1" t="s">
        <v>7</v>
      </c>
      <c r="B1" t="s">
        <v>0</v>
      </c>
      <c r="C1" s="13">
        <v>1999</v>
      </c>
      <c r="D1" s="13">
        <v>2001</v>
      </c>
      <c r="E1" s="13">
        <v>2002</v>
      </c>
      <c r="F1" s="13">
        <v>2003</v>
      </c>
      <c r="G1" s="13">
        <v>2004</v>
      </c>
      <c r="H1" s="13">
        <v>2005</v>
      </c>
      <c r="I1" s="13">
        <v>2006</v>
      </c>
      <c r="J1" s="13">
        <v>2007</v>
      </c>
      <c r="K1" s="13">
        <v>2010</v>
      </c>
      <c r="L1" s="13">
        <v>2012</v>
      </c>
      <c r="M1" s="13">
        <v>2013</v>
      </c>
      <c r="N1" s="13">
        <v>2016</v>
      </c>
      <c r="O1" s="13">
        <v>2017</v>
      </c>
    </row>
    <row r="2" spans="1:15" x14ac:dyDescent="0.35">
      <c r="A2" t="s">
        <v>161</v>
      </c>
      <c r="B2">
        <v>1.1000000000000001</v>
      </c>
      <c r="C2" t="str">
        <f>IF(OR(ISERROR(GETPIVOTDATA("Cover",'Cover PivotTable'!$A$4,"Site",$A2,"Year",C$1,"Transect",$B2)),GETPIVOTDATA("Cover",'Cover PivotTable'!$A$4,"Site",$A2,"Year",C$1)=""), "",GETPIVOTDATA("Cover",'Cover PivotTable'!$A$4,"Site",$A2,"Year",C$1,"Transect",$B2))</f>
        <v/>
      </c>
      <c r="D2" t="str">
        <f>IF(OR(ISERROR(GETPIVOTDATA("Cover",'Cover PivotTable'!$A$4,"Site",$A2,"Year",D$1,"Transect",$B2)),GETPIVOTDATA("Cover",'Cover PivotTable'!$A$4,"Site",$A2,"Year",D$1)=""), "",GETPIVOTDATA("Cover",'Cover PivotTable'!$A$4,"Site",$A2,"Year",D$1,"Transect",$B2))</f>
        <v/>
      </c>
      <c r="E2" t="str">
        <f>IF(OR(ISERROR(GETPIVOTDATA("Cover",'Cover PivotTable'!$A$4,"Site",$A2,"Year",E$1,"Transect",$B2)),GETPIVOTDATA("Cover",'Cover PivotTable'!$A$4,"Site",$A2,"Year",E$1)=""), "",GETPIVOTDATA("Cover",'Cover PivotTable'!$A$4,"Site",$A2,"Year",E$1,"Transect",$B2))</f>
        <v/>
      </c>
      <c r="F2" t="str">
        <f>IF(OR(ISERROR(GETPIVOTDATA("Cover",'Cover PivotTable'!$A$4,"Site",$A2,"Year",F$1,"Transect",$B2)),GETPIVOTDATA("Cover",'Cover PivotTable'!$A$4,"Site",$A2,"Year",F$1)=""), "",GETPIVOTDATA("Cover",'Cover PivotTable'!$A$4,"Site",$A2,"Year",F$1,"Transect",$B2))</f>
        <v/>
      </c>
      <c r="G2" t="str">
        <f>IF(OR(ISERROR(GETPIVOTDATA("Cover",'Cover PivotTable'!$A$4,"Site",$A2,"Year",G$1,"Transect",$B2)),GETPIVOTDATA("Cover",'Cover PivotTable'!$A$4,"Site",$A2,"Year",G$1)=""), "",GETPIVOTDATA("Cover",'Cover PivotTable'!$A$4,"Site",$A2,"Year",G$1,"Transect",$B2))</f>
        <v/>
      </c>
      <c r="H2" t="str">
        <f>IF(OR(ISERROR(GETPIVOTDATA("Cover",'Cover PivotTable'!$A$4,"Site",$A2,"Year",H$1,"Transect",$B2)),GETPIVOTDATA("Cover",'Cover PivotTable'!$A$4,"Site",$A2,"Year",H$1)=""), "",GETPIVOTDATA("Cover",'Cover PivotTable'!$A$4,"Site",$A2,"Year",H$1,"Transect",$B2))</f>
        <v/>
      </c>
      <c r="I2" t="str">
        <f>IF(OR(ISERROR(GETPIVOTDATA("Cover",'Cover PivotTable'!$A$4,"Site",$A2,"Year",I$1,"Transect",$B2)),GETPIVOTDATA("Cover",'Cover PivotTable'!$A$4,"Site",$A2,"Year",I$1)=""), "",GETPIVOTDATA("Cover",'Cover PivotTable'!$A$4,"Site",$A2,"Year",I$1,"Transect",$B2))</f>
        <v/>
      </c>
      <c r="J2" t="str">
        <f>IF(OR(ISERROR(GETPIVOTDATA("Cover",'Cover PivotTable'!$A$4,"Site",$A2,"Year",J$1,"Transect",$B2)),GETPIVOTDATA("Cover",'Cover PivotTable'!$A$4,"Site",$A2,"Year",J$1)=""), "",GETPIVOTDATA("Cover",'Cover PivotTable'!$A$4,"Site",$A2,"Year",J$1,"Transect",$B2))</f>
        <v/>
      </c>
      <c r="K2" t="str">
        <f>IF(OR(ISERROR(GETPIVOTDATA("Cover",'Cover PivotTable'!$A$4,"Site",$A2,"Year",K$1,"Transect",$B2)),GETPIVOTDATA("Cover",'Cover PivotTable'!$A$4,"Site",$A2,"Year",K$1)=""), "",GETPIVOTDATA("Cover",'Cover PivotTable'!$A$4,"Site",$A2,"Year",K$1,"Transect",$B2))</f>
        <v/>
      </c>
      <c r="L2" t="str">
        <f>IF(OR(ISERROR(GETPIVOTDATA("Cover",'Cover PivotTable'!$A$4,"Site",$A2,"Year",L$1,"Transect",$B2)),GETPIVOTDATA("Cover",'Cover PivotTable'!$A$4,"Site",$A2,"Year",L$1)=""), "",GETPIVOTDATA("Cover",'Cover PivotTable'!$A$4,"Site",$A2,"Year",L$1,"Transect",$B2))</f>
        <v/>
      </c>
      <c r="M2">
        <f>IF(OR(ISERROR(GETPIVOTDATA("Cover",'Cover PivotTable'!$A$4,"Site",$A2,"Year",M$1,"Transect",$B2)),GETPIVOTDATA("Cover",'Cover PivotTable'!$A$4,"Site",$A2,"Year",M$1)=""), "",GETPIVOTDATA("Cover",'Cover PivotTable'!$A$4,"Site",$A2,"Year",M$1,"Transect",$B2))</f>
        <v>1.1111111111111112</v>
      </c>
      <c r="N2">
        <f>IF(OR(ISERROR(GETPIVOTDATA("Cover",'Cover PivotTable'!$A$4,"Site",$A2,"Year",N$1,"Transect",$B2)),GETPIVOTDATA("Cover",'Cover PivotTable'!$A$4,"Site",$A2,"Year",N$1)=""), "",GETPIVOTDATA("Cover",'Cover PivotTable'!$A$4,"Site",$A2,"Year",N$1,"Transect",$B2))</f>
        <v>1.1111111111111112</v>
      </c>
      <c r="O2">
        <f>IF(OR(ISERROR(GETPIVOTDATA("Cover",'Cover PivotTable'!$A$4,"Site",$A2,"Year",O$1,"Transect",$B2)),GETPIVOTDATA("Cover",'Cover PivotTable'!$A$4,"Site",$A2,"Year",O$1)=""), "",GETPIVOTDATA("Cover",'Cover PivotTable'!$A$4,"Site",$A2,"Year",O$1,"Transect",$B2))</f>
        <v>2.2222222222222223</v>
      </c>
    </row>
    <row r="3" spans="1:15" x14ac:dyDescent="0.35">
      <c r="A3" t="s">
        <v>161</v>
      </c>
      <c r="B3">
        <v>2.1</v>
      </c>
      <c r="C3" t="str">
        <f>IF(OR(ISERROR(GETPIVOTDATA("Cover",'Cover PivotTable'!$A$4,"Site",$A3,"Year",C$1,"Transect",$B3)),GETPIVOTDATA("Cover",'Cover PivotTable'!$A$4,"Site",$A3,"Year",C$1)=""), "",GETPIVOTDATA("Cover",'Cover PivotTable'!$A$4,"Site",$A3,"Year",C$1,"Transect",$B3))</f>
        <v/>
      </c>
      <c r="D3" t="str">
        <f>IF(OR(ISERROR(GETPIVOTDATA("Cover",'Cover PivotTable'!$A$4,"Site",$A3,"Year",D$1,"Transect",$B3)),GETPIVOTDATA("Cover",'Cover PivotTable'!$A$4,"Site",$A3,"Year",D$1)=""), "",GETPIVOTDATA("Cover",'Cover PivotTable'!$A$4,"Site",$A3,"Year",D$1,"Transect",$B3))</f>
        <v/>
      </c>
      <c r="E3" t="str">
        <f>IF(OR(ISERROR(GETPIVOTDATA("Cover",'Cover PivotTable'!$A$4,"Site",$A3,"Year",E$1,"Transect",$B3)),GETPIVOTDATA("Cover",'Cover PivotTable'!$A$4,"Site",$A3,"Year",E$1)=""), "",GETPIVOTDATA("Cover",'Cover PivotTable'!$A$4,"Site",$A3,"Year",E$1,"Transect",$B3))</f>
        <v/>
      </c>
      <c r="F3" t="str">
        <f>IF(OR(ISERROR(GETPIVOTDATA("Cover",'Cover PivotTable'!$A$4,"Site",$A3,"Year",F$1,"Transect",$B3)),GETPIVOTDATA("Cover",'Cover PivotTable'!$A$4,"Site",$A3,"Year",F$1)=""), "",GETPIVOTDATA("Cover",'Cover PivotTable'!$A$4,"Site",$A3,"Year",F$1,"Transect",$B3))</f>
        <v/>
      </c>
      <c r="G3" t="str">
        <f>IF(OR(ISERROR(GETPIVOTDATA("Cover",'Cover PivotTable'!$A$4,"Site",$A3,"Year",G$1,"Transect",$B3)),GETPIVOTDATA("Cover",'Cover PivotTable'!$A$4,"Site",$A3,"Year",G$1)=""), "",GETPIVOTDATA("Cover",'Cover PivotTable'!$A$4,"Site",$A3,"Year",G$1,"Transect",$B3))</f>
        <v/>
      </c>
      <c r="H3" t="str">
        <f>IF(OR(ISERROR(GETPIVOTDATA("Cover",'Cover PivotTable'!$A$4,"Site",$A3,"Year",H$1,"Transect",$B3)),GETPIVOTDATA("Cover",'Cover PivotTable'!$A$4,"Site",$A3,"Year",H$1)=""), "",GETPIVOTDATA("Cover",'Cover PivotTable'!$A$4,"Site",$A3,"Year",H$1,"Transect",$B3))</f>
        <v/>
      </c>
      <c r="I3" t="str">
        <f>IF(OR(ISERROR(GETPIVOTDATA("Cover",'Cover PivotTable'!$A$4,"Site",$A3,"Year",I$1,"Transect",$B3)),GETPIVOTDATA("Cover",'Cover PivotTable'!$A$4,"Site",$A3,"Year",I$1)=""), "",GETPIVOTDATA("Cover",'Cover PivotTable'!$A$4,"Site",$A3,"Year",I$1,"Transect",$B3))</f>
        <v/>
      </c>
      <c r="J3" t="str">
        <f>IF(OR(ISERROR(GETPIVOTDATA("Cover",'Cover PivotTable'!$A$4,"Site",$A3,"Year",J$1,"Transect",$B3)),GETPIVOTDATA("Cover",'Cover PivotTable'!$A$4,"Site",$A3,"Year",J$1)=""), "",GETPIVOTDATA("Cover",'Cover PivotTable'!$A$4,"Site",$A3,"Year",J$1,"Transect",$B3))</f>
        <v/>
      </c>
      <c r="K3" t="str">
        <f>IF(OR(ISERROR(GETPIVOTDATA("Cover",'Cover PivotTable'!$A$4,"Site",$A3,"Year",K$1,"Transect",$B3)),GETPIVOTDATA("Cover",'Cover PivotTable'!$A$4,"Site",$A3,"Year",K$1)=""), "",GETPIVOTDATA("Cover",'Cover PivotTable'!$A$4,"Site",$A3,"Year",K$1,"Transect",$B3))</f>
        <v/>
      </c>
      <c r="L3" t="str">
        <f>IF(OR(ISERROR(GETPIVOTDATA("Cover",'Cover PivotTable'!$A$4,"Site",$A3,"Year",L$1,"Transect",$B3)),GETPIVOTDATA("Cover",'Cover PivotTable'!$A$4,"Site",$A3,"Year",L$1)=""), "",GETPIVOTDATA("Cover",'Cover PivotTable'!$A$4,"Site",$A3,"Year",L$1,"Transect",$B3))</f>
        <v/>
      </c>
      <c r="M3">
        <f>IF(OR(ISERROR(GETPIVOTDATA("Cover",'Cover PivotTable'!$A$4,"Site",$A3,"Year",M$1,"Transect",$B3)),GETPIVOTDATA("Cover",'Cover PivotTable'!$A$4,"Site",$A3,"Year",M$1)=""), "",GETPIVOTDATA("Cover",'Cover PivotTable'!$A$4,"Site",$A3,"Year",M$1,"Transect",$B3))</f>
        <v>2.6845637583892619</v>
      </c>
      <c r="N3">
        <f>IF(OR(ISERROR(GETPIVOTDATA("Cover",'Cover PivotTable'!$A$4,"Site",$A3,"Year",N$1,"Transect",$B3)),GETPIVOTDATA("Cover",'Cover PivotTable'!$A$4,"Site",$A3,"Year",N$1)=""), "",GETPIVOTDATA("Cover",'Cover PivotTable'!$A$4,"Site",$A3,"Year",N$1,"Transect",$B3))</f>
        <v>6.7114093959731544</v>
      </c>
      <c r="O3">
        <f>IF(OR(ISERROR(GETPIVOTDATA("Cover",'Cover PivotTable'!$A$4,"Site",$A3,"Year",O$1,"Transect",$B3)),GETPIVOTDATA("Cover",'Cover PivotTable'!$A$4,"Site",$A3,"Year",O$1)=""), "",GETPIVOTDATA("Cover",'Cover PivotTable'!$A$4,"Site",$A3,"Year",O$1,"Transect",$B3))</f>
        <v>10.067114093959731</v>
      </c>
    </row>
    <row r="4" spans="1:15" x14ac:dyDescent="0.35">
      <c r="A4" t="s">
        <v>161</v>
      </c>
      <c r="B4">
        <v>3.1</v>
      </c>
    </row>
    <row r="5" spans="1:15" x14ac:dyDescent="0.35">
      <c r="A5" t="s">
        <v>161</v>
      </c>
      <c r="B5">
        <v>4.0999999999999996</v>
      </c>
    </row>
    <row r="6" spans="1:15" x14ac:dyDescent="0.35">
      <c r="A6" t="s">
        <v>161</v>
      </c>
      <c r="B6" s="6" t="s">
        <v>166</v>
      </c>
      <c r="C6" t="str">
        <f>IF(OR(ISERROR(GETPIVOTDATA("Cover",'Cover PivotTable'!$A$4,"Site",$A6,"Year",C$1,"Transect",$B6)),GETPIVOTDATA("Cover",'Cover PivotTable'!$A$4,"Site",$A6,"Year",C$1)=""), "",GETPIVOTDATA("Cover",'Cover PivotTable'!$A$4,"Site",$A6,"Year",C$1,"Transect",$B6))</f>
        <v/>
      </c>
      <c r="D6" t="str">
        <f>IF(OR(ISERROR(GETPIVOTDATA("Cover",'Cover PivotTable'!$A$4,"Site",$A6,"Year",D$1,"Transect",$B6)),GETPIVOTDATA("Cover",'Cover PivotTable'!$A$4,"Site",$A6,"Year",D$1)=""), "",GETPIVOTDATA("Cover",'Cover PivotTable'!$A$4,"Site",$A6,"Year",D$1,"Transect",$B6))</f>
        <v/>
      </c>
      <c r="E6" t="str">
        <f>IF(OR(ISERROR(GETPIVOTDATA("Cover",'Cover PivotTable'!$A$4,"Site",$A6,"Year",E$1,"Transect",$B6)),GETPIVOTDATA("Cover",'Cover PivotTable'!$A$4,"Site",$A6,"Year",E$1)=""), "",GETPIVOTDATA("Cover",'Cover PivotTable'!$A$4,"Site",$A6,"Year",E$1,"Transect",$B6))</f>
        <v/>
      </c>
      <c r="F6" t="str">
        <f>IF(OR(ISERROR(GETPIVOTDATA("Cover",'Cover PivotTable'!$A$4,"Site",$A6,"Year",F$1,"Transect",$B6)),GETPIVOTDATA("Cover",'Cover PivotTable'!$A$4,"Site",$A6,"Year",F$1)=""), "",GETPIVOTDATA("Cover",'Cover PivotTable'!$A$4,"Site",$A6,"Year",F$1,"Transect",$B6))</f>
        <v/>
      </c>
      <c r="G6" t="str">
        <f>IF(OR(ISERROR(GETPIVOTDATA("Cover",'Cover PivotTable'!$A$4,"Site",$A6,"Year",G$1,"Transect",$B6)),GETPIVOTDATA("Cover",'Cover PivotTable'!$A$4,"Site",$A6,"Year",G$1)=""), "",GETPIVOTDATA("Cover",'Cover PivotTable'!$A$4,"Site",$A6,"Year",G$1,"Transect",$B6))</f>
        <v/>
      </c>
      <c r="H6" t="str">
        <f>IF(OR(ISERROR(GETPIVOTDATA("Cover",'Cover PivotTable'!$A$4,"Site",$A6,"Year",H$1,"Transect",$B6)),GETPIVOTDATA("Cover",'Cover PivotTable'!$A$4,"Site",$A6,"Year",H$1)=""), "",GETPIVOTDATA("Cover",'Cover PivotTable'!$A$4,"Site",$A6,"Year",H$1,"Transect",$B6))</f>
        <v/>
      </c>
      <c r="I6" t="str">
        <f>IF(OR(ISERROR(GETPIVOTDATA("Cover",'Cover PivotTable'!$A$4,"Site",$A6,"Year",I$1,"Transect",$B6)),GETPIVOTDATA("Cover",'Cover PivotTable'!$A$4,"Site",$A6,"Year",I$1)=""), "",GETPIVOTDATA("Cover",'Cover PivotTable'!$A$4,"Site",$A6,"Year",I$1,"Transect",$B6))</f>
        <v/>
      </c>
      <c r="J6" t="str">
        <f>IF(OR(ISERROR(GETPIVOTDATA("Cover",'Cover PivotTable'!$A$4,"Site",$A6,"Year",J$1,"Transect",$B6)),GETPIVOTDATA("Cover",'Cover PivotTable'!$A$4,"Site",$A6,"Year",J$1)=""), "",GETPIVOTDATA("Cover",'Cover PivotTable'!$A$4,"Site",$A6,"Year",J$1,"Transect",$B6))</f>
        <v/>
      </c>
      <c r="K6" t="str">
        <f>IF(OR(ISERROR(GETPIVOTDATA("Cover",'Cover PivotTable'!$A$4,"Site",$A6,"Year",K$1,"Transect",$B6)),GETPIVOTDATA("Cover",'Cover PivotTable'!$A$4,"Site",$A6,"Year",K$1)=""), "",GETPIVOTDATA("Cover",'Cover PivotTable'!$A$4,"Site",$A6,"Year",K$1,"Transect",$B6))</f>
        <v/>
      </c>
      <c r="L6" t="str">
        <f>IF(OR(ISERROR(GETPIVOTDATA("Cover",'Cover PivotTable'!$A$4,"Site",$A6,"Year",L$1,"Transect",$B6)),GETPIVOTDATA("Cover",'Cover PivotTable'!$A$4,"Site",$A6,"Year",L$1)=""), "",GETPIVOTDATA("Cover",'Cover PivotTable'!$A$4,"Site",$A6,"Year",L$1,"Transect",$B6))</f>
        <v/>
      </c>
      <c r="M6">
        <f>IF(OR(ISERROR(GETPIVOTDATA("Cover",'Cover PivotTable'!$A$4,"Site",$A6,"Year",M$1,"Transect",$B6)),GETPIVOTDATA("Cover",'Cover PivotTable'!$A$4,"Site",$A6,"Year",M$1)=""), "",GETPIVOTDATA("Cover",'Cover PivotTable'!$A$4,"Site",$A6,"Year",M$1,"Transect",$B6))</f>
        <v>5</v>
      </c>
      <c r="N6">
        <f>IF(OR(ISERROR(GETPIVOTDATA("Cover",'Cover PivotTable'!$A$4,"Site",$A6,"Year",N$1,"Transect",$B6)),GETPIVOTDATA("Cover",'Cover PivotTable'!$A$4,"Site",$A6,"Year",N$1)=""), "",GETPIVOTDATA("Cover",'Cover PivotTable'!$A$4,"Site",$A6,"Year",N$1,"Transect",$B6))</f>
        <v>2.5</v>
      </c>
      <c r="O6">
        <f>IF(OR(ISERROR(GETPIVOTDATA("Cover",'Cover PivotTable'!$A$4,"Site",$A6,"Year",O$1,"Transect",$B6)),GETPIVOTDATA("Cover",'Cover PivotTable'!$A$4,"Site",$A6,"Year",O$1)=""), "",GETPIVOTDATA("Cover",'Cover PivotTable'!$A$4,"Site",$A6,"Year",O$1,"Transect",$B6))</f>
        <v>6</v>
      </c>
    </row>
    <row r="7" spans="1:15" x14ac:dyDescent="0.35">
      <c r="A7" t="s">
        <v>161</v>
      </c>
      <c r="B7" s="6" t="s">
        <v>167</v>
      </c>
      <c r="C7" t="str">
        <f>IF(OR(ISERROR(GETPIVOTDATA("Cover",'Cover PivotTable'!$A$4,"Site",$A7,"Year",C$1,"Transect",$B7)),GETPIVOTDATA("Cover",'Cover PivotTable'!$A$4,"Site",$A7,"Year",C$1)=""), "",GETPIVOTDATA("Cover",'Cover PivotTable'!$A$4,"Site",$A7,"Year",C$1,"Transect",$B7))</f>
        <v/>
      </c>
      <c r="D7" t="str">
        <f>IF(OR(ISERROR(GETPIVOTDATA("Cover",'Cover PivotTable'!$A$4,"Site",$A7,"Year",D$1,"Transect",$B7)),GETPIVOTDATA("Cover",'Cover PivotTable'!$A$4,"Site",$A7,"Year",D$1)=""), "",GETPIVOTDATA("Cover",'Cover PivotTable'!$A$4,"Site",$A7,"Year",D$1,"Transect",$B7))</f>
        <v/>
      </c>
      <c r="E7" t="str">
        <f>IF(OR(ISERROR(GETPIVOTDATA("Cover",'Cover PivotTable'!$A$4,"Site",$A7,"Year",E$1,"Transect",$B7)),GETPIVOTDATA("Cover",'Cover PivotTable'!$A$4,"Site",$A7,"Year",E$1)=""), "",GETPIVOTDATA("Cover",'Cover PivotTable'!$A$4,"Site",$A7,"Year",E$1,"Transect",$B7))</f>
        <v/>
      </c>
      <c r="F7" t="str">
        <f>IF(OR(ISERROR(GETPIVOTDATA("Cover",'Cover PivotTable'!$A$4,"Site",$A7,"Year",F$1,"Transect",$B7)),GETPIVOTDATA("Cover",'Cover PivotTable'!$A$4,"Site",$A7,"Year",F$1)=""), "",GETPIVOTDATA("Cover",'Cover PivotTable'!$A$4,"Site",$A7,"Year",F$1,"Transect",$B7))</f>
        <v/>
      </c>
      <c r="G7" t="str">
        <f>IF(OR(ISERROR(GETPIVOTDATA("Cover",'Cover PivotTable'!$A$4,"Site",$A7,"Year",G$1,"Transect",$B7)),GETPIVOTDATA("Cover",'Cover PivotTable'!$A$4,"Site",$A7,"Year",G$1)=""), "",GETPIVOTDATA("Cover",'Cover PivotTable'!$A$4,"Site",$A7,"Year",G$1,"Transect",$B7))</f>
        <v/>
      </c>
      <c r="H7" t="str">
        <f>IF(OR(ISERROR(GETPIVOTDATA("Cover",'Cover PivotTable'!$A$4,"Site",$A7,"Year",H$1,"Transect",$B7)),GETPIVOTDATA("Cover",'Cover PivotTable'!$A$4,"Site",$A7,"Year",H$1)=""), "",GETPIVOTDATA("Cover",'Cover PivotTable'!$A$4,"Site",$A7,"Year",H$1,"Transect",$B7))</f>
        <v/>
      </c>
      <c r="I7" t="str">
        <f>IF(OR(ISERROR(GETPIVOTDATA("Cover",'Cover PivotTable'!$A$4,"Site",$A7,"Year",I$1,"Transect",$B7)),GETPIVOTDATA("Cover",'Cover PivotTable'!$A$4,"Site",$A7,"Year",I$1)=""), "",GETPIVOTDATA("Cover",'Cover PivotTable'!$A$4,"Site",$A7,"Year",I$1,"Transect",$B7))</f>
        <v/>
      </c>
      <c r="J7" t="str">
        <f>IF(OR(ISERROR(GETPIVOTDATA("Cover",'Cover PivotTable'!$A$4,"Site",$A7,"Year",J$1,"Transect",$B7)),GETPIVOTDATA("Cover",'Cover PivotTable'!$A$4,"Site",$A7,"Year",J$1)=""), "",GETPIVOTDATA("Cover",'Cover PivotTable'!$A$4,"Site",$A7,"Year",J$1,"Transect",$B7))</f>
        <v/>
      </c>
      <c r="K7" t="str">
        <f>IF(OR(ISERROR(GETPIVOTDATA("Cover",'Cover PivotTable'!$A$4,"Site",$A7,"Year",K$1,"Transect",$B7)),GETPIVOTDATA("Cover",'Cover PivotTable'!$A$4,"Site",$A7,"Year",K$1)=""), "",GETPIVOTDATA("Cover",'Cover PivotTable'!$A$4,"Site",$A7,"Year",K$1,"Transect",$B7))</f>
        <v/>
      </c>
      <c r="L7" t="str">
        <f>IF(OR(ISERROR(GETPIVOTDATA("Cover",'Cover PivotTable'!$A$4,"Site",$A7,"Year",L$1,"Transect",$B7)),GETPIVOTDATA("Cover",'Cover PivotTable'!$A$4,"Site",$A7,"Year",L$1)=""), "",GETPIVOTDATA("Cover",'Cover PivotTable'!$A$4,"Site",$A7,"Year",L$1,"Transect",$B7))</f>
        <v/>
      </c>
      <c r="M7">
        <f>IF(OR(ISERROR(GETPIVOTDATA("Cover",'Cover PivotTable'!$A$4,"Site",$A7,"Year",M$1,"Transect",$B7)),GETPIVOTDATA("Cover",'Cover PivotTable'!$A$4,"Site",$A7,"Year",M$1)=""), "",GETPIVOTDATA("Cover",'Cover PivotTable'!$A$4,"Site",$A7,"Year",M$1,"Transect",$B7))</f>
        <v>0</v>
      </c>
      <c r="N7">
        <f>IF(OR(ISERROR(GETPIVOTDATA("Cover",'Cover PivotTable'!$A$4,"Site",$A7,"Year",N$1,"Transect",$B7)),GETPIVOTDATA("Cover",'Cover PivotTable'!$A$4,"Site",$A7,"Year",N$1)=""), "",GETPIVOTDATA("Cover",'Cover PivotTable'!$A$4,"Site",$A7,"Year",N$1,"Transect",$B7))</f>
        <v>1</v>
      </c>
      <c r="O7">
        <f>IF(OR(ISERROR(GETPIVOTDATA("Cover",'Cover PivotTable'!$A$4,"Site",$A7,"Year",O$1,"Transect",$B7)),GETPIVOTDATA("Cover",'Cover PivotTable'!$A$4,"Site",$A7,"Year",O$1)=""), "",GETPIVOTDATA("Cover",'Cover PivotTable'!$A$4,"Site",$A7,"Year",O$1,"Transect",$B7))</f>
        <v>2</v>
      </c>
    </row>
    <row r="8" spans="1:15" x14ac:dyDescent="0.35">
      <c r="A8" t="s">
        <v>161</v>
      </c>
      <c r="B8" s="7" t="s">
        <v>168</v>
      </c>
    </row>
    <row r="9" spans="1:15" x14ac:dyDescent="0.35">
      <c r="A9" t="s">
        <v>161</v>
      </c>
      <c r="B9" s="6" t="s">
        <v>169</v>
      </c>
      <c r="C9" t="str">
        <f>IF(OR(ISERROR(GETPIVOTDATA("Cover",'Cover PivotTable'!$A$4,"Site",$A9,"Year",C$1,"Transect",$B9)),GETPIVOTDATA("Cover",'Cover PivotTable'!$A$4,"Site",$A9,"Year",C$1)=""), "",GETPIVOTDATA("Cover",'Cover PivotTable'!$A$4,"Site",$A9,"Year",C$1,"Transect",$B9))</f>
        <v/>
      </c>
      <c r="D9" t="str">
        <f>IF(OR(ISERROR(GETPIVOTDATA("Cover",'Cover PivotTable'!$A$4,"Site",$A9,"Year",D$1,"Transect",$B9)),GETPIVOTDATA("Cover",'Cover PivotTable'!$A$4,"Site",$A9,"Year",D$1)=""), "",GETPIVOTDATA("Cover",'Cover PivotTable'!$A$4,"Site",$A9,"Year",D$1,"Transect",$B9))</f>
        <v/>
      </c>
      <c r="E9" t="str">
        <f>IF(OR(ISERROR(GETPIVOTDATA("Cover",'Cover PivotTable'!$A$4,"Site",$A9,"Year",E$1,"Transect",$B9)),GETPIVOTDATA("Cover",'Cover PivotTable'!$A$4,"Site",$A9,"Year",E$1)=""), "",GETPIVOTDATA("Cover",'Cover PivotTable'!$A$4,"Site",$A9,"Year",E$1,"Transect",$B9))</f>
        <v/>
      </c>
      <c r="F9" t="str">
        <f>IF(OR(ISERROR(GETPIVOTDATA("Cover",'Cover PivotTable'!$A$4,"Site",$A9,"Year",F$1,"Transect",$B9)),GETPIVOTDATA("Cover",'Cover PivotTable'!$A$4,"Site",$A9,"Year",F$1)=""), "",GETPIVOTDATA("Cover",'Cover PivotTable'!$A$4,"Site",$A9,"Year",F$1,"Transect",$B9))</f>
        <v/>
      </c>
      <c r="G9" t="str">
        <f>IF(OR(ISERROR(GETPIVOTDATA("Cover",'Cover PivotTable'!$A$4,"Site",$A9,"Year",G$1,"Transect",$B9)),GETPIVOTDATA("Cover",'Cover PivotTable'!$A$4,"Site",$A9,"Year",G$1)=""), "",GETPIVOTDATA("Cover",'Cover PivotTable'!$A$4,"Site",$A9,"Year",G$1,"Transect",$B9))</f>
        <v/>
      </c>
      <c r="H9" t="str">
        <f>IF(OR(ISERROR(GETPIVOTDATA("Cover",'Cover PivotTable'!$A$4,"Site",$A9,"Year",H$1,"Transect",$B9)),GETPIVOTDATA("Cover",'Cover PivotTable'!$A$4,"Site",$A9,"Year",H$1)=""), "",GETPIVOTDATA("Cover",'Cover PivotTable'!$A$4,"Site",$A9,"Year",H$1,"Transect",$B9))</f>
        <v/>
      </c>
      <c r="I9" t="str">
        <f>IF(OR(ISERROR(GETPIVOTDATA("Cover",'Cover PivotTable'!$A$4,"Site",$A9,"Year",I$1,"Transect",$B9)),GETPIVOTDATA("Cover",'Cover PivotTable'!$A$4,"Site",$A9,"Year",I$1)=""), "",GETPIVOTDATA("Cover",'Cover PivotTable'!$A$4,"Site",$A9,"Year",I$1,"Transect",$B9))</f>
        <v/>
      </c>
      <c r="J9" t="str">
        <f>IF(OR(ISERROR(GETPIVOTDATA("Cover",'Cover PivotTable'!$A$4,"Site",$A9,"Year",J$1,"Transect",$B9)),GETPIVOTDATA("Cover",'Cover PivotTable'!$A$4,"Site",$A9,"Year",J$1)=""), "",GETPIVOTDATA("Cover",'Cover PivotTable'!$A$4,"Site",$A9,"Year",J$1,"Transect",$B9))</f>
        <v/>
      </c>
      <c r="K9" t="str">
        <f>IF(OR(ISERROR(GETPIVOTDATA("Cover",'Cover PivotTable'!$A$4,"Site",$A9,"Year",K$1,"Transect",$B9)),GETPIVOTDATA("Cover",'Cover PivotTable'!$A$4,"Site",$A9,"Year",K$1)=""), "",GETPIVOTDATA("Cover",'Cover PivotTable'!$A$4,"Site",$A9,"Year",K$1,"Transect",$B9))</f>
        <v/>
      </c>
      <c r="L9" t="str">
        <f>IF(OR(ISERROR(GETPIVOTDATA("Cover",'Cover PivotTable'!$A$4,"Site",$A9,"Year",L$1,"Transect",$B9)),GETPIVOTDATA("Cover",'Cover PivotTable'!$A$4,"Site",$A9,"Year",L$1)=""), "",GETPIVOTDATA("Cover",'Cover PivotTable'!$A$4,"Site",$A9,"Year",L$1,"Transect",$B9))</f>
        <v/>
      </c>
      <c r="M9">
        <f>IF(OR(ISERROR(GETPIVOTDATA("Cover",'Cover PivotTable'!$A$4,"Site",$A9,"Year",M$1,"Transect",$B9)),GETPIVOTDATA("Cover",'Cover PivotTable'!$A$4,"Site",$A9,"Year",M$1)=""), "",GETPIVOTDATA("Cover",'Cover PivotTable'!$A$4,"Site",$A9,"Year",M$1,"Transect",$B9))</f>
        <v>0</v>
      </c>
      <c r="N9">
        <f>IF(OR(ISERROR(GETPIVOTDATA("Cover",'Cover PivotTable'!$A$4,"Site",$A9,"Year",N$1,"Transect",$B9)),GETPIVOTDATA("Cover",'Cover PivotTable'!$A$4,"Site",$A9,"Year",N$1)=""), "",GETPIVOTDATA("Cover",'Cover PivotTable'!$A$4,"Site",$A9,"Year",N$1,"Transect",$B9))</f>
        <v>0</v>
      </c>
      <c r="O9">
        <f>IF(OR(ISERROR(GETPIVOTDATA("Cover",'Cover PivotTable'!$A$4,"Site",$A9,"Year",O$1,"Transect",$B9)),GETPIVOTDATA("Cover",'Cover PivotTable'!$A$4,"Site",$A9,"Year",O$1)=""), "",GETPIVOTDATA("Cover",'Cover PivotTable'!$A$4,"Site",$A9,"Year",O$1,"Transect",$B9))</f>
        <v>0.5</v>
      </c>
    </row>
    <row r="10" spans="1:15" ht="15" thickBot="1" x14ac:dyDescent="0.4">
      <c r="A10" s="19"/>
      <c r="B10" s="19"/>
      <c r="C10" s="19"/>
      <c r="D10" s="19"/>
      <c r="E10" s="19"/>
      <c r="F10" s="19"/>
      <c r="G10" s="19"/>
      <c r="H10" s="19"/>
      <c r="I10" s="19"/>
      <c r="J10" s="19"/>
      <c r="K10" s="19"/>
      <c r="L10" s="19"/>
      <c r="M10" s="19"/>
      <c r="N10" s="19"/>
      <c r="O10" s="19"/>
    </row>
    <row r="12" spans="1:15" x14ac:dyDescent="0.35">
      <c r="A12" t="s">
        <v>274</v>
      </c>
      <c r="C12" s="17" t="str">
        <f t="shared" ref="C12:I12" si="0">IF(SUM(C2:C9)=0, "", AVERAGE(C2:C9))</f>
        <v/>
      </c>
      <c r="D12" s="17" t="str">
        <f t="shared" si="0"/>
        <v/>
      </c>
      <c r="E12" s="17" t="str">
        <f t="shared" si="0"/>
        <v/>
      </c>
      <c r="F12" s="17" t="str">
        <f t="shared" si="0"/>
        <v/>
      </c>
      <c r="G12" s="17" t="str">
        <f t="shared" si="0"/>
        <v/>
      </c>
      <c r="H12" s="17" t="str">
        <f t="shared" si="0"/>
        <v/>
      </c>
      <c r="I12" s="17" t="str">
        <f t="shared" si="0"/>
        <v/>
      </c>
      <c r="J12" s="17" t="str">
        <f t="shared" ref="J12:O12" si="1">IF(SUM(J2:J9)=0, "", AVERAGE(J2:J9))</f>
        <v/>
      </c>
      <c r="K12" s="17" t="str">
        <f t="shared" si="1"/>
        <v/>
      </c>
      <c r="L12" s="17" t="str">
        <f t="shared" si="1"/>
        <v/>
      </c>
      <c r="M12" s="17">
        <f t="shared" si="1"/>
        <v>1.7591349739000748</v>
      </c>
      <c r="N12" s="17">
        <f t="shared" si="1"/>
        <v>2.2645041014168532</v>
      </c>
      <c r="O12" s="17">
        <f t="shared" si="1"/>
        <v>4.1578672632363904</v>
      </c>
    </row>
    <row r="13" spans="1:15" x14ac:dyDescent="0.35">
      <c r="A13" t="s">
        <v>275</v>
      </c>
      <c r="C13" s="17" t="str">
        <f t="shared" ref="C13:I13" si="2">IF(SUM(C2:C9)=0, "",STDEV(C2:C9))</f>
        <v/>
      </c>
      <c r="D13" s="17" t="str">
        <f t="shared" si="2"/>
        <v/>
      </c>
      <c r="E13" s="17" t="str">
        <f t="shared" si="2"/>
        <v/>
      </c>
      <c r="F13" s="17" t="str">
        <f t="shared" si="2"/>
        <v/>
      </c>
      <c r="G13" s="17" t="str">
        <f t="shared" si="2"/>
        <v/>
      </c>
      <c r="H13" s="17" t="str">
        <f t="shared" si="2"/>
        <v/>
      </c>
      <c r="I13" s="17" t="str">
        <f t="shared" si="2"/>
        <v/>
      </c>
      <c r="J13" s="17" t="str">
        <f t="shared" ref="J13:O13" si="3">IF(SUM(J2:J9)=0, "",STDEV(J2:J9))</f>
        <v/>
      </c>
      <c r="K13" s="17" t="str">
        <f t="shared" si="3"/>
        <v/>
      </c>
      <c r="L13" s="17" t="str">
        <f t="shared" si="3"/>
        <v/>
      </c>
      <c r="M13" s="17">
        <f t="shared" si="3"/>
        <v>2.1194734718851498</v>
      </c>
      <c r="N13" s="17">
        <f t="shared" si="3"/>
        <v>2.6404398239177205</v>
      </c>
      <c r="O13" s="17">
        <f t="shared" si="3"/>
        <v>3.8760726545137332</v>
      </c>
    </row>
    <row r="14" spans="1:15" x14ac:dyDescent="0.35">
      <c r="A14" t="s">
        <v>276</v>
      </c>
      <c r="C14" s="16" t="str">
        <f t="shared" ref="C14:I14" si="4">IF(SUM(C2:C9)=0,"",_xlfn.CONFIDENCE.T(0.2,C13,COUNT(C2:C9)))</f>
        <v/>
      </c>
      <c r="D14" s="16" t="str">
        <f t="shared" si="4"/>
        <v/>
      </c>
      <c r="E14" s="16" t="str">
        <f t="shared" si="4"/>
        <v/>
      </c>
      <c r="F14" s="16" t="str">
        <f t="shared" si="4"/>
        <v/>
      </c>
      <c r="G14" s="16" t="str">
        <f t="shared" si="4"/>
        <v/>
      </c>
      <c r="H14" s="16" t="str">
        <f t="shared" si="4"/>
        <v/>
      </c>
      <c r="I14" s="16" t="str">
        <f t="shared" si="4"/>
        <v/>
      </c>
      <c r="J14" s="16" t="str">
        <f t="shared" ref="J14:O14" si="5">IF(SUM(J2:J9)=0,"",_xlfn.CONFIDENCE.T(0.2,J13,COUNT(J2:J9)))</f>
        <v/>
      </c>
      <c r="K14" s="16" t="str">
        <f t="shared" si="5"/>
        <v/>
      </c>
      <c r="L14" s="16" t="str">
        <f t="shared" si="5"/>
        <v/>
      </c>
      <c r="M14" s="16">
        <f t="shared" si="5"/>
        <v>1.4532608388897295</v>
      </c>
      <c r="N14" s="16">
        <f t="shared" si="5"/>
        <v>1.8104721971969313</v>
      </c>
      <c r="O14" s="16">
        <f t="shared" si="5"/>
        <v>2.6577094133129151</v>
      </c>
    </row>
    <row r="15" spans="1:15" x14ac:dyDescent="0.35">
      <c r="A15" t="s">
        <v>277</v>
      </c>
      <c r="C15" s="17" t="str">
        <f>IF(C14="","",C12+C14)</f>
        <v/>
      </c>
      <c r="D15" s="17" t="str">
        <f t="shared" ref="D15:I15" si="6">IF(D14="","",D12+D14)</f>
        <v/>
      </c>
      <c r="E15" s="17" t="str">
        <f t="shared" si="6"/>
        <v/>
      </c>
      <c r="F15" s="17" t="str">
        <f t="shared" si="6"/>
        <v/>
      </c>
      <c r="G15" s="17" t="str">
        <f t="shared" si="6"/>
        <v/>
      </c>
      <c r="H15" s="17" t="str">
        <f t="shared" si="6"/>
        <v/>
      </c>
      <c r="I15" s="17" t="str">
        <f t="shared" si="6"/>
        <v/>
      </c>
      <c r="J15" s="17" t="str">
        <f t="shared" ref="J15:O15" si="7">IF(J14="","",J12+J14)</f>
        <v/>
      </c>
      <c r="K15" s="17" t="str">
        <f t="shared" si="7"/>
        <v/>
      </c>
      <c r="L15" s="17" t="str">
        <f t="shared" si="7"/>
        <v/>
      </c>
      <c r="M15" s="17">
        <f t="shared" si="7"/>
        <v>3.2123958127898042</v>
      </c>
      <c r="N15" s="17">
        <f t="shared" si="7"/>
        <v>4.0749762986137847</v>
      </c>
      <c r="O15" s="17">
        <f t="shared" si="7"/>
        <v>6.8155766765493055</v>
      </c>
    </row>
    <row r="17" spans="1:15" x14ac:dyDescent="0.35">
      <c r="A17" t="s">
        <v>270</v>
      </c>
      <c r="C17" s="17">
        <f t="shared" ref="C17:O17" si="8">VLOOKUP($A$2, TargetCover, 2, FALSE)*0.9</f>
        <v>15.93</v>
      </c>
      <c r="D17" s="17">
        <f t="shared" si="8"/>
        <v>15.93</v>
      </c>
      <c r="E17" s="17">
        <f t="shared" si="8"/>
        <v>15.93</v>
      </c>
      <c r="F17" s="17">
        <f t="shared" si="8"/>
        <v>15.93</v>
      </c>
      <c r="G17" s="17">
        <f t="shared" si="8"/>
        <v>15.93</v>
      </c>
      <c r="H17" s="17">
        <f t="shared" si="8"/>
        <v>15.93</v>
      </c>
      <c r="I17" s="17">
        <f t="shared" si="8"/>
        <v>15.93</v>
      </c>
      <c r="J17" s="17">
        <f t="shared" si="8"/>
        <v>15.93</v>
      </c>
      <c r="K17" s="17">
        <f t="shared" si="8"/>
        <v>15.93</v>
      </c>
      <c r="L17" s="17">
        <f t="shared" si="8"/>
        <v>15.93</v>
      </c>
      <c r="M17" s="17">
        <f t="shared" si="8"/>
        <v>15.93</v>
      </c>
      <c r="N17" s="17">
        <f t="shared" si="8"/>
        <v>15.93</v>
      </c>
      <c r="O17" s="17">
        <f t="shared" si="8"/>
        <v>15.93</v>
      </c>
    </row>
    <row r="18" spans="1:15" x14ac:dyDescent="0.35">
      <c r="A18" t="s">
        <v>283</v>
      </c>
      <c r="C18" s="17" t="str">
        <f t="shared" ref="C18:I18" si="9">IF(C15="","",C15-C17)</f>
        <v/>
      </c>
      <c r="D18" s="17" t="str">
        <f t="shared" si="9"/>
        <v/>
      </c>
      <c r="E18" s="17" t="str">
        <f t="shared" si="9"/>
        <v/>
      </c>
      <c r="F18" s="17" t="str">
        <f t="shared" si="9"/>
        <v/>
      </c>
      <c r="G18" s="17" t="str">
        <f t="shared" si="9"/>
        <v/>
      </c>
      <c r="H18" s="17" t="str">
        <f t="shared" si="9"/>
        <v/>
      </c>
      <c r="I18" s="17" t="str">
        <f t="shared" si="9"/>
        <v/>
      </c>
      <c r="J18" s="17" t="str">
        <f t="shared" ref="J18:O18" si="10">IF(J15="","",J15-J17)</f>
        <v/>
      </c>
      <c r="K18" s="17" t="str">
        <f t="shared" si="10"/>
        <v/>
      </c>
      <c r="L18" s="17" t="str">
        <f t="shared" si="10"/>
        <v/>
      </c>
      <c r="M18" s="17">
        <f t="shared" si="10"/>
        <v>-12.717604187210195</v>
      </c>
      <c r="N18" s="17">
        <f t="shared" si="10"/>
        <v>-11.855023701386216</v>
      </c>
      <c r="O18" s="17">
        <f t="shared" si="10"/>
        <v>-9.1144233234506942</v>
      </c>
    </row>
    <row r="19" spans="1:15" x14ac:dyDescent="0.35">
      <c r="A19" t="s">
        <v>279</v>
      </c>
      <c r="C19" t="str">
        <f>IF(C18="","",C18&gt;=0)</f>
        <v/>
      </c>
      <c r="D19" t="str">
        <f t="shared" ref="D19:I19" si="11">IF(D18="","",D18&gt;=0)</f>
        <v/>
      </c>
      <c r="E19" t="str">
        <f t="shared" si="11"/>
        <v/>
      </c>
      <c r="F19" t="str">
        <f t="shared" si="11"/>
        <v/>
      </c>
      <c r="G19" t="str">
        <f t="shared" si="11"/>
        <v/>
      </c>
      <c r="H19" t="str">
        <f t="shared" si="11"/>
        <v/>
      </c>
      <c r="I19" t="str">
        <f t="shared" si="11"/>
        <v/>
      </c>
      <c r="J19" t="str">
        <f t="shared" ref="J19:O19" si="12">IF(J18="","",J18&gt;=0)</f>
        <v/>
      </c>
      <c r="K19" t="str">
        <f t="shared" si="12"/>
        <v/>
      </c>
      <c r="L19" t="str">
        <f t="shared" si="12"/>
        <v/>
      </c>
      <c r="M19" t="b">
        <f t="shared" si="12"/>
        <v>0</v>
      </c>
      <c r="N19" t="b">
        <f t="shared" si="12"/>
        <v>0</v>
      </c>
      <c r="O19" t="b">
        <f t="shared" si="12"/>
        <v>0</v>
      </c>
    </row>
    <row r="20" spans="1:15" x14ac:dyDescent="0.35">
      <c r="A20" s="20"/>
      <c r="B20" s="20"/>
      <c r="C20" s="20"/>
      <c r="D20" s="20"/>
      <c r="E20" s="20"/>
      <c r="F20" s="20"/>
      <c r="G20" s="20"/>
      <c r="H20" s="20"/>
      <c r="I20" s="20"/>
      <c r="J20" s="20"/>
      <c r="K20" s="20"/>
      <c r="L20" s="20"/>
      <c r="M20" s="20"/>
      <c r="N20" s="20"/>
      <c r="O20" s="20"/>
    </row>
    <row r="22" spans="1:15" x14ac:dyDescent="0.35">
      <c r="A22" t="s">
        <v>280</v>
      </c>
      <c r="C22" t="str">
        <f>IF(GETPIVOTDATA("Helper_SPP",'Species Richness PivotTable'!$A$4,"Site",$A$2,"Year",C$1)="", "", GETPIVOTDATA("Helper_SPP",'Species Richness PivotTable'!$A$4,"Site",$A$2,"Year",C$1))</f>
        <v/>
      </c>
      <c r="D22" t="str">
        <f>IF(GETPIVOTDATA("Helper_SPP",'Species Richness PivotTable'!$A$4,"Site",$A$2,"Year",D$1)="", "", GETPIVOTDATA("Helper_SPP",'Species Richness PivotTable'!$A$4,"Site",$A$2,"Year",D$1))</f>
        <v/>
      </c>
      <c r="E22" t="str">
        <f>IF(GETPIVOTDATA("Helper_SPP",'Species Richness PivotTable'!$A$4,"Site",$A$2,"Year",E$1)="", "", GETPIVOTDATA("Helper_SPP",'Species Richness PivotTable'!$A$4,"Site",$A$2,"Year",E$1))</f>
        <v/>
      </c>
      <c r="F22" t="str">
        <f>IF(GETPIVOTDATA("Helper_SPP",'Species Richness PivotTable'!$A$4,"Site",$A$2,"Year",F$1)="", "", GETPIVOTDATA("Helper_SPP",'Species Richness PivotTable'!$A$4,"Site",$A$2,"Year",F$1))</f>
        <v/>
      </c>
      <c r="G22" t="str">
        <f>IF(GETPIVOTDATA("Helper_SPP",'Species Richness PivotTable'!$A$4,"Site",$A$2,"Year",G$1)="", "", GETPIVOTDATA("Helper_SPP",'Species Richness PivotTable'!$A$4,"Site",$A$2,"Year",G$1))</f>
        <v/>
      </c>
      <c r="H22" t="str">
        <f>IF(GETPIVOTDATA("Helper_SPP",'Species Richness PivotTable'!$A$4,"Site",$A$2,"Year",H$1)="", "", GETPIVOTDATA("Helper_SPP",'Species Richness PivotTable'!$A$4,"Site",$A$2,"Year",H$1))</f>
        <v/>
      </c>
      <c r="I22" t="str">
        <f>IF(GETPIVOTDATA("Helper_SPP",'Species Richness PivotTable'!$A$4,"Site",$A$2,"Year",I$1)="", "", GETPIVOTDATA("Helper_SPP",'Species Richness PivotTable'!$A$4,"Site",$A$2,"Year",I$1))</f>
        <v/>
      </c>
      <c r="J22" t="str">
        <f>IF(GETPIVOTDATA("Helper_SPP",'Species Richness PivotTable'!$A$4,"Site",$A$2,"Year",J$1)="", "", GETPIVOTDATA("Helper_SPP",'Species Richness PivotTable'!$A$4,"Site",$A$2,"Year",J$1))</f>
        <v/>
      </c>
      <c r="K22" t="str">
        <f>IF(GETPIVOTDATA("Helper_SPP",'Species Richness PivotTable'!$A$4,"Site",$A$2,"Year",K$1)="", "", GETPIVOTDATA("Helper_SPP",'Species Richness PivotTable'!$A$4,"Site",$A$2,"Year",K$1))</f>
        <v/>
      </c>
      <c r="L22" t="str">
        <f>IF(GETPIVOTDATA("Helper_SPP",'Species Richness PivotTable'!$A$4,"Site",$A$2,"Year",L$1)="", "", GETPIVOTDATA("Helper_SPP",'Species Richness PivotTable'!$A$4,"Site",$A$2,"Year",L$1))</f>
        <v/>
      </c>
      <c r="M22">
        <f>IF(GETPIVOTDATA("Helper_SPP",'Species Richness PivotTable'!$A$4,"Site",$A$2,"Year",M$1)="", "", GETPIVOTDATA("Helper_SPP",'Species Richness PivotTable'!$A$4,"Site",$A$2,"Year",M$1))</f>
        <v>1</v>
      </c>
      <c r="N22">
        <f>IF(GETPIVOTDATA("Helper_SPP",'Species Richness PivotTable'!$A$4,"Site",$A$2,"Year",N$1)="", "", GETPIVOTDATA("Helper_SPP",'Species Richness PivotTable'!$A$4,"Site",$A$2,"Year",N$1))</f>
        <v>1</v>
      </c>
      <c r="O22">
        <f>IF(GETPIVOTDATA("Helper_SPP",'Species Richness PivotTable'!$A$4,"Site",$A$2,"Year",O$1)="", "", GETPIVOTDATA("Helper_SPP",'Species Richness PivotTable'!$A$4,"Site",$A$2,"Year",O$1))</f>
        <v>1</v>
      </c>
    </row>
    <row r="23" spans="1:15" x14ac:dyDescent="0.35">
      <c r="A23" t="s">
        <v>281</v>
      </c>
      <c r="C23" s="18">
        <f t="shared" ref="C23:O23" si="13">VLOOKUP($A$2, TargetCover, 3, FALSE)*0.75</f>
        <v>7.5</v>
      </c>
      <c r="D23" s="18">
        <f t="shared" si="13"/>
        <v>7.5</v>
      </c>
      <c r="E23" s="18">
        <f t="shared" si="13"/>
        <v>7.5</v>
      </c>
      <c r="F23" s="18">
        <f t="shared" si="13"/>
        <v>7.5</v>
      </c>
      <c r="G23" s="18">
        <f t="shared" si="13"/>
        <v>7.5</v>
      </c>
      <c r="H23" s="18">
        <f t="shared" si="13"/>
        <v>7.5</v>
      </c>
      <c r="I23" s="18">
        <f t="shared" si="13"/>
        <v>7.5</v>
      </c>
      <c r="J23" s="18">
        <f t="shared" si="13"/>
        <v>7.5</v>
      </c>
      <c r="K23" s="18">
        <f t="shared" si="13"/>
        <v>7.5</v>
      </c>
      <c r="L23" s="18">
        <f t="shared" si="13"/>
        <v>7.5</v>
      </c>
      <c r="M23" s="18">
        <f t="shared" si="13"/>
        <v>7.5</v>
      </c>
      <c r="N23" s="18">
        <f t="shared" si="13"/>
        <v>7.5</v>
      </c>
      <c r="O23" s="18">
        <f t="shared" si="13"/>
        <v>7.5</v>
      </c>
    </row>
    <row r="24" spans="1:15" x14ac:dyDescent="0.35">
      <c r="A24" t="s">
        <v>282</v>
      </c>
      <c r="C24" t="str">
        <f t="shared" ref="C24:I24" si="14">IF(C22="","",C22&gt;=C23)</f>
        <v/>
      </c>
      <c r="D24" t="str">
        <f t="shared" si="14"/>
        <v/>
      </c>
      <c r="E24" t="str">
        <f t="shared" si="14"/>
        <v/>
      </c>
      <c r="F24" t="str">
        <f t="shared" si="14"/>
        <v/>
      </c>
      <c r="G24" t="str">
        <f t="shared" si="14"/>
        <v/>
      </c>
      <c r="H24" t="str">
        <f t="shared" si="14"/>
        <v/>
      </c>
      <c r="I24" t="str">
        <f t="shared" si="14"/>
        <v/>
      </c>
      <c r="J24" t="str">
        <f t="shared" ref="J24:O24" si="15">IF(J22="","",J22&gt;=J23)</f>
        <v/>
      </c>
      <c r="K24" t="str">
        <f t="shared" si="15"/>
        <v/>
      </c>
      <c r="L24" t="str">
        <f t="shared" si="15"/>
        <v/>
      </c>
      <c r="M24" t="b">
        <f t="shared" si="15"/>
        <v>0</v>
      </c>
      <c r="N24" t="b">
        <f t="shared" si="15"/>
        <v>0</v>
      </c>
      <c r="O24" t="b">
        <f t="shared" si="15"/>
        <v>0</v>
      </c>
    </row>
    <row r="25" spans="1:15" ht="15" thickBot="1" x14ac:dyDescent="0.4">
      <c r="A25" s="19"/>
      <c r="B25" s="19"/>
      <c r="C25" s="19"/>
      <c r="D25" s="19"/>
      <c r="E25" s="19"/>
      <c r="F25" s="19"/>
      <c r="G25" s="19"/>
      <c r="H25" s="19"/>
      <c r="I25" s="19"/>
      <c r="J25" s="19"/>
      <c r="K25" s="19"/>
      <c r="L25" s="19"/>
      <c r="M25" s="19"/>
      <c r="N25" s="19"/>
      <c r="O25" s="19"/>
    </row>
  </sheetData>
  <conditionalFormatting sqref="C19:G20 H19:O19 C24:O24">
    <cfRule type="cellIs" dxfId="41" priority="1" operator="equal">
      <formula>TRUE</formula>
    </cfRule>
    <cfRule type="cellIs" dxfId="40" priority="2" operator="equal">
      <formula>FALSE</formula>
    </cfRule>
  </conditionalFormatting>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5"/>
  <dimension ref="A1:O59"/>
  <sheetViews>
    <sheetView workbookViewId="0">
      <pane xSplit="2" ySplit="1" topLeftCell="D2" activePane="bottomRight" state="frozen"/>
      <selection pane="topRight" activeCell="C1" sqref="C1"/>
      <selection pane="bottomLeft" activeCell="A2" sqref="A2"/>
      <selection pane="bottomRight" activeCell="L40" sqref="L40"/>
    </sheetView>
  </sheetViews>
  <sheetFormatPr defaultColWidth="9.08984375" defaultRowHeight="14.5" x14ac:dyDescent="0.35"/>
  <cols>
    <col min="3" max="3" width="9.08984375" customWidth="1"/>
  </cols>
  <sheetData>
    <row r="1" spans="1:15" x14ac:dyDescent="0.35">
      <c r="A1" t="s">
        <v>7</v>
      </c>
      <c r="B1" t="s">
        <v>0</v>
      </c>
      <c r="C1" s="13">
        <v>1999</v>
      </c>
      <c r="D1" s="13">
        <v>2001</v>
      </c>
      <c r="E1" s="13">
        <v>2002</v>
      </c>
      <c r="F1" s="13">
        <v>2003</v>
      </c>
      <c r="G1" s="13">
        <v>2004</v>
      </c>
      <c r="H1" s="13">
        <v>2005</v>
      </c>
      <c r="I1" s="13">
        <v>2006</v>
      </c>
      <c r="J1" s="13">
        <v>2007</v>
      </c>
      <c r="K1" s="13">
        <v>2010</v>
      </c>
      <c r="L1" s="13">
        <v>2012</v>
      </c>
      <c r="M1" s="13">
        <v>2013</v>
      </c>
      <c r="N1" s="13">
        <v>2016</v>
      </c>
      <c r="O1" s="13">
        <v>2017</v>
      </c>
    </row>
    <row r="2" spans="1:15" x14ac:dyDescent="0.35">
      <c r="A2" t="s">
        <v>18</v>
      </c>
      <c r="B2">
        <v>1.1000000000000001</v>
      </c>
      <c r="C2" s="17">
        <f>IF(OR(ISERROR(GETPIVOTDATA("Cover",'Cover PivotTable'!$A$4,"Site",$A2,"Year",C$1,"Transect",$B2)),GETPIVOTDATA("Cover",'Cover PivotTable'!$A$4,"Site",$A2,"Year",C$1)=""), "",GETPIVOTDATA("Cover",'Cover PivotTable'!$A$4,"Site",$A2,"Year",C$1,"Transect",$B2))</f>
        <v>5</v>
      </c>
      <c r="D2" s="17" t="str">
        <f>IF(OR(ISERROR(GETPIVOTDATA("Cover",'Cover PivotTable'!$A$4,"Site",$A2,"Year",D$1,"Transect",$B2)),GETPIVOTDATA("Cover",'Cover PivotTable'!$A$4,"Site",$A2,"Year",D$1)=""), "",GETPIVOTDATA("Cover",'Cover PivotTable'!$A$4,"Site",$A2,"Year",D$1,"Transect",$B2))</f>
        <v/>
      </c>
      <c r="E2" s="17" t="str">
        <f>IF(OR(ISERROR(GETPIVOTDATA("Cover",'Cover PivotTable'!$A$4,"Site",$A2,"Year",E$1,"Transect",$B2)),GETPIVOTDATA("Cover",'Cover PivotTable'!$A$4,"Site",$A2,"Year",E$1)=""), "",GETPIVOTDATA("Cover",'Cover PivotTable'!$A$4,"Site",$A2,"Year",E$1,"Transect",$B2))</f>
        <v/>
      </c>
      <c r="F2" s="17">
        <f>IF(OR(ISERROR(GETPIVOTDATA("Cover",'Cover PivotTable'!$A$4,"Site",$A2,"Year",F$1,"Transect",$B2)),GETPIVOTDATA("Cover",'Cover PivotTable'!$A$4,"Site",$A2,"Year",F$1)=""), "",GETPIVOTDATA("Cover",'Cover PivotTable'!$A$4,"Site",$A2,"Year",F$1,"Transect",$B2))</f>
        <v>1.5</v>
      </c>
      <c r="G2" s="17" t="str">
        <f>IF(OR(ISERROR(GETPIVOTDATA("Cover",'Cover PivotTable'!$A$4,"Site",$A2,"Year",G$1,"Transect",$B2)),GETPIVOTDATA("Cover",'Cover PivotTable'!$A$4,"Site",$A2,"Year",G$1)=""), "",GETPIVOTDATA("Cover",'Cover PivotTable'!$A$4,"Site",$A2,"Year",G$1,"Transect",$B2))</f>
        <v/>
      </c>
      <c r="H2" s="17" t="str">
        <f>IF(OR(ISERROR(GETPIVOTDATA("Cover",'Cover PivotTable'!$A$4,"Site",$A2,"Year",H$1,"Transect",$B2)),GETPIVOTDATA("Cover",'Cover PivotTable'!$A$4,"Site",$A2,"Year",H$1)=""), "",GETPIVOTDATA("Cover",'Cover PivotTable'!$A$4,"Site",$A2,"Year",H$1,"Transect",$B2))</f>
        <v/>
      </c>
      <c r="I2" s="17" t="str">
        <f>IF(OR(ISERROR(GETPIVOTDATA("Cover",'Cover PivotTable'!$A$4,"Site",$A2,"Year",I$1,"Transect",$B2)),GETPIVOTDATA("Cover",'Cover PivotTable'!$A$4,"Site",$A2,"Year",I$1)=""), "",GETPIVOTDATA("Cover",'Cover PivotTable'!$A$4,"Site",$A2,"Year",I$1,"Transect",$B2))</f>
        <v/>
      </c>
      <c r="J2" s="17">
        <f>IF(OR(ISERROR(GETPIVOTDATA("Cover",'Cover PivotTable'!$A$4,"Site",$A2,"Year",J$1,"Transect",$B2)),GETPIVOTDATA("Cover",'Cover PivotTable'!$A$4,"Site",$A2,"Year",J$1)=""), "",GETPIVOTDATA("Cover",'Cover PivotTable'!$A$4,"Site",$A2,"Year",J$1,"Transect",$B2))</f>
        <v>3</v>
      </c>
      <c r="K2" s="17" t="str">
        <f>IF(OR(ISERROR(GETPIVOTDATA("Cover",'Cover PivotTable'!$A$4,"Site",$A2,"Year",K$1,"Transect",$B2)),GETPIVOTDATA("Cover",'Cover PivotTable'!$A$4,"Site",$A2,"Year",K$1)=""), "",GETPIVOTDATA("Cover",'Cover PivotTable'!$A$4,"Site",$A2,"Year",K$1,"Transect",$B2))</f>
        <v/>
      </c>
      <c r="L2" s="17">
        <f>IF(OR(ISERROR(GETPIVOTDATA("Cover",'Cover PivotTable'!$A$4,"Site",$A2,"Year",L$1,"Transect",$B2)),GETPIVOTDATA("Cover",'Cover PivotTable'!$A$4,"Site",$A2,"Year",L$1)=""), "",GETPIVOTDATA("Cover",'Cover PivotTable'!$A$4,"Site",$A2,"Year",L$1,"Transect",$B2))</f>
        <v>7.0000000000000009</v>
      </c>
      <c r="M2" s="17" t="str">
        <f>IF(OR(ISERROR(GETPIVOTDATA("Cover",'Cover PivotTable'!$A$4,"Site",$A2,"Year",M$1,"Transect",$B2)),GETPIVOTDATA("Cover",'Cover PivotTable'!$A$4,"Site",$A2,"Year",M$1)=""), "",GETPIVOTDATA("Cover",'Cover PivotTable'!$A$4,"Site",$A2,"Year",M$1,"Transect",$B2))</f>
        <v/>
      </c>
      <c r="N2" s="17">
        <f>IF(OR(ISERROR(GETPIVOTDATA("Cover",'Cover PivotTable'!$A$4,"Site",$A2,"Year",N$1,"Transect",$B2)),GETPIVOTDATA("Cover",'Cover PivotTable'!$A$4,"Site",$A2,"Year",N$1)=""), "",GETPIVOTDATA("Cover",'Cover PivotTable'!$A$4,"Site",$A2,"Year",N$1,"Transect",$B2))</f>
        <v>10</v>
      </c>
      <c r="O2" s="17">
        <f>IF(OR(ISERROR(GETPIVOTDATA("Cover",'Cover PivotTable'!$A$4,"Site",$A2,"Year",O$1,"Transect",$B2)),GETPIVOTDATA("Cover",'Cover PivotTable'!$A$4,"Site",$A2,"Year",O$1)=""), "",GETPIVOTDATA("Cover",'Cover PivotTable'!$A$4,"Site",$A2,"Year",O$1,"Transect",$B2))</f>
        <v>16.5</v>
      </c>
    </row>
    <row r="3" spans="1:15" x14ac:dyDescent="0.35">
      <c r="A3" t="s">
        <v>18</v>
      </c>
      <c r="B3">
        <v>1.2</v>
      </c>
      <c r="C3" s="17">
        <f>IF(OR(ISERROR(GETPIVOTDATA("Cover",'Cover PivotTable'!$A$4,"Site",$A3,"Year",C$1,"Transect",$B3)),GETPIVOTDATA("Cover",'Cover PivotTable'!$A$4,"Site",$A3,"Year",C$1)=""), "",GETPIVOTDATA("Cover",'Cover PivotTable'!$A$4,"Site",$A3,"Year",C$1,"Transect",$B3))</f>
        <v>1</v>
      </c>
      <c r="D3" s="17" t="str">
        <f>IF(OR(ISERROR(GETPIVOTDATA("Cover",'Cover PivotTable'!$A$4,"Site",$A3,"Year",D$1,"Transect",$B3)),GETPIVOTDATA("Cover",'Cover PivotTable'!$A$4,"Site",$A3,"Year",D$1)=""), "",GETPIVOTDATA("Cover",'Cover PivotTable'!$A$4,"Site",$A3,"Year",D$1,"Transect",$B3))</f>
        <v/>
      </c>
      <c r="E3" s="17" t="str">
        <f>IF(OR(ISERROR(GETPIVOTDATA("Cover",'Cover PivotTable'!$A$4,"Site",$A3,"Year",E$1,"Transect",$B3)),GETPIVOTDATA("Cover",'Cover PivotTable'!$A$4,"Site",$A3,"Year",E$1)=""), "",GETPIVOTDATA("Cover",'Cover PivotTable'!$A$4,"Site",$A3,"Year",E$1,"Transect",$B3))</f>
        <v/>
      </c>
      <c r="F3" s="17">
        <f>IF(OR(ISERROR(GETPIVOTDATA("Cover",'Cover PivotTable'!$A$4,"Site",$A3,"Year",F$1,"Transect",$B3)),GETPIVOTDATA("Cover",'Cover PivotTable'!$A$4,"Site",$A3,"Year",F$1)=""), "",GETPIVOTDATA("Cover",'Cover PivotTable'!$A$4,"Site",$A3,"Year",F$1,"Transect",$B3))</f>
        <v>1</v>
      </c>
      <c r="G3" s="17" t="str">
        <f>IF(OR(ISERROR(GETPIVOTDATA("Cover",'Cover PivotTable'!$A$4,"Site",$A3,"Year",G$1,"Transect",$B3)),GETPIVOTDATA("Cover",'Cover PivotTable'!$A$4,"Site",$A3,"Year",G$1)=""), "",GETPIVOTDATA("Cover",'Cover PivotTable'!$A$4,"Site",$A3,"Year",G$1,"Transect",$B3))</f>
        <v/>
      </c>
      <c r="H3" s="17" t="str">
        <f>IF(OR(ISERROR(GETPIVOTDATA("Cover",'Cover PivotTable'!$A$4,"Site",$A3,"Year",H$1,"Transect",$B3)),GETPIVOTDATA("Cover",'Cover PivotTable'!$A$4,"Site",$A3,"Year",H$1)=""), "",GETPIVOTDATA("Cover",'Cover PivotTable'!$A$4,"Site",$A3,"Year",H$1,"Transect",$B3))</f>
        <v/>
      </c>
      <c r="I3" s="17" t="str">
        <f>IF(OR(ISERROR(GETPIVOTDATA("Cover",'Cover PivotTable'!$A$4,"Site",$A3,"Year",I$1,"Transect",$B3)),GETPIVOTDATA("Cover",'Cover PivotTable'!$A$4,"Site",$A3,"Year",I$1)=""), "",GETPIVOTDATA("Cover",'Cover PivotTable'!$A$4,"Site",$A3,"Year",I$1,"Transect",$B3))</f>
        <v/>
      </c>
      <c r="J3" s="17">
        <f>IF(OR(ISERROR(GETPIVOTDATA("Cover",'Cover PivotTable'!$A$4,"Site",$A3,"Year",J$1,"Transect",$B3)),GETPIVOTDATA("Cover",'Cover PivotTable'!$A$4,"Site",$A3,"Year",J$1)=""), "",GETPIVOTDATA("Cover",'Cover PivotTable'!$A$4,"Site",$A3,"Year",J$1,"Transect",$B3))</f>
        <v>0.5</v>
      </c>
      <c r="K3" s="17" t="str">
        <f>IF(OR(ISERROR(GETPIVOTDATA("Cover",'Cover PivotTable'!$A$4,"Site",$A3,"Year",K$1,"Transect",$B3)),GETPIVOTDATA("Cover",'Cover PivotTable'!$A$4,"Site",$A3,"Year",K$1)=""), "",GETPIVOTDATA("Cover",'Cover PivotTable'!$A$4,"Site",$A3,"Year",K$1,"Transect",$B3))</f>
        <v/>
      </c>
      <c r="L3" s="17">
        <f>IF(OR(ISERROR(GETPIVOTDATA("Cover",'Cover PivotTable'!$A$4,"Site",$A3,"Year",L$1,"Transect",$B3)),GETPIVOTDATA("Cover",'Cover PivotTable'!$A$4,"Site",$A3,"Year",L$1)=""), "",GETPIVOTDATA("Cover",'Cover PivotTable'!$A$4,"Site",$A3,"Year",L$1,"Transect",$B3))</f>
        <v>2</v>
      </c>
      <c r="M3" s="17" t="str">
        <f>IF(OR(ISERROR(GETPIVOTDATA("Cover",'Cover PivotTable'!$A$4,"Site",$A3,"Year",M$1,"Transect",$B3)),GETPIVOTDATA("Cover",'Cover PivotTable'!$A$4,"Site",$A3,"Year",M$1)=""), "",GETPIVOTDATA("Cover",'Cover PivotTable'!$A$4,"Site",$A3,"Year",M$1,"Transect",$B3))</f>
        <v/>
      </c>
      <c r="N3" s="17">
        <f>IF(OR(ISERROR(GETPIVOTDATA("Cover",'Cover PivotTable'!$A$4,"Site",$A3,"Year",N$1,"Transect",$B3)),GETPIVOTDATA("Cover",'Cover PivotTable'!$A$4,"Site",$A3,"Year",N$1)=""), "",GETPIVOTDATA("Cover",'Cover PivotTable'!$A$4,"Site",$A3,"Year",N$1,"Transect",$B3))</f>
        <v>5</v>
      </c>
      <c r="O3" s="17">
        <f>IF(OR(ISERROR(GETPIVOTDATA("Cover",'Cover PivotTable'!$A$4,"Site",$A3,"Year",O$1,"Transect",$B3)),GETPIVOTDATA("Cover",'Cover PivotTable'!$A$4,"Site",$A3,"Year",O$1)=""), "",GETPIVOTDATA("Cover",'Cover PivotTable'!$A$4,"Site",$A3,"Year",O$1,"Transect",$B3))</f>
        <v>8.5</v>
      </c>
    </row>
    <row r="4" spans="1:15" x14ac:dyDescent="0.35">
      <c r="A4" t="s">
        <v>18</v>
      </c>
      <c r="B4">
        <v>1.3</v>
      </c>
      <c r="C4" s="17">
        <f>IF(OR(ISERROR(GETPIVOTDATA("Cover",'Cover PivotTable'!$A$4,"Site",$A4,"Year",C$1,"Transect",$B4)),GETPIVOTDATA("Cover",'Cover PivotTable'!$A$4,"Site",$A4,"Year",C$1)=""), "",GETPIVOTDATA("Cover",'Cover PivotTable'!$A$4,"Site",$A4,"Year",C$1,"Transect",$B4))</f>
        <v>4</v>
      </c>
      <c r="D4" s="17" t="str">
        <f>IF(OR(ISERROR(GETPIVOTDATA("Cover",'Cover PivotTable'!$A$4,"Site",$A4,"Year",D$1,"Transect",$B4)),GETPIVOTDATA("Cover",'Cover PivotTable'!$A$4,"Site",$A4,"Year",D$1)=""), "",GETPIVOTDATA("Cover",'Cover PivotTable'!$A$4,"Site",$A4,"Year",D$1,"Transect",$B4))</f>
        <v/>
      </c>
      <c r="E4" s="17" t="str">
        <f>IF(OR(ISERROR(GETPIVOTDATA("Cover",'Cover PivotTable'!$A$4,"Site",$A4,"Year",E$1,"Transect",$B4)),GETPIVOTDATA("Cover",'Cover PivotTable'!$A$4,"Site",$A4,"Year",E$1)=""), "",GETPIVOTDATA("Cover",'Cover PivotTable'!$A$4,"Site",$A4,"Year",E$1,"Transect",$B4))</f>
        <v/>
      </c>
      <c r="F4" s="17">
        <f>IF(OR(ISERROR(GETPIVOTDATA("Cover",'Cover PivotTable'!$A$4,"Site",$A4,"Year",F$1,"Transect",$B4)),GETPIVOTDATA("Cover",'Cover PivotTable'!$A$4,"Site",$A4,"Year",F$1)=""), "",GETPIVOTDATA("Cover",'Cover PivotTable'!$A$4,"Site",$A4,"Year",F$1,"Transect",$B4))</f>
        <v>5.5</v>
      </c>
      <c r="G4" s="17" t="str">
        <f>IF(OR(ISERROR(GETPIVOTDATA("Cover",'Cover PivotTable'!$A$4,"Site",$A4,"Year",G$1,"Transect",$B4)),GETPIVOTDATA("Cover",'Cover PivotTable'!$A$4,"Site",$A4,"Year",G$1)=""), "",GETPIVOTDATA("Cover",'Cover PivotTable'!$A$4,"Site",$A4,"Year",G$1,"Transect",$B4))</f>
        <v/>
      </c>
      <c r="H4" s="17" t="str">
        <f>IF(OR(ISERROR(GETPIVOTDATA("Cover",'Cover PivotTable'!$A$4,"Site",$A4,"Year",H$1,"Transect",$B4)),GETPIVOTDATA("Cover",'Cover PivotTable'!$A$4,"Site",$A4,"Year",H$1)=""), "",GETPIVOTDATA("Cover",'Cover PivotTable'!$A$4,"Site",$A4,"Year",H$1,"Transect",$B4))</f>
        <v/>
      </c>
      <c r="I4" s="17" t="str">
        <f>IF(OR(ISERROR(GETPIVOTDATA("Cover",'Cover PivotTable'!$A$4,"Site",$A4,"Year",I$1,"Transect",$B4)),GETPIVOTDATA("Cover",'Cover PivotTable'!$A$4,"Site",$A4,"Year",I$1)=""), "",GETPIVOTDATA("Cover",'Cover PivotTable'!$A$4,"Site",$A4,"Year",I$1,"Transect",$B4))</f>
        <v/>
      </c>
      <c r="J4" s="17">
        <f>IF(OR(ISERROR(GETPIVOTDATA("Cover",'Cover PivotTable'!$A$4,"Site",$A4,"Year",J$1,"Transect",$B4)),GETPIVOTDATA("Cover",'Cover PivotTable'!$A$4,"Site",$A4,"Year",J$1)=""), "",GETPIVOTDATA("Cover",'Cover PivotTable'!$A$4,"Site",$A4,"Year",J$1,"Transect",$B4))</f>
        <v>2.5</v>
      </c>
      <c r="K4" s="17" t="str">
        <f>IF(OR(ISERROR(GETPIVOTDATA("Cover",'Cover PivotTable'!$A$4,"Site",$A4,"Year",K$1,"Transect",$B4)),GETPIVOTDATA("Cover",'Cover PivotTable'!$A$4,"Site",$A4,"Year",K$1)=""), "",GETPIVOTDATA("Cover",'Cover PivotTable'!$A$4,"Site",$A4,"Year",K$1,"Transect",$B4))</f>
        <v/>
      </c>
      <c r="L4" s="17">
        <f>IF(OR(ISERROR(GETPIVOTDATA("Cover",'Cover PivotTable'!$A$4,"Site",$A4,"Year",L$1,"Transect",$B4)),GETPIVOTDATA("Cover",'Cover PivotTable'!$A$4,"Site",$A4,"Year",L$1)=""), "",GETPIVOTDATA("Cover",'Cover PivotTable'!$A$4,"Site",$A4,"Year",L$1,"Transect",$B4))</f>
        <v>3.5000000000000004</v>
      </c>
      <c r="M4" s="17" t="str">
        <f>IF(OR(ISERROR(GETPIVOTDATA("Cover",'Cover PivotTable'!$A$4,"Site",$A4,"Year",M$1,"Transect",$B4)),GETPIVOTDATA("Cover",'Cover PivotTable'!$A$4,"Site",$A4,"Year",M$1)=""), "",GETPIVOTDATA("Cover",'Cover PivotTable'!$A$4,"Site",$A4,"Year",M$1,"Transect",$B4))</f>
        <v/>
      </c>
      <c r="N4" s="17">
        <f>IF(OR(ISERROR(GETPIVOTDATA("Cover",'Cover PivotTable'!$A$4,"Site",$A4,"Year",N$1,"Transect",$B4)),GETPIVOTDATA("Cover",'Cover PivotTable'!$A$4,"Site",$A4,"Year",N$1)=""), "",GETPIVOTDATA("Cover",'Cover PivotTable'!$A$4,"Site",$A4,"Year",N$1,"Transect",$B4))</f>
        <v>8.5</v>
      </c>
      <c r="O4" s="17">
        <f>IF(OR(ISERROR(GETPIVOTDATA("Cover",'Cover PivotTable'!$A$4,"Site",$A4,"Year",O$1,"Transect",$B4)),GETPIVOTDATA("Cover",'Cover PivotTable'!$A$4,"Site",$A4,"Year",O$1)=""), "",GETPIVOTDATA("Cover",'Cover PivotTable'!$A$4,"Site",$A4,"Year",O$1,"Transect",$B4))</f>
        <v>12.5</v>
      </c>
    </row>
    <row r="5" spans="1:15" x14ac:dyDescent="0.35">
      <c r="A5" t="s">
        <v>18</v>
      </c>
      <c r="B5">
        <v>1.4</v>
      </c>
      <c r="C5" s="17">
        <f>IF(OR(ISERROR(GETPIVOTDATA("Cover",'Cover PivotTable'!$A$4,"Site",$A5,"Year",C$1,"Transect",$B5)),GETPIVOTDATA("Cover",'Cover PivotTable'!$A$4,"Site",$A5,"Year",C$1)=""), "",GETPIVOTDATA("Cover",'Cover PivotTable'!$A$4,"Site",$A5,"Year",C$1,"Transect",$B5))</f>
        <v>0</v>
      </c>
      <c r="D5" s="17" t="str">
        <f>IF(OR(ISERROR(GETPIVOTDATA("Cover",'Cover PivotTable'!$A$4,"Site",$A5,"Year",D$1,"Transect",$B5)),GETPIVOTDATA("Cover",'Cover PivotTable'!$A$4,"Site",$A5,"Year",D$1)=""), "",GETPIVOTDATA("Cover",'Cover PivotTable'!$A$4,"Site",$A5,"Year",D$1,"Transect",$B5))</f>
        <v/>
      </c>
      <c r="E5" s="17" t="str">
        <f>IF(OR(ISERROR(GETPIVOTDATA("Cover",'Cover PivotTable'!$A$4,"Site",$A5,"Year",E$1,"Transect",$B5)),GETPIVOTDATA("Cover",'Cover PivotTable'!$A$4,"Site",$A5,"Year",E$1)=""), "",GETPIVOTDATA("Cover",'Cover PivotTable'!$A$4,"Site",$A5,"Year",E$1,"Transect",$B5))</f>
        <v/>
      </c>
      <c r="F5" s="17">
        <f>IF(OR(ISERROR(GETPIVOTDATA("Cover",'Cover PivotTable'!$A$4,"Site",$A5,"Year",F$1,"Transect",$B5)),GETPIVOTDATA("Cover",'Cover PivotTable'!$A$4,"Site",$A5,"Year",F$1)=""), "",GETPIVOTDATA("Cover",'Cover PivotTable'!$A$4,"Site",$A5,"Year",F$1,"Transect",$B5))</f>
        <v>0</v>
      </c>
      <c r="G5" s="17" t="str">
        <f>IF(OR(ISERROR(GETPIVOTDATA("Cover",'Cover PivotTable'!$A$4,"Site",$A5,"Year",G$1,"Transect",$B5)),GETPIVOTDATA("Cover",'Cover PivotTable'!$A$4,"Site",$A5,"Year",G$1)=""), "",GETPIVOTDATA("Cover",'Cover PivotTable'!$A$4,"Site",$A5,"Year",G$1,"Transect",$B5))</f>
        <v/>
      </c>
      <c r="H5" s="17" t="str">
        <f>IF(OR(ISERROR(GETPIVOTDATA("Cover",'Cover PivotTable'!$A$4,"Site",$A5,"Year",H$1,"Transect",$B5)),GETPIVOTDATA("Cover",'Cover PivotTable'!$A$4,"Site",$A5,"Year",H$1)=""), "",GETPIVOTDATA("Cover",'Cover PivotTable'!$A$4,"Site",$A5,"Year",H$1,"Transect",$B5))</f>
        <v/>
      </c>
      <c r="I5" s="17" t="str">
        <f>IF(OR(ISERROR(GETPIVOTDATA("Cover",'Cover PivotTable'!$A$4,"Site",$A5,"Year",I$1,"Transect",$B5)),GETPIVOTDATA("Cover",'Cover PivotTable'!$A$4,"Site",$A5,"Year",I$1)=""), "",GETPIVOTDATA("Cover",'Cover PivotTable'!$A$4,"Site",$A5,"Year",I$1,"Transect",$B5))</f>
        <v/>
      </c>
      <c r="J5" s="17">
        <f>IF(OR(ISERROR(GETPIVOTDATA("Cover",'Cover PivotTable'!$A$4,"Site",$A5,"Year",J$1,"Transect",$B5)),GETPIVOTDATA("Cover",'Cover PivotTable'!$A$4,"Site",$A5,"Year",J$1)=""), "",GETPIVOTDATA("Cover",'Cover PivotTable'!$A$4,"Site",$A5,"Year",J$1,"Transect",$B5))</f>
        <v>0</v>
      </c>
      <c r="K5" s="17" t="str">
        <f>IF(OR(ISERROR(GETPIVOTDATA("Cover",'Cover PivotTable'!$A$4,"Site",$A5,"Year",K$1,"Transect",$B5)),GETPIVOTDATA("Cover",'Cover PivotTable'!$A$4,"Site",$A5,"Year",K$1)=""), "",GETPIVOTDATA("Cover",'Cover PivotTable'!$A$4,"Site",$A5,"Year",K$1,"Transect",$B5))</f>
        <v/>
      </c>
      <c r="L5" s="17">
        <f>IF(OR(ISERROR(GETPIVOTDATA("Cover",'Cover PivotTable'!$A$4,"Site",$A5,"Year",L$1,"Transect",$B5)),GETPIVOTDATA("Cover",'Cover PivotTable'!$A$4,"Site",$A5,"Year",L$1)=""), "",GETPIVOTDATA("Cover",'Cover PivotTable'!$A$4,"Site",$A5,"Year",L$1,"Transect",$B5))</f>
        <v>8.5</v>
      </c>
      <c r="M5" s="17" t="str">
        <f>IF(OR(ISERROR(GETPIVOTDATA("Cover",'Cover PivotTable'!$A$4,"Site",$A5,"Year",M$1,"Transect",$B5)),GETPIVOTDATA("Cover",'Cover PivotTable'!$A$4,"Site",$A5,"Year",M$1)=""), "",GETPIVOTDATA("Cover",'Cover PivotTable'!$A$4,"Site",$A5,"Year",M$1,"Transect",$B5))</f>
        <v/>
      </c>
      <c r="N5" s="17">
        <f>IF(OR(ISERROR(GETPIVOTDATA("Cover",'Cover PivotTable'!$A$4,"Site",$A5,"Year",N$1,"Transect",$B5)),GETPIVOTDATA("Cover",'Cover PivotTable'!$A$4,"Site",$A5,"Year",N$1)=""), "",GETPIVOTDATA("Cover",'Cover PivotTable'!$A$4,"Site",$A5,"Year",N$1,"Transect",$B5))</f>
        <v>17</v>
      </c>
      <c r="O5" s="17">
        <f>IF(OR(ISERROR(GETPIVOTDATA("Cover",'Cover PivotTable'!$A$4,"Site",$A5,"Year",O$1,"Transect",$B5)),GETPIVOTDATA("Cover",'Cover PivotTable'!$A$4,"Site",$A5,"Year",O$1)=""), "",GETPIVOTDATA("Cover",'Cover PivotTable'!$A$4,"Site",$A5,"Year",O$1,"Transect",$B5))</f>
        <v>27.500000000000004</v>
      </c>
    </row>
    <row r="6" spans="1:15" x14ac:dyDescent="0.35">
      <c r="A6" t="s">
        <v>18</v>
      </c>
      <c r="B6">
        <v>1.5</v>
      </c>
      <c r="C6" s="17">
        <f>IF(OR(ISERROR(GETPIVOTDATA("Cover",'Cover PivotTable'!$A$4,"Site",$A6,"Year",C$1,"Transect",$B6)),GETPIVOTDATA("Cover",'Cover PivotTable'!$A$4,"Site",$A6,"Year",C$1)=""), "",GETPIVOTDATA("Cover",'Cover PivotTable'!$A$4,"Site",$A6,"Year",C$1,"Transect",$B6))</f>
        <v>8.5</v>
      </c>
      <c r="D6" s="17" t="str">
        <f>IF(OR(ISERROR(GETPIVOTDATA("Cover",'Cover PivotTable'!$A$4,"Site",$A6,"Year",D$1,"Transect",$B6)),GETPIVOTDATA("Cover",'Cover PivotTable'!$A$4,"Site",$A6,"Year",D$1)=""), "",GETPIVOTDATA("Cover",'Cover PivotTable'!$A$4,"Site",$A6,"Year",D$1,"Transect",$B6))</f>
        <v/>
      </c>
      <c r="E6" s="17" t="str">
        <f>IF(OR(ISERROR(GETPIVOTDATA("Cover",'Cover PivotTable'!$A$4,"Site",$A6,"Year",E$1,"Transect",$B6)),GETPIVOTDATA("Cover",'Cover PivotTable'!$A$4,"Site",$A6,"Year",E$1)=""), "",GETPIVOTDATA("Cover",'Cover PivotTable'!$A$4,"Site",$A6,"Year",E$1,"Transect",$B6))</f>
        <v/>
      </c>
      <c r="F6" s="17">
        <f>IF(OR(ISERROR(GETPIVOTDATA("Cover",'Cover PivotTable'!$A$4,"Site",$A6,"Year",F$1,"Transect",$B6)),GETPIVOTDATA("Cover",'Cover PivotTable'!$A$4,"Site",$A6,"Year",F$1)=""), "",GETPIVOTDATA("Cover",'Cover PivotTable'!$A$4,"Site",$A6,"Year",F$1,"Transect",$B6))</f>
        <v>6</v>
      </c>
      <c r="G6" s="17" t="str">
        <f>IF(OR(ISERROR(GETPIVOTDATA("Cover",'Cover PivotTable'!$A$4,"Site",$A6,"Year",G$1,"Transect",$B6)),GETPIVOTDATA("Cover",'Cover PivotTable'!$A$4,"Site",$A6,"Year",G$1)=""), "",GETPIVOTDATA("Cover",'Cover PivotTable'!$A$4,"Site",$A6,"Year",G$1,"Transect",$B6))</f>
        <v/>
      </c>
      <c r="H6" s="17" t="str">
        <f>IF(OR(ISERROR(GETPIVOTDATA("Cover",'Cover PivotTable'!$A$4,"Site",$A6,"Year",H$1,"Transect",$B6)),GETPIVOTDATA("Cover",'Cover PivotTable'!$A$4,"Site",$A6,"Year",H$1)=""), "",GETPIVOTDATA("Cover",'Cover PivotTable'!$A$4,"Site",$A6,"Year",H$1,"Transect",$B6))</f>
        <v/>
      </c>
      <c r="I6" s="17" t="str">
        <f>IF(OR(ISERROR(GETPIVOTDATA("Cover",'Cover PivotTable'!$A$4,"Site",$A6,"Year",I$1,"Transect",$B6)),GETPIVOTDATA("Cover",'Cover PivotTable'!$A$4,"Site",$A6,"Year",I$1)=""), "",GETPIVOTDATA("Cover",'Cover PivotTable'!$A$4,"Site",$A6,"Year",I$1,"Transect",$B6))</f>
        <v/>
      </c>
      <c r="J6" s="17">
        <f>IF(OR(ISERROR(GETPIVOTDATA("Cover",'Cover PivotTable'!$A$4,"Site",$A6,"Year",J$1,"Transect",$B6)),GETPIVOTDATA("Cover",'Cover PivotTable'!$A$4,"Site",$A6,"Year",J$1)=""), "",GETPIVOTDATA("Cover",'Cover PivotTable'!$A$4,"Site",$A6,"Year",J$1,"Transect",$B6))</f>
        <v>3.5000000000000004</v>
      </c>
      <c r="K6" s="17" t="str">
        <f>IF(OR(ISERROR(GETPIVOTDATA("Cover",'Cover PivotTable'!$A$4,"Site",$A6,"Year",K$1,"Transect",$B6)),GETPIVOTDATA("Cover",'Cover PivotTable'!$A$4,"Site",$A6,"Year",K$1)=""), "",GETPIVOTDATA("Cover",'Cover PivotTable'!$A$4,"Site",$A6,"Year",K$1,"Transect",$B6))</f>
        <v/>
      </c>
      <c r="L6" s="17">
        <f>IF(OR(ISERROR(GETPIVOTDATA("Cover",'Cover PivotTable'!$A$4,"Site",$A6,"Year",L$1,"Transect",$B6)),GETPIVOTDATA("Cover",'Cover PivotTable'!$A$4,"Site",$A6,"Year",L$1)=""), "",GETPIVOTDATA("Cover",'Cover PivotTable'!$A$4,"Site",$A6,"Year",L$1,"Transect",$B6))</f>
        <v>9.5</v>
      </c>
      <c r="M6" s="17" t="str">
        <f>IF(OR(ISERROR(GETPIVOTDATA("Cover",'Cover PivotTable'!$A$4,"Site",$A6,"Year",M$1,"Transect",$B6)),GETPIVOTDATA("Cover",'Cover PivotTable'!$A$4,"Site",$A6,"Year",M$1)=""), "",GETPIVOTDATA("Cover",'Cover PivotTable'!$A$4,"Site",$A6,"Year",M$1,"Transect",$B6))</f>
        <v/>
      </c>
      <c r="N6" s="17">
        <f>IF(OR(ISERROR(GETPIVOTDATA("Cover",'Cover PivotTable'!$A$4,"Site",$A6,"Year",N$1,"Transect",$B6)),GETPIVOTDATA("Cover",'Cover PivotTable'!$A$4,"Site",$A6,"Year",N$1)=""), "",GETPIVOTDATA("Cover",'Cover PivotTable'!$A$4,"Site",$A6,"Year",N$1,"Transect",$B6))</f>
        <v>9</v>
      </c>
      <c r="O6" s="17">
        <f>IF(OR(ISERROR(GETPIVOTDATA("Cover",'Cover PivotTable'!$A$4,"Site",$A6,"Year",O$1,"Transect",$B6)),GETPIVOTDATA("Cover",'Cover PivotTable'!$A$4,"Site",$A6,"Year",O$1)=""), "",GETPIVOTDATA("Cover",'Cover PivotTable'!$A$4,"Site",$A6,"Year",O$1,"Transect",$B6))</f>
        <v>12.5</v>
      </c>
    </row>
    <row r="7" spans="1:15" x14ac:dyDescent="0.35">
      <c r="A7" t="s">
        <v>18</v>
      </c>
      <c r="B7">
        <v>2.1</v>
      </c>
      <c r="C7" s="17">
        <f>IF(OR(ISERROR(GETPIVOTDATA("Cover",'Cover PivotTable'!$A$4,"Site",$A7,"Year",C$1,"Transect",$B7)),GETPIVOTDATA("Cover",'Cover PivotTable'!$A$4,"Site",$A7,"Year",C$1)=""), "",GETPIVOTDATA("Cover",'Cover PivotTable'!$A$4,"Site",$A7,"Year",C$1,"Transect",$B7))</f>
        <v>4</v>
      </c>
      <c r="D7" s="17" t="str">
        <f>IF(OR(ISERROR(GETPIVOTDATA("Cover",'Cover PivotTable'!$A$4,"Site",$A7,"Year",D$1,"Transect",$B7)),GETPIVOTDATA("Cover",'Cover PivotTable'!$A$4,"Site",$A7,"Year",D$1)=""), "",GETPIVOTDATA("Cover",'Cover PivotTable'!$A$4,"Site",$A7,"Year",D$1,"Transect",$B7))</f>
        <v/>
      </c>
      <c r="E7" s="17" t="str">
        <f>IF(OR(ISERROR(GETPIVOTDATA("Cover",'Cover PivotTable'!$A$4,"Site",$A7,"Year",E$1,"Transect",$B7)),GETPIVOTDATA("Cover",'Cover PivotTable'!$A$4,"Site",$A7,"Year",E$1)=""), "",GETPIVOTDATA("Cover",'Cover PivotTable'!$A$4,"Site",$A7,"Year",E$1,"Transect",$B7))</f>
        <v/>
      </c>
      <c r="F7" s="17">
        <f>IF(OR(ISERROR(GETPIVOTDATA("Cover",'Cover PivotTable'!$A$4,"Site",$A7,"Year",F$1,"Transect",$B7)),GETPIVOTDATA("Cover",'Cover PivotTable'!$A$4,"Site",$A7,"Year",F$1)=""), "",GETPIVOTDATA("Cover",'Cover PivotTable'!$A$4,"Site",$A7,"Year",F$1,"Transect",$B7))</f>
        <v>6.5</v>
      </c>
      <c r="G7" s="17" t="str">
        <f>IF(OR(ISERROR(GETPIVOTDATA("Cover",'Cover PivotTable'!$A$4,"Site",$A7,"Year",G$1,"Transect",$B7)),GETPIVOTDATA("Cover",'Cover PivotTable'!$A$4,"Site",$A7,"Year",G$1)=""), "",GETPIVOTDATA("Cover",'Cover PivotTable'!$A$4,"Site",$A7,"Year",G$1,"Transect",$B7))</f>
        <v/>
      </c>
      <c r="H7" s="17" t="str">
        <f>IF(OR(ISERROR(GETPIVOTDATA("Cover",'Cover PivotTable'!$A$4,"Site",$A7,"Year",H$1,"Transect",$B7)),GETPIVOTDATA("Cover",'Cover PivotTable'!$A$4,"Site",$A7,"Year",H$1)=""), "",GETPIVOTDATA("Cover",'Cover PivotTable'!$A$4,"Site",$A7,"Year",H$1,"Transect",$B7))</f>
        <v/>
      </c>
      <c r="I7" s="17" t="str">
        <f>IF(OR(ISERROR(GETPIVOTDATA("Cover",'Cover PivotTable'!$A$4,"Site",$A7,"Year",I$1,"Transect",$B7)),GETPIVOTDATA("Cover",'Cover PivotTable'!$A$4,"Site",$A7,"Year",I$1)=""), "",GETPIVOTDATA("Cover",'Cover PivotTable'!$A$4,"Site",$A7,"Year",I$1,"Transect",$B7))</f>
        <v/>
      </c>
      <c r="J7" s="17">
        <f>IF(OR(ISERROR(GETPIVOTDATA("Cover",'Cover PivotTable'!$A$4,"Site",$A7,"Year",J$1,"Transect",$B7)),GETPIVOTDATA("Cover",'Cover PivotTable'!$A$4,"Site",$A7,"Year",J$1)=""), "",GETPIVOTDATA("Cover",'Cover PivotTable'!$A$4,"Site",$A7,"Year",J$1,"Transect",$B7))</f>
        <v>2</v>
      </c>
      <c r="K7" s="17" t="str">
        <f>IF(OR(ISERROR(GETPIVOTDATA("Cover",'Cover PivotTable'!$A$4,"Site",$A7,"Year",K$1,"Transect",$B7)),GETPIVOTDATA("Cover",'Cover PivotTable'!$A$4,"Site",$A7,"Year",K$1)=""), "",GETPIVOTDATA("Cover",'Cover PivotTable'!$A$4,"Site",$A7,"Year",K$1,"Transect",$B7))</f>
        <v/>
      </c>
      <c r="L7" s="17">
        <f>IF(OR(ISERROR(GETPIVOTDATA("Cover",'Cover PivotTable'!$A$4,"Site",$A7,"Year",L$1,"Transect",$B7)),GETPIVOTDATA("Cover",'Cover PivotTable'!$A$4,"Site",$A7,"Year",L$1)=""), "",GETPIVOTDATA("Cover",'Cover PivotTable'!$A$4,"Site",$A7,"Year",L$1,"Transect",$B7))</f>
        <v>2.5</v>
      </c>
      <c r="M7" s="17" t="str">
        <f>IF(OR(ISERROR(GETPIVOTDATA("Cover",'Cover PivotTable'!$A$4,"Site",$A7,"Year",M$1,"Transect",$B7)),GETPIVOTDATA("Cover",'Cover PivotTable'!$A$4,"Site",$A7,"Year",M$1)=""), "",GETPIVOTDATA("Cover",'Cover PivotTable'!$A$4,"Site",$A7,"Year",M$1,"Transect",$B7))</f>
        <v/>
      </c>
      <c r="N7" s="17">
        <f>IF(OR(ISERROR(GETPIVOTDATA("Cover",'Cover PivotTable'!$A$4,"Site",$A7,"Year",N$1,"Transect",$B7)),GETPIVOTDATA("Cover",'Cover PivotTable'!$A$4,"Site",$A7,"Year",N$1)=""), "",GETPIVOTDATA("Cover",'Cover PivotTable'!$A$4,"Site",$A7,"Year",N$1,"Transect",$B7))</f>
        <v>5</v>
      </c>
      <c r="O7" s="17">
        <f>IF(OR(ISERROR(GETPIVOTDATA("Cover",'Cover PivotTable'!$A$4,"Site",$A7,"Year",O$1,"Transect",$B7)),GETPIVOTDATA("Cover",'Cover PivotTable'!$A$4,"Site",$A7,"Year",O$1)=""), "",GETPIVOTDATA("Cover",'Cover PivotTable'!$A$4,"Site",$A7,"Year",O$1,"Transect",$B7))</f>
        <v>5.5</v>
      </c>
    </row>
    <row r="8" spans="1:15" x14ac:dyDescent="0.35">
      <c r="A8" t="s">
        <v>18</v>
      </c>
      <c r="B8">
        <v>2.2000000000000002</v>
      </c>
      <c r="C8" s="17">
        <f>IF(OR(ISERROR(GETPIVOTDATA("Cover",'Cover PivotTable'!$A$4,"Site",$A8,"Year",C$1,"Transect",$B8)),GETPIVOTDATA("Cover",'Cover PivotTable'!$A$4,"Site",$A8,"Year",C$1)=""), "",GETPIVOTDATA("Cover",'Cover PivotTable'!$A$4,"Site",$A8,"Year",C$1,"Transect",$B8))</f>
        <v>1</v>
      </c>
      <c r="D8" s="17" t="str">
        <f>IF(OR(ISERROR(GETPIVOTDATA("Cover",'Cover PivotTable'!$A$4,"Site",$A8,"Year",D$1,"Transect",$B8)),GETPIVOTDATA("Cover",'Cover PivotTable'!$A$4,"Site",$A8,"Year",D$1)=""), "",GETPIVOTDATA("Cover",'Cover PivotTable'!$A$4,"Site",$A8,"Year",D$1,"Transect",$B8))</f>
        <v/>
      </c>
      <c r="E8" s="17" t="str">
        <f>IF(OR(ISERROR(GETPIVOTDATA("Cover",'Cover PivotTable'!$A$4,"Site",$A8,"Year",E$1,"Transect",$B8)),GETPIVOTDATA("Cover",'Cover PivotTable'!$A$4,"Site",$A8,"Year",E$1)=""), "",GETPIVOTDATA("Cover",'Cover PivotTable'!$A$4,"Site",$A8,"Year",E$1,"Transect",$B8))</f>
        <v/>
      </c>
      <c r="F8" s="17">
        <f>IF(OR(ISERROR(GETPIVOTDATA("Cover",'Cover PivotTable'!$A$4,"Site",$A8,"Year",F$1,"Transect",$B8)),GETPIVOTDATA("Cover",'Cover PivotTable'!$A$4,"Site",$A8,"Year",F$1)=""), "",GETPIVOTDATA("Cover",'Cover PivotTable'!$A$4,"Site",$A8,"Year",F$1,"Transect",$B8))</f>
        <v>2</v>
      </c>
      <c r="G8" s="17" t="str">
        <f>IF(OR(ISERROR(GETPIVOTDATA("Cover",'Cover PivotTable'!$A$4,"Site",$A8,"Year",G$1,"Transect",$B8)),GETPIVOTDATA("Cover",'Cover PivotTable'!$A$4,"Site",$A8,"Year",G$1)=""), "",GETPIVOTDATA("Cover",'Cover PivotTable'!$A$4,"Site",$A8,"Year",G$1,"Transect",$B8))</f>
        <v/>
      </c>
      <c r="H8" s="17" t="str">
        <f>IF(OR(ISERROR(GETPIVOTDATA("Cover",'Cover PivotTable'!$A$4,"Site",$A8,"Year",H$1,"Transect",$B8)),GETPIVOTDATA("Cover",'Cover PivotTable'!$A$4,"Site",$A8,"Year",H$1)=""), "",GETPIVOTDATA("Cover",'Cover PivotTable'!$A$4,"Site",$A8,"Year",H$1,"Transect",$B8))</f>
        <v/>
      </c>
      <c r="I8" s="17" t="str">
        <f>IF(OR(ISERROR(GETPIVOTDATA("Cover",'Cover PivotTable'!$A$4,"Site",$A8,"Year",I$1,"Transect",$B8)),GETPIVOTDATA("Cover",'Cover PivotTable'!$A$4,"Site",$A8,"Year",I$1)=""), "",GETPIVOTDATA("Cover",'Cover PivotTable'!$A$4,"Site",$A8,"Year",I$1,"Transect",$B8))</f>
        <v/>
      </c>
      <c r="J8" s="17">
        <f>IF(OR(ISERROR(GETPIVOTDATA("Cover",'Cover PivotTable'!$A$4,"Site",$A8,"Year",J$1,"Transect",$B8)),GETPIVOTDATA("Cover",'Cover PivotTable'!$A$4,"Site",$A8,"Year",J$1)=""), "",GETPIVOTDATA("Cover",'Cover PivotTable'!$A$4,"Site",$A8,"Year",J$1,"Transect",$B8))</f>
        <v>0</v>
      </c>
      <c r="K8" s="17" t="str">
        <f>IF(OR(ISERROR(GETPIVOTDATA("Cover",'Cover PivotTable'!$A$4,"Site",$A8,"Year",K$1,"Transect",$B8)),GETPIVOTDATA("Cover",'Cover PivotTable'!$A$4,"Site",$A8,"Year",K$1)=""), "",GETPIVOTDATA("Cover",'Cover PivotTable'!$A$4,"Site",$A8,"Year",K$1,"Transect",$B8))</f>
        <v/>
      </c>
      <c r="L8" s="17">
        <f>IF(OR(ISERROR(GETPIVOTDATA("Cover",'Cover PivotTable'!$A$4,"Site",$A8,"Year",L$1,"Transect",$B8)),GETPIVOTDATA("Cover",'Cover PivotTable'!$A$4,"Site",$A8,"Year",L$1)=""), "",GETPIVOTDATA("Cover",'Cover PivotTable'!$A$4,"Site",$A8,"Year",L$1,"Transect",$B8))</f>
        <v>1.5</v>
      </c>
      <c r="M8" s="17" t="str">
        <f>IF(OR(ISERROR(GETPIVOTDATA("Cover",'Cover PivotTable'!$A$4,"Site",$A8,"Year",M$1,"Transect",$B8)),GETPIVOTDATA("Cover",'Cover PivotTable'!$A$4,"Site",$A8,"Year",M$1)=""), "",GETPIVOTDATA("Cover",'Cover PivotTable'!$A$4,"Site",$A8,"Year",M$1,"Transect",$B8))</f>
        <v/>
      </c>
      <c r="N8" s="17">
        <f>IF(OR(ISERROR(GETPIVOTDATA("Cover",'Cover PivotTable'!$A$4,"Site",$A8,"Year",N$1,"Transect",$B8)),GETPIVOTDATA("Cover",'Cover PivotTable'!$A$4,"Site",$A8,"Year",N$1)=""), "",GETPIVOTDATA("Cover",'Cover PivotTable'!$A$4,"Site",$A8,"Year",N$1,"Transect",$B8))</f>
        <v>4</v>
      </c>
      <c r="O8" s="17">
        <f>IF(OR(ISERROR(GETPIVOTDATA("Cover",'Cover PivotTable'!$A$4,"Site",$A8,"Year",O$1,"Transect",$B8)),GETPIVOTDATA("Cover",'Cover PivotTable'!$A$4,"Site",$A8,"Year",O$1)=""), "",GETPIVOTDATA("Cover",'Cover PivotTable'!$A$4,"Site",$A8,"Year",O$1,"Transect",$B8))</f>
        <v>6.5</v>
      </c>
    </row>
    <row r="9" spans="1:15" x14ac:dyDescent="0.35">
      <c r="A9" t="s">
        <v>18</v>
      </c>
      <c r="B9">
        <v>2.2999999999999998</v>
      </c>
      <c r="C9" s="17">
        <f>IF(OR(ISERROR(GETPIVOTDATA("Cover",'Cover PivotTable'!$A$4,"Site",$A9,"Year",C$1,"Transect",$B9)),GETPIVOTDATA("Cover",'Cover PivotTable'!$A$4,"Site",$A9,"Year",C$1)=""), "",GETPIVOTDATA("Cover",'Cover PivotTable'!$A$4,"Site",$A9,"Year",C$1,"Transect",$B9))</f>
        <v>3.5000000000000004</v>
      </c>
      <c r="D9" s="17" t="str">
        <f>IF(OR(ISERROR(GETPIVOTDATA("Cover",'Cover PivotTable'!$A$4,"Site",$A9,"Year",D$1,"Transect",$B9)),GETPIVOTDATA("Cover",'Cover PivotTable'!$A$4,"Site",$A9,"Year",D$1)=""), "",GETPIVOTDATA("Cover",'Cover PivotTable'!$A$4,"Site",$A9,"Year",D$1,"Transect",$B9))</f>
        <v/>
      </c>
      <c r="E9" s="17" t="str">
        <f>IF(OR(ISERROR(GETPIVOTDATA("Cover",'Cover PivotTable'!$A$4,"Site",$A9,"Year",E$1,"Transect",$B9)),GETPIVOTDATA("Cover",'Cover PivotTable'!$A$4,"Site",$A9,"Year",E$1)=""), "",GETPIVOTDATA("Cover",'Cover PivotTable'!$A$4,"Site",$A9,"Year",E$1,"Transect",$B9))</f>
        <v/>
      </c>
      <c r="F9" s="17">
        <f>IF(OR(ISERROR(GETPIVOTDATA("Cover",'Cover PivotTable'!$A$4,"Site",$A9,"Year",F$1,"Transect",$B9)),GETPIVOTDATA("Cover",'Cover PivotTable'!$A$4,"Site",$A9,"Year",F$1)=""), "",GETPIVOTDATA("Cover",'Cover PivotTable'!$A$4,"Site",$A9,"Year",F$1,"Transect",$B9))</f>
        <v>4</v>
      </c>
      <c r="G9" s="17" t="str">
        <f>IF(OR(ISERROR(GETPIVOTDATA("Cover",'Cover PivotTable'!$A$4,"Site",$A9,"Year",G$1,"Transect",$B9)),GETPIVOTDATA("Cover",'Cover PivotTable'!$A$4,"Site",$A9,"Year",G$1)=""), "",GETPIVOTDATA("Cover",'Cover PivotTable'!$A$4,"Site",$A9,"Year",G$1,"Transect",$B9))</f>
        <v/>
      </c>
      <c r="H9" s="17" t="str">
        <f>IF(OR(ISERROR(GETPIVOTDATA("Cover",'Cover PivotTable'!$A$4,"Site",$A9,"Year",H$1,"Transect",$B9)),GETPIVOTDATA("Cover",'Cover PivotTable'!$A$4,"Site",$A9,"Year",H$1)=""), "",GETPIVOTDATA("Cover",'Cover PivotTable'!$A$4,"Site",$A9,"Year",H$1,"Transect",$B9))</f>
        <v/>
      </c>
      <c r="I9" s="17" t="str">
        <f>IF(OR(ISERROR(GETPIVOTDATA("Cover",'Cover PivotTable'!$A$4,"Site",$A9,"Year",I$1,"Transect",$B9)),GETPIVOTDATA("Cover",'Cover PivotTable'!$A$4,"Site",$A9,"Year",I$1)=""), "",GETPIVOTDATA("Cover",'Cover PivotTable'!$A$4,"Site",$A9,"Year",I$1,"Transect",$B9))</f>
        <v/>
      </c>
      <c r="J9" s="17">
        <f>IF(OR(ISERROR(GETPIVOTDATA("Cover",'Cover PivotTable'!$A$4,"Site",$A9,"Year",J$1,"Transect",$B9)),GETPIVOTDATA("Cover",'Cover PivotTable'!$A$4,"Site",$A9,"Year",J$1)=""), "",GETPIVOTDATA("Cover",'Cover PivotTable'!$A$4,"Site",$A9,"Year",J$1,"Transect",$B9))</f>
        <v>4</v>
      </c>
      <c r="K9" s="17" t="str">
        <f>IF(OR(ISERROR(GETPIVOTDATA("Cover",'Cover PivotTable'!$A$4,"Site",$A9,"Year",K$1,"Transect",$B9)),GETPIVOTDATA("Cover",'Cover PivotTable'!$A$4,"Site",$A9,"Year",K$1)=""), "",GETPIVOTDATA("Cover",'Cover PivotTable'!$A$4,"Site",$A9,"Year",K$1,"Transect",$B9))</f>
        <v/>
      </c>
      <c r="L9" s="17">
        <f>IF(OR(ISERROR(GETPIVOTDATA("Cover",'Cover PivotTable'!$A$4,"Site",$A9,"Year",L$1,"Transect",$B9)),GETPIVOTDATA("Cover",'Cover PivotTable'!$A$4,"Site",$A9,"Year",L$1)=""), "",GETPIVOTDATA("Cover",'Cover PivotTable'!$A$4,"Site",$A9,"Year",L$1,"Transect",$B9))</f>
        <v>7.5</v>
      </c>
      <c r="M9" s="17" t="str">
        <f>IF(OR(ISERROR(GETPIVOTDATA("Cover",'Cover PivotTable'!$A$4,"Site",$A9,"Year",M$1,"Transect",$B9)),GETPIVOTDATA("Cover",'Cover PivotTable'!$A$4,"Site",$A9,"Year",M$1)=""), "",GETPIVOTDATA("Cover",'Cover PivotTable'!$A$4,"Site",$A9,"Year",M$1,"Transect",$B9))</f>
        <v/>
      </c>
      <c r="N9" s="17">
        <f>IF(OR(ISERROR(GETPIVOTDATA("Cover",'Cover PivotTable'!$A$4,"Site",$A9,"Year",N$1,"Transect",$B9)),GETPIVOTDATA("Cover",'Cover PivotTable'!$A$4,"Site",$A9,"Year",N$1)=""), "",GETPIVOTDATA("Cover",'Cover PivotTable'!$A$4,"Site",$A9,"Year",N$1,"Transect",$B9))</f>
        <v>7.5</v>
      </c>
      <c r="O9" s="17">
        <f>IF(OR(ISERROR(GETPIVOTDATA("Cover",'Cover PivotTable'!$A$4,"Site",$A9,"Year",O$1,"Transect",$B9)),GETPIVOTDATA("Cover",'Cover PivotTable'!$A$4,"Site",$A9,"Year",O$1)=""), "",GETPIVOTDATA("Cover",'Cover PivotTable'!$A$4,"Site",$A9,"Year",O$1,"Transect",$B9))</f>
        <v>7.0000000000000009</v>
      </c>
    </row>
    <row r="10" spans="1:15" x14ac:dyDescent="0.35">
      <c r="A10" t="s">
        <v>18</v>
      </c>
      <c r="B10">
        <v>2.4</v>
      </c>
      <c r="C10" s="17">
        <f>IF(OR(ISERROR(GETPIVOTDATA("Cover",'Cover PivotTable'!$A$4,"Site",$A10,"Year",C$1,"Transect",$B10)),GETPIVOTDATA("Cover",'Cover PivotTable'!$A$4,"Site",$A10,"Year",C$1)=""), "",GETPIVOTDATA("Cover",'Cover PivotTable'!$A$4,"Site",$A10,"Year",C$1,"Transect",$B10))</f>
        <v>0</v>
      </c>
      <c r="D10" s="17" t="str">
        <f>IF(OR(ISERROR(GETPIVOTDATA("Cover",'Cover PivotTable'!$A$4,"Site",$A10,"Year",D$1,"Transect",$B10)),GETPIVOTDATA("Cover",'Cover PivotTable'!$A$4,"Site",$A10,"Year",D$1)=""), "",GETPIVOTDATA("Cover",'Cover PivotTable'!$A$4,"Site",$A10,"Year",D$1,"Transect",$B10))</f>
        <v/>
      </c>
      <c r="E10" s="17" t="str">
        <f>IF(OR(ISERROR(GETPIVOTDATA("Cover",'Cover PivotTable'!$A$4,"Site",$A10,"Year",E$1,"Transect",$B10)),GETPIVOTDATA("Cover",'Cover PivotTable'!$A$4,"Site",$A10,"Year",E$1)=""), "",GETPIVOTDATA("Cover",'Cover PivotTable'!$A$4,"Site",$A10,"Year",E$1,"Transect",$B10))</f>
        <v/>
      </c>
      <c r="F10" s="17">
        <f>IF(OR(ISERROR(GETPIVOTDATA("Cover",'Cover PivotTable'!$A$4,"Site",$A10,"Year",F$1,"Transect",$B10)),GETPIVOTDATA("Cover",'Cover PivotTable'!$A$4,"Site",$A10,"Year",F$1)=""), "",GETPIVOTDATA("Cover",'Cover PivotTable'!$A$4,"Site",$A10,"Year",F$1,"Transect",$B10))</f>
        <v>0.5</v>
      </c>
      <c r="G10" s="17" t="str">
        <f>IF(OR(ISERROR(GETPIVOTDATA("Cover",'Cover PivotTable'!$A$4,"Site",$A10,"Year",G$1,"Transect",$B10)),GETPIVOTDATA("Cover",'Cover PivotTable'!$A$4,"Site",$A10,"Year",G$1)=""), "",GETPIVOTDATA("Cover",'Cover PivotTable'!$A$4,"Site",$A10,"Year",G$1,"Transect",$B10))</f>
        <v/>
      </c>
      <c r="H10" s="17" t="str">
        <f>IF(OR(ISERROR(GETPIVOTDATA("Cover",'Cover PivotTable'!$A$4,"Site",$A10,"Year",H$1,"Transect",$B10)),GETPIVOTDATA("Cover",'Cover PivotTable'!$A$4,"Site",$A10,"Year",H$1)=""), "",GETPIVOTDATA("Cover",'Cover PivotTable'!$A$4,"Site",$A10,"Year",H$1,"Transect",$B10))</f>
        <v/>
      </c>
      <c r="I10" s="17" t="str">
        <f>IF(OR(ISERROR(GETPIVOTDATA("Cover",'Cover PivotTable'!$A$4,"Site",$A10,"Year",I$1,"Transect",$B10)),GETPIVOTDATA("Cover",'Cover PivotTable'!$A$4,"Site",$A10,"Year",I$1)=""), "",GETPIVOTDATA("Cover",'Cover PivotTable'!$A$4,"Site",$A10,"Year",I$1,"Transect",$B10))</f>
        <v/>
      </c>
      <c r="J10" s="17">
        <f>IF(OR(ISERROR(GETPIVOTDATA("Cover",'Cover PivotTable'!$A$4,"Site",$A10,"Year",J$1,"Transect",$B10)),GETPIVOTDATA("Cover",'Cover PivotTable'!$A$4,"Site",$A10,"Year",J$1)=""), "",GETPIVOTDATA("Cover",'Cover PivotTable'!$A$4,"Site",$A10,"Year",J$1,"Transect",$B10))</f>
        <v>1</v>
      </c>
      <c r="K10" s="17" t="str">
        <f>IF(OR(ISERROR(GETPIVOTDATA("Cover",'Cover PivotTable'!$A$4,"Site",$A10,"Year",K$1,"Transect",$B10)),GETPIVOTDATA("Cover",'Cover PivotTable'!$A$4,"Site",$A10,"Year",K$1)=""), "",GETPIVOTDATA("Cover",'Cover PivotTable'!$A$4,"Site",$A10,"Year",K$1,"Transect",$B10))</f>
        <v/>
      </c>
      <c r="L10" s="17">
        <f>IF(OR(ISERROR(GETPIVOTDATA("Cover",'Cover PivotTable'!$A$4,"Site",$A10,"Year",L$1,"Transect",$B10)),GETPIVOTDATA("Cover",'Cover PivotTable'!$A$4,"Site",$A10,"Year",L$1)=""), "",GETPIVOTDATA("Cover",'Cover PivotTable'!$A$4,"Site",$A10,"Year",L$1,"Transect",$B10))</f>
        <v>3.5000000000000004</v>
      </c>
      <c r="M10" s="17" t="str">
        <f>IF(OR(ISERROR(GETPIVOTDATA("Cover",'Cover PivotTable'!$A$4,"Site",$A10,"Year",M$1,"Transect",$B10)),GETPIVOTDATA("Cover",'Cover PivotTable'!$A$4,"Site",$A10,"Year",M$1)=""), "",GETPIVOTDATA("Cover",'Cover PivotTable'!$A$4,"Site",$A10,"Year",M$1,"Transect",$B10))</f>
        <v/>
      </c>
      <c r="N10" s="17">
        <f>IF(OR(ISERROR(GETPIVOTDATA("Cover",'Cover PivotTable'!$A$4,"Site",$A10,"Year",N$1,"Transect",$B10)),GETPIVOTDATA("Cover",'Cover PivotTable'!$A$4,"Site",$A10,"Year",N$1)=""), "",GETPIVOTDATA("Cover",'Cover PivotTable'!$A$4,"Site",$A10,"Year",N$1,"Transect",$B10))</f>
        <v>12.5</v>
      </c>
      <c r="O10" s="17">
        <f>IF(OR(ISERROR(GETPIVOTDATA("Cover",'Cover PivotTable'!$A$4,"Site",$A10,"Year",O$1,"Transect",$B10)),GETPIVOTDATA("Cover",'Cover PivotTable'!$A$4,"Site",$A10,"Year",O$1)=""), "",GETPIVOTDATA("Cover",'Cover PivotTable'!$A$4,"Site",$A10,"Year",O$1,"Transect",$B10))</f>
        <v>14.499999999999998</v>
      </c>
    </row>
    <row r="11" spans="1:15" x14ac:dyDescent="0.35">
      <c r="A11" t="s">
        <v>18</v>
      </c>
      <c r="B11">
        <v>2.5</v>
      </c>
      <c r="C11" s="17">
        <f>IF(OR(ISERROR(GETPIVOTDATA("Cover",'Cover PivotTable'!$A$4,"Site",$A11,"Year",C$1,"Transect",$B11)),GETPIVOTDATA("Cover",'Cover PivotTable'!$A$4,"Site",$A11,"Year",C$1)=""), "",GETPIVOTDATA("Cover",'Cover PivotTable'!$A$4,"Site",$A11,"Year",C$1,"Transect",$B11))</f>
        <v>0</v>
      </c>
      <c r="D11" s="17" t="str">
        <f>IF(OR(ISERROR(GETPIVOTDATA("Cover",'Cover PivotTable'!$A$4,"Site",$A11,"Year",D$1,"Transect",$B11)),GETPIVOTDATA("Cover",'Cover PivotTable'!$A$4,"Site",$A11,"Year",D$1)=""), "",GETPIVOTDATA("Cover",'Cover PivotTable'!$A$4,"Site",$A11,"Year",D$1,"Transect",$B11))</f>
        <v/>
      </c>
      <c r="E11" s="17" t="str">
        <f>IF(OR(ISERROR(GETPIVOTDATA("Cover",'Cover PivotTable'!$A$4,"Site",$A11,"Year",E$1,"Transect",$B11)),GETPIVOTDATA("Cover",'Cover PivotTable'!$A$4,"Site",$A11,"Year",E$1)=""), "",GETPIVOTDATA("Cover",'Cover PivotTable'!$A$4,"Site",$A11,"Year",E$1,"Transect",$B11))</f>
        <v/>
      </c>
      <c r="F11" s="17">
        <f>IF(OR(ISERROR(GETPIVOTDATA("Cover",'Cover PivotTable'!$A$4,"Site",$A11,"Year",F$1,"Transect",$B11)),GETPIVOTDATA("Cover",'Cover PivotTable'!$A$4,"Site",$A11,"Year",F$1)=""), "",GETPIVOTDATA("Cover",'Cover PivotTable'!$A$4,"Site",$A11,"Year",F$1,"Transect",$B11))</f>
        <v>0</v>
      </c>
      <c r="G11" s="17" t="str">
        <f>IF(OR(ISERROR(GETPIVOTDATA("Cover",'Cover PivotTable'!$A$4,"Site",$A11,"Year",G$1,"Transect",$B11)),GETPIVOTDATA("Cover",'Cover PivotTable'!$A$4,"Site",$A11,"Year",G$1)=""), "",GETPIVOTDATA("Cover",'Cover PivotTable'!$A$4,"Site",$A11,"Year",G$1,"Transect",$B11))</f>
        <v/>
      </c>
      <c r="H11" s="17" t="str">
        <f>IF(OR(ISERROR(GETPIVOTDATA("Cover",'Cover PivotTable'!$A$4,"Site",$A11,"Year",H$1,"Transect",$B11)),GETPIVOTDATA("Cover",'Cover PivotTable'!$A$4,"Site",$A11,"Year",H$1)=""), "",GETPIVOTDATA("Cover",'Cover PivotTable'!$A$4,"Site",$A11,"Year",H$1,"Transect",$B11))</f>
        <v/>
      </c>
      <c r="I11" s="17" t="str">
        <f>IF(OR(ISERROR(GETPIVOTDATA("Cover",'Cover PivotTable'!$A$4,"Site",$A11,"Year",I$1,"Transect",$B11)),GETPIVOTDATA("Cover",'Cover PivotTable'!$A$4,"Site",$A11,"Year",I$1)=""), "",GETPIVOTDATA("Cover",'Cover PivotTable'!$A$4,"Site",$A11,"Year",I$1,"Transect",$B11))</f>
        <v/>
      </c>
      <c r="J11" s="17">
        <f>IF(OR(ISERROR(GETPIVOTDATA("Cover",'Cover PivotTable'!$A$4,"Site",$A11,"Year",J$1,"Transect",$B11)),GETPIVOTDATA("Cover",'Cover PivotTable'!$A$4,"Site",$A11,"Year",J$1)=""), "",GETPIVOTDATA("Cover",'Cover PivotTable'!$A$4,"Site",$A11,"Year",J$1,"Transect",$B11))</f>
        <v>0</v>
      </c>
      <c r="K11" s="17" t="str">
        <f>IF(OR(ISERROR(GETPIVOTDATA("Cover",'Cover PivotTable'!$A$4,"Site",$A11,"Year",K$1,"Transect",$B11)),GETPIVOTDATA("Cover",'Cover PivotTable'!$A$4,"Site",$A11,"Year",K$1)=""), "",GETPIVOTDATA("Cover",'Cover PivotTable'!$A$4,"Site",$A11,"Year",K$1,"Transect",$B11))</f>
        <v/>
      </c>
      <c r="L11" s="17">
        <f>IF(OR(ISERROR(GETPIVOTDATA("Cover",'Cover PivotTable'!$A$4,"Site",$A11,"Year",L$1,"Transect",$B11)),GETPIVOTDATA("Cover",'Cover PivotTable'!$A$4,"Site",$A11,"Year",L$1)=""), "",GETPIVOTDATA("Cover",'Cover PivotTable'!$A$4,"Site",$A11,"Year",L$1,"Transect",$B11))</f>
        <v>2</v>
      </c>
      <c r="M11" s="17" t="str">
        <f>IF(OR(ISERROR(GETPIVOTDATA("Cover",'Cover PivotTable'!$A$4,"Site",$A11,"Year",M$1,"Transect",$B11)),GETPIVOTDATA("Cover",'Cover PivotTable'!$A$4,"Site",$A11,"Year",M$1)=""), "",GETPIVOTDATA("Cover",'Cover PivotTable'!$A$4,"Site",$A11,"Year",M$1,"Transect",$B11))</f>
        <v/>
      </c>
      <c r="N11" s="17">
        <f>IF(OR(ISERROR(GETPIVOTDATA("Cover",'Cover PivotTable'!$A$4,"Site",$A11,"Year",N$1,"Transect",$B11)),GETPIVOTDATA("Cover",'Cover PivotTable'!$A$4,"Site",$A11,"Year",N$1)=""), "",GETPIVOTDATA("Cover",'Cover PivotTable'!$A$4,"Site",$A11,"Year",N$1,"Transect",$B11))</f>
        <v>8</v>
      </c>
      <c r="O11" s="17">
        <f>IF(OR(ISERROR(GETPIVOTDATA("Cover",'Cover PivotTable'!$A$4,"Site",$A11,"Year",O$1,"Transect",$B11)),GETPIVOTDATA("Cover",'Cover PivotTable'!$A$4,"Site",$A11,"Year",O$1)=""), "",GETPIVOTDATA("Cover",'Cover PivotTable'!$A$4,"Site",$A11,"Year",O$1,"Transect",$B11))</f>
        <v>8.5</v>
      </c>
    </row>
    <row r="12" spans="1:15" x14ac:dyDescent="0.35">
      <c r="A12" t="s">
        <v>18</v>
      </c>
      <c r="B12">
        <v>2.6</v>
      </c>
      <c r="C12" s="17">
        <f>IF(OR(ISERROR(GETPIVOTDATA("Cover",'Cover PivotTable'!$A$4,"Site",$A12,"Year",C$1,"Transect",$B12)),GETPIVOTDATA("Cover",'Cover PivotTable'!$A$4,"Site",$A12,"Year",C$1)=""), "",GETPIVOTDATA("Cover",'Cover PivotTable'!$A$4,"Site",$A12,"Year",C$1,"Transect",$B12))</f>
        <v>0</v>
      </c>
      <c r="D12" s="17" t="str">
        <f>IF(OR(ISERROR(GETPIVOTDATA("Cover",'Cover PivotTable'!$A$4,"Site",$A12,"Year",D$1,"Transect",$B12)),GETPIVOTDATA("Cover",'Cover PivotTable'!$A$4,"Site",$A12,"Year",D$1)=""), "",GETPIVOTDATA("Cover",'Cover PivotTable'!$A$4,"Site",$A12,"Year",D$1,"Transect",$B12))</f>
        <v/>
      </c>
      <c r="E12" s="17" t="str">
        <f>IF(OR(ISERROR(GETPIVOTDATA("Cover",'Cover PivotTable'!$A$4,"Site",$A12,"Year",E$1,"Transect",$B12)),GETPIVOTDATA("Cover",'Cover PivotTable'!$A$4,"Site",$A12,"Year",E$1)=""), "",GETPIVOTDATA("Cover",'Cover PivotTable'!$A$4,"Site",$A12,"Year",E$1,"Transect",$B12))</f>
        <v/>
      </c>
      <c r="F12" s="17">
        <f>IF(OR(ISERROR(GETPIVOTDATA("Cover",'Cover PivotTable'!$A$4,"Site",$A12,"Year",F$1,"Transect",$B12)),GETPIVOTDATA("Cover",'Cover PivotTable'!$A$4,"Site",$A12,"Year",F$1)=""), "",GETPIVOTDATA("Cover",'Cover PivotTable'!$A$4,"Site",$A12,"Year",F$1,"Transect",$B12))</f>
        <v>0</v>
      </c>
      <c r="G12" s="17" t="str">
        <f>IF(OR(ISERROR(GETPIVOTDATA("Cover",'Cover PivotTable'!$A$4,"Site",$A12,"Year",G$1,"Transect",$B12)),GETPIVOTDATA("Cover",'Cover PivotTable'!$A$4,"Site",$A12,"Year",G$1)=""), "",GETPIVOTDATA("Cover",'Cover PivotTable'!$A$4,"Site",$A12,"Year",G$1,"Transect",$B12))</f>
        <v/>
      </c>
      <c r="H12" s="17" t="str">
        <f>IF(OR(ISERROR(GETPIVOTDATA("Cover",'Cover PivotTable'!$A$4,"Site",$A12,"Year",H$1,"Transect",$B12)),GETPIVOTDATA("Cover",'Cover PivotTable'!$A$4,"Site",$A12,"Year",H$1)=""), "",GETPIVOTDATA("Cover",'Cover PivotTable'!$A$4,"Site",$A12,"Year",H$1,"Transect",$B12))</f>
        <v/>
      </c>
      <c r="I12" s="17" t="str">
        <f>IF(OR(ISERROR(GETPIVOTDATA("Cover",'Cover PivotTable'!$A$4,"Site",$A12,"Year",I$1,"Transect",$B12)),GETPIVOTDATA("Cover",'Cover PivotTable'!$A$4,"Site",$A12,"Year",I$1)=""), "",GETPIVOTDATA("Cover",'Cover PivotTable'!$A$4,"Site",$A12,"Year",I$1,"Transect",$B12))</f>
        <v/>
      </c>
      <c r="J12" s="17">
        <f>IF(OR(ISERROR(GETPIVOTDATA("Cover",'Cover PivotTable'!$A$4,"Site",$A12,"Year",J$1,"Transect",$B12)),GETPIVOTDATA("Cover",'Cover PivotTable'!$A$4,"Site",$A12,"Year",J$1)=""), "",GETPIVOTDATA("Cover",'Cover PivotTable'!$A$4,"Site",$A12,"Year",J$1,"Transect",$B12))</f>
        <v>0</v>
      </c>
      <c r="K12" s="17" t="str">
        <f>IF(OR(ISERROR(GETPIVOTDATA("Cover",'Cover PivotTable'!$A$4,"Site",$A12,"Year",K$1,"Transect",$B12)),GETPIVOTDATA("Cover",'Cover PivotTable'!$A$4,"Site",$A12,"Year",K$1)=""), "",GETPIVOTDATA("Cover",'Cover PivotTable'!$A$4,"Site",$A12,"Year",K$1,"Transect",$B12))</f>
        <v/>
      </c>
      <c r="L12" s="17">
        <f>IF(OR(ISERROR(GETPIVOTDATA("Cover",'Cover PivotTable'!$A$4,"Site",$A12,"Year",L$1,"Transect",$B12)),GETPIVOTDATA("Cover",'Cover PivotTable'!$A$4,"Site",$A12,"Year",L$1)=""), "",GETPIVOTDATA("Cover",'Cover PivotTable'!$A$4,"Site",$A12,"Year",L$1,"Transect",$B12))</f>
        <v>0.5</v>
      </c>
      <c r="M12" s="17" t="str">
        <f>IF(OR(ISERROR(GETPIVOTDATA("Cover",'Cover PivotTable'!$A$4,"Site",$A12,"Year",M$1,"Transect",$B12)),GETPIVOTDATA("Cover",'Cover PivotTable'!$A$4,"Site",$A12,"Year",M$1)=""), "",GETPIVOTDATA("Cover",'Cover PivotTable'!$A$4,"Site",$A12,"Year",M$1,"Transect",$B12))</f>
        <v/>
      </c>
      <c r="N12" s="17">
        <f>IF(OR(ISERROR(GETPIVOTDATA("Cover",'Cover PivotTable'!$A$4,"Site",$A12,"Year",N$1,"Transect",$B12)),GETPIVOTDATA("Cover",'Cover PivotTable'!$A$4,"Site",$A12,"Year",N$1)=""), "",GETPIVOTDATA("Cover",'Cover PivotTable'!$A$4,"Site",$A12,"Year",N$1,"Transect",$B12))</f>
        <v>6</v>
      </c>
      <c r="O12" s="17">
        <f>IF(OR(ISERROR(GETPIVOTDATA("Cover",'Cover PivotTable'!$A$4,"Site",$A12,"Year",O$1,"Transect",$B12)),GETPIVOTDATA("Cover",'Cover PivotTable'!$A$4,"Site",$A12,"Year",O$1)=""), "",GETPIVOTDATA("Cover",'Cover PivotTable'!$A$4,"Site",$A12,"Year",O$1,"Transect",$B12))</f>
        <v>9</v>
      </c>
    </row>
    <row r="13" spans="1:15" x14ac:dyDescent="0.35">
      <c r="A13" t="s">
        <v>18</v>
      </c>
      <c r="B13">
        <v>2.7</v>
      </c>
      <c r="C13" s="17">
        <f>IF(OR(ISERROR(GETPIVOTDATA("Cover",'Cover PivotTable'!$A$4,"Site",$A13,"Year",C$1,"Transect",$B13)),GETPIVOTDATA("Cover",'Cover PivotTable'!$A$4,"Site",$A13,"Year",C$1)=""), "",GETPIVOTDATA("Cover",'Cover PivotTable'!$A$4,"Site",$A13,"Year",C$1,"Transect",$B13))</f>
        <v>0</v>
      </c>
      <c r="D13" s="17" t="str">
        <f>IF(OR(ISERROR(GETPIVOTDATA("Cover",'Cover PivotTable'!$A$4,"Site",$A13,"Year",D$1,"Transect",$B13)),GETPIVOTDATA("Cover",'Cover PivotTable'!$A$4,"Site",$A13,"Year",D$1)=""), "",GETPIVOTDATA("Cover",'Cover PivotTable'!$A$4,"Site",$A13,"Year",D$1,"Transect",$B13))</f>
        <v/>
      </c>
      <c r="E13" s="17" t="str">
        <f>IF(OR(ISERROR(GETPIVOTDATA("Cover",'Cover PivotTable'!$A$4,"Site",$A13,"Year",E$1,"Transect",$B13)),GETPIVOTDATA("Cover",'Cover PivotTable'!$A$4,"Site",$A13,"Year",E$1)=""), "",GETPIVOTDATA("Cover",'Cover PivotTable'!$A$4,"Site",$A13,"Year",E$1,"Transect",$B13))</f>
        <v/>
      </c>
      <c r="F13" s="17">
        <f>IF(OR(ISERROR(GETPIVOTDATA("Cover",'Cover PivotTable'!$A$4,"Site",$A13,"Year",F$1,"Transect",$B13)),GETPIVOTDATA("Cover",'Cover PivotTable'!$A$4,"Site",$A13,"Year",F$1)=""), "",GETPIVOTDATA("Cover",'Cover PivotTable'!$A$4,"Site",$A13,"Year",F$1,"Transect",$B13))</f>
        <v>0</v>
      </c>
      <c r="G13" s="17" t="str">
        <f>IF(OR(ISERROR(GETPIVOTDATA("Cover",'Cover PivotTable'!$A$4,"Site",$A13,"Year",G$1,"Transect",$B13)),GETPIVOTDATA("Cover",'Cover PivotTable'!$A$4,"Site",$A13,"Year",G$1)=""), "",GETPIVOTDATA("Cover",'Cover PivotTable'!$A$4,"Site",$A13,"Year",G$1,"Transect",$B13))</f>
        <v/>
      </c>
      <c r="H13" s="17" t="str">
        <f>IF(OR(ISERROR(GETPIVOTDATA("Cover",'Cover PivotTable'!$A$4,"Site",$A13,"Year",H$1,"Transect",$B13)),GETPIVOTDATA("Cover",'Cover PivotTable'!$A$4,"Site",$A13,"Year",H$1)=""), "",GETPIVOTDATA("Cover",'Cover PivotTable'!$A$4,"Site",$A13,"Year",H$1,"Transect",$B13))</f>
        <v/>
      </c>
      <c r="I13" s="17" t="str">
        <f>IF(OR(ISERROR(GETPIVOTDATA("Cover",'Cover PivotTable'!$A$4,"Site",$A13,"Year",I$1,"Transect",$B13)),GETPIVOTDATA("Cover",'Cover PivotTable'!$A$4,"Site",$A13,"Year",I$1)=""), "",GETPIVOTDATA("Cover",'Cover PivotTable'!$A$4,"Site",$A13,"Year",I$1,"Transect",$B13))</f>
        <v/>
      </c>
      <c r="J13" s="17">
        <f>IF(OR(ISERROR(GETPIVOTDATA("Cover",'Cover PivotTable'!$A$4,"Site",$A13,"Year",J$1,"Transect",$B13)),GETPIVOTDATA("Cover",'Cover PivotTable'!$A$4,"Site",$A13,"Year",J$1)=""), "",GETPIVOTDATA("Cover",'Cover PivotTable'!$A$4,"Site",$A13,"Year",J$1,"Transect",$B13))</f>
        <v>0</v>
      </c>
      <c r="K13" s="17" t="str">
        <f>IF(OR(ISERROR(GETPIVOTDATA("Cover",'Cover PivotTable'!$A$4,"Site",$A13,"Year",K$1,"Transect",$B13)),GETPIVOTDATA("Cover",'Cover PivotTable'!$A$4,"Site",$A13,"Year",K$1)=""), "",GETPIVOTDATA("Cover",'Cover PivotTable'!$A$4,"Site",$A13,"Year",K$1,"Transect",$B13))</f>
        <v/>
      </c>
      <c r="L13" s="17">
        <f>IF(OR(ISERROR(GETPIVOTDATA("Cover",'Cover PivotTable'!$A$4,"Site",$A13,"Year",L$1,"Transect",$B13)),GETPIVOTDATA("Cover",'Cover PivotTable'!$A$4,"Site",$A13,"Year",L$1)=""), "",GETPIVOTDATA("Cover",'Cover PivotTable'!$A$4,"Site",$A13,"Year",L$1,"Transect",$B13))</f>
        <v>3.5000000000000004</v>
      </c>
      <c r="M13" s="17" t="str">
        <f>IF(OR(ISERROR(GETPIVOTDATA("Cover",'Cover PivotTable'!$A$4,"Site",$A13,"Year",M$1,"Transect",$B13)),GETPIVOTDATA("Cover",'Cover PivotTable'!$A$4,"Site",$A13,"Year",M$1)=""), "",GETPIVOTDATA("Cover",'Cover PivotTable'!$A$4,"Site",$A13,"Year",M$1,"Transect",$B13))</f>
        <v/>
      </c>
      <c r="N13" s="17">
        <f>IF(OR(ISERROR(GETPIVOTDATA("Cover",'Cover PivotTable'!$A$4,"Site",$A13,"Year",N$1,"Transect",$B13)),GETPIVOTDATA("Cover",'Cover PivotTable'!$A$4,"Site",$A13,"Year",N$1)=""), "",GETPIVOTDATA("Cover",'Cover PivotTable'!$A$4,"Site",$A13,"Year",N$1,"Transect",$B13))</f>
        <v>8</v>
      </c>
      <c r="O13" s="17">
        <f>IF(OR(ISERROR(GETPIVOTDATA("Cover",'Cover PivotTable'!$A$4,"Site",$A13,"Year",O$1,"Transect",$B13)),GETPIVOTDATA("Cover",'Cover PivotTable'!$A$4,"Site",$A13,"Year",O$1)=""), "",GETPIVOTDATA("Cover",'Cover PivotTable'!$A$4,"Site",$A13,"Year",O$1,"Transect",$B13))</f>
        <v>12</v>
      </c>
    </row>
    <row r="14" spans="1:15" x14ac:dyDescent="0.35">
      <c r="A14" t="s">
        <v>18</v>
      </c>
      <c r="B14">
        <v>2.8</v>
      </c>
      <c r="C14" s="17">
        <f>IF(OR(ISERROR(GETPIVOTDATA("Cover",'Cover PivotTable'!$A$4,"Site",$A14,"Year",C$1,"Transect",$B14)),GETPIVOTDATA("Cover",'Cover PivotTable'!$A$4,"Site",$A14,"Year",C$1)=""), "",GETPIVOTDATA("Cover",'Cover PivotTable'!$A$4,"Site",$A14,"Year",C$1,"Transect",$B14))</f>
        <v>8.542713567839197</v>
      </c>
      <c r="D14" s="17" t="str">
        <f>IF(OR(ISERROR(GETPIVOTDATA("Cover",'Cover PivotTable'!$A$4,"Site",$A14,"Year",D$1,"Transect",$B14)),GETPIVOTDATA("Cover",'Cover PivotTable'!$A$4,"Site",$A14,"Year",D$1)=""), "",GETPIVOTDATA("Cover",'Cover PivotTable'!$A$4,"Site",$A14,"Year",D$1,"Transect",$B14))</f>
        <v/>
      </c>
      <c r="E14" s="17" t="str">
        <f>IF(OR(ISERROR(GETPIVOTDATA("Cover",'Cover PivotTable'!$A$4,"Site",$A14,"Year",E$1,"Transect",$B14)),GETPIVOTDATA("Cover",'Cover PivotTable'!$A$4,"Site",$A14,"Year",E$1)=""), "",GETPIVOTDATA("Cover",'Cover PivotTable'!$A$4,"Site",$A14,"Year",E$1,"Transect",$B14))</f>
        <v/>
      </c>
      <c r="F14" s="17">
        <f>IF(OR(ISERROR(GETPIVOTDATA("Cover",'Cover PivotTable'!$A$4,"Site",$A14,"Year",F$1,"Transect",$B14)),GETPIVOTDATA("Cover",'Cover PivotTable'!$A$4,"Site",$A14,"Year",F$1)=""), "",GETPIVOTDATA("Cover",'Cover PivotTable'!$A$4,"Site",$A14,"Year",F$1,"Transect",$B14))</f>
        <v>16.08040201005025</v>
      </c>
      <c r="G14" s="17" t="str">
        <f>IF(OR(ISERROR(GETPIVOTDATA("Cover",'Cover PivotTable'!$A$4,"Site",$A14,"Year",G$1,"Transect",$B14)),GETPIVOTDATA("Cover",'Cover PivotTable'!$A$4,"Site",$A14,"Year",G$1)=""), "",GETPIVOTDATA("Cover",'Cover PivotTable'!$A$4,"Site",$A14,"Year",G$1,"Transect",$B14))</f>
        <v/>
      </c>
      <c r="H14" s="17" t="str">
        <f>IF(OR(ISERROR(GETPIVOTDATA("Cover",'Cover PivotTable'!$A$4,"Site",$A14,"Year",H$1,"Transect",$B14)),GETPIVOTDATA("Cover",'Cover PivotTable'!$A$4,"Site",$A14,"Year",H$1)=""), "",GETPIVOTDATA("Cover",'Cover PivotTable'!$A$4,"Site",$A14,"Year",H$1,"Transect",$B14))</f>
        <v/>
      </c>
      <c r="I14" s="17" t="str">
        <f>IF(OR(ISERROR(GETPIVOTDATA("Cover",'Cover PivotTable'!$A$4,"Site",$A14,"Year",I$1,"Transect",$B14)),GETPIVOTDATA("Cover",'Cover PivotTable'!$A$4,"Site",$A14,"Year",I$1)=""), "",GETPIVOTDATA("Cover",'Cover PivotTable'!$A$4,"Site",$A14,"Year",I$1,"Transect",$B14))</f>
        <v/>
      </c>
      <c r="J14" s="17">
        <f>IF(OR(ISERROR(GETPIVOTDATA("Cover",'Cover PivotTable'!$A$4,"Site",$A14,"Year",J$1,"Transect",$B14)),GETPIVOTDATA("Cover",'Cover PivotTable'!$A$4,"Site",$A14,"Year",J$1)=""), "",GETPIVOTDATA("Cover",'Cover PivotTable'!$A$4,"Site",$A14,"Year",J$1,"Transect",$B14))</f>
        <v>11</v>
      </c>
      <c r="K14" s="17" t="str">
        <f>IF(OR(ISERROR(GETPIVOTDATA("Cover",'Cover PivotTable'!$A$4,"Site",$A14,"Year",K$1,"Transect",$B14)),GETPIVOTDATA("Cover",'Cover PivotTable'!$A$4,"Site",$A14,"Year",K$1)=""), "",GETPIVOTDATA("Cover",'Cover PivotTable'!$A$4,"Site",$A14,"Year",K$1,"Transect",$B14))</f>
        <v/>
      </c>
      <c r="L14" s="17">
        <f>IF(OR(ISERROR(GETPIVOTDATA("Cover",'Cover PivotTable'!$A$4,"Site",$A14,"Year",L$1,"Transect",$B14)),GETPIVOTDATA("Cover",'Cover PivotTable'!$A$4,"Site",$A14,"Year",L$1)=""), "",GETPIVOTDATA("Cover",'Cover PivotTable'!$A$4,"Site",$A14,"Year",L$1,"Transect",$B14))</f>
        <v>16</v>
      </c>
      <c r="M14" s="17" t="str">
        <f>IF(OR(ISERROR(GETPIVOTDATA("Cover",'Cover PivotTable'!$A$4,"Site",$A14,"Year",M$1,"Transect",$B14)),GETPIVOTDATA("Cover",'Cover PivotTable'!$A$4,"Site",$A14,"Year",M$1)=""), "",GETPIVOTDATA("Cover",'Cover PivotTable'!$A$4,"Site",$A14,"Year",M$1,"Transect",$B14))</f>
        <v/>
      </c>
      <c r="N14" s="17">
        <f>IF(OR(ISERROR(GETPIVOTDATA("Cover",'Cover PivotTable'!$A$4,"Site",$A14,"Year",N$1,"Transect",$B14)),GETPIVOTDATA("Cover",'Cover PivotTable'!$A$4,"Site",$A14,"Year",N$1)=""), "",GETPIVOTDATA("Cover",'Cover PivotTable'!$A$4,"Site",$A14,"Year",N$1,"Transect",$B14))</f>
        <v>15</v>
      </c>
      <c r="O14" s="17">
        <f>IF(OR(ISERROR(GETPIVOTDATA("Cover",'Cover PivotTable'!$A$4,"Site",$A14,"Year",O$1,"Transect",$B14)),GETPIVOTDATA("Cover",'Cover PivotTable'!$A$4,"Site",$A14,"Year",O$1)=""), "",GETPIVOTDATA("Cover",'Cover PivotTable'!$A$4,"Site",$A14,"Year",O$1,"Transect",$B14))</f>
        <v>18</v>
      </c>
    </row>
    <row r="15" spans="1:15" x14ac:dyDescent="0.35">
      <c r="A15" t="s">
        <v>18</v>
      </c>
      <c r="B15">
        <v>3.1</v>
      </c>
      <c r="C15" s="17">
        <f>IF(OR(ISERROR(GETPIVOTDATA("Cover",'Cover PivotTable'!$A$4,"Site",$A15,"Year",C$1,"Transect",$B15)),GETPIVOTDATA("Cover",'Cover PivotTable'!$A$4,"Site",$A15,"Year",C$1)=""), "",GETPIVOTDATA("Cover",'Cover PivotTable'!$A$4,"Site",$A15,"Year",C$1,"Transect",$B15))</f>
        <v>0</v>
      </c>
      <c r="D15" s="17" t="str">
        <f>IF(OR(ISERROR(GETPIVOTDATA("Cover",'Cover PivotTable'!$A$4,"Site",$A15,"Year",D$1,"Transect",$B15)),GETPIVOTDATA("Cover",'Cover PivotTable'!$A$4,"Site",$A15,"Year",D$1)=""), "",GETPIVOTDATA("Cover",'Cover PivotTable'!$A$4,"Site",$A15,"Year",D$1,"Transect",$B15))</f>
        <v/>
      </c>
      <c r="E15" s="17" t="str">
        <f>IF(OR(ISERROR(GETPIVOTDATA("Cover",'Cover PivotTable'!$A$4,"Site",$A15,"Year",E$1,"Transect",$B15)),GETPIVOTDATA("Cover",'Cover PivotTable'!$A$4,"Site",$A15,"Year",E$1)=""), "",GETPIVOTDATA("Cover",'Cover PivotTable'!$A$4,"Site",$A15,"Year",E$1,"Transect",$B15))</f>
        <v/>
      </c>
      <c r="F15" s="17">
        <f>IF(OR(ISERROR(GETPIVOTDATA("Cover",'Cover PivotTable'!$A$4,"Site",$A15,"Year",F$1,"Transect",$B15)),GETPIVOTDATA("Cover",'Cover PivotTable'!$A$4,"Site",$A15,"Year",F$1)=""), "",GETPIVOTDATA("Cover",'Cover PivotTable'!$A$4,"Site",$A15,"Year",F$1,"Transect",$B15))</f>
        <v>0</v>
      </c>
      <c r="G15" s="17" t="str">
        <f>IF(OR(ISERROR(GETPIVOTDATA("Cover",'Cover PivotTable'!$A$4,"Site",$A15,"Year",G$1,"Transect",$B15)),GETPIVOTDATA("Cover",'Cover PivotTable'!$A$4,"Site",$A15,"Year",G$1)=""), "",GETPIVOTDATA("Cover",'Cover PivotTable'!$A$4,"Site",$A15,"Year",G$1,"Transect",$B15))</f>
        <v/>
      </c>
      <c r="H15" s="17" t="str">
        <f>IF(OR(ISERROR(GETPIVOTDATA("Cover",'Cover PivotTable'!$A$4,"Site",$A15,"Year",H$1,"Transect",$B15)),GETPIVOTDATA("Cover",'Cover PivotTable'!$A$4,"Site",$A15,"Year",H$1)=""), "",GETPIVOTDATA("Cover",'Cover PivotTable'!$A$4,"Site",$A15,"Year",H$1,"Transect",$B15))</f>
        <v/>
      </c>
      <c r="I15" s="17" t="str">
        <f>IF(OR(ISERROR(GETPIVOTDATA("Cover",'Cover PivotTable'!$A$4,"Site",$A15,"Year",I$1,"Transect",$B15)),GETPIVOTDATA("Cover",'Cover PivotTable'!$A$4,"Site",$A15,"Year",I$1)=""), "",GETPIVOTDATA("Cover",'Cover PivotTable'!$A$4,"Site",$A15,"Year",I$1,"Transect",$B15))</f>
        <v/>
      </c>
      <c r="J15" s="17">
        <f>IF(OR(ISERROR(GETPIVOTDATA("Cover",'Cover PivotTable'!$A$4,"Site",$A15,"Year",J$1,"Transect",$B15)),GETPIVOTDATA("Cover",'Cover PivotTable'!$A$4,"Site",$A15,"Year",J$1)=""), "",GETPIVOTDATA("Cover",'Cover PivotTable'!$A$4,"Site",$A15,"Year",J$1,"Transect",$B15))</f>
        <v>0</v>
      </c>
      <c r="K15" s="17" t="str">
        <f>IF(OR(ISERROR(GETPIVOTDATA("Cover",'Cover PivotTable'!$A$4,"Site",$A15,"Year",K$1,"Transect",$B15)),GETPIVOTDATA("Cover",'Cover PivotTable'!$A$4,"Site",$A15,"Year",K$1)=""), "",GETPIVOTDATA("Cover",'Cover PivotTable'!$A$4,"Site",$A15,"Year",K$1,"Transect",$B15))</f>
        <v/>
      </c>
      <c r="L15" s="17">
        <f>IF(OR(ISERROR(GETPIVOTDATA("Cover",'Cover PivotTable'!$A$4,"Site",$A15,"Year",L$1,"Transect",$B15)),GETPIVOTDATA("Cover",'Cover PivotTable'!$A$4,"Site",$A15,"Year",L$1)=""), "",GETPIVOTDATA("Cover",'Cover PivotTable'!$A$4,"Site",$A15,"Year",L$1,"Transect",$B15))</f>
        <v>3</v>
      </c>
      <c r="M15" s="17" t="str">
        <f>IF(OR(ISERROR(GETPIVOTDATA("Cover",'Cover PivotTable'!$A$4,"Site",$A15,"Year",M$1,"Transect",$B15)),GETPIVOTDATA("Cover",'Cover PivotTable'!$A$4,"Site",$A15,"Year",M$1)=""), "",GETPIVOTDATA("Cover",'Cover PivotTable'!$A$4,"Site",$A15,"Year",M$1,"Transect",$B15))</f>
        <v/>
      </c>
      <c r="N15" s="17">
        <f>IF(OR(ISERROR(GETPIVOTDATA("Cover",'Cover PivotTable'!$A$4,"Site",$A15,"Year",N$1,"Transect",$B15)),GETPIVOTDATA("Cover",'Cover PivotTable'!$A$4,"Site",$A15,"Year",N$1)=""), "",GETPIVOTDATA("Cover",'Cover PivotTable'!$A$4,"Site",$A15,"Year",N$1,"Transect",$B15))</f>
        <v>2.5</v>
      </c>
      <c r="O15" s="17">
        <f>IF(OR(ISERROR(GETPIVOTDATA("Cover",'Cover PivotTable'!$A$4,"Site",$A15,"Year",O$1,"Transect",$B15)),GETPIVOTDATA("Cover",'Cover PivotTable'!$A$4,"Site",$A15,"Year",O$1)=""), "",GETPIVOTDATA("Cover",'Cover PivotTable'!$A$4,"Site",$A15,"Year",O$1,"Transect",$B15))</f>
        <v>6</v>
      </c>
    </row>
    <row r="16" spans="1:15" x14ac:dyDescent="0.35">
      <c r="A16" t="s">
        <v>18</v>
      </c>
      <c r="B16">
        <v>3.2</v>
      </c>
      <c r="C16" s="17">
        <f>IF(OR(ISERROR(GETPIVOTDATA("Cover",'Cover PivotTable'!$A$4,"Site",$A16,"Year",C$1,"Transect",$B16)),GETPIVOTDATA("Cover",'Cover PivotTable'!$A$4,"Site",$A16,"Year",C$1)=""), "",GETPIVOTDATA("Cover",'Cover PivotTable'!$A$4,"Site",$A16,"Year",C$1,"Transect",$B16))</f>
        <v>0</v>
      </c>
      <c r="D16" s="17" t="str">
        <f>IF(OR(ISERROR(GETPIVOTDATA("Cover",'Cover PivotTable'!$A$4,"Site",$A16,"Year",D$1,"Transect",$B16)),GETPIVOTDATA("Cover",'Cover PivotTable'!$A$4,"Site",$A16,"Year",D$1)=""), "",GETPIVOTDATA("Cover",'Cover PivotTable'!$A$4,"Site",$A16,"Year",D$1,"Transect",$B16))</f>
        <v/>
      </c>
      <c r="E16" s="17" t="str">
        <f>IF(OR(ISERROR(GETPIVOTDATA("Cover",'Cover PivotTable'!$A$4,"Site",$A16,"Year",E$1,"Transect",$B16)),GETPIVOTDATA("Cover",'Cover PivotTable'!$A$4,"Site",$A16,"Year",E$1)=""), "",GETPIVOTDATA("Cover",'Cover PivotTable'!$A$4,"Site",$A16,"Year",E$1,"Transect",$B16))</f>
        <v/>
      </c>
      <c r="F16" s="17">
        <f>IF(OR(ISERROR(GETPIVOTDATA("Cover",'Cover PivotTable'!$A$4,"Site",$A16,"Year",F$1,"Transect",$B16)),GETPIVOTDATA("Cover",'Cover PivotTable'!$A$4,"Site",$A16,"Year",F$1)=""), "",GETPIVOTDATA("Cover",'Cover PivotTable'!$A$4,"Site",$A16,"Year",F$1,"Transect",$B16))</f>
        <v>0</v>
      </c>
      <c r="G16" s="17" t="str">
        <f>IF(OR(ISERROR(GETPIVOTDATA("Cover",'Cover PivotTable'!$A$4,"Site",$A16,"Year",G$1,"Transect",$B16)),GETPIVOTDATA("Cover",'Cover PivotTable'!$A$4,"Site",$A16,"Year",G$1)=""), "",GETPIVOTDATA("Cover",'Cover PivotTable'!$A$4,"Site",$A16,"Year",G$1,"Transect",$B16))</f>
        <v/>
      </c>
      <c r="H16" s="17" t="str">
        <f>IF(OR(ISERROR(GETPIVOTDATA("Cover",'Cover PivotTable'!$A$4,"Site",$A16,"Year",H$1,"Transect",$B16)),GETPIVOTDATA("Cover",'Cover PivotTable'!$A$4,"Site",$A16,"Year",H$1)=""), "",GETPIVOTDATA("Cover",'Cover PivotTable'!$A$4,"Site",$A16,"Year",H$1,"Transect",$B16))</f>
        <v/>
      </c>
      <c r="I16" s="17" t="str">
        <f>IF(OR(ISERROR(GETPIVOTDATA("Cover",'Cover PivotTable'!$A$4,"Site",$A16,"Year",I$1,"Transect",$B16)),GETPIVOTDATA("Cover",'Cover PivotTable'!$A$4,"Site",$A16,"Year",I$1)=""), "",GETPIVOTDATA("Cover",'Cover PivotTable'!$A$4,"Site",$A16,"Year",I$1,"Transect",$B16))</f>
        <v/>
      </c>
      <c r="J16" s="17">
        <f>IF(OR(ISERROR(GETPIVOTDATA("Cover",'Cover PivotTable'!$A$4,"Site",$A16,"Year",J$1,"Transect",$B16)),GETPIVOTDATA("Cover",'Cover PivotTable'!$A$4,"Site",$A16,"Year",J$1)=""), "",GETPIVOTDATA("Cover",'Cover PivotTable'!$A$4,"Site",$A16,"Year",J$1,"Transect",$B16))</f>
        <v>0</v>
      </c>
      <c r="K16" s="17" t="str">
        <f>IF(OR(ISERROR(GETPIVOTDATA("Cover",'Cover PivotTable'!$A$4,"Site",$A16,"Year",K$1,"Transect",$B16)),GETPIVOTDATA("Cover",'Cover PivotTable'!$A$4,"Site",$A16,"Year",K$1)=""), "",GETPIVOTDATA("Cover",'Cover PivotTable'!$A$4,"Site",$A16,"Year",K$1,"Transect",$B16))</f>
        <v/>
      </c>
      <c r="L16" s="17">
        <f>IF(OR(ISERROR(GETPIVOTDATA("Cover",'Cover PivotTable'!$A$4,"Site",$A16,"Year",L$1,"Transect",$B16)),GETPIVOTDATA("Cover",'Cover PivotTable'!$A$4,"Site",$A16,"Year",L$1)=""), "",GETPIVOTDATA("Cover",'Cover PivotTable'!$A$4,"Site",$A16,"Year",L$1,"Transect",$B16))</f>
        <v>0</v>
      </c>
      <c r="M16" s="17" t="str">
        <f>IF(OR(ISERROR(GETPIVOTDATA("Cover",'Cover PivotTable'!$A$4,"Site",$A16,"Year",M$1,"Transect",$B16)),GETPIVOTDATA("Cover",'Cover PivotTable'!$A$4,"Site",$A16,"Year",M$1)=""), "",GETPIVOTDATA("Cover",'Cover PivotTable'!$A$4,"Site",$A16,"Year",M$1,"Transect",$B16))</f>
        <v/>
      </c>
      <c r="N16" s="17">
        <f>IF(OR(ISERROR(GETPIVOTDATA("Cover",'Cover PivotTable'!$A$4,"Site",$A16,"Year",N$1,"Transect",$B16)),GETPIVOTDATA("Cover",'Cover PivotTable'!$A$4,"Site",$A16,"Year",N$1)=""), "",GETPIVOTDATA("Cover",'Cover PivotTable'!$A$4,"Site",$A16,"Year",N$1,"Transect",$B16))</f>
        <v>8</v>
      </c>
      <c r="O16" s="17">
        <f>IF(OR(ISERROR(GETPIVOTDATA("Cover",'Cover PivotTable'!$A$4,"Site",$A16,"Year",O$1,"Transect",$B16)),GETPIVOTDATA("Cover",'Cover PivotTable'!$A$4,"Site",$A16,"Year",O$1)=""), "",GETPIVOTDATA("Cover",'Cover PivotTable'!$A$4,"Site",$A16,"Year",O$1,"Transect",$B16))</f>
        <v>12</v>
      </c>
    </row>
    <row r="17" spans="1:15" x14ac:dyDescent="0.35">
      <c r="A17" t="s">
        <v>18</v>
      </c>
      <c r="B17">
        <v>3.3</v>
      </c>
      <c r="C17" s="17">
        <f>IF(OR(ISERROR(GETPIVOTDATA("Cover",'Cover PivotTable'!$A$4,"Site",$A17,"Year",C$1,"Transect",$B17)),GETPIVOTDATA("Cover",'Cover PivotTable'!$A$4,"Site",$A17,"Year",C$1)=""), "",GETPIVOTDATA("Cover",'Cover PivotTable'!$A$4,"Site",$A17,"Year",C$1,"Transect",$B17))</f>
        <v>0.5</v>
      </c>
      <c r="D17" s="17" t="str">
        <f>IF(OR(ISERROR(GETPIVOTDATA("Cover",'Cover PivotTable'!$A$4,"Site",$A17,"Year",D$1,"Transect",$B17)),GETPIVOTDATA("Cover",'Cover PivotTable'!$A$4,"Site",$A17,"Year",D$1)=""), "",GETPIVOTDATA("Cover",'Cover PivotTable'!$A$4,"Site",$A17,"Year",D$1,"Transect",$B17))</f>
        <v/>
      </c>
      <c r="E17" s="17" t="str">
        <f>IF(OR(ISERROR(GETPIVOTDATA("Cover",'Cover PivotTable'!$A$4,"Site",$A17,"Year",E$1,"Transect",$B17)),GETPIVOTDATA("Cover",'Cover PivotTable'!$A$4,"Site",$A17,"Year",E$1)=""), "",GETPIVOTDATA("Cover",'Cover PivotTable'!$A$4,"Site",$A17,"Year",E$1,"Transect",$B17))</f>
        <v/>
      </c>
      <c r="F17" s="17">
        <f>IF(OR(ISERROR(GETPIVOTDATA("Cover",'Cover PivotTable'!$A$4,"Site",$A17,"Year",F$1,"Transect",$B17)),GETPIVOTDATA("Cover",'Cover PivotTable'!$A$4,"Site",$A17,"Year",F$1)=""), "",GETPIVOTDATA("Cover",'Cover PivotTable'!$A$4,"Site",$A17,"Year",F$1,"Transect",$B17))</f>
        <v>0</v>
      </c>
      <c r="G17" s="17" t="str">
        <f>IF(OR(ISERROR(GETPIVOTDATA("Cover",'Cover PivotTable'!$A$4,"Site",$A17,"Year",G$1,"Transect",$B17)),GETPIVOTDATA("Cover",'Cover PivotTable'!$A$4,"Site",$A17,"Year",G$1)=""), "",GETPIVOTDATA("Cover",'Cover PivotTable'!$A$4,"Site",$A17,"Year",G$1,"Transect",$B17))</f>
        <v/>
      </c>
      <c r="H17" s="17" t="str">
        <f>IF(OR(ISERROR(GETPIVOTDATA("Cover",'Cover PivotTable'!$A$4,"Site",$A17,"Year",H$1,"Transect",$B17)),GETPIVOTDATA("Cover",'Cover PivotTable'!$A$4,"Site",$A17,"Year",H$1)=""), "",GETPIVOTDATA("Cover",'Cover PivotTable'!$A$4,"Site",$A17,"Year",H$1,"Transect",$B17))</f>
        <v/>
      </c>
      <c r="I17" s="17" t="str">
        <f>IF(OR(ISERROR(GETPIVOTDATA("Cover",'Cover PivotTable'!$A$4,"Site",$A17,"Year",I$1,"Transect",$B17)),GETPIVOTDATA("Cover",'Cover PivotTable'!$A$4,"Site",$A17,"Year",I$1)=""), "",GETPIVOTDATA("Cover",'Cover PivotTable'!$A$4,"Site",$A17,"Year",I$1,"Transect",$B17))</f>
        <v/>
      </c>
      <c r="J17" s="17">
        <f>IF(OR(ISERROR(GETPIVOTDATA("Cover",'Cover PivotTable'!$A$4,"Site",$A17,"Year",J$1,"Transect",$B17)),GETPIVOTDATA("Cover",'Cover PivotTable'!$A$4,"Site",$A17,"Year",J$1)=""), "",GETPIVOTDATA("Cover",'Cover PivotTable'!$A$4,"Site",$A17,"Year",J$1,"Transect",$B17))</f>
        <v>0</v>
      </c>
      <c r="K17" s="17" t="str">
        <f>IF(OR(ISERROR(GETPIVOTDATA("Cover",'Cover PivotTable'!$A$4,"Site",$A17,"Year",K$1,"Transect",$B17)),GETPIVOTDATA("Cover",'Cover PivotTable'!$A$4,"Site",$A17,"Year",K$1)=""), "",GETPIVOTDATA("Cover",'Cover PivotTable'!$A$4,"Site",$A17,"Year",K$1,"Transect",$B17))</f>
        <v/>
      </c>
      <c r="L17" s="17">
        <f>IF(OR(ISERROR(GETPIVOTDATA("Cover",'Cover PivotTable'!$A$4,"Site",$A17,"Year",L$1,"Transect",$B17)),GETPIVOTDATA("Cover",'Cover PivotTable'!$A$4,"Site",$A17,"Year",L$1)=""), "",GETPIVOTDATA("Cover",'Cover PivotTable'!$A$4,"Site",$A17,"Year",L$1,"Transect",$B17))</f>
        <v>0</v>
      </c>
      <c r="M17" s="17" t="str">
        <f>IF(OR(ISERROR(GETPIVOTDATA("Cover",'Cover PivotTable'!$A$4,"Site",$A17,"Year",M$1,"Transect",$B17)),GETPIVOTDATA("Cover",'Cover PivotTable'!$A$4,"Site",$A17,"Year",M$1)=""), "",GETPIVOTDATA("Cover",'Cover PivotTable'!$A$4,"Site",$A17,"Year",M$1,"Transect",$B17))</f>
        <v/>
      </c>
      <c r="N17" s="17">
        <f>IF(OR(ISERROR(GETPIVOTDATA("Cover",'Cover PivotTable'!$A$4,"Site",$A17,"Year",N$1,"Transect",$B17)),GETPIVOTDATA("Cover",'Cover PivotTable'!$A$4,"Site",$A17,"Year",N$1)=""), "",GETPIVOTDATA("Cover",'Cover PivotTable'!$A$4,"Site",$A17,"Year",N$1,"Transect",$B17))</f>
        <v>0.5</v>
      </c>
      <c r="O17" s="17">
        <f>IF(OR(ISERROR(GETPIVOTDATA("Cover",'Cover PivotTable'!$A$4,"Site",$A17,"Year",O$1,"Transect",$B17)),GETPIVOTDATA("Cover",'Cover PivotTable'!$A$4,"Site",$A17,"Year",O$1)=""), "",GETPIVOTDATA("Cover",'Cover PivotTable'!$A$4,"Site",$A17,"Year",O$1,"Transect",$B17))</f>
        <v>3</v>
      </c>
    </row>
    <row r="18" spans="1:15" x14ac:dyDescent="0.35">
      <c r="A18" t="s">
        <v>18</v>
      </c>
      <c r="B18">
        <v>3.4</v>
      </c>
      <c r="C18" s="17">
        <f>IF(OR(ISERROR(GETPIVOTDATA("Cover",'Cover PivotTable'!$A$4,"Site",$A18,"Year",C$1,"Transect",$B18)),GETPIVOTDATA("Cover",'Cover PivotTable'!$A$4,"Site",$A18,"Year",C$1)=""), "",GETPIVOTDATA("Cover",'Cover PivotTable'!$A$4,"Site",$A18,"Year",C$1,"Transect",$B18))</f>
        <v>0</v>
      </c>
      <c r="D18" s="17" t="str">
        <f>IF(OR(ISERROR(GETPIVOTDATA("Cover",'Cover PivotTable'!$A$4,"Site",$A18,"Year",D$1,"Transect",$B18)),GETPIVOTDATA("Cover",'Cover PivotTable'!$A$4,"Site",$A18,"Year",D$1)=""), "",GETPIVOTDATA("Cover",'Cover PivotTable'!$A$4,"Site",$A18,"Year",D$1,"Transect",$B18))</f>
        <v/>
      </c>
      <c r="E18" s="17" t="str">
        <f>IF(OR(ISERROR(GETPIVOTDATA("Cover",'Cover PivotTable'!$A$4,"Site",$A18,"Year",E$1,"Transect",$B18)),GETPIVOTDATA("Cover",'Cover PivotTable'!$A$4,"Site",$A18,"Year",E$1)=""), "",GETPIVOTDATA("Cover",'Cover PivotTable'!$A$4,"Site",$A18,"Year",E$1,"Transect",$B18))</f>
        <v/>
      </c>
      <c r="F18" s="17">
        <f>IF(OR(ISERROR(GETPIVOTDATA("Cover",'Cover PivotTable'!$A$4,"Site",$A18,"Year",F$1,"Transect",$B18)),GETPIVOTDATA("Cover",'Cover PivotTable'!$A$4,"Site",$A18,"Year",F$1)=""), "",GETPIVOTDATA("Cover",'Cover PivotTable'!$A$4,"Site",$A18,"Year",F$1,"Transect",$B18))</f>
        <v>0</v>
      </c>
      <c r="G18" s="17" t="str">
        <f>IF(OR(ISERROR(GETPIVOTDATA("Cover",'Cover PivotTable'!$A$4,"Site",$A18,"Year",G$1,"Transect",$B18)),GETPIVOTDATA("Cover",'Cover PivotTable'!$A$4,"Site",$A18,"Year",G$1)=""), "",GETPIVOTDATA("Cover",'Cover PivotTable'!$A$4,"Site",$A18,"Year",G$1,"Transect",$B18))</f>
        <v/>
      </c>
      <c r="H18" s="17" t="str">
        <f>IF(OR(ISERROR(GETPIVOTDATA("Cover",'Cover PivotTable'!$A$4,"Site",$A18,"Year",H$1,"Transect",$B18)),GETPIVOTDATA("Cover",'Cover PivotTable'!$A$4,"Site",$A18,"Year",H$1)=""), "",GETPIVOTDATA("Cover",'Cover PivotTable'!$A$4,"Site",$A18,"Year",H$1,"Transect",$B18))</f>
        <v/>
      </c>
      <c r="I18" s="17" t="str">
        <f>IF(OR(ISERROR(GETPIVOTDATA("Cover",'Cover PivotTable'!$A$4,"Site",$A18,"Year",I$1,"Transect",$B18)),GETPIVOTDATA("Cover",'Cover PivotTable'!$A$4,"Site",$A18,"Year",I$1)=""), "",GETPIVOTDATA("Cover",'Cover PivotTable'!$A$4,"Site",$A18,"Year",I$1,"Transect",$B18))</f>
        <v/>
      </c>
      <c r="J18" s="17">
        <f>IF(OR(ISERROR(GETPIVOTDATA("Cover",'Cover PivotTable'!$A$4,"Site",$A18,"Year",J$1,"Transect",$B18)),GETPIVOTDATA("Cover",'Cover PivotTable'!$A$4,"Site",$A18,"Year",J$1)=""), "",GETPIVOTDATA("Cover",'Cover PivotTable'!$A$4,"Site",$A18,"Year",J$1,"Transect",$B18))</f>
        <v>0</v>
      </c>
      <c r="K18" s="17" t="str">
        <f>IF(OR(ISERROR(GETPIVOTDATA("Cover",'Cover PivotTable'!$A$4,"Site",$A18,"Year",K$1,"Transect",$B18)),GETPIVOTDATA("Cover",'Cover PivotTable'!$A$4,"Site",$A18,"Year",K$1)=""), "",GETPIVOTDATA("Cover",'Cover PivotTable'!$A$4,"Site",$A18,"Year",K$1,"Transect",$B18))</f>
        <v/>
      </c>
      <c r="L18" s="17">
        <f>IF(OR(ISERROR(GETPIVOTDATA("Cover",'Cover PivotTable'!$A$4,"Site",$A18,"Year",L$1,"Transect",$B18)),GETPIVOTDATA("Cover",'Cover PivotTable'!$A$4,"Site",$A18,"Year",L$1)=""), "",GETPIVOTDATA("Cover",'Cover PivotTable'!$A$4,"Site",$A18,"Year",L$1,"Transect",$B18))</f>
        <v>1.5</v>
      </c>
      <c r="M18" s="17" t="str">
        <f>IF(OR(ISERROR(GETPIVOTDATA("Cover",'Cover PivotTable'!$A$4,"Site",$A18,"Year",M$1,"Transect",$B18)),GETPIVOTDATA("Cover",'Cover PivotTable'!$A$4,"Site",$A18,"Year",M$1)=""), "",GETPIVOTDATA("Cover",'Cover PivotTable'!$A$4,"Site",$A18,"Year",M$1,"Transect",$B18))</f>
        <v/>
      </c>
      <c r="N18" s="17">
        <f>IF(OR(ISERROR(GETPIVOTDATA("Cover",'Cover PivotTable'!$A$4,"Site",$A18,"Year",N$1,"Transect",$B18)),GETPIVOTDATA("Cover",'Cover PivotTable'!$A$4,"Site",$A18,"Year",N$1)=""), "",GETPIVOTDATA("Cover",'Cover PivotTable'!$A$4,"Site",$A18,"Year",N$1,"Transect",$B18))</f>
        <v>6</v>
      </c>
      <c r="O18" s="17">
        <f>IF(OR(ISERROR(GETPIVOTDATA("Cover",'Cover PivotTable'!$A$4,"Site",$A18,"Year",O$1,"Transect",$B18)),GETPIVOTDATA("Cover",'Cover PivotTable'!$A$4,"Site",$A18,"Year",O$1)=""), "",GETPIVOTDATA("Cover",'Cover PivotTable'!$A$4,"Site",$A18,"Year",O$1,"Transect",$B18))</f>
        <v>10.5</v>
      </c>
    </row>
    <row r="19" spans="1:15" x14ac:dyDescent="0.35">
      <c r="A19" t="s">
        <v>18</v>
      </c>
      <c r="B19">
        <v>3.5</v>
      </c>
      <c r="C19" s="17">
        <f>IF(OR(ISERROR(GETPIVOTDATA("Cover",'Cover PivotTable'!$A$4,"Site",$A19,"Year",C$1,"Transect",$B19)),GETPIVOTDATA("Cover",'Cover PivotTable'!$A$4,"Site",$A19,"Year",C$1)=""), "",GETPIVOTDATA("Cover",'Cover PivotTable'!$A$4,"Site",$A19,"Year",C$1,"Transect",$B19))</f>
        <v>0</v>
      </c>
      <c r="D19" s="17" t="str">
        <f>IF(OR(ISERROR(GETPIVOTDATA("Cover",'Cover PivotTable'!$A$4,"Site",$A19,"Year",D$1,"Transect",$B19)),GETPIVOTDATA("Cover",'Cover PivotTable'!$A$4,"Site",$A19,"Year",D$1)=""), "",GETPIVOTDATA("Cover",'Cover PivotTable'!$A$4,"Site",$A19,"Year",D$1,"Transect",$B19))</f>
        <v/>
      </c>
      <c r="E19" s="17" t="str">
        <f>IF(OR(ISERROR(GETPIVOTDATA("Cover",'Cover PivotTable'!$A$4,"Site",$A19,"Year",E$1,"Transect",$B19)),GETPIVOTDATA("Cover",'Cover PivotTable'!$A$4,"Site",$A19,"Year",E$1)=""), "",GETPIVOTDATA("Cover",'Cover PivotTable'!$A$4,"Site",$A19,"Year",E$1,"Transect",$B19))</f>
        <v/>
      </c>
      <c r="F19" s="17">
        <f>IF(OR(ISERROR(GETPIVOTDATA("Cover",'Cover PivotTable'!$A$4,"Site",$A19,"Year",F$1,"Transect",$B19)),GETPIVOTDATA("Cover",'Cover PivotTable'!$A$4,"Site",$A19,"Year",F$1)=""), "",GETPIVOTDATA("Cover",'Cover PivotTable'!$A$4,"Site",$A19,"Year",F$1,"Transect",$B19))</f>
        <v>0</v>
      </c>
      <c r="G19" s="17" t="str">
        <f>IF(OR(ISERROR(GETPIVOTDATA("Cover",'Cover PivotTable'!$A$4,"Site",$A19,"Year",G$1,"Transect",$B19)),GETPIVOTDATA("Cover",'Cover PivotTable'!$A$4,"Site",$A19,"Year",G$1)=""), "",GETPIVOTDATA("Cover",'Cover PivotTable'!$A$4,"Site",$A19,"Year",G$1,"Transect",$B19))</f>
        <v/>
      </c>
      <c r="H19" s="17" t="str">
        <f>IF(OR(ISERROR(GETPIVOTDATA("Cover",'Cover PivotTable'!$A$4,"Site",$A19,"Year",H$1,"Transect",$B19)),GETPIVOTDATA("Cover",'Cover PivotTable'!$A$4,"Site",$A19,"Year",H$1)=""), "",GETPIVOTDATA("Cover",'Cover PivotTable'!$A$4,"Site",$A19,"Year",H$1,"Transect",$B19))</f>
        <v/>
      </c>
      <c r="I19" s="17" t="str">
        <f>IF(OR(ISERROR(GETPIVOTDATA("Cover",'Cover PivotTable'!$A$4,"Site",$A19,"Year",I$1,"Transect",$B19)),GETPIVOTDATA("Cover",'Cover PivotTable'!$A$4,"Site",$A19,"Year",I$1)=""), "",GETPIVOTDATA("Cover",'Cover PivotTable'!$A$4,"Site",$A19,"Year",I$1,"Transect",$B19))</f>
        <v/>
      </c>
      <c r="J19" s="17">
        <f>IF(OR(ISERROR(GETPIVOTDATA("Cover",'Cover PivotTable'!$A$4,"Site",$A19,"Year",J$1,"Transect",$B19)),GETPIVOTDATA("Cover",'Cover PivotTable'!$A$4,"Site",$A19,"Year",J$1)=""), "",GETPIVOTDATA("Cover",'Cover PivotTable'!$A$4,"Site",$A19,"Year",J$1,"Transect",$B19))</f>
        <v>0</v>
      </c>
      <c r="K19" s="17" t="str">
        <f>IF(OR(ISERROR(GETPIVOTDATA("Cover",'Cover PivotTable'!$A$4,"Site",$A19,"Year",K$1,"Transect",$B19)),GETPIVOTDATA("Cover",'Cover PivotTable'!$A$4,"Site",$A19,"Year",K$1)=""), "",GETPIVOTDATA("Cover",'Cover PivotTable'!$A$4,"Site",$A19,"Year",K$1,"Transect",$B19))</f>
        <v/>
      </c>
      <c r="L19" s="17">
        <f>IF(OR(ISERROR(GETPIVOTDATA("Cover",'Cover PivotTable'!$A$4,"Site",$A19,"Year",L$1,"Transect",$B19)),GETPIVOTDATA("Cover",'Cover PivotTable'!$A$4,"Site",$A19,"Year",L$1)=""), "",GETPIVOTDATA("Cover",'Cover PivotTable'!$A$4,"Site",$A19,"Year",L$1,"Transect",$B19))</f>
        <v>0.5</v>
      </c>
      <c r="M19" s="17" t="str">
        <f>IF(OR(ISERROR(GETPIVOTDATA("Cover",'Cover PivotTable'!$A$4,"Site",$A19,"Year",M$1,"Transect",$B19)),GETPIVOTDATA("Cover",'Cover PivotTable'!$A$4,"Site",$A19,"Year",M$1)=""), "",GETPIVOTDATA("Cover",'Cover PivotTable'!$A$4,"Site",$A19,"Year",M$1,"Transect",$B19))</f>
        <v/>
      </c>
      <c r="N19" s="17">
        <f>IF(OR(ISERROR(GETPIVOTDATA("Cover",'Cover PivotTable'!$A$4,"Site",$A19,"Year",N$1,"Transect",$B19)),GETPIVOTDATA("Cover",'Cover PivotTable'!$A$4,"Site",$A19,"Year",N$1)=""), "",GETPIVOTDATA("Cover",'Cover PivotTable'!$A$4,"Site",$A19,"Year",N$1,"Transect",$B19))</f>
        <v>0.5</v>
      </c>
      <c r="O19" s="17">
        <f>IF(OR(ISERROR(GETPIVOTDATA("Cover",'Cover PivotTable'!$A$4,"Site",$A19,"Year",O$1,"Transect",$B19)),GETPIVOTDATA("Cover",'Cover PivotTable'!$A$4,"Site",$A19,"Year",O$1)=""), "",GETPIVOTDATA("Cover",'Cover PivotTable'!$A$4,"Site",$A19,"Year",O$1,"Transect",$B19))</f>
        <v>1</v>
      </c>
    </row>
    <row r="20" spans="1:15" x14ac:dyDescent="0.35">
      <c r="A20" t="s">
        <v>18</v>
      </c>
      <c r="B20">
        <v>3.6</v>
      </c>
      <c r="C20" s="17">
        <f>IF(OR(ISERROR(GETPIVOTDATA("Cover",'Cover PivotTable'!$A$4,"Site",$A20,"Year",C$1,"Transect",$B20)),GETPIVOTDATA("Cover",'Cover PivotTable'!$A$4,"Site",$A20,"Year",C$1)=""), "",GETPIVOTDATA("Cover",'Cover PivotTable'!$A$4,"Site",$A20,"Year",C$1,"Transect",$B20))</f>
        <v>1</v>
      </c>
      <c r="D20" s="17" t="str">
        <f>IF(OR(ISERROR(GETPIVOTDATA("Cover",'Cover PivotTable'!$A$4,"Site",$A20,"Year",D$1,"Transect",$B20)),GETPIVOTDATA("Cover",'Cover PivotTable'!$A$4,"Site",$A20,"Year",D$1)=""), "",GETPIVOTDATA("Cover",'Cover PivotTable'!$A$4,"Site",$A20,"Year",D$1,"Transect",$B20))</f>
        <v/>
      </c>
      <c r="E20" s="17" t="str">
        <f>IF(OR(ISERROR(GETPIVOTDATA("Cover",'Cover PivotTable'!$A$4,"Site",$A20,"Year",E$1,"Transect",$B20)),GETPIVOTDATA("Cover",'Cover PivotTable'!$A$4,"Site",$A20,"Year",E$1)=""), "",GETPIVOTDATA("Cover",'Cover PivotTable'!$A$4,"Site",$A20,"Year",E$1,"Transect",$B20))</f>
        <v/>
      </c>
      <c r="F20" s="17">
        <f>IF(OR(ISERROR(GETPIVOTDATA("Cover",'Cover PivotTable'!$A$4,"Site",$A20,"Year",F$1,"Transect",$B20)),GETPIVOTDATA("Cover",'Cover PivotTable'!$A$4,"Site",$A20,"Year",F$1)=""), "",GETPIVOTDATA("Cover",'Cover PivotTable'!$A$4,"Site",$A20,"Year",F$1,"Transect",$B20))</f>
        <v>0</v>
      </c>
      <c r="G20" s="17" t="str">
        <f>IF(OR(ISERROR(GETPIVOTDATA("Cover",'Cover PivotTable'!$A$4,"Site",$A20,"Year",G$1,"Transect",$B20)),GETPIVOTDATA("Cover",'Cover PivotTable'!$A$4,"Site",$A20,"Year",G$1)=""), "",GETPIVOTDATA("Cover",'Cover PivotTable'!$A$4,"Site",$A20,"Year",G$1,"Transect",$B20))</f>
        <v/>
      </c>
      <c r="H20" s="17" t="str">
        <f>IF(OR(ISERROR(GETPIVOTDATA("Cover",'Cover PivotTable'!$A$4,"Site",$A20,"Year",H$1,"Transect",$B20)),GETPIVOTDATA("Cover",'Cover PivotTable'!$A$4,"Site",$A20,"Year",H$1)=""), "",GETPIVOTDATA("Cover",'Cover PivotTable'!$A$4,"Site",$A20,"Year",H$1,"Transect",$B20))</f>
        <v/>
      </c>
      <c r="I20" s="17" t="str">
        <f>IF(OR(ISERROR(GETPIVOTDATA("Cover",'Cover PivotTable'!$A$4,"Site",$A20,"Year",I$1,"Transect",$B20)),GETPIVOTDATA("Cover",'Cover PivotTable'!$A$4,"Site",$A20,"Year",I$1)=""), "",GETPIVOTDATA("Cover",'Cover PivotTable'!$A$4,"Site",$A20,"Year",I$1,"Transect",$B20))</f>
        <v/>
      </c>
      <c r="J20" s="17">
        <f>IF(OR(ISERROR(GETPIVOTDATA("Cover",'Cover PivotTable'!$A$4,"Site",$A20,"Year",J$1,"Transect",$B20)),GETPIVOTDATA("Cover",'Cover PivotTable'!$A$4,"Site",$A20,"Year",J$1)=""), "",GETPIVOTDATA("Cover",'Cover PivotTable'!$A$4,"Site",$A20,"Year",J$1,"Transect",$B20))</f>
        <v>0</v>
      </c>
      <c r="K20" s="17" t="str">
        <f>IF(OR(ISERROR(GETPIVOTDATA("Cover",'Cover PivotTable'!$A$4,"Site",$A20,"Year",K$1,"Transect",$B20)),GETPIVOTDATA("Cover",'Cover PivotTable'!$A$4,"Site",$A20,"Year",K$1)=""), "",GETPIVOTDATA("Cover",'Cover PivotTable'!$A$4,"Site",$A20,"Year",K$1,"Transect",$B20))</f>
        <v/>
      </c>
      <c r="L20" s="17">
        <f>IF(OR(ISERROR(GETPIVOTDATA("Cover",'Cover PivotTable'!$A$4,"Site",$A20,"Year",L$1,"Transect",$B20)),GETPIVOTDATA("Cover",'Cover PivotTable'!$A$4,"Site",$A20,"Year",L$1)=""), "",GETPIVOTDATA("Cover",'Cover PivotTable'!$A$4,"Site",$A20,"Year",L$1,"Transect",$B20))</f>
        <v>1.5</v>
      </c>
      <c r="M20" s="17" t="str">
        <f>IF(OR(ISERROR(GETPIVOTDATA("Cover",'Cover PivotTable'!$A$4,"Site",$A20,"Year",M$1,"Transect",$B20)),GETPIVOTDATA("Cover",'Cover PivotTable'!$A$4,"Site",$A20,"Year",M$1)=""), "",GETPIVOTDATA("Cover",'Cover PivotTable'!$A$4,"Site",$A20,"Year",M$1,"Transect",$B20))</f>
        <v/>
      </c>
      <c r="N20" s="17">
        <f>IF(OR(ISERROR(GETPIVOTDATA("Cover",'Cover PivotTable'!$A$4,"Site",$A20,"Year",N$1,"Transect",$B20)),GETPIVOTDATA("Cover",'Cover PivotTable'!$A$4,"Site",$A20,"Year",N$1)=""), "",GETPIVOTDATA("Cover",'Cover PivotTable'!$A$4,"Site",$A20,"Year",N$1,"Transect",$B20))</f>
        <v>3</v>
      </c>
      <c r="O20" s="17">
        <f>IF(OR(ISERROR(GETPIVOTDATA("Cover",'Cover PivotTable'!$A$4,"Site",$A20,"Year",O$1,"Transect",$B20)),GETPIVOTDATA("Cover",'Cover PivotTable'!$A$4,"Site",$A20,"Year",O$1)=""), "",GETPIVOTDATA("Cover",'Cover PivotTable'!$A$4,"Site",$A20,"Year",O$1,"Transect",$B20))</f>
        <v>1</v>
      </c>
    </row>
    <row r="21" spans="1:15" x14ac:dyDescent="0.35">
      <c r="A21" t="s">
        <v>18</v>
      </c>
      <c r="B21">
        <v>3.7</v>
      </c>
      <c r="C21" s="17">
        <f>IF(OR(ISERROR(GETPIVOTDATA("Cover",'Cover PivotTable'!$A$4,"Site",$A21,"Year",C$1,"Transect",$B21)),GETPIVOTDATA("Cover",'Cover PivotTable'!$A$4,"Site",$A21,"Year",C$1)=""), "",GETPIVOTDATA("Cover",'Cover PivotTable'!$A$4,"Site",$A21,"Year",C$1,"Transect",$B21))</f>
        <v>4.5226130653266328</v>
      </c>
      <c r="D21" s="17" t="str">
        <f>IF(OR(ISERROR(GETPIVOTDATA("Cover",'Cover PivotTable'!$A$4,"Site",$A21,"Year",D$1,"Transect",$B21)),GETPIVOTDATA("Cover",'Cover PivotTable'!$A$4,"Site",$A21,"Year",D$1)=""), "",GETPIVOTDATA("Cover",'Cover PivotTable'!$A$4,"Site",$A21,"Year",D$1,"Transect",$B21))</f>
        <v/>
      </c>
      <c r="E21" s="17" t="str">
        <f>IF(OR(ISERROR(GETPIVOTDATA("Cover",'Cover PivotTable'!$A$4,"Site",$A21,"Year",E$1,"Transect",$B21)),GETPIVOTDATA("Cover",'Cover PivotTable'!$A$4,"Site",$A21,"Year",E$1)=""), "",GETPIVOTDATA("Cover",'Cover PivotTable'!$A$4,"Site",$A21,"Year",E$1,"Transect",$B21))</f>
        <v/>
      </c>
      <c r="F21" s="17">
        <f>IF(OR(ISERROR(GETPIVOTDATA("Cover",'Cover PivotTable'!$A$4,"Site",$A21,"Year",F$1,"Transect",$B21)),GETPIVOTDATA("Cover",'Cover PivotTable'!$A$4,"Site",$A21,"Year",F$1)=""), "",GETPIVOTDATA("Cover",'Cover PivotTable'!$A$4,"Site",$A21,"Year",F$1,"Transect",$B21))</f>
        <v>15.57788944723618</v>
      </c>
      <c r="G21" s="17" t="str">
        <f>IF(OR(ISERROR(GETPIVOTDATA("Cover",'Cover PivotTable'!$A$4,"Site",$A21,"Year",G$1,"Transect",$B21)),GETPIVOTDATA("Cover",'Cover PivotTable'!$A$4,"Site",$A21,"Year",G$1)=""), "",GETPIVOTDATA("Cover",'Cover PivotTable'!$A$4,"Site",$A21,"Year",G$1,"Transect",$B21))</f>
        <v/>
      </c>
      <c r="H21" s="17" t="str">
        <f>IF(OR(ISERROR(GETPIVOTDATA("Cover",'Cover PivotTable'!$A$4,"Site",$A21,"Year",H$1,"Transect",$B21)),GETPIVOTDATA("Cover",'Cover PivotTable'!$A$4,"Site",$A21,"Year",H$1)=""), "",GETPIVOTDATA("Cover",'Cover PivotTable'!$A$4,"Site",$A21,"Year",H$1,"Transect",$B21))</f>
        <v/>
      </c>
      <c r="I21" s="17" t="str">
        <f>IF(OR(ISERROR(GETPIVOTDATA("Cover",'Cover PivotTable'!$A$4,"Site",$A21,"Year",I$1,"Transect",$B21)),GETPIVOTDATA("Cover",'Cover PivotTable'!$A$4,"Site",$A21,"Year",I$1)=""), "",GETPIVOTDATA("Cover",'Cover PivotTable'!$A$4,"Site",$A21,"Year",I$1,"Transect",$B21))</f>
        <v/>
      </c>
      <c r="J21" s="17">
        <f>IF(OR(ISERROR(GETPIVOTDATA("Cover",'Cover PivotTable'!$A$4,"Site",$A21,"Year",J$1,"Transect",$B21)),GETPIVOTDATA("Cover",'Cover PivotTable'!$A$4,"Site",$A21,"Year",J$1)=""), "",GETPIVOTDATA("Cover",'Cover PivotTable'!$A$4,"Site",$A21,"Year",J$1,"Transect",$B21))</f>
        <v>5.5276381909547743</v>
      </c>
      <c r="K21" s="17" t="str">
        <f>IF(OR(ISERROR(GETPIVOTDATA("Cover",'Cover PivotTable'!$A$4,"Site",$A21,"Year",K$1,"Transect",$B21)),GETPIVOTDATA("Cover",'Cover PivotTable'!$A$4,"Site",$A21,"Year",K$1)=""), "",GETPIVOTDATA("Cover",'Cover PivotTable'!$A$4,"Site",$A21,"Year",K$1,"Transect",$B21))</f>
        <v/>
      </c>
      <c r="L21" s="17">
        <f>IF(OR(ISERROR(GETPIVOTDATA("Cover",'Cover PivotTable'!$A$4,"Site",$A21,"Year",L$1,"Transect",$B21)),GETPIVOTDATA("Cover",'Cover PivotTable'!$A$4,"Site",$A21,"Year",L$1)=""), "",GETPIVOTDATA("Cover",'Cover PivotTable'!$A$4,"Site",$A21,"Year",L$1,"Transect",$B21))</f>
        <v>9.5</v>
      </c>
      <c r="M21" s="17" t="str">
        <f>IF(OR(ISERROR(GETPIVOTDATA("Cover",'Cover PivotTable'!$A$4,"Site",$A21,"Year",M$1,"Transect",$B21)),GETPIVOTDATA("Cover",'Cover PivotTable'!$A$4,"Site",$A21,"Year",M$1)=""), "",GETPIVOTDATA("Cover",'Cover PivotTable'!$A$4,"Site",$A21,"Year",M$1,"Transect",$B21))</f>
        <v/>
      </c>
      <c r="N21" s="17">
        <f>IF(OR(ISERROR(GETPIVOTDATA("Cover",'Cover PivotTable'!$A$4,"Site",$A21,"Year",N$1,"Transect",$B21)),GETPIVOTDATA("Cover",'Cover PivotTable'!$A$4,"Site",$A21,"Year",N$1)=""), "",GETPIVOTDATA("Cover",'Cover PivotTable'!$A$4,"Site",$A21,"Year",N$1,"Transect",$B21))</f>
        <v>10.5</v>
      </c>
      <c r="O21" s="17">
        <f>IF(OR(ISERROR(GETPIVOTDATA("Cover",'Cover PivotTable'!$A$4,"Site",$A21,"Year",O$1,"Transect",$B21)),GETPIVOTDATA("Cover",'Cover PivotTable'!$A$4,"Site",$A21,"Year",O$1)=""), "",GETPIVOTDATA("Cover",'Cover PivotTable'!$A$4,"Site",$A21,"Year",O$1,"Transect",$B21))</f>
        <v>17</v>
      </c>
    </row>
    <row r="22" spans="1:15" x14ac:dyDescent="0.35">
      <c r="A22" t="s">
        <v>18</v>
      </c>
      <c r="B22">
        <v>4.0999999999999996</v>
      </c>
      <c r="C22" s="17">
        <f>IF(OR(ISERROR(GETPIVOTDATA("Cover",'Cover PivotTable'!$A$4,"Site",$A22,"Year",C$1,"Transect",$B22)),GETPIVOTDATA("Cover",'Cover PivotTable'!$A$4,"Site",$A22,"Year",C$1)=""), "",GETPIVOTDATA("Cover",'Cover PivotTable'!$A$4,"Site",$A22,"Year",C$1,"Transect",$B22))</f>
        <v>1.5</v>
      </c>
      <c r="D22" s="17" t="str">
        <f>IF(OR(ISERROR(GETPIVOTDATA("Cover",'Cover PivotTable'!$A$4,"Site",$A22,"Year",D$1,"Transect",$B22)),GETPIVOTDATA("Cover",'Cover PivotTable'!$A$4,"Site",$A22,"Year",D$1)=""), "",GETPIVOTDATA("Cover",'Cover PivotTable'!$A$4,"Site",$A22,"Year",D$1,"Transect",$B22))</f>
        <v/>
      </c>
      <c r="E22" s="17" t="str">
        <f>IF(OR(ISERROR(GETPIVOTDATA("Cover",'Cover PivotTable'!$A$4,"Site",$A22,"Year",E$1,"Transect",$B22)),GETPIVOTDATA("Cover",'Cover PivotTable'!$A$4,"Site",$A22,"Year",E$1)=""), "",GETPIVOTDATA("Cover",'Cover PivotTable'!$A$4,"Site",$A22,"Year",E$1,"Transect",$B22))</f>
        <v/>
      </c>
      <c r="F22" s="17">
        <f>IF(OR(ISERROR(GETPIVOTDATA("Cover",'Cover PivotTable'!$A$4,"Site",$A22,"Year",F$1,"Transect",$B22)),GETPIVOTDATA("Cover",'Cover PivotTable'!$A$4,"Site",$A22,"Year",F$1)=""), "",GETPIVOTDATA("Cover",'Cover PivotTable'!$A$4,"Site",$A22,"Year",F$1,"Transect",$B22))</f>
        <v>1</v>
      </c>
      <c r="G22" s="17" t="str">
        <f>IF(OR(ISERROR(GETPIVOTDATA("Cover",'Cover PivotTable'!$A$4,"Site",$A22,"Year",G$1,"Transect",$B22)),GETPIVOTDATA("Cover",'Cover PivotTable'!$A$4,"Site",$A22,"Year",G$1)=""), "",GETPIVOTDATA("Cover",'Cover PivotTable'!$A$4,"Site",$A22,"Year",G$1,"Transect",$B22))</f>
        <v/>
      </c>
      <c r="H22" s="17" t="str">
        <f>IF(OR(ISERROR(GETPIVOTDATA("Cover",'Cover PivotTable'!$A$4,"Site",$A22,"Year",H$1,"Transect",$B22)),GETPIVOTDATA("Cover",'Cover PivotTable'!$A$4,"Site",$A22,"Year",H$1)=""), "",GETPIVOTDATA("Cover",'Cover PivotTable'!$A$4,"Site",$A22,"Year",H$1,"Transect",$B22))</f>
        <v/>
      </c>
      <c r="I22" s="17" t="str">
        <f>IF(OR(ISERROR(GETPIVOTDATA("Cover",'Cover PivotTable'!$A$4,"Site",$A22,"Year",I$1,"Transect",$B22)),GETPIVOTDATA("Cover",'Cover PivotTable'!$A$4,"Site",$A22,"Year",I$1)=""), "",GETPIVOTDATA("Cover",'Cover PivotTable'!$A$4,"Site",$A22,"Year",I$1,"Transect",$B22))</f>
        <v/>
      </c>
      <c r="J22" s="17">
        <f>IF(OR(ISERROR(GETPIVOTDATA("Cover",'Cover PivotTable'!$A$4,"Site",$A22,"Year",J$1,"Transect",$B22)),GETPIVOTDATA("Cover",'Cover PivotTable'!$A$4,"Site",$A22,"Year",J$1)=""), "",GETPIVOTDATA("Cover",'Cover PivotTable'!$A$4,"Site",$A22,"Year",J$1,"Transect",$B22))</f>
        <v>1</v>
      </c>
      <c r="K22" s="17" t="str">
        <f>IF(OR(ISERROR(GETPIVOTDATA("Cover",'Cover PivotTable'!$A$4,"Site",$A22,"Year",K$1,"Transect",$B22)),GETPIVOTDATA("Cover",'Cover PivotTable'!$A$4,"Site",$A22,"Year",K$1)=""), "",GETPIVOTDATA("Cover",'Cover PivotTable'!$A$4,"Site",$A22,"Year",K$1,"Transect",$B22))</f>
        <v/>
      </c>
      <c r="L22" s="17">
        <f>IF(OR(ISERROR(GETPIVOTDATA("Cover",'Cover PivotTable'!$A$4,"Site",$A22,"Year",L$1,"Transect",$B22)),GETPIVOTDATA("Cover",'Cover PivotTable'!$A$4,"Site",$A22,"Year",L$1)=""), "",GETPIVOTDATA("Cover",'Cover PivotTable'!$A$4,"Site",$A22,"Year",L$1,"Transect",$B22))</f>
        <v>8</v>
      </c>
      <c r="M22" s="17" t="str">
        <f>IF(OR(ISERROR(GETPIVOTDATA("Cover",'Cover PivotTable'!$A$4,"Site",$A22,"Year",M$1,"Transect",$B22)),GETPIVOTDATA("Cover",'Cover PivotTable'!$A$4,"Site",$A22,"Year",M$1)=""), "",GETPIVOTDATA("Cover",'Cover PivotTable'!$A$4,"Site",$A22,"Year",M$1,"Transect",$B22))</f>
        <v/>
      </c>
      <c r="N22" s="17">
        <f>IF(OR(ISERROR(GETPIVOTDATA("Cover",'Cover PivotTable'!$A$4,"Site",$A22,"Year",N$1,"Transect",$B22)),GETPIVOTDATA("Cover",'Cover PivotTable'!$A$4,"Site",$A22,"Year",N$1)=""), "",GETPIVOTDATA("Cover",'Cover PivotTable'!$A$4,"Site",$A22,"Year",N$1,"Transect",$B22))</f>
        <v>9.5</v>
      </c>
      <c r="O22" s="17">
        <f>IF(OR(ISERROR(GETPIVOTDATA("Cover",'Cover PivotTable'!$A$4,"Site",$A22,"Year",O$1,"Transect",$B22)),GETPIVOTDATA("Cover",'Cover PivotTable'!$A$4,"Site",$A22,"Year",O$1)=""), "",GETPIVOTDATA("Cover",'Cover PivotTable'!$A$4,"Site",$A22,"Year",O$1,"Transect",$B22))</f>
        <v>17.5</v>
      </c>
    </row>
    <row r="23" spans="1:15" x14ac:dyDescent="0.35">
      <c r="A23" t="s">
        <v>18</v>
      </c>
      <c r="B23">
        <v>4.2</v>
      </c>
      <c r="C23" s="17">
        <f>IF(OR(ISERROR(GETPIVOTDATA("Cover",'Cover PivotTable'!$A$4,"Site",$A23,"Year",C$1,"Transect",$B23)),GETPIVOTDATA("Cover",'Cover PivotTable'!$A$4,"Site",$A23,"Year",C$1)=""), "",GETPIVOTDATA("Cover",'Cover PivotTable'!$A$4,"Site",$A23,"Year",C$1,"Transect",$B23))</f>
        <v>0</v>
      </c>
      <c r="D23" s="17" t="str">
        <f>IF(OR(ISERROR(GETPIVOTDATA("Cover",'Cover PivotTable'!$A$4,"Site",$A23,"Year",D$1,"Transect",$B23)),GETPIVOTDATA("Cover",'Cover PivotTable'!$A$4,"Site",$A23,"Year",D$1)=""), "",GETPIVOTDATA("Cover",'Cover PivotTable'!$A$4,"Site",$A23,"Year",D$1,"Transect",$B23))</f>
        <v/>
      </c>
      <c r="E23" s="17" t="str">
        <f>IF(OR(ISERROR(GETPIVOTDATA("Cover",'Cover PivotTable'!$A$4,"Site",$A23,"Year",E$1,"Transect",$B23)),GETPIVOTDATA("Cover",'Cover PivotTable'!$A$4,"Site",$A23,"Year",E$1)=""), "",GETPIVOTDATA("Cover",'Cover PivotTable'!$A$4,"Site",$A23,"Year",E$1,"Transect",$B23))</f>
        <v/>
      </c>
      <c r="F23" s="17">
        <f>IF(OR(ISERROR(GETPIVOTDATA("Cover",'Cover PivotTable'!$A$4,"Site",$A23,"Year",F$1,"Transect",$B23)),GETPIVOTDATA("Cover",'Cover PivotTable'!$A$4,"Site",$A23,"Year",F$1)=""), "",GETPIVOTDATA("Cover",'Cover PivotTable'!$A$4,"Site",$A23,"Year",F$1,"Transect",$B23))</f>
        <v>2</v>
      </c>
      <c r="G23" s="17" t="str">
        <f>IF(OR(ISERROR(GETPIVOTDATA("Cover",'Cover PivotTable'!$A$4,"Site",$A23,"Year",G$1,"Transect",$B23)),GETPIVOTDATA("Cover",'Cover PivotTable'!$A$4,"Site",$A23,"Year",G$1)=""), "",GETPIVOTDATA("Cover",'Cover PivotTable'!$A$4,"Site",$A23,"Year",G$1,"Transect",$B23))</f>
        <v/>
      </c>
      <c r="H23" s="17" t="str">
        <f>IF(OR(ISERROR(GETPIVOTDATA("Cover",'Cover PivotTable'!$A$4,"Site",$A23,"Year",H$1,"Transect",$B23)),GETPIVOTDATA("Cover",'Cover PivotTable'!$A$4,"Site",$A23,"Year",H$1)=""), "",GETPIVOTDATA("Cover",'Cover PivotTable'!$A$4,"Site",$A23,"Year",H$1,"Transect",$B23))</f>
        <v/>
      </c>
      <c r="I23" s="17" t="str">
        <f>IF(OR(ISERROR(GETPIVOTDATA("Cover",'Cover PivotTable'!$A$4,"Site",$A23,"Year",I$1,"Transect",$B23)),GETPIVOTDATA("Cover",'Cover PivotTable'!$A$4,"Site",$A23,"Year",I$1)=""), "",GETPIVOTDATA("Cover",'Cover PivotTable'!$A$4,"Site",$A23,"Year",I$1,"Transect",$B23))</f>
        <v/>
      </c>
      <c r="J23" s="17">
        <f>IF(OR(ISERROR(GETPIVOTDATA("Cover",'Cover PivotTable'!$A$4,"Site",$A23,"Year",J$1,"Transect",$B23)),GETPIVOTDATA("Cover",'Cover PivotTable'!$A$4,"Site",$A23,"Year",J$1)=""), "",GETPIVOTDATA("Cover",'Cover PivotTable'!$A$4,"Site",$A23,"Year",J$1,"Transect",$B23))</f>
        <v>3</v>
      </c>
      <c r="K23" s="17" t="str">
        <f>IF(OR(ISERROR(GETPIVOTDATA("Cover",'Cover PivotTable'!$A$4,"Site",$A23,"Year",K$1,"Transect",$B23)),GETPIVOTDATA("Cover",'Cover PivotTable'!$A$4,"Site",$A23,"Year",K$1)=""), "",GETPIVOTDATA("Cover",'Cover PivotTable'!$A$4,"Site",$A23,"Year",K$1,"Transect",$B23))</f>
        <v/>
      </c>
      <c r="L23" s="17">
        <f>IF(OR(ISERROR(GETPIVOTDATA("Cover",'Cover PivotTable'!$A$4,"Site",$A23,"Year",L$1,"Transect",$B23)),GETPIVOTDATA("Cover",'Cover PivotTable'!$A$4,"Site",$A23,"Year",L$1)=""), "",GETPIVOTDATA("Cover",'Cover PivotTable'!$A$4,"Site",$A23,"Year",L$1,"Transect",$B23))</f>
        <v>6.5</v>
      </c>
      <c r="M23" s="17" t="str">
        <f>IF(OR(ISERROR(GETPIVOTDATA("Cover",'Cover PivotTable'!$A$4,"Site",$A23,"Year",M$1,"Transect",$B23)),GETPIVOTDATA("Cover",'Cover PivotTable'!$A$4,"Site",$A23,"Year",M$1)=""), "",GETPIVOTDATA("Cover",'Cover PivotTable'!$A$4,"Site",$A23,"Year",M$1,"Transect",$B23))</f>
        <v/>
      </c>
      <c r="N23" s="17">
        <f>IF(OR(ISERROR(GETPIVOTDATA("Cover",'Cover PivotTable'!$A$4,"Site",$A23,"Year",N$1,"Transect",$B23)),GETPIVOTDATA("Cover",'Cover PivotTable'!$A$4,"Site",$A23,"Year",N$1)=""), "",GETPIVOTDATA("Cover",'Cover PivotTable'!$A$4,"Site",$A23,"Year",N$1,"Transect",$B23))</f>
        <v>4</v>
      </c>
      <c r="O23" s="17">
        <f>IF(OR(ISERROR(GETPIVOTDATA("Cover",'Cover PivotTable'!$A$4,"Site",$A23,"Year",O$1,"Transect",$B23)),GETPIVOTDATA("Cover",'Cover PivotTable'!$A$4,"Site",$A23,"Year",O$1)=""), "",GETPIVOTDATA("Cover",'Cover PivotTable'!$A$4,"Site",$A23,"Year",O$1,"Transect",$B23))</f>
        <v>7.5</v>
      </c>
    </row>
    <row r="24" spans="1:15" x14ac:dyDescent="0.35">
      <c r="A24" t="s">
        <v>18</v>
      </c>
      <c r="B24">
        <v>4.3</v>
      </c>
      <c r="C24" s="17">
        <f>IF(OR(ISERROR(GETPIVOTDATA("Cover",'Cover PivotTable'!$A$4,"Site",$A24,"Year",C$1,"Transect",$B24)),GETPIVOTDATA("Cover",'Cover PivotTable'!$A$4,"Site",$A24,"Year",C$1)=""), "",GETPIVOTDATA("Cover",'Cover PivotTable'!$A$4,"Site",$A24,"Year",C$1,"Transect",$B24))</f>
        <v>0</v>
      </c>
      <c r="D24" s="17" t="str">
        <f>IF(OR(ISERROR(GETPIVOTDATA("Cover",'Cover PivotTable'!$A$4,"Site",$A24,"Year",D$1,"Transect",$B24)),GETPIVOTDATA("Cover",'Cover PivotTable'!$A$4,"Site",$A24,"Year",D$1)=""), "",GETPIVOTDATA("Cover",'Cover PivotTable'!$A$4,"Site",$A24,"Year",D$1,"Transect",$B24))</f>
        <v/>
      </c>
      <c r="E24" s="17" t="str">
        <f>IF(OR(ISERROR(GETPIVOTDATA("Cover",'Cover PivotTable'!$A$4,"Site",$A24,"Year",E$1,"Transect",$B24)),GETPIVOTDATA("Cover",'Cover PivotTable'!$A$4,"Site",$A24,"Year",E$1)=""), "",GETPIVOTDATA("Cover",'Cover PivotTable'!$A$4,"Site",$A24,"Year",E$1,"Transect",$B24))</f>
        <v/>
      </c>
      <c r="F24" s="17">
        <f>IF(OR(ISERROR(GETPIVOTDATA("Cover",'Cover PivotTable'!$A$4,"Site",$A24,"Year",F$1,"Transect",$B24)),GETPIVOTDATA("Cover",'Cover PivotTable'!$A$4,"Site",$A24,"Year",F$1)=""), "",GETPIVOTDATA("Cover",'Cover PivotTable'!$A$4,"Site",$A24,"Year",F$1,"Transect",$B24))</f>
        <v>1</v>
      </c>
      <c r="G24" s="17" t="str">
        <f>IF(OR(ISERROR(GETPIVOTDATA("Cover",'Cover PivotTable'!$A$4,"Site",$A24,"Year",G$1,"Transect",$B24)),GETPIVOTDATA("Cover",'Cover PivotTable'!$A$4,"Site",$A24,"Year",G$1)=""), "",GETPIVOTDATA("Cover",'Cover PivotTable'!$A$4,"Site",$A24,"Year",G$1,"Transect",$B24))</f>
        <v/>
      </c>
      <c r="H24" s="17" t="str">
        <f>IF(OR(ISERROR(GETPIVOTDATA("Cover",'Cover PivotTable'!$A$4,"Site",$A24,"Year",H$1,"Transect",$B24)),GETPIVOTDATA("Cover",'Cover PivotTable'!$A$4,"Site",$A24,"Year",H$1)=""), "",GETPIVOTDATA("Cover",'Cover PivotTable'!$A$4,"Site",$A24,"Year",H$1,"Transect",$B24))</f>
        <v/>
      </c>
      <c r="I24" s="17" t="str">
        <f>IF(OR(ISERROR(GETPIVOTDATA("Cover",'Cover PivotTable'!$A$4,"Site",$A24,"Year",I$1,"Transect",$B24)),GETPIVOTDATA("Cover",'Cover PivotTable'!$A$4,"Site",$A24,"Year",I$1)=""), "",GETPIVOTDATA("Cover",'Cover PivotTable'!$A$4,"Site",$A24,"Year",I$1,"Transect",$B24))</f>
        <v/>
      </c>
      <c r="J24" s="17">
        <f>IF(OR(ISERROR(GETPIVOTDATA("Cover",'Cover PivotTable'!$A$4,"Site",$A24,"Year",J$1,"Transect",$B24)),GETPIVOTDATA("Cover",'Cover PivotTable'!$A$4,"Site",$A24,"Year",J$1)=""), "",GETPIVOTDATA("Cover",'Cover PivotTable'!$A$4,"Site",$A24,"Year",J$1,"Transect",$B24))</f>
        <v>0</v>
      </c>
      <c r="K24" s="17" t="str">
        <f>IF(OR(ISERROR(GETPIVOTDATA("Cover",'Cover PivotTable'!$A$4,"Site",$A24,"Year",K$1,"Transect",$B24)),GETPIVOTDATA("Cover",'Cover PivotTable'!$A$4,"Site",$A24,"Year",K$1)=""), "",GETPIVOTDATA("Cover",'Cover PivotTable'!$A$4,"Site",$A24,"Year",K$1,"Transect",$B24))</f>
        <v/>
      </c>
      <c r="L24" s="17">
        <f>IF(OR(ISERROR(GETPIVOTDATA("Cover",'Cover PivotTable'!$A$4,"Site",$A24,"Year",L$1,"Transect",$B24)),GETPIVOTDATA("Cover",'Cover PivotTable'!$A$4,"Site",$A24,"Year",L$1)=""), "",GETPIVOTDATA("Cover",'Cover PivotTable'!$A$4,"Site",$A24,"Year",L$1,"Transect",$B24))</f>
        <v>5</v>
      </c>
      <c r="M24" s="17" t="str">
        <f>IF(OR(ISERROR(GETPIVOTDATA("Cover",'Cover PivotTable'!$A$4,"Site",$A24,"Year",M$1,"Transect",$B24)),GETPIVOTDATA("Cover",'Cover PivotTable'!$A$4,"Site",$A24,"Year",M$1)=""), "",GETPIVOTDATA("Cover",'Cover PivotTable'!$A$4,"Site",$A24,"Year",M$1,"Transect",$B24))</f>
        <v/>
      </c>
      <c r="N24" s="17">
        <f>IF(OR(ISERROR(GETPIVOTDATA("Cover",'Cover PivotTable'!$A$4,"Site",$A24,"Year",N$1,"Transect",$B24)),GETPIVOTDATA("Cover",'Cover PivotTable'!$A$4,"Site",$A24,"Year",N$1)=""), "",GETPIVOTDATA("Cover",'Cover PivotTable'!$A$4,"Site",$A24,"Year",N$1,"Transect",$B24))</f>
        <v>7.0000000000000009</v>
      </c>
      <c r="O24" s="17">
        <f>IF(OR(ISERROR(GETPIVOTDATA("Cover",'Cover PivotTable'!$A$4,"Site",$A24,"Year",O$1,"Transect",$B24)),GETPIVOTDATA("Cover",'Cover PivotTable'!$A$4,"Site",$A24,"Year",O$1)=""), "",GETPIVOTDATA("Cover",'Cover PivotTable'!$A$4,"Site",$A24,"Year",O$1,"Transect",$B24))</f>
        <v>13.5</v>
      </c>
    </row>
    <row r="25" spans="1:15" x14ac:dyDescent="0.35">
      <c r="A25" t="s">
        <v>18</v>
      </c>
      <c r="B25">
        <v>4.4000000000000004</v>
      </c>
      <c r="C25" s="17">
        <f>IF(OR(ISERROR(GETPIVOTDATA("Cover",'Cover PivotTable'!$A$4,"Site",$A25,"Year",C$1,"Transect",$B25)),GETPIVOTDATA("Cover",'Cover PivotTable'!$A$4,"Site",$A25,"Year",C$1)=""), "",GETPIVOTDATA("Cover",'Cover PivotTable'!$A$4,"Site",$A25,"Year",C$1,"Transect",$B25))</f>
        <v>0</v>
      </c>
      <c r="D25" s="17" t="str">
        <f>IF(OR(ISERROR(GETPIVOTDATA("Cover",'Cover PivotTable'!$A$4,"Site",$A25,"Year",D$1,"Transect",$B25)),GETPIVOTDATA("Cover",'Cover PivotTable'!$A$4,"Site",$A25,"Year",D$1)=""), "",GETPIVOTDATA("Cover",'Cover PivotTable'!$A$4,"Site",$A25,"Year",D$1,"Transect",$B25))</f>
        <v/>
      </c>
      <c r="E25" s="17" t="str">
        <f>IF(OR(ISERROR(GETPIVOTDATA("Cover",'Cover PivotTable'!$A$4,"Site",$A25,"Year",E$1,"Transect",$B25)),GETPIVOTDATA("Cover",'Cover PivotTable'!$A$4,"Site",$A25,"Year",E$1)=""), "",GETPIVOTDATA("Cover",'Cover PivotTable'!$A$4,"Site",$A25,"Year",E$1,"Transect",$B25))</f>
        <v/>
      </c>
      <c r="F25" s="17">
        <f>IF(OR(ISERROR(GETPIVOTDATA("Cover",'Cover PivotTable'!$A$4,"Site",$A25,"Year",F$1,"Transect",$B25)),GETPIVOTDATA("Cover",'Cover PivotTable'!$A$4,"Site",$A25,"Year",F$1)=""), "",GETPIVOTDATA("Cover",'Cover PivotTable'!$A$4,"Site",$A25,"Year",F$1,"Transect",$B25))</f>
        <v>4.5</v>
      </c>
      <c r="G25" s="17" t="str">
        <f>IF(OR(ISERROR(GETPIVOTDATA("Cover",'Cover PivotTable'!$A$4,"Site",$A25,"Year",G$1,"Transect",$B25)),GETPIVOTDATA("Cover",'Cover PivotTable'!$A$4,"Site",$A25,"Year",G$1)=""), "",GETPIVOTDATA("Cover",'Cover PivotTable'!$A$4,"Site",$A25,"Year",G$1,"Transect",$B25))</f>
        <v/>
      </c>
      <c r="H25" s="17" t="str">
        <f>IF(OR(ISERROR(GETPIVOTDATA("Cover",'Cover PivotTable'!$A$4,"Site",$A25,"Year",H$1,"Transect",$B25)),GETPIVOTDATA("Cover",'Cover PivotTable'!$A$4,"Site",$A25,"Year",H$1)=""), "",GETPIVOTDATA("Cover",'Cover PivotTable'!$A$4,"Site",$A25,"Year",H$1,"Transect",$B25))</f>
        <v/>
      </c>
      <c r="I25" s="17" t="str">
        <f>IF(OR(ISERROR(GETPIVOTDATA("Cover",'Cover PivotTable'!$A$4,"Site",$A25,"Year",I$1,"Transect",$B25)),GETPIVOTDATA("Cover",'Cover PivotTable'!$A$4,"Site",$A25,"Year",I$1)=""), "",GETPIVOTDATA("Cover",'Cover PivotTable'!$A$4,"Site",$A25,"Year",I$1,"Transect",$B25))</f>
        <v/>
      </c>
      <c r="J25" s="17">
        <f>IF(OR(ISERROR(GETPIVOTDATA("Cover",'Cover PivotTable'!$A$4,"Site",$A25,"Year",J$1,"Transect",$B25)),GETPIVOTDATA("Cover",'Cover PivotTable'!$A$4,"Site",$A25,"Year",J$1)=""), "",GETPIVOTDATA("Cover",'Cover PivotTable'!$A$4,"Site",$A25,"Year",J$1,"Transect",$B25))</f>
        <v>6</v>
      </c>
      <c r="K25" s="17" t="str">
        <f>IF(OR(ISERROR(GETPIVOTDATA("Cover",'Cover PivotTable'!$A$4,"Site",$A25,"Year",K$1,"Transect",$B25)),GETPIVOTDATA("Cover",'Cover PivotTable'!$A$4,"Site",$A25,"Year",K$1)=""), "",GETPIVOTDATA("Cover",'Cover PivotTable'!$A$4,"Site",$A25,"Year",K$1,"Transect",$B25))</f>
        <v/>
      </c>
      <c r="L25" s="17">
        <f>IF(OR(ISERROR(GETPIVOTDATA("Cover",'Cover PivotTable'!$A$4,"Site",$A25,"Year",L$1,"Transect",$B25)),GETPIVOTDATA("Cover",'Cover PivotTable'!$A$4,"Site",$A25,"Year",L$1)=""), "",GETPIVOTDATA("Cover",'Cover PivotTable'!$A$4,"Site",$A25,"Year",L$1,"Transect",$B25))</f>
        <v>6</v>
      </c>
      <c r="M25" s="17" t="str">
        <f>IF(OR(ISERROR(GETPIVOTDATA("Cover",'Cover PivotTable'!$A$4,"Site",$A25,"Year",M$1,"Transect",$B25)),GETPIVOTDATA("Cover",'Cover PivotTable'!$A$4,"Site",$A25,"Year",M$1)=""), "",GETPIVOTDATA("Cover",'Cover PivotTable'!$A$4,"Site",$A25,"Year",M$1,"Transect",$B25))</f>
        <v/>
      </c>
      <c r="N25" s="17">
        <f>IF(OR(ISERROR(GETPIVOTDATA("Cover",'Cover PivotTable'!$A$4,"Site",$A25,"Year",N$1,"Transect",$B25)),GETPIVOTDATA("Cover",'Cover PivotTable'!$A$4,"Site",$A25,"Year",N$1)=""), "",GETPIVOTDATA("Cover",'Cover PivotTable'!$A$4,"Site",$A25,"Year",N$1,"Transect",$B25))</f>
        <v>8</v>
      </c>
      <c r="O25" s="17">
        <f>IF(OR(ISERROR(GETPIVOTDATA("Cover",'Cover PivotTable'!$A$4,"Site",$A25,"Year",O$1,"Transect",$B25)),GETPIVOTDATA("Cover",'Cover PivotTable'!$A$4,"Site",$A25,"Year",O$1)=""), "",GETPIVOTDATA("Cover",'Cover PivotTable'!$A$4,"Site",$A25,"Year",O$1,"Transect",$B25))</f>
        <v>7.5</v>
      </c>
    </row>
    <row r="26" spans="1:15" x14ac:dyDescent="0.35">
      <c r="A26" t="s">
        <v>18</v>
      </c>
      <c r="B26">
        <v>4.5</v>
      </c>
      <c r="C26" s="17">
        <f>IF(OR(ISERROR(GETPIVOTDATA("Cover",'Cover PivotTable'!$A$4,"Site",$A26,"Year",C$1,"Transect",$B26)),GETPIVOTDATA("Cover",'Cover PivotTable'!$A$4,"Site",$A26,"Year",C$1)=""), "",GETPIVOTDATA("Cover",'Cover PivotTable'!$A$4,"Site",$A26,"Year",C$1,"Transect",$B26))</f>
        <v>0</v>
      </c>
      <c r="D26" s="17" t="str">
        <f>IF(OR(ISERROR(GETPIVOTDATA("Cover",'Cover PivotTable'!$A$4,"Site",$A26,"Year",D$1,"Transect",$B26)),GETPIVOTDATA("Cover",'Cover PivotTable'!$A$4,"Site",$A26,"Year",D$1)=""), "",GETPIVOTDATA("Cover",'Cover PivotTable'!$A$4,"Site",$A26,"Year",D$1,"Transect",$B26))</f>
        <v/>
      </c>
      <c r="E26" s="17" t="str">
        <f>IF(OR(ISERROR(GETPIVOTDATA("Cover",'Cover PivotTable'!$A$4,"Site",$A26,"Year",E$1,"Transect",$B26)),GETPIVOTDATA("Cover",'Cover PivotTable'!$A$4,"Site",$A26,"Year",E$1)=""), "",GETPIVOTDATA("Cover",'Cover PivotTable'!$A$4,"Site",$A26,"Year",E$1,"Transect",$B26))</f>
        <v/>
      </c>
      <c r="F26" s="17">
        <f>IF(OR(ISERROR(GETPIVOTDATA("Cover",'Cover PivotTable'!$A$4,"Site",$A26,"Year",F$1,"Transect",$B26)),GETPIVOTDATA("Cover",'Cover PivotTable'!$A$4,"Site",$A26,"Year",F$1)=""), "",GETPIVOTDATA("Cover",'Cover PivotTable'!$A$4,"Site",$A26,"Year",F$1,"Transect",$B26))</f>
        <v>2.5</v>
      </c>
      <c r="G26" s="17" t="str">
        <f>IF(OR(ISERROR(GETPIVOTDATA("Cover",'Cover PivotTable'!$A$4,"Site",$A26,"Year",G$1,"Transect",$B26)),GETPIVOTDATA("Cover",'Cover PivotTable'!$A$4,"Site",$A26,"Year",G$1)=""), "",GETPIVOTDATA("Cover",'Cover PivotTable'!$A$4,"Site",$A26,"Year",G$1,"Transect",$B26))</f>
        <v/>
      </c>
      <c r="H26" s="17" t="str">
        <f>IF(OR(ISERROR(GETPIVOTDATA("Cover",'Cover PivotTable'!$A$4,"Site",$A26,"Year",H$1,"Transect",$B26)),GETPIVOTDATA("Cover",'Cover PivotTable'!$A$4,"Site",$A26,"Year",H$1)=""), "",GETPIVOTDATA("Cover",'Cover PivotTable'!$A$4,"Site",$A26,"Year",H$1,"Transect",$B26))</f>
        <v/>
      </c>
      <c r="I26" s="17" t="str">
        <f>IF(OR(ISERROR(GETPIVOTDATA("Cover",'Cover PivotTable'!$A$4,"Site",$A26,"Year",I$1,"Transect",$B26)),GETPIVOTDATA("Cover",'Cover PivotTable'!$A$4,"Site",$A26,"Year",I$1)=""), "",GETPIVOTDATA("Cover",'Cover PivotTable'!$A$4,"Site",$A26,"Year",I$1,"Transect",$B26))</f>
        <v/>
      </c>
      <c r="J26" s="17">
        <f>IF(OR(ISERROR(GETPIVOTDATA("Cover",'Cover PivotTable'!$A$4,"Site",$A26,"Year",J$1,"Transect",$B26)),GETPIVOTDATA("Cover",'Cover PivotTable'!$A$4,"Site",$A26,"Year",J$1)=""), "",GETPIVOTDATA("Cover",'Cover PivotTable'!$A$4,"Site",$A26,"Year",J$1,"Transect",$B26))</f>
        <v>5.5</v>
      </c>
      <c r="K26" s="17" t="str">
        <f>IF(OR(ISERROR(GETPIVOTDATA("Cover",'Cover PivotTable'!$A$4,"Site",$A26,"Year",K$1,"Transect",$B26)),GETPIVOTDATA("Cover",'Cover PivotTable'!$A$4,"Site",$A26,"Year",K$1)=""), "",GETPIVOTDATA("Cover",'Cover PivotTable'!$A$4,"Site",$A26,"Year",K$1,"Transect",$B26))</f>
        <v/>
      </c>
      <c r="L26" s="17">
        <f>IF(OR(ISERROR(GETPIVOTDATA("Cover",'Cover PivotTable'!$A$4,"Site",$A26,"Year",L$1,"Transect",$B26)),GETPIVOTDATA("Cover",'Cover PivotTable'!$A$4,"Site",$A26,"Year",L$1)=""), "",GETPIVOTDATA("Cover",'Cover PivotTable'!$A$4,"Site",$A26,"Year",L$1,"Transect",$B26))</f>
        <v>7.5</v>
      </c>
      <c r="M26" s="17" t="str">
        <f>IF(OR(ISERROR(GETPIVOTDATA("Cover",'Cover PivotTable'!$A$4,"Site",$A26,"Year",M$1,"Transect",$B26)),GETPIVOTDATA("Cover",'Cover PivotTable'!$A$4,"Site",$A26,"Year",M$1)=""), "",GETPIVOTDATA("Cover",'Cover PivotTable'!$A$4,"Site",$A26,"Year",M$1,"Transect",$B26))</f>
        <v/>
      </c>
      <c r="N26" s="17">
        <f>IF(OR(ISERROR(GETPIVOTDATA("Cover",'Cover PivotTable'!$A$4,"Site",$A26,"Year",N$1,"Transect",$B26)),GETPIVOTDATA("Cover",'Cover PivotTable'!$A$4,"Site",$A26,"Year",N$1)=""), "",GETPIVOTDATA("Cover",'Cover PivotTable'!$A$4,"Site",$A26,"Year",N$1,"Transect",$B26))</f>
        <v>10</v>
      </c>
      <c r="O26" s="17">
        <f>IF(OR(ISERROR(GETPIVOTDATA("Cover",'Cover PivotTable'!$A$4,"Site",$A26,"Year",O$1,"Transect",$B26)),GETPIVOTDATA("Cover",'Cover PivotTable'!$A$4,"Site",$A26,"Year",O$1)=""), "",GETPIVOTDATA("Cover",'Cover PivotTable'!$A$4,"Site",$A26,"Year",O$1,"Transect",$B26))</f>
        <v>15</v>
      </c>
    </row>
    <row r="27" spans="1:15" x14ac:dyDescent="0.35">
      <c r="A27" t="s">
        <v>18</v>
      </c>
      <c r="B27">
        <v>4.5999999999999996</v>
      </c>
      <c r="C27" s="17">
        <f>IF(OR(ISERROR(GETPIVOTDATA("Cover",'Cover PivotTable'!$A$4,"Site",$A27,"Year",C$1,"Transect",$B27)),GETPIVOTDATA("Cover",'Cover PivotTable'!$A$4,"Site",$A27,"Year",C$1)=""), "",GETPIVOTDATA("Cover",'Cover PivotTable'!$A$4,"Site",$A27,"Year",C$1,"Transect",$B27))</f>
        <v>3</v>
      </c>
      <c r="D27" s="17" t="str">
        <f>IF(OR(ISERROR(GETPIVOTDATA("Cover",'Cover PivotTable'!$A$4,"Site",$A27,"Year",D$1,"Transect",$B27)),GETPIVOTDATA("Cover",'Cover PivotTable'!$A$4,"Site",$A27,"Year",D$1)=""), "",GETPIVOTDATA("Cover",'Cover PivotTable'!$A$4,"Site",$A27,"Year",D$1,"Transect",$B27))</f>
        <v/>
      </c>
      <c r="E27" s="17" t="str">
        <f>IF(OR(ISERROR(GETPIVOTDATA("Cover",'Cover PivotTable'!$A$4,"Site",$A27,"Year",E$1,"Transect",$B27)),GETPIVOTDATA("Cover",'Cover PivotTable'!$A$4,"Site",$A27,"Year",E$1)=""), "",GETPIVOTDATA("Cover",'Cover PivotTable'!$A$4,"Site",$A27,"Year",E$1,"Transect",$B27))</f>
        <v/>
      </c>
      <c r="F27" s="17">
        <f>IF(OR(ISERROR(GETPIVOTDATA("Cover",'Cover PivotTable'!$A$4,"Site",$A27,"Year",F$1,"Transect",$B27)),GETPIVOTDATA("Cover",'Cover PivotTable'!$A$4,"Site",$A27,"Year",F$1)=""), "",GETPIVOTDATA("Cover",'Cover PivotTable'!$A$4,"Site",$A27,"Year",F$1,"Transect",$B27))</f>
        <v>2</v>
      </c>
      <c r="G27" s="17" t="str">
        <f>IF(OR(ISERROR(GETPIVOTDATA("Cover",'Cover PivotTable'!$A$4,"Site",$A27,"Year",G$1,"Transect",$B27)),GETPIVOTDATA("Cover",'Cover PivotTable'!$A$4,"Site",$A27,"Year",G$1)=""), "",GETPIVOTDATA("Cover",'Cover PivotTable'!$A$4,"Site",$A27,"Year",G$1,"Transect",$B27))</f>
        <v/>
      </c>
      <c r="H27" s="17" t="str">
        <f>IF(OR(ISERROR(GETPIVOTDATA("Cover",'Cover PivotTable'!$A$4,"Site",$A27,"Year",H$1,"Transect",$B27)),GETPIVOTDATA("Cover",'Cover PivotTable'!$A$4,"Site",$A27,"Year",H$1)=""), "",GETPIVOTDATA("Cover",'Cover PivotTable'!$A$4,"Site",$A27,"Year",H$1,"Transect",$B27))</f>
        <v/>
      </c>
      <c r="I27" s="17" t="str">
        <f>IF(OR(ISERROR(GETPIVOTDATA("Cover",'Cover PivotTable'!$A$4,"Site",$A27,"Year",I$1,"Transect",$B27)),GETPIVOTDATA("Cover",'Cover PivotTable'!$A$4,"Site",$A27,"Year",I$1)=""), "",GETPIVOTDATA("Cover",'Cover PivotTable'!$A$4,"Site",$A27,"Year",I$1,"Transect",$B27))</f>
        <v/>
      </c>
      <c r="J27" s="17">
        <f>IF(OR(ISERROR(GETPIVOTDATA("Cover",'Cover PivotTable'!$A$4,"Site",$A27,"Year",J$1,"Transect",$B27)),GETPIVOTDATA("Cover",'Cover PivotTable'!$A$4,"Site",$A27,"Year",J$1)=""), "",GETPIVOTDATA("Cover",'Cover PivotTable'!$A$4,"Site",$A27,"Year",J$1,"Transect",$B27))</f>
        <v>2.5</v>
      </c>
      <c r="K27" s="17" t="str">
        <f>IF(OR(ISERROR(GETPIVOTDATA("Cover",'Cover PivotTable'!$A$4,"Site",$A27,"Year",K$1,"Transect",$B27)),GETPIVOTDATA("Cover",'Cover PivotTable'!$A$4,"Site",$A27,"Year",K$1)=""), "",GETPIVOTDATA("Cover",'Cover PivotTable'!$A$4,"Site",$A27,"Year",K$1,"Transect",$B27))</f>
        <v/>
      </c>
      <c r="L27" s="17">
        <f>IF(OR(ISERROR(GETPIVOTDATA("Cover",'Cover PivotTable'!$A$4,"Site",$A27,"Year",L$1,"Transect",$B27)),GETPIVOTDATA("Cover",'Cover PivotTable'!$A$4,"Site",$A27,"Year",L$1)=""), "",GETPIVOTDATA("Cover",'Cover PivotTable'!$A$4,"Site",$A27,"Year",L$1,"Transect",$B27))</f>
        <v>2.5</v>
      </c>
      <c r="M27" s="17" t="str">
        <f>IF(OR(ISERROR(GETPIVOTDATA("Cover",'Cover PivotTable'!$A$4,"Site",$A27,"Year",M$1,"Transect",$B27)),GETPIVOTDATA("Cover",'Cover PivotTable'!$A$4,"Site",$A27,"Year",M$1)=""), "",GETPIVOTDATA("Cover",'Cover PivotTable'!$A$4,"Site",$A27,"Year",M$1,"Transect",$B27))</f>
        <v/>
      </c>
      <c r="N27" s="17">
        <f>IF(OR(ISERROR(GETPIVOTDATA("Cover",'Cover PivotTable'!$A$4,"Site",$A27,"Year",N$1,"Transect",$B27)),GETPIVOTDATA("Cover",'Cover PivotTable'!$A$4,"Site",$A27,"Year",N$1)=""), "",GETPIVOTDATA("Cover",'Cover PivotTable'!$A$4,"Site",$A27,"Year",N$1,"Transect",$B27))</f>
        <v>1.5</v>
      </c>
      <c r="O27" s="17">
        <f>IF(OR(ISERROR(GETPIVOTDATA("Cover",'Cover PivotTable'!$A$4,"Site",$A27,"Year",O$1,"Transect",$B27)),GETPIVOTDATA("Cover",'Cover PivotTable'!$A$4,"Site",$A27,"Year",O$1)=""), "",GETPIVOTDATA("Cover",'Cover PivotTable'!$A$4,"Site",$A27,"Year",O$1,"Transect",$B27))</f>
        <v>3</v>
      </c>
    </row>
    <row r="28" spans="1:15" x14ac:dyDescent="0.35">
      <c r="A28" t="s">
        <v>18</v>
      </c>
      <c r="B28">
        <v>4.7</v>
      </c>
      <c r="C28" s="17">
        <f>IF(OR(ISERROR(GETPIVOTDATA("Cover",'Cover PivotTable'!$A$4,"Site",$A28,"Year",C$1,"Transect",$B28)),GETPIVOTDATA("Cover",'Cover PivotTable'!$A$4,"Site",$A28,"Year",C$1)=""), "",GETPIVOTDATA("Cover",'Cover PivotTable'!$A$4,"Site",$A28,"Year",C$1,"Transect",$B28))</f>
        <v>15.873015873015872</v>
      </c>
      <c r="D28" s="17" t="str">
        <f>IF(OR(ISERROR(GETPIVOTDATA("Cover",'Cover PivotTable'!$A$4,"Site",$A28,"Year",D$1,"Transect",$B28)),GETPIVOTDATA("Cover",'Cover PivotTable'!$A$4,"Site",$A28,"Year",D$1)=""), "",GETPIVOTDATA("Cover",'Cover PivotTable'!$A$4,"Site",$A28,"Year",D$1,"Transect",$B28))</f>
        <v/>
      </c>
      <c r="E28" s="17" t="str">
        <f>IF(OR(ISERROR(GETPIVOTDATA("Cover",'Cover PivotTable'!$A$4,"Site",$A28,"Year",E$1,"Transect",$B28)),GETPIVOTDATA("Cover",'Cover PivotTable'!$A$4,"Site",$A28,"Year",E$1)=""), "",GETPIVOTDATA("Cover",'Cover PivotTable'!$A$4,"Site",$A28,"Year",E$1,"Transect",$B28))</f>
        <v/>
      </c>
      <c r="F28" s="17">
        <f>IF(OR(ISERROR(GETPIVOTDATA("Cover",'Cover PivotTable'!$A$4,"Site",$A28,"Year",F$1,"Transect",$B28)),GETPIVOTDATA("Cover",'Cover PivotTable'!$A$4,"Site",$A28,"Year",F$1)=""), "",GETPIVOTDATA("Cover",'Cover PivotTable'!$A$4,"Site",$A28,"Year",F$1,"Transect",$B28))</f>
        <v>12.698412698412696</v>
      </c>
      <c r="G28" s="17" t="str">
        <f>IF(OR(ISERROR(GETPIVOTDATA("Cover",'Cover PivotTable'!$A$4,"Site",$A28,"Year",G$1,"Transect",$B28)),GETPIVOTDATA("Cover",'Cover PivotTable'!$A$4,"Site",$A28,"Year",G$1)=""), "",GETPIVOTDATA("Cover",'Cover PivotTable'!$A$4,"Site",$A28,"Year",G$1,"Transect",$B28))</f>
        <v/>
      </c>
      <c r="H28" s="17" t="str">
        <f>IF(OR(ISERROR(GETPIVOTDATA("Cover",'Cover PivotTable'!$A$4,"Site",$A28,"Year",H$1,"Transect",$B28)),GETPIVOTDATA("Cover",'Cover PivotTable'!$A$4,"Site",$A28,"Year",H$1)=""), "",GETPIVOTDATA("Cover",'Cover PivotTable'!$A$4,"Site",$A28,"Year",H$1,"Transect",$B28))</f>
        <v/>
      </c>
      <c r="I28" s="17" t="str">
        <f>IF(OR(ISERROR(GETPIVOTDATA("Cover",'Cover PivotTable'!$A$4,"Site",$A28,"Year",I$1,"Transect",$B28)),GETPIVOTDATA("Cover",'Cover PivotTable'!$A$4,"Site",$A28,"Year",I$1)=""), "",GETPIVOTDATA("Cover",'Cover PivotTable'!$A$4,"Site",$A28,"Year",I$1,"Transect",$B28))</f>
        <v/>
      </c>
      <c r="J28" s="17">
        <f>IF(OR(ISERROR(GETPIVOTDATA("Cover",'Cover PivotTable'!$A$4,"Site",$A28,"Year",J$1,"Transect",$B28)),GETPIVOTDATA("Cover",'Cover PivotTable'!$A$4,"Site",$A28,"Year",J$1)=""), "",GETPIVOTDATA("Cover",'Cover PivotTable'!$A$4,"Site",$A28,"Year",J$1,"Transect",$B28))</f>
        <v>8</v>
      </c>
      <c r="K28" s="17" t="str">
        <f>IF(OR(ISERROR(GETPIVOTDATA("Cover",'Cover PivotTable'!$A$4,"Site",$A28,"Year",K$1,"Transect",$B28)),GETPIVOTDATA("Cover",'Cover PivotTable'!$A$4,"Site",$A28,"Year",K$1)=""), "",GETPIVOTDATA("Cover",'Cover PivotTable'!$A$4,"Site",$A28,"Year",K$1,"Transect",$B28))</f>
        <v/>
      </c>
      <c r="L28" s="17">
        <f>IF(OR(ISERROR(GETPIVOTDATA("Cover",'Cover PivotTable'!$A$4,"Site",$A28,"Year",L$1,"Transect",$B28)),GETPIVOTDATA("Cover",'Cover PivotTable'!$A$4,"Site",$A28,"Year",L$1)=""), "",GETPIVOTDATA("Cover",'Cover PivotTable'!$A$4,"Site",$A28,"Year",L$1,"Transect",$B28))</f>
        <v>7.5000000000000009</v>
      </c>
      <c r="M28" s="17" t="str">
        <f>IF(OR(ISERROR(GETPIVOTDATA("Cover",'Cover PivotTable'!$A$4,"Site",$A28,"Year",M$1,"Transect",$B28)),GETPIVOTDATA("Cover",'Cover PivotTable'!$A$4,"Site",$A28,"Year",M$1)=""), "",GETPIVOTDATA("Cover",'Cover PivotTable'!$A$4,"Site",$A28,"Year",M$1,"Transect",$B28))</f>
        <v/>
      </c>
      <c r="N28" s="17">
        <f>IF(OR(ISERROR(GETPIVOTDATA("Cover",'Cover PivotTable'!$A$4,"Site",$A28,"Year",N$1,"Transect",$B28)),GETPIVOTDATA("Cover",'Cover PivotTable'!$A$4,"Site",$A28,"Year",N$1)=""), "",GETPIVOTDATA("Cover",'Cover PivotTable'!$A$4,"Site",$A28,"Year",N$1,"Transect",$B28))</f>
        <v>4</v>
      </c>
      <c r="O28" s="17">
        <f>IF(OR(ISERROR(GETPIVOTDATA("Cover",'Cover PivotTable'!$A$4,"Site",$A28,"Year",O$1,"Transect",$B28)),GETPIVOTDATA("Cover",'Cover PivotTable'!$A$4,"Site",$A28,"Year",O$1)=""), "",GETPIVOTDATA("Cover",'Cover PivotTable'!$A$4,"Site",$A28,"Year",O$1,"Transect",$B28))</f>
        <v>13.227513227513228</v>
      </c>
    </row>
    <row r="29" spans="1:15" x14ac:dyDescent="0.35">
      <c r="A29" t="s">
        <v>18</v>
      </c>
      <c r="B29">
        <v>5.0999999999999996</v>
      </c>
      <c r="C29" s="17">
        <f>IF(OR(ISERROR(GETPIVOTDATA("Cover",'Cover PivotTable'!$A$4,"Site",$A29,"Year",C$1,"Transect",$B29)),GETPIVOTDATA("Cover",'Cover PivotTable'!$A$4,"Site",$A29,"Year",C$1)=""), "",GETPIVOTDATA("Cover",'Cover PivotTable'!$A$4,"Site",$A29,"Year",C$1,"Transect",$B29))</f>
        <v>10.5</v>
      </c>
      <c r="D29" s="17" t="str">
        <f>IF(OR(ISERROR(GETPIVOTDATA("Cover",'Cover PivotTable'!$A$4,"Site",$A29,"Year",D$1,"Transect",$B29)),GETPIVOTDATA("Cover",'Cover PivotTable'!$A$4,"Site",$A29,"Year",D$1)=""), "",GETPIVOTDATA("Cover",'Cover PivotTable'!$A$4,"Site",$A29,"Year",D$1,"Transect",$B29))</f>
        <v/>
      </c>
      <c r="E29" s="17" t="str">
        <f>IF(OR(ISERROR(GETPIVOTDATA("Cover",'Cover PivotTable'!$A$4,"Site",$A29,"Year",E$1,"Transect",$B29)),GETPIVOTDATA("Cover",'Cover PivotTable'!$A$4,"Site",$A29,"Year",E$1)=""), "",GETPIVOTDATA("Cover",'Cover PivotTable'!$A$4,"Site",$A29,"Year",E$1,"Transect",$B29))</f>
        <v/>
      </c>
      <c r="F29" s="17">
        <f>IF(OR(ISERROR(GETPIVOTDATA("Cover",'Cover PivotTable'!$A$4,"Site",$A29,"Year",F$1,"Transect",$B29)),GETPIVOTDATA("Cover",'Cover PivotTable'!$A$4,"Site",$A29,"Year",F$1)=""), "",GETPIVOTDATA("Cover",'Cover PivotTable'!$A$4,"Site",$A29,"Year",F$1,"Transect",$B29))</f>
        <v>16</v>
      </c>
      <c r="G29" s="17" t="str">
        <f>IF(OR(ISERROR(GETPIVOTDATA("Cover",'Cover PivotTable'!$A$4,"Site",$A29,"Year",G$1,"Transect",$B29)),GETPIVOTDATA("Cover",'Cover PivotTable'!$A$4,"Site",$A29,"Year",G$1)=""), "",GETPIVOTDATA("Cover",'Cover PivotTable'!$A$4,"Site",$A29,"Year",G$1,"Transect",$B29))</f>
        <v/>
      </c>
      <c r="H29" s="17" t="str">
        <f>IF(OR(ISERROR(GETPIVOTDATA("Cover",'Cover PivotTable'!$A$4,"Site",$A29,"Year",H$1,"Transect",$B29)),GETPIVOTDATA("Cover",'Cover PivotTable'!$A$4,"Site",$A29,"Year",H$1)=""), "",GETPIVOTDATA("Cover",'Cover PivotTable'!$A$4,"Site",$A29,"Year",H$1,"Transect",$B29))</f>
        <v/>
      </c>
      <c r="I29" s="17" t="str">
        <f>IF(OR(ISERROR(GETPIVOTDATA("Cover",'Cover PivotTable'!$A$4,"Site",$A29,"Year",I$1,"Transect",$B29)),GETPIVOTDATA("Cover",'Cover PivotTable'!$A$4,"Site",$A29,"Year",I$1)=""), "",GETPIVOTDATA("Cover",'Cover PivotTable'!$A$4,"Site",$A29,"Year",I$1,"Transect",$B29))</f>
        <v/>
      </c>
      <c r="J29" s="17">
        <f>IF(OR(ISERROR(GETPIVOTDATA("Cover",'Cover PivotTable'!$A$4,"Site",$A29,"Year",J$1,"Transect",$B29)),GETPIVOTDATA("Cover",'Cover PivotTable'!$A$4,"Site",$A29,"Year",J$1)=""), "",GETPIVOTDATA("Cover",'Cover PivotTable'!$A$4,"Site",$A29,"Year",J$1,"Transect",$B29))</f>
        <v>7.5</v>
      </c>
      <c r="K29" s="17" t="str">
        <f>IF(OR(ISERROR(GETPIVOTDATA("Cover",'Cover PivotTable'!$A$4,"Site",$A29,"Year",K$1,"Transect",$B29)),GETPIVOTDATA("Cover",'Cover PivotTable'!$A$4,"Site",$A29,"Year",K$1)=""), "",GETPIVOTDATA("Cover",'Cover PivotTable'!$A$4,"Site",$A29,"Year",K$1,"Transect",$B29))</f>
        <v/>
      </c>
      <c r="L29" s="17">
        <f>IF(OR(ISERROR(GETPIVOTDATA("Cover",'Cover PivotTable'!$A$4,"Site",$A29,"Year",L$1,"Transect",$B29)),GETPIVOTDATA("Cover",'Cover PivotTable'!$A$4,"Site",$A29,"Year",L$1)=""), "",GETPIVOTDATA("Cover",'Cover PivotTable'!$A$4,"Site",$A29,"Year",L$1,"Transect",$B29))</f>
        <v>10.5</v>
      </c>
      <c r="M29" s="17" t="str">
        <f>IF(OR(ISERROR(GETPIVOTDATA("Cover",'Cover PivotTable'!$A$4,"Site",$A29,"Year",M$1,"Transect",$B29)),GETPIVOTDATA("Cover",'Cover PivotTable'!$A$4,"Site",$A29,"Year",M$1)=""), "",GETPIVOTDATA("Cover",'Cover PivotTable'!$A$4,"Site",$A29,"Year",M$1,"Transect",$B29))</f>
        <v/>
      </c>
      <c r="N29" s="17">
        <f>IF(OR(ISERROR(GETPIVOTDATA("Cover",'Cover PivotTable'!$A$4,"Site",$A29,"Year",N$1,"Transect",$B29)),GETPIVOTDATA("Cover",'Cover PivotTable'!$A$4,"Site",$A29,"Year",N$1)=""), "",GETPIVOTDATA("Cover",'Cover PivotTable'!$A$4,"Site",$A29,"Year",N$1,"Transect",$B29))</f>
        <v>2</v>
      </c>
      <c r="O29" s="17">
        <f>IF(OR(ISERROR(GETPIVOTDATA("Cover",'Cover PivotTable'!$A$4,"Site",$A29,"Year",O$1,"Transect",$B29)),GETPIVOTDATA("Cover",'Cover PivotTable'!$A$4,"Site",$A29,"Year",O$1)=""), "",GETPIVOTDATA("Cover",'Cover PivotTable'!$A$4,"Site",$A29,"Year",O$1,"Transect",$B29))</f>
        <v>7.5</v>
      </c>
    </row>
    <row r="30" spans="1:15" x14ac:dyDescent="0.35">
      <c r="A30" t="s">
        <v>18</v>
      </c>
      <c r="B30">
        <v>5.2</v>
      </c>
      <c r="C30" s="17">
        <f>IF(OR(ISERROR(GETPIVOTDATA("Cover",'Cover PivotTable'!$A$4,"Site",$A30,"Year",C$1,"Transect",$B30)),GETPIVOTDATA("Cover",'Cover PivotTable'!$A$4,"Site",$A30,"Year",C$1)=""), "",GETPIVOTDATA("Cover",'Cover PivotTable'!$A$4,"Site",$A30,"Year",C$1,"Transect",$B30))</f>
        <v>15</v>
      </c>
      <c r="D30" s="17" t="str">
        <f>IF(OR(ISERROR(GETPIVOTDATA("Cover",'Cover PivotTable'!$A$4,"Site",$A30,"Year",D$1,"Transect",$B30)),GETPIVOTDATA("Cover",'Cover PivotTable'!$A$4,"Site",$A30,"Year",D$1)=""), "",GETPIVOTDATA("Cover",'Cover PivotTable'!$A$4,"Site",$A30,"Year",D$1,"Transect",$B30))</f>
        <v/>
      </c>
      <c r="E30" s="17" t="str">
        <f>IF(OR(ISERROR(GETPIVOTDATA("Cover",'Cover PivotTable'!$A$4,"Site",$A30,"Year",E$1,"Transect",$B30)),GETPIVOTDATA("Cover",'Cover PivotTable'!$A$4,"Site",$A30,"Year",E$1)=""), "",GETPIVOTDATA("Cover",'Cover PivotTable'!$A$4,"Site",$A30,"Year",E$1,"Transect",$B30))</f>
        <v/>
      </c>
      <c r="F30" s="17">
        <f>IF(OR(ISERROR(GETPIVOTDATA("Cover",'Cover PivotTable'!$A$4,"Site",$A30,"Year",F$1,"Transect",$B30)),GETPIVOTDATA("Cover",'Cover PivotTable'!$A$4,"Site",$A30,"Year",F$1)=""), "",GETPIVOTDATA("Cover",'Cover PivotTable'!$A$4,"Site",$A30,"Year",F$1,"Transect",$B30))</f>
        <v>16.5</v>
      </c>
      <c r="G30" s="17" t="str">
        <f>IF(OR(ISERROR(GETPIVOTDATA("Cover",'Cover PivotTable'!$A$4,"Site",$A30,"Year",G$1,"Transect",$B30)),GETPIVOTDATA("Cover",'Cover PivotTable'!$A$4,"Site",$A30,"Year",G$1)=""), "",GETPIVOTDATA("Cover",'Cover PivotTable'!$A$4,"Site",$A30,"Year",G$1,"Transect",$B30))</f>
        <v/>
      </c>
      <c r="H30" s="17" t="str">
        <f>IF(OR(ISERROR(GETPIVOTDATA("Cover",'Cover PivotTable'!$A$4,"Site",$A30,"Year",H$1,"Transect",$B30)),GETPIVOTDATA("Cover",'Cover PivotTable'!$A$4,"Site",$A30,"Year",H$1)=""), "",GETPIVOTDATA("Cover",'Cover PivotTable'!$A$4,"Site",$A30,"Year",H$1,"Transect",$B30))</f>
        <v/>
      </c>
      <c r="I30" s="17" t="str">
        <f>IF(OR(ISERROR(GETPIVOTDATA("Cover",'Cover PivotTable'!$A$4,"Site",$A30,"Year",I$1,"Transect",$B30)),GETPIVOTDATA("Cover",'Cover PivotTable'!$A$4,"Site",$A30,"Year",I$1)=""), "",GETPIVOTDATA("Cover",'Cover PivotTable'!$A$4,"Site",$A30,"Year",I$1,"Transect",$B30))</f>
        <v/>
      </c>
      <c r="J30" s="17">
        <f>IF(OR(ISERROR(GETPIVOTDATA("Cover",'Cover PivotTable'!$A$4,"Site",$A30,"Year",J$1,"Transect",$B30)),GETPIVOTDATA("Cover",'Cover PivotTable'!$A$4,"Site",$A30,"Year",J$1)=""), "",GETPIVOTDATA("Cover",'Cover PivotTable'!$A$4,"Site",$A30,"Year",J$1,"Transect",$B30))</f>
        <v>9.5</v>
      </c>
      <c r="K30" s="17" t="str">
        <f>IF(OR(ISERROR(GETPIVOTDATA("Cover",'Cover PivotTable'!$A$4,"Site",$A30,"Year",K$1,"Transect",$B30)),GETPIVOTDATA("Cover",'Cover PivotTable'!$A$4,"Site",$A30,"Year",K$1)=""), "",GETPIVOTDATA("Cover",'Cover PivotTable'!$A$4,"Site",$A30,"Year",K$1,"Transect",$B30))</f>
        <v/>
      </c>
      <c r="L30" s="17">
        <f>IF(OR(ISERROR(GETPIVOTDATA("Cover",'Cover PivotTable'!$A$4,"Site",$A30,"Year",L$1,"Transect",$B30)),GETPIVOTDATA("Cover",'Cover PivotTable'!$A$4,"Site",$A30,"Year",L$1)=""), "",GETPIVOTDATA("Cover",'Cover PivotTable'!$A$4,"Site",$A30,"Year",L$1,"Transect",$B30))</f>
        <v>5</v>
      </c>
      <c r="M30" s="17" t="str">
        <f>IF(OR(ISERROR(GETPIVOTDATA("Cover",'Cover PivotTable'!$A$4,"Site",$A30,"Year",M$1,"Transect",$B30)),GETPIVOTDATA("Cover",'Cover PivotTable'!$A$4,"Site",$A30,"Year",M$1)=""), "",GETPIVOTDATA("Cover",'Cover PivotTable'!$A$4,"Site",$A30,"Year",M$1,"Transect",$B30))</f>
        <v/>
      </c>
      <c r="N30" s="17">
        <f>IF(OR(ISERROR(GETPIVOTDATA("Cover",'Cover PivotTable'!$A$4,"Site",$A30,"Year",N$1,"Transect",$B30)),GETPIVOTDATA("Cover",'Cover PivotTable'!$A$4,"Site",$A30,"Year",N$1)=""), "",GETPIVOTDATA("Cover",'Cover PivotTable'!$A$4,"Site",$A30,"Year",N$1,"Transect",$B30))</f>
        <v>9.5</v>
      </c>
      <c r="O30" s="17">
        <f>IF(OR(ISERROR(GETPIVOTDATA("Cover",'Cover PivotTable'!$A$4,"Site",$A30,"Year",O$1,"Transect",$B30)),GETPIVOTDATA("Cover",'Cover PivotTable'!$A$4,"Site",$A30,"Year",O$1)=""), "",GETPIVOTDATA("Cover",'Cover PivotTable'!$A$4,"Site",$A30,"Year",O$1,"Transect",$B30))</f>
        <v>19</v>
      </c>
    </row>
    <row r="31" spans="1:15" x14ac:dyDescent="0.35">
      <c r="A31" t="s">
        <v>18</v>
      </c>
      <c r="B31">
        <v>5.3</v>
      </c>
      <c r="C31" s="17">
        <f>IF(OR(ISERROR(GETPIVOTDATA("Cover",'Cover PivotTable'!$A$4,"Site",$A31,"Year",C$1,"Transect",$B31)),GETPIVOTDATA("Cover",'Cover PivotTable'!$A$4,"Site",$A31,"Year",C$1)=""), "",GETPIVOTDATA("Cover",'Cover PivotTable'!$A$4,"Site",$A31,"Year",C$1,"Transect",$B31))</f>
        <v>1.5</v>
      </c>
      <c r="D31" s="17" t="str">
        <f>IF(OR(ISERROR(GETPIVOTDATA("Cover",'Cover PivotTable'!$A$4,"Site",$A31,"Year",D$1,"Transect",$B31)),GETPIVOTDATA("Cover",'Cover PivotTable'!$A$4,"Site",$A31,"Year",D$1)=""), "",GETPIVOTDATA("Cover",'Cover PivotTable'!$A$4,"Site",$A31,"Year",D$1,"Transect",$B31))</f>
        <v/>
      </c>
      <c r="E31" s="17" t="str">
        <f>IF(OR(ISERROR(GETPIVOTDATA("Cover",'Cover PivotTable'!$A$4,"Site",$A31,"Year",E$1,"Transect",$B31)),GETPIVOTDATA("Cover",'Cover PivotTable'!$A$4,"Site",$A31,"Year",E$1)=""), "",GETPIVOTDATA("Cover",'Cover PivotTable'!$A$4,"Site",$A31,"Year",E$1,"Transect",$B31))</f>
        <v/>
      </c>
      <c r="F31" s="17">
        <f>IF(OR(ISERROR(GETPIVOTDATA("Cover",'Cover PivotTable'!$A$4,"Site",$A31,"Year",F$1,"Transect",$B31)),GETPIVOTDATA("Cover",'Cover PivotTable'!$A$4,"Site",$A31,"Year",F$1)=""), "",GETPIVOTDATA("Cover",'Cover PivotTable'!$A$4,"Site",$A31,"Year",F$1,"Transect",$B31))</f>
        <v>0</v>
      </c>
      <c r="G31" s="17" t="str">
        <f>IF(OR(ISERROR(GETPIVOTDATA("Cover",'Cover PivotTable'!$A$4,"Site",$A31,"Year",G$1,"Transect",$B31)),GETPIVOTDATA("Cover",'Cover PivotTable'!$A$4,"Site",$A31,"Year",G$1)=""), "",GETPIVOTDATA("Cover",'Cover PivotTable'!$A$4,"Site",$A31,"Year",G$1,"Transect",$B31))</f>
        <v/>
      </c>
      <c r="H31" s="17" t="str">
        <f>IF(OR(ISERROR(GETPIVOTDATA("Cover",'Cover PivotTable'!$A$4,"Site",$A31,"Year",H$1,"Transect",$B31)),GETPIVOTDATA("Cover",'Cover PivotTable'!$A$4,"Site",$A31,"Year",H$1)=""), "",GETPIVOTDATA("Cover",'Cover PivotTable'!$A$4,"Site",$A31,"Year",H$1,"Transect",$B31))</f>
        <v/>
      </c>
      <c r="I31" s="17" t="str">
        <f>IF(OR(ISERROR(GETPIVOTDATA("Cover",'Cover PivotTable'!$A$4,"Site",$A31,"Year",I$1,"Transect",$B31)),GETPIVOTDATA("Cover",'Cover PivotTable'!$A$4,"Site",$A31,"Year",I$1)=""), "",GETPIVOTDATA("Cover",'Cover PivotTable'!$A$4,"Site",$A31,"Year",I$1,"Transect",$B31))</f>
        <v/>
      </c>
      <c r="J31" s="17">
        <f>IF(OR(ISERROR(GETPIVOTDATA("Cover",'Cover PivotTable'!$A$4,"Site",$A31,"Year",J$1,"Transect",$B31)),GETPIVOTDATA("Cover",'Cover PivotTable'!$A$4,"Site",$A31,"Year",J$1)=""), "",GETPIVOTDATA("Cover",'Cover PivotTable'!$A$4,"Site",$A31,"Year",J$1,"Transect",$B31))</f>
        <v>1.5</v>
      </c>
      <c r="K31" s="17" t="str">
        <f>IF(OR(ISERROR(GETPIVOTDATA("Cover",'Cover PivotTable'!$A$4,"Site",$A31,"Year",K$1,"Transect",$B31)),GETPIVOTDATA("Cover",'Cover PivotTable'!$A$4,"Site",$A31,"Year",K$1)=""), "",GETPIVOTDATA("Cover",'Cover PivotTable'!$A$4,"Site",$A31,"Year",K$1,"Transect",$B31))</f>
        <v/>
      </c>
      <c r="L31" s="17">
        <f>IF(OR(ISERROR(GETPIVOTDATA("Cover",'Cover PivotTable'!$A$4,"Site",$A31,"Year",L$1,"Transect",$B31)),GETPIVOTDATA("Cover",'Cover PivotTable'!$A$4,"Site",$A31,"Year",L$1)=""), "",GETPIVOTDATA("Cover",'Cover PivotTable'!$A$4,"Site",$A31,"Year",L$1,"Transect",$B31))</f>
        <v>6.5</v>
      </c>
      <c r="M31" s="17" t="str">
        <f>IF(OR(ISERROR(GETPIVOTDATA("Cover",'Cover PivotTable'!$A$4,"Site",$A31,"Year",M$1,"Transect",$B31)),GETPIVOTDATA("Cover",'Cover PivotTable'!$A$4,"Site",$A31,"Year",M$1)=""), "",GETPIVOTDATA("Cover",'Cover PivotTable'!$A$4,"Site",$A31,"Year",M$1,"Transect",$B31))</f>
        <v/>
      </c>
      <c r="N31" s="17">
        <f>IF(OR(ISERROR(GETPIVOTDATA("Cover",'Cover PivotTable'!$A$4,"Site",$A31,"Year",N$1,"Transect",$B31)),GETPIVOTDATA("Cover",'Cover PivotTable'!$A$4,"Site",$A31,"Year",N$1)=""), "",GETPIVOTDATA("Cover",'Cover PivotTable'!$A$4,"Site",$A31,"Year",N$1,"Transect",$B31))</f>
        <v>7.5</v>
      </c>
      <c r="O31" s="17">
        <f>IF(OR(ISERROR(GETPIVOTDATA("Cover",'Cover PivotTable'!$A$4,"Site",$A31,"Year",O$1,"Transect",$B31)),GETPIVOTDATA("Cover",'Cover PivotTable'!$A$4,"Site",$A31,"Year",O$1)=""), "",GETPIVOTDATA("Cover",'Cover PivotTable'!$A$4,"Site",$A31,"Year",O$1,"Transect",$B31))</f>
        <v>9</v>
      </c>
    </row>
    <row r="32" spans="1:15" x14ac:dyDescent="0.35">
      <c r="A32" t="s">
        <v>18</v>
      </c>
      <c r="B32">
        <v>5.4</v>
      </c>
      <c r="C32" s="17">
        <f>IF(OR(ISERROR(GETPIVOTDATA("Cover",'Cover PivotTable'!$A$4,"Site",$A32,"Year",C$1,"Transect",$B32)),GETPIVOTDATA("Cover",'Cover PivotTable'!$A$4,"Site",$A32,"Year",C$1)=""), "",GETPIVOTDATA("Cover",'Cover PivotTable'!$A$4,"Site",$A32,"Year",C$1,"Transect",$B32))</f>
        <v>0.5</v>
      </c>
      <c r="D32" s="17" t="str">
        <f>IF(OR(ISERROR(GETPIVOTDATA("Cover",'Cover PivotTable'!$A$4,"Site",$A32,"Year",D$1,"Transect",$B32)),GETPIVOTDATA("Cover",'Cover PivotTable'!$A$4,"Site",$A32,"Year",D$1)=""), "",GETPIVOTDATA("Cover",'Cover PivotTable'!$A$4,"Site",$A32,"Year",D$1,"Transect",$B32))</f>
        <v/>
      </c>
      <c r="E32" s="17" t="str">
        <f>IF(OR(ISERROR(GETPIVOTDATA("Cover",'Cover PivotTable'!$A$4,"Site",$A32,"Year",E$1,"Transect",$B32)),GETPIVOTDATA("Cover",'Cover PivotTable'!$A$4,"Site",$A32,"Year",E$1)=""), "",GETPIVOTDATA("Cover",'Cover PivotTable'!$A$4,"Site",$A32,"Year",E$1,"Transect",$B32))</f>
        <v/>
      </c>
      <c r="F32" s="17">
        <f>IF(OR(ISERROR(GETPIVOTDATA("Cover",'Cover PivotTable'!$A$4,"Site",$A32,"Year",F$1,"Transect",$B32)),GETPIVOTDATA("Cover",'Cover PivotTable'!$A$4,"Site",$A32,"Year",F$1)=""), "",GETPIVOTDATA("Cover",'Cover PivotTable'!$A$4,"Site",$A32,"Year",F$1,"Transect",$B32))</f>
        <v>1.5</v>
      </c>
      <c r="G32" s="17" t="str">
        <f>IF(OR(ISERROR(GETPIVOTDATA("Cover",'Cover PivotTable'!$A$4,"Site",$A32,"Year",G$1,"Transect",$B32)),GETPIVOTDATA("Cover",'Cover PivotTable'!$A$4,"Site",$A32,"Year",G$1)=""), "",GETPIVOTDATA("Cover",'Cover PivotTable'!$A$4,"Site",$A32,"Year",G$1,"Transect",$B32))</f>
        <v/>
      </c>
      <c r="H32" s="17" t="str">
        <f>IF(OR(ISERROR(GETPIVOTDATA("Cover",'Cover PivotTable'!$A$4,"Site",$A32,"Year",H$1,"Transect",$B32)),GETPIVOTDATA("Cover",'Cover PivotTable'!$A$4,"Site",$A32,"Year",H$1)=""), "",GETPIVOTDATA("Cover",'Cover PivotTable'!$A$4,"Site",$A32,"Year",H$1,"Transect",$B32))</f>
        <v/>
      </c>
      <c r="I32" s="17" t="str">
        <f>IF(OR(ISERROR(GETPIVOTDATA("Cover",'Cover PivotTable'!$A$4,"Site",$A32,"Year",I$1,"Transect",$B32)),GETPIVOTDATA("Cover",'Cover PivotTable'!$A$4,"Site",$A32,"Year",I$1)=""), "",GETPIVOTDATA("Cover",'Cover PivotTable'!$A$4,"Site",$A32,"Year",I$1,"Transect",$B32))</f>
        <v/>
      </c>
      <c r="J32" s="17">
        <f>IF(OR(ISERROR(GETPIVOTDATA("Cover",'Cover PivotTable'!$A$4,"Site",$A32,"Year",J$1,"Transect",$B32)),GETPIVOTDATA("Cover",'Cover PivotTable'!$A$4,"Site",$A32,"Year",J$1)=""), "",GETPIVOTDATA("Cover",'Cover PivotTable'!$A$4,"Site",$A32,"Year",J$1,"Transect",$B32))</f>
        <v>4</v>
      </c>
      <c r="K32" s="17" t="str">
        <f>IF(OR(ISERROR(GETPIVOTDATA("Cover",'Cover PivotTable'!$A$4,"Site",$A32,"Year",K$1,"Transect",$B32)),GETPIVOTDATA("Cover",'Cover PivotTable'!$A$4,"Site",$A32,"Year",K$1)=""), "",GETPIVOTDATA("Cover",'Cover PivotTable'!$A$4,"Site",$A32,"Year",K$1,"Transect",$B32))</f>
        <v/>
      </c>
      <c r="L32" s="17">
        <f>IF(OR(ISERROR(GETPIVOTDATA("Cover",'Cover PivotTable'!$A$4,"Site",$A32,"Year",L$1,"Transect",$B32)),GETPIVOTDATA("Cover",'Cover PivotTable'!$A$4,"Site",$A32,"Year",L$1)=""), "",GETPIVOTDATA("Cover",'Cover PivotTable'!$A$4,"Site",$A32,"Year",L$1,"Transect",$B32))</f>
        <v>2.5</v>
      </c>
      <c r="M32" s="17" t="str">
        <f>IF(OR(ISERROR(GETPIVOTDATA("Cover",'Cover PivotTable'!$A$4,"Site",$A32,"Year",M$1,"Transect",$B32)),GETPIVOTDATA("Cover",'Cover PivotTable'!$A$4,"Site",$A32,"Year",M$1)=""), "",GETPIVOTDATA("Cover",'Cover PivotTable'!$A$4,"Site",$A32,"Year",M$1,"Transect",$B32))</f>
        <v/>
      </c>
      <c r="N32" s="17">
        <f>IF(OR(ISERROR(GETPIVOTDATA("Cover",'Cover PivotTable'!$A$4,"Site",$A32,"Year",N$1,"Transect",$B32)),GETPIVOTDATA("Cover",'Cover PivotTable'!$A$4,"Site",$A32,"Year",N$1)=""), "",GETPIVOTDATA("Cover",'Cover PivotTable'!$A$4,"Site",$A32,"Year",N$1,"Transect",$B32))</f>
        <v>6.5</v>
      </c>
      <c r="O32" s="17">
        <f>IF(OR(ISERROR(GETPIVOTDATA("Cover",'Cover PivotTable'!$A$4,"Site",$A32,"Year",O$1,"Transect",$B32)),GETPIVOTDATA("Cover",'Cover PivotTable'!$A$4,"Site",$A32,"Year",O$1)=""), "",GETPIVOTDATA("Cover",'Cover PivotTable'!$A$4,"Site",$A32,"Year",O$1,"Transect",$B32))</f>
        <v>8</v>
      </c>
    </row>
    <row r="33" spans="1:15" x14ac:dyDescent="0.35">
      <c r="A33" t="s">
        <v>18</v>
      </c>
      <c r="B33">
        <v>5.5</v>
      </c>
      <c r="C33" s="17">
        <f>IF(OR(ISERROR(GETPIVOTDATA("Cover",'Cover PivotTable'!$A$4,"Site",$A33,"Year",C$1,"Transect",$B33)),GETPIVOTDATA("Cover",'Cover PivotTable'!$A$4,"Site",$A33,"Year",C$1)=""), "",GETPIVOTDATA("Cover",'Cover PivotTable'!$A$4,"Site",$A33,"Year",C$1,"Transect",$B33))</f>
        <v>4.5</v>
      </c>
      <c r="D33" s="17" t="str">
        <f>IF(OR(ISERROR(GETPIVOTDATA("Cover",'Cover PivotTable'!$A$4,"Site",$A33,"Year",D$1,"Transect",$B33)),GETPIVOTDATA("Cover",'Cover PivotTable'!$A$4,"Site",$A33,"Year",D$1)=""), "",GETPIVOTDATA("Cover",'Cover PivotTable'!$A$4,"Site",$A33,"Year",D$1,"Transect",$B33))</f>
        <v/>
      </c>
      <c r="E33" s="17" t="str">
        <f>IF(OR(ISERROR(GETPIVOTDATA("Cover",'Cover PivotTable'!$A$4,"Site",$A33,"Year",E$1,"Transect",$B33)),GETPIVOTDATA("Cover",'Cover PivotTable'!$A$4,"Site",$A33,"Year",E$1)=""), "",GETPIVOTDATA("Cover",'Cover PivotTable'!$A$4,"Site",$A33,"Year",E$1,"Transect",$B33))</f>
        <v/>
      </c>
      <c r="F33" s="17">
        <f>IF(OR(ISERROR(GETPIVOTDATA("Cover",'Cover PivotTable'!$A$4,"Site",$A33,"Year",F$1,"Transect",$B33)),GETPIVOTDATA("Cover",'Cover PivotTable'!$A$4,"Site",$A33,"Year",F$1)=""), "",GETPIVOTDATA("Cover",'Cover PivotTable'!$A$4,"Site",$A33,"Year",F$1,"Transect",$B33))</f>
        <v>4</v>
      </c>
      <c r="G33" s="17" t="str">
        <f>IF(OR(ISERROR(GETPIVOTDATA("Cover",'Cover PivotTable'!$A$4,"Site",$A33,"Year",G$1,"Transect",$B33)),GETPIVOTDATA("Cover",'Cover PivotTable'!$A$4,"Site",$A33,"Year",G$1)=""), "",GETPIVOTDATA("Cover",'Cover PivotTable'!$A$4,"Site",$A33,"Year",G$1,"Transect",$B33))</f>
        <v/>
      </c>
      <c r="H33" s="17" t="str">
        <f>IF(OR(ISERROR(GETPIVOTDATA("Cover",'Cover PivotTable'!$A$4,"Site",$A33,"Year",H$1,"Transect",$B33)),GETPIVOTDATA("Cover",'Cover PivotTable'!$A$4,"Site",$A33,"Year",H$1)=""), "",GETPIVOTDATA("Cover",'Cover PivotTable'!$A$4,"Site",$A33,"Year",H$1,"Transect",$B33))</f>
        <v/>
      </c>
      <c r="I33" s="17" t="str">
        <f>IF(OR(ISERROR(GETPIVOTDATA("Cover",'Cover PivotTable'!$A$4,"Site",$A33,"Year",I$1,"Transect",$B33)),GETPIVOTDATA("Cover",'Cover PivotTable'!$A$4,"Site",$A33,"Year",I$1)=""), "",GETPIVOTDATA("Cover",'Cover PivotTable'!$A$4,"Site",$A33,"Year",I$1,"Transect",$B33))</f>
        <v/>
      </c>
      <c r="J33" s="17">
        <f>IF(OR(ISERROR(GETPIVOTDATA("Cover",'Cover PivotTable'!$A$4,"Site",$A33,"Year",J$1,"Transect",$B33)),GETPIVOTDATA("Cover",'Cover PivotTable'!$A$4,"Site",$A33,"Year",J$1)=""), "",GETPIVOTDATA("Cover",'Cover PivotTable'!$A$4,"Site",$A33,"Year",J$1,"Transect",$B33))</f>
        <v>2.5</v>
      </c>
      <c r="K33" s="17" t="str">
        <f>IF(OR(ISERROR(GETPIVOTDATA("Cover",'Cover PivotTable'!$A$4,"Site",$A33,"Year",K$1,"Transect",$B33)),GETPIVOTDATA("Cover",'Cover PivotTable'!$A$4,"Site",$A33,"Year",K$1)=""), "",GETPIVOTDATA("Cover",'Cover PivotTable'!$A$4,"Site",$A33,"Year",K$1,"Transect",$B33))</f>
        <v/>
      </c>
      <c r="L33" s="17">
        <f>IF(OR(ISERROR(GETPIVOTDATA("Cover",'Cover PivotTable'!$A$4,"Site",$A33,"Year",L$1,"Transect",$B33)),GETPIVOTDATA("Cover",'Cover PivotTable'!$A$4,"Site",$A33,"Year",L$1)=""), "",GETPIVOTDATA("Cover",'Cover PivotTable'!$A$4,"Site",$A33,"Year",L$1,"Transect",$B33))</f>
        <v>2.5</v>
      </c>
      <c r="M33" s="17" t="str">
        <f>IF(OR(ISERROR(GETPIVOTDATA("Cover",'Cover PivotTable'!$A$4,"Site",$A33,"Year",M$1,"Transect",$B33)),GETPIVOTDATA("Cover",'Cover PivotTable'!$A$4,"Site",$A33,"Year",M$1)=""), "",GETPIVOTDATA("Cover",'Cover PivotTable'!$A$4,"Site",$A33,"Year",M$1,"Transect",$B33))</f>
        <v/>
      </c>
      <c r="N33" s="17">
        <f>IF(OR(ISERROR(GETPIVOTDATA("Cover",'Cover PivotTable'!$A$4,"Site",$A33,"Year",N$1,"Transect",$B33)),GETPIVOTDATA("Cover",'Cover PivotTable'!$A$4,"Site",$A33,"Year",N$1)=""), "",GETPIVOTDATA("Cover",'Cover PivotTable'!$A$4,"Site",$A33,"Year",N$1,"Transect",$B33))</f>
        <v>1.5</v>
      </c>
      <c r="O33" s="17">
        <f>IF(OR(ISERROR(GETPIVOTDATA("Cover",'Cover PivotTable'!$A$4,"Site",$A33,"Year",O$1,"Transect",$B33)),GETPIVOTDATA("Cover",'Cover PivotTable'!$A$4,"Site",$A33,"Year",O$1)=""), "",GETPIVOTDATA("Cover",'Cover PivotTable'!$A$4,"Site",$A33,"Year",O$1,"Transect",$B33))</f>
        <v>3.5000000000000004</v>
      </c>
    </row>
    <row r="34" spans="1:15" x14ac:dyDescent="0.35">
      <c r="A34" t="s">
        <v>18</v>
      </c>
      <c r="B34">
        <v>5.6</v>
      </c>
      <c r="C34" s="17">
        <f>IF(OR(ISERROR(GETPIVOTDATA("Cover",'Cover PivotTable'!$A$4,"Site",$A34,"Year",C$1,"Transect",$B34)),GETPIVOTDATA("Cover",'Cover PivotTable'!$A$4,"Site",$A34,"Year",C$1)=""), "",GETPIVOTDATA("Cover",'Cover PivotTable'!$A$4,"Site",$A34,"Year",C$1,"Transect",$B34))</f>
        <v>0.5</v>
      </c>
      <c r="D34" s="17" t="str">
        <f>IF(OR(ISERROR(GETPIVOTDATA("Cover",'Cover PivotTable'!$A$4,"Site",$A34,"Year",D$1,"Transect",$B34)),GETPIVOTDATA("Cover",'Cover PivotTable'!$A$4,"Site",$A34,"Year",D$1)=""), "",GETPIVOTDATA("Cover",'Cover PivotTable'!$A$4,"Site",$A34,"Year",D$1,"Transect",$B34))</f>
        <v/>
      </c>
      <c r="E34" s="17" t="str">
        <f>IF(OR(ISERROR(GETPIVOTDATA("Cover",'Cover PivotTable'!$A$4,"Site",$A34,"Year",E$1,"Transect",$B34)),GETPIVOTDATA("Cover",'Cover PivotTable'!$A$4,"Site",$A34,"Year",E$1)=""), "",GETPIVOTDATA("Cover",'Cover PivotTable'!$A$4,"Site",$A34,"Year",E$1,"Transect",$B34))</f>
        <v/>
      </c>
      <c r="F34" s="17">
        <f>IF(OR(ISERROR(GETPIVOTDATA("Cover",'Cover PivotTable'!$A$4,"Site",$A34,"Year",F$1,"Transect",$B34)),GETPIVOTDATA("Cover",'Cover PivotTable'!$A$4,"Site",$A34,"Year",F$1)=""), "",GETPIVOTDATA("Cover",'Cover PivotTable'!$A$4,"Site",$A34,"Year",F$1,"Transect",$B34))</f>
        <v>0</v>
      </c>
      <c r="G34" s="17" t="str">
        <f>IF(OR(ISERROR(GETPIVOTDATA("Cover",'Cover PivotTable'!$A$4,"Site",$A34,"Year",G$1,"Transect",$B34)),GETPIVOTDATA("Cover",'Cover PivotTable'!$A$4,"Site",$A34,"Year",G$1)=""), "",GETPIVOTDATA("Cover",'Cover PivotTable'!$A$4,"Site",$A34,"Year",G$1,"Transect",$B34))</f>
        <v/>
      </c>
      <c r="H34" s="17" t="str">
        <f>IF(OR(ISERROR(GETPIVOTDATA("Cover",'Cover PivotTable'!$A$4,"Site",$A34,"Year",H$1,"Transect",$B34)),GETPIVOTDATA("Cover",'Cover PivotTable'!$A$4,"Site",$A34,"Year",H$1)=""), "",GETPIVOTDATA("Cover",'Cover PivotTable'!$A$4,"Site",$A34,"Year",H$1,"Transect",$B34))</f>
        <v/>
      </c>
      <c r="I34" s="17" t="str">
        <f>IF(OR(ISERROR(GETPIVOTDATA("Cover",'Cover PivotTable'!$A$4,"Site",$A34,"Year",I$1,"Transect",$B34)),GETPIVOTDATA("Cover",'Cover PivotTable'!$A$4,"Site",$A34,"Year",I$1)=""), "",GETPIVOTDATA("Cover",'Cover PivotTable'!$A$4,"Site",$A34,"Year",I$1,"Transect",$B34))</f>
        <v/>
      </c>
      <c r="J34" s="17">
        <f>IF(OR(ISERROR(GETPIVOTDATA("Cover",'Cover PivotTable'!$A$4,"Site",$A34,"Year",J$1,"Transect",$B34)),GETPIVOTDATA("Cover",'Cover PivotTable'!$A$4,"Site",$A34,"Year",J$1)=""), "",GETPIVOTDATA("Cover",'Cover PivotTable'!$A$4,"Site",$A34,"Year",J$1,"Transect",$B34))</f>
        <v>1.5</v>
      </c>
      <c r="K34" s="17" t="str">
        <f>IF(OR(ISERROR(GETPIVOTDATA("Cover",'Cover PivotTable'!$A$4,"Site",$A34,"Year",K$1,"Transect",$B34)),GETPIVOTDATA("Cover",'Cover PivotTable'!$A$4,"Site",$A34,"Year",K$1)=""), "",GETPIVOTDATA("Cover",'Cover PivotTable'!$A$4,"Site",$A34,"Year",K$1,"Transect",$B34))</f>
        <v/>
      </c>
      <c r="L34" s="17">
        <f>IF(OR(ISERROR(GETPIVOTDATA("Cover",'Cover PivotTable'!$A$4,"Site",$A34,"Year",L$1,"Transect",$B34)),GETPIVOTDATA("Cover",'Cover PivotTable'!$A$4,"Site",$A34,"Year",L$1)=""), "",GETPIVOTDATA("Cover",'Cover PivotTable'!$A$4,"Site",$A34,"Year",L$1,"Transect",$B34))</f>
        <v>5</v>
      </c>
      <c r="M34" s="17" t="str">
        <f>IF(OR(ISERROR(GETPIVOTDATA("Cover",'Cover PivotTable'!$A$4,"Site",$A34,"Year",M$1,"Transect",$B34)),GETPIVOTDATA("Cover",'Cover PivotTable'!$A$4,"Site",$A34,"Year",M$1)=""), "",GETPIVOTDATA("Cover",'Cover PivotTable'!$A$4,"Site",$A34,"Year",M$1,"Transect",$B34))</f>
        <v/>
      </c>
      <c r="N34" s="17">
        <f>IF(OR(ISERROR(GETPIVOTDATA("Cover",'Cover PivotTable'!$A$4,"Site",$A34,"Year",N$1,"Transect",$B34)),GETPIVOTDATA("Cover",'Cover PivotTable'!$A$4,"Site",$A34,"Year",N$1)=""), "",GETPIVOTDATA("Cover",'Cover PivotTable'!$A$4,"Site",$A34,"Year",N$1,"Transect",$B34))</f>
        <v>5</v>
      </c>
      <c r="O34" s="17">
        <f>IF(OR(ISERROR(GETPIVOTDATA("Cover",'Cover PivotTable'!$A$4,"Site",$A34,"Year",O$1,"Transect",$B34)),GETPIVOTDATA("Cover",'Cover PivotTable'!$A$4,"Site",$A34,"Year",O$1)=""), "",GETPIVOTDATA("Cover",'Cover PivotTable'!$A$4,"Site",$A34,"Year",O$1,"Transect",$B34))</f>
        <v>10</v>
      </c>
    </row>
    <row r="35" spans="1:15" x14ac:dyDescent="0.35">
      <c r="A35" t="s">
        <v>18</v>
      </c>
      <c r="B35">
        <v>6.1</v>
      </c>
      <c r="C35" s="17">
        <f>IF(OR(ISERROR(GETPIVOTDATA("Cover",'Cover PivotTable'!$A$4,"Site",$A35,"Year",C$1,"Transect",$B35)),GETPIVOTDATA("Cover",'Cover PivotTable'!$A$4,"Site",$A35,"Year",C$1)=""), "",GETPIVOTDATA("Cover",'Cover PivotTable'!$A$4,"Site",$A35,"Year",C$1,"Transect",$B35))</f>
        <v>2</v>
      </c>
      <c r="D35" s="17" t="str">
        <f>IF(OR(ISERROR(GETPIVOTDATA("Cover",'Cover PivotTable'!$A$4,"Site",$A35,"Year",D$1,"Transect",$B35)),GETPIVOTDATA("Cover",'Cover PivotTable'!$A$4,"Site",$A35,"Year",D$1)=""), "",GETPIVOTDATA("Cover",'Cover PivotTable'!$A$4,"Site",$A35,"Year",D$1,"Transect",$B35))</f>
        <v/>
      </c>
      <c r="E35" s="17" t="str">
        <f>IF(OR(ISERROR(GETPIVOTDATA("Cover",'Cover PivotTable'!$A$4,"Site",$A35,"Year",E$1,"Transect",$B35)),GETPIVOTDATA("Cover",'Cover PivotTable'!$A$4,"Site",$A35,"Year",E$1)=""), "",GETPIVOTDATA("Cover",'Cover PivotTable'!$A$4,"Site",$A35,"Year",E$1,"Transect",$B35))</f>
        <v/>
      </c>
      <c r="F35" s="17">
        <f>IF(OR(ISERROR(GETPIVOTDATA("Cover",'Cover PivotTable'!$A$4,"Site",$A35,"Year",F$1,"Transect",$B35)),GETPIVOTDATA("Cover",'Cover PivotTable'!$A$4,"Site",$A35,"Year",F$1)=""), "",GETPIVOTDATA("Cover",'Cover PivotTable'!$A$4,"Site",$A35,"Year",F$1,"Transect",$B35))</f>
        <v>3</v>
      </c>
      <c r="G35" s="17" t="str">
        <f>IF(OR(ISERROR(GETPIVOTDATA("Cover",'Cover PivotTable'!$A$4,"Site",$A35,"Year",G$1,"Transect",$B35)),GETPIVOTDATA("Cover",'Cover PivotTable'!$A$4,"Site",$A35,"Year",G$1)=""), "",GETPIVOTDATA("Cover",'Cover PivotTable'!$A$4,"Site",$A35,"Year",G$1,"Transect",$B35))</f>
        <v/>
      </c>
      <c r="H35" s="17" t="str">
        <f>IF(OR(ISERROR(GETPIVOTDATA("Cover",'Cover PivotTable'!$A$4,"Site",$A35,"Year",H$1,"Transect",$B35)),GETPIVOTDATA("Cover",'Cover PivotTable'!$A$4,"Site",$A35,"Year",H$1)=""), "",GETPIVOTDATA("Cover",'Cover PivotTable'!$A$4,"Site",$A35,"Year",H$1,"Transect",$B35))</f>
        <v/>
      </c>
      <c r="I35" s="17" t="str">
        <f>IF(OR(ISERROR(GETPIVOTDATA("Cover",'Cover PivotTable'!$A$4,"Site",$A35,"Year",I$1,"Transect",$B35)),GETPIVOTDATA("Cover",'Cover PivotTable'!$A$4,"Site",$A35,"Year",I$1)=""), "",GETPIVOTDATA("Cover",'Cover PivotTable'!$A$4,"Site",$A35,"Year",I$1,"Transect",$B35))</f>
        <v/>
      </c>
      <c r="J35" s="17">
        <f>IF(OR(ISERROR(GETPIVOTDATA("Cover",'Cover PivotTable'!$A$4,"Site",$A35,"Year",J$1,"Transect",$B35)),GETPIVOTDATA("Cover",'Cover PivotTable'!$A$4,"Site",$A35,"Year",J$1)=""), "",GETPIVOTDATA("Cover",'Cover PivotTable'!$A$4,"Site",$A35,"Year",J$1,"Transect",$B35))</f>
        <v>5</v>
      </c>
      <c r="K35" s="17" t="str">
        <f>IF(OR(ISERROR(GETPIVOTDATA("Cover",'Cover PivotTable'!$A$4,"Site",$A35,"Year",K$1,"Transect",$B35)),GETPIVOTDATA("Cover",'Cover PivotTable'!$A$4,"Site",$A35,"Year",K$1)=""), "",GETPIVOTDATA("Cover",'Cover PivotTable'!$A$4,"Site",$A35,"Year",K$1,"Transect",$B35))</f>
        <v/>
      </c>
      <c r="L35" s="17">
        <f>IF(OR(ISERROR(GETPIVOTDATA("Cover",'Cover PivotTable'!$A$4,"Site",$A35,"Year",L$1,"Transect",$B35)),GETPIVOTDATA("Cover",'Cover PivotTable'!$A$4,"Site",$A35,"Year",L$1)=""), "",GETPIVOTDATA("Cover",'Cover PivotTable'!$A$4,"Site",$A35,"Year",L$1,"Transect",$B35))</f>
        <v>3.5000000000000004</v>
      </c>
      <c r="M35" s="17" t="str">
        <f>IF(OR(ISERROR(GETPIVOTDATA("Cover",'Cover PivotTable'!$A$4,"Site",$A35,"Year",M$1,"Transect",$B35)),GETPIVOTDATA("Cover",'Cover PivotTable'!$A$4,"Site",$A35,"Year",M$1)=""), "",GETPIVOTDATA("Cover",'Cover PivotTable'!$A$4,"Site",$A35,"Year",M$1,"Transect",$B35))</f>
        <v/>
      </c>
      <c r="N35" s="17">
        <f>IF(OR(ISERROR(GETPIVOTDATA("Cover",'Cover PivotTable'!$A$4,"Site",$A35,"Year",N$1,"Transect",$B35)),GETPIVOTDATA("Cover",'Cover PivotTable'!$A$4,"Site",$A35,"Year",N$1)=""), "",GETPIVOTDATA("Cover",'Cover PivotTable'!$A$4,"Site",$A35,"Year",N$1,"Transect",$B35))</f>
        <v>2</v>
      </c>
      <c r="O35" s="17">
        <f>IF(OR(ISERROR(GETPIVOTDATA("Cover",'Cover PivotTable'!$A$4,"Site",$A35,"Year",O$1,"Transect",$B35)),GETPIVOTDATA("Cover",'Cover PivotTable'!$A$4,"Site",$A35,"Year",O$1)=""), "",GETPIVOTDATA("Cover",'Cover PivotTable'!$A$4,"Site",$A35,"Year",O$1,"Transect",$B35))</f>
        <v>3.5000000000000004</v>
      </c>
    </row>
    <row r="36" spans="1:15" x14ac:dyDescent="0.35">
      <c r="A36" t="s">
        <v>18</v>
      </c>
      <c r="B36">
        <v>6.2</v>
      </c>
      <c r="C36" s="17">
        <f>IF(OR(ISERROR(GETPIVOTDATA("Cover",'Cover PivotTable'!$A$4,"Site",$A36,"Year",C$1,"Transect",$B36)),GETPIVOTDATA("Cover",'Cover PivotTable'!$A$4,"Site",$A36,"Year",C$1)=""), "",GETPIVOTDATA("Cover",'Cover PivotTable'!$A$4,"Site",$A36,"Year",C$1,"Transect",$B36))</f>
        <v>4.5</v>
      </c>
      <c r="D36" s="17" t="str">
        <f>IF(OR(ISERROR(GETPIVOTDATA("Cover",'Cover PivotTable'!$A$4,"Site",$A36,"Year",D$1,"Transect",$B36)),GETPIVOTDATA("Cover",'Cover PivotTable'!$A$4,"Site",$A36,"Year",D$1)=""), "",GETPIVOTDATA("Cover",'Cover PivotTable'!$A$4,"Site",$A36,"Year",D$1,"Transect",$B36))</f>
        <v/>
      </c>
      <c r="E36" s="17" t="str">
        <f>IF(OR(ISERROR(GETPIVOTDATA("Cover",'Cover PivotTable'!$A$4,"Site",$A36,"Year",E$1,"Transect",$B36)),GETPIVOTDATA("Cover",'Cover PivotTable'!$A$4,"Site",$A36,"Year",E$1)=""), "",GETPIVOTDATA("Cover",'Cover PivotTable'!$A$4,"Site",$A36,"Year",E$1,"Transect",$B36))</f>
        <v/>
      </c>
      <c r="F36" s="17">
        <f>IF(OR(ISERROR(GETPIVOTDATA("Cover",'Cover PivotTable'!$A$4,"Site",$A36,"Year",F$1,"Transect",$B36)),GETPIVOTDATA("Cover",'Cover PivotTable'!$A$4,"Site",$A36,"Year",F$1)=""), "",GETPIVOTDATA("Cover",'Cover PivotTable'!$A$4,"Site",$A36,"Year",F$1,"Transect",$B36))</f>
        <v>5.5</v>
      </c>
      <c r="G36" s="17" t="str">
        <f>IF(OR(ISERROR(GETPIVOTDATA("Cover",'Cover PivotTable'!$A$4,"Site",$A36,"Year",G$1,"Transect",$B36)),GETPIVOTDATA("Cover",'Cover PivotTable'!$A$4,"Site",$A36,"Year",G$1)=""), "",GETPIVOTDATA("Cover",'Cover PivotTable'!$A$4,"Site",$A36,"Year",G$1,"Transect",$B36))</f>
        <v/>
      </c>
      <c r="H36" s="17" t="str">
        <f>IF(OR(ISERROR(GETPIVOTDATA("Cover",'Cover PivotTable'!$A$4,"Site",$A36,"Year",H$1,"Transect",$B36)),GETPIVOTDATA("Cover",'Cover PivotTable'!$A$4,"Site",$A36,"Year",H$1)=""), "",GETPIVOTDATA("Cover",'Cover PivotTable'!$A$4,"Site",$A36,"Year",H$1,"Transect",$B36))</f>
        <v/>
      </c>
      <c r="I36" s="17" t="str">
        <f>IF(OR(ISERROR(GETPIVOTDATA("Cover",'Cover PivotTable'!$A$4,"Site",$A36,"Year",I$1,"Transect",$B36)),GETPIVOTDATA("Cover",'Cover PivotTable'!$A$4,"Site",$A36,"Year",I$1)=""), "",GETPIVOTDATA("Cover",'Cover PivotTable'!$A$4,"Site",$A36,"Year",I$1,"Transect",$B36))</f>
        <v/>
      </c>
      <c r="J36" s="17">
        <f>IF(OR(ISERROR(GETPIVOTDATA("Cover",'Cover PivotTable'!$A$4,"Site",$A36,"Year",J$1,"Transect",$B36)),GETPIVOTDATA("Cover",'Cover PivotTable'!$A$4,"Site",$A36,"Year",J$1)=""), "",GETPIVOTDATA("Cover",'Cover PivotTable'!$A$4,"Site",$A36,"Year",J$1,"Transect",$B36))</f>
        <v>14.000000000000002</v>
      </c>
      <c r="K36" s="17" t="str">
        <f>IF(OR(ISERROR(GETPIVOTDATA("Cover",'Cover PivotTable'!$A$4,"Site",$A36,"Year",K$1,"Transect",$B36)),GETPIVOTDATA("Cover",'Cover PivotTable'!$A$4,"Site",$A36,"Year",K$1)=""), "",GETPIVOTDATA("Cover",'Cover PivotTable'!$A$4,"Site",$A36,"Year",K$1,"Transect",$B36))</f>
        <v/>
      </c>
      <c r="L36" s="17">
        <f>IF(OR(ISERROR(GETPIVOTDATA("Cover",'Cover PivotTable'!$A$4,"Site",$A36,"Year",L$1,"Transect",$B36)),GETPIVOTDATA("Cover",'Cover PivotTable'!$A$4,"Site",$A36,"Year",L$1)=""), "",GETPIVOTDATA("Cover",'Cover PivotTable'!$A$4,"Site",$A36,"Year",L$1,"Transect",$B36))</f>
        <v>3.535353535353535</v>
      </c>
      <c r="M36" s="17" t="str">
        <f>IF(OR(ISERROR(GETPIVOTDATA("Cover",'Cover PivotTable'!$A$4,"Site",$A36,"Year",M$1,"Transect",$B36)),GETPIVOTDATA("Cover",'Cover PivotTable'!$A$4,"Site",$A36,"Year",M$1)=""), "",GETPIVOTDATA("Cover",'Cover PivotTable'!$A$4,"Site",$A36,"Year",M$1,"Transect",$B36))</f>
        <v/>
      </c>
      <c r="N36" s="17">
        <f>IF(OR(ISERROR(GETPIVOTDATA("Cover",'Cover PivotTable'!$A$4,"Site",$A36,"Year",N$1,"Transect",$B36)),GETPIVOTDATA("Cover",'Cover PivotTable'!$A$4,"Site",$A36,"Year",N$1)=""), "",GETPIVOTDATA("Cover",'Cover PivotTable'!$A$4,"Site",$A36,"Year",N$1,"Transect",$B36))</f>
        <v>5</v>
      </c>
      <c r="O36" s="17">
        <f>IF(OR(ISERROR(GETPIVOTDATA("Cover",'Cover PivotTable'!$A$4,"Site",$A36,"Year",O$1,"Transect",$B36)),GETPIVOTDATA("Cover",'Cover PivotTable'!$A$4,"Site",$A36,"Year",O$1)=""), "",GETPIVOTDATA("Cover",'Cover PivotTable'!$A$4,"Site",$A36,"Year",O$1,"Transect",$B36))</f>
        <v>8.5</v>
      </c>
    </row>
    <row r="37" spans="1:15" x14ac:dyDescent="0.35">
      <c r="A37" t="s">
        <v>18</v>
      </c>
      <c r="B37">
        <v>6.3</v>
      </c>
      <c r="C37" s="17">
        <f>IF(OR(ISERROR(GETPIVOTDATA("Cover",'Cover PivotTable'!$A$4,"Site",$A37,"Year",C$1,"Transect",$B37)),GETPIVOTDATA("Cover",'Cover PivotTable'!$A$4,"Site",$A37,"Year",C$1)=""), "",GETPIVOTDATA("Cover",'Cover PivotTable'!$A$4,"Site",$A37,"Year",C$1,"Transect",$B37))</f>
        <v>2</v>
      </c>
      <c r="D37" s="17" t="str">
        <f>IF(OR(ISERROR(GETPIVOTDATA("Cover",'Cover PivotTable'!$A$4,"Site",$A37,"Year",D$1,"Transect",$B37)),GETPIVOTDATA("Cover",'Cover PivotTable'!$A$4,"Site",$A37,"Year",D$1)=""), "",GETPIVOTDATA("Cover",'Cover PivotTable'!$A$4,"Site",$A37,"Year",D$1,"Transect",$B37))</f>
        <v/>
      </c>
      <c r="E37" s="17" t="str">
        <f>IF(OR(ISERROR(GETPIVOTDATA("Cover",'Cover PivotTable'!$A$4,"Site",$A37,"Year",E$1,"Transect",$B37)),GETPIVOTDATA("Cover",'Cover PivotTable'!$A$4,"Site",$A37,"Year",E$1)=""), "",GETPIVOTDATA("Cover",'Cover PivotTable'!$A$4,"Site",$A37,"Year",E$1,"Transect",$B37))</f>
        <v/>
      </c>
      <c r="F37" s="17">
        <f>IF(OR(ISERROR(GETPIVOTDATA("Cover",'Cover PivotTable'!$A$4,"Site",$A37,"Year",F$1,"Transect",$B37)),GETPIVOTDATA("Cover",'Cover PivotTable'!$A$4,"Site",$A37,"Year",F$1)=""), "",GETPIVOTDATA("Cover",'Cover PivotTable'!$A$4,"Site",$A37,"Year",F$1,"Transect",$B37))</f>
        <v>2.5</v>
      </c>
      <c r="G37" s="17" t="str">
        <f>IF(OR(ISERROR(GETPIVOTDATA("Cover",'Cover PivotTable'!$A$4,"Site",$A37,"Year",G$1,"Transect",$B37)),GETPIVOTDATA("Cover",'Cover PivotTable'!$A$4,"Site",$A37,"Year",G$1)=""), "",GETPIVOTDATA("Cover",'Cover PivotTable'!$A$4,"Site",$A37,"Year",G$1,"Transect",$B37))</f>
        <v/>
      </c>
      <c r="H37" s="17" t="str">
        <f>IF(OR(ISERROR(GETPIVOTDATA("Cover",'Cover PivotTable'!$A$4,"Site",$A37,"Year",H$1,"Transect",$B37)),GETPIVOTDATA("Cover",'Cover PivotTable'!$A$4,"Site",$A37,"Year",H$1)=""), "",GETPIVOTDATA("Cover",'Cover PivotTable'!$A$4,"Site",$A37,"Year",H$1,"Transect",$B37))</f>
        <v/>
      </c>
      <c r="I37" s="17" t="str">
        <f>IF(OR(ISERROR(GETPIVOTDATA("Cover",'Cover PivotTable'!$A$4,"Site",$A37,"Year",I$1,"Transect",$B37)),GETPIVOTDATA("Cover",'Cover PivotTable'!$A$4,"Site",$A37,"Year",I$1)=""), "",GETPIVOTDATA("Cover",'Cover PivotTable'!$A$4,"Site",$A37,"Year",I$1,"Transect",$B37))</f>
        <v/>
      </c>
      <c r="J37" s="17">
        <f>IF(OR(ISERROR(GETPIVOTDATA("Cover",'Cover PivotTable'!$A$4,"Site",$A37,"Year",J$1,"Transect",$B37)),GETPIVOTDATA("Cover",'Cover PivotTable'!$A$4,"Site",$A37,"Year",J$1)=""), "",GETPIVOTDATA("Cover",'Cover PivotTable'!$A$4,"Site",$A37,"Year",J$1,"Transect",$B37))</f>
        <v>4</v>
      </c>
      <c r="K37" s="17" t="str">
        <f>IF(OR(ISERROR(GETPIVOTDATA("Cover",'Cover PivotTable'!$A$4,"Site",$A37,"Year",K$1,"Transect",$B37)),GETPIVOTDATA("Cover",'Cover PivotTable'!$A$4,"Site",$A37,"Year",K$1)=""), "",GETPIVOTDATA("Cover",'Cover PivotTable'!$A$4,"Site",$A37,"Year",K$1,"Transect",$B37))</f>
        <v/>
      </c>
      <c r="L37" s="17">
        <f>IF(OR(ISERROR(GETPIVOTDATA("Cover",'Cover PivotTable'!$A$4,"Site",$A37,"Year",L$1,"Transect",$B37)),GETPIVOTDATA("Cover",'Cover PivotTable'!$A$4,"Site",$A37,"Year",L$1)=""), "",GETPIVOTDATA("Cover",'Cover PivotTable'!$A$4,"Site",$A37,"Year",L$1,"Transect",$B37))</f>
        <v>5.5</v>
      </c>
      <c r="M37" s="17" t="str">
        <f>IF(OR(ISERROR(GETPIVOTDATA("Cover",'Cover PivotTable'!$A$4,"Site",$A37,"Year",M$1,"Transect",$B37)),GETPIVOTDATA("Cover",'Cover PivotTable'!$A$4,"Site",$A37,"Year",M$1)=""), "",GETPIVOTDATA("Cover",'Cover PivotTable'!$A$4,"Site",$A37,"Year",M$1,"Transect",$B37))</f>
        <v/>
      </c>
      <c r="N37" s="17">
        <f>IF(OR(ISERROR(GETPIVOTDATA("Cover",'Cover PivotTable'!$A$4,"Site",$A37,"Year",N$1,"Transect",$B37)),GETPIVOTDATA("Cover",'Cover PivotTable'!$A$4,"Site",$A37,"Year",N$1)=""), "",GETPIVOTDATA("Cover",'Cover PivotTable'!$A$4,"Site",$A37,"Year",N$1,"Transect",$B37))</f>
        <v>5</v>
      </c>
      <c r="O37" s="17">
        <f>IF(OR(ISERROR(GETPIVOTDATA("Cover",'Cover PivotTable'!$A$4,"Site",$A37,"Year",O$1,"Transect",$B37)),GETPIVOTDATA("Cover",'Cover PivotTable'!$A$4,"Site",$A37,"Year",O$1)=""), "",GETPIVOTDATA("Cover",'Cover PivotTable'!$A$4,"Site",$A37,"Year",O$1,"Transect",$B37))</f>
        <v>9.5</v>
      </c>
    </row>
    <row r="38" spans="1:15" x14ac:dyDescent="0.35">
      <c r="A38" t="s">
        <v>18</v>
      </c>
      <c r="B38">
        <v>6.4</v>
      </c>
      <c r="C38" s="17">
        <f>IF(OR(ISERROR(GETPIVOTDATA("Cover",'Cover PivotTable'!$A$4,"Site",$A38,"Year",C$1,"Transect",$B38)),GETPIVOTDATA("Cover",'Cover PivotTable'!$A$4,"Site",$A38,"Year",C$1)=""), "",GETPIVOTDATA("Cover",'Cover PivotTable'!$A$4,"Site",$A38,"Year",C$1,"Transect",$B38))</f>
        <v>0.5</v>
      </c>
      <c r="D38" s="17" t="str">
        <f>IF(OR(ISERROR(GETPIVOTDATA("Cover",'Cover PivotTable'!$A$4,"Site",$A38,"Year",D$1,"Transect",$B38)),GETPIVOTDATA("Cover",'Cover PivotTable'!$A$4,"Site",$A38,"Year",D$1)=""), "",GETPIVOTDATA("Cover",'Cover PivotTable'!$A$4,"Site",$A38,"Year",D$1,"Transect",$B38))</f>
        <v/>
      </c>
      <c r="E38" s="17" t="str">
        <f>IF(OR(ISERROR(GETPIVOTDATA("Cover",'Cover PivotTable'!$A$4,"Site",$A38,"Year",E$1,"Transect",$B38)),GETPIVOTDATA("Cover",'Cover PivotTable'!$A$4,"Site",$A38,"Year",E$1)=""), "",GETPIVOTDATA("Cover",'Cover PivotTable'!$A$4,"Site",$A38,"Year",E$1,"Transect",$B38))</f>
        <v/>
      </c>
      <c r="F38" s="17">
        <f>IF(OR(ISERROR(GETPIVOTDATA("Cover",'Cover PivotTable'!$A$4,"Site",$A38,"Year",F$1,"Transect",$B38)),GETPIVOTDATA("Cover",'Cover PivotTable'!$A$4,"Site",$A38,"Year",F$1)=""), "",GETPIVOTDATA("Cover",'Cover PivotTable'!$A$4,"Site",$A38,"Year",F$1,"Transect",$B38))</f>
        <v>0</v>
      </c>
      <c r="G38" s="17" t="str">
        <f>IF(OR(ISERROR(GETPIVOTDATA("Cover",'Cover PivotTable'!$A$4,"Site",$A38,"Year",G$1,"Transect",$B38)),GETPIVOTDATA("Cover",'Cover PivotTable'!$A$4,"Site",$A38,"Year",G$1)=""), "",GETPIVOTDATA("Cover",'Cover PivotTable'!$A$4,"Site",$A38,"Year",G$1,"Transect",$B38))</f>
        <v/>
      </c>
      <c r="H38" s="17" t="str">
        <f>IF(OR(ISERROR(GETPIVOTDATA("Cover",'Cover PivotTable'!$A$4,"Site",$A38,"Year",H$1,"Transect",$B38)),GETPIVOTDATA("Cover",'Cover PivotTable'!$A$4,"Site",$A38,"Year",H$1)=""), "",GETPIVOTDATA("Cover",'Cover PivotTable'!$A$4,"Site",$A38,"Year",H$1,"Transect",$B38))</f>
        <v/>
      </c>
      <c r="I38" s="17" t="str">
        <f>IF(OR(ISERROR(GETPIVOTDATA("Cover",'Cover PivotTable'!$A$4,"Site",$A38,"Year",I$1,"Transect",$B38)),GETPIVOTDATA("Cover",'Cover PivotTable'!$A$4,"Site",$A38,"Year",I$1)=""), "",GETPIVOTDATA("Cover",'Cover PivotTable'!$A$4,"Site",$A38,"Year",I$1,"Transect",$B38))</f>
        <v/>
      </c>
      <c r="J38" s="17">
        <f>IF(OR(ISERROR(GETPIVOTDATA("Cover",'Cover PivotTable'!$A$4,"Site",$A38,"Year",J$1,"Transect",$B38)),GETPIVOTDATA("Cover",'Cover PivotTable'!$A$4,"Site",$A38,"Year",J$1)=""), "",GETPIVOTDATA("Cover",'Cover PivotTable'!$A$4,"Site",$A38,"Year",J$1,"Transect",$B38))</f>
        <v>3</v>
      </c>
      <c r="K38" s="17" t="str">
        <f>IF(OR(ISERROR(GETPIVOTDATA("Cover",'Cover PivotTable'!$A$4,"Site",$A38,"Year",K$1,"Transect",$B38)),GETPIVOTDATA("Cover",'Cover PivotTable'!$A$4,"Site",$A38,"Year",K$1)=""), "",GETPIVOTDATA("Cover",'Cover PivotTable'!$A$4,"Site",$A38,"Year",K$1,"Transect",$B38))</f>
        <v/>
      </c>
      <c r="L38" s="17">
        <f>IF(OR(ISERROR(GETPIVOTDATA("Cover",'Cover PivotTable'!$A$4,"Site",$A38,"Year",L$1,"Transect",$B38)),GETPIVOTDATA("Cover",'Cover PivotTable'!$A$4,"Site",$A38,"Year",L$1)=""), "",GETPIVOTDATA("Cover",'Cover PivotTable'!$A$4,"Site",$A38,"Year",L$1,"Transect",$B38))</f>
        <v>2</v>
      </c>
      <c r="M38" s="17" t="str">
        <f>IF(OR(ISERROR(GETPIVOTDATA("Cover",'Cover PivotTable'!$A$4,"Site",$A38,"Year",M$1,"Transect",$B38)),GETPIVOTDATA("Cover",'Cover PivotTable'!$A$4,"Site",$A38,"Year",M$1)=""), "",GETPIVOTDATA("Cover",'Cover PivotTable'!$A$4,"Site",$A38,"Year",M$1,"Transect",$B38))</f>
        <v/>
      </c>
      <c r="N38" s="17">
        <f>IF(OR(ISERROR(GETPIVOTDATA("Cover",'Cover PivotTable'!$A$4,"Site",$A38,"Year",N$1,"Transect",$B38)),GETPIVOTDATA("Cover",'Cover PivotTable'!$A$4,"Site",$A38,"Year",N$1)=""), "",GETPIVOTDATA("Cover",'Cover PivotTable'!$A$4,"Site",$A38,"Year",N$1,"Transect",$B38))</f>
        <v>2.5</v>
      </c>
      <c r="O38" s="17">
        <f>IF(OR(ISERROR(GETPIVOTDATA("Cover",'Cover PivotTable'!$A$4,"Site",$A38,"Year",O$1,"Transect",$B38)),GETPIVOTDATA("Cover",'Cover PivotTable'!$A$4,"Site",$A38,"Year",O$1)=""), "",GETPIVOTDATA("Cover",'Cover PivotTable'!$A$4,"Site",$A38,"Year",O$1,"Transect",$B38))</f>
        <v>6</v>
      </c>
    </row>
    <row r="39" spans="1:15" x14ac:dyDescent="0.35">
      <c r="A39" t="s">
        <v>18</v>
      </c>
      <c r="B39">
        <v>6.5</v>
      </c>
      <c r="C39" s="17">
        <f>IF(OR(ISERROR(GETPIVOTDATA("Cover",'Cover PivotTable'!$A$4,"Site",$A39,"Year",C$1,"Transect",$B39)),GETPIVOTDATA("Cover",'Cover PivotTable'!$A$4,"Site",$A39,"Year",C$1)=""), "",GETPIVOTDATA("Cover",'Cover PivotTable'!$A$4,"Site",$A39,"Year",C$1,"Transect",$B39))</f>
        <v>0</v>
      </c>
      <c r="D39" s="17" t="str">
        <f>IF(OR(ISERROR(GETPIVOTDATA("Cover",'Cover PivotTable'!$A$4,"Site",$A39,"Year",D$1,"Transect",$B39)),GETPIVOTDATA("Cover",'Cover PivotTable'!$A$4,"Site",$A39,"Year",D$1)=""), "",GETPIVOTDATA("Cover",'Cover PivotTable'!$A$4,"Site",$A39,"Year",D$1,"Transect",$B39))</f>
        <v/>
      </c>
      <c r="E39" s="17" t="str">
        <f>IF(OR(ISERROR(GETPIVOTDATA("Cover",'Cover PivotTable'!$A$4,"Site",$A39,"Year",E$1,"Transect",$B39)),GETPIVOTDATA("Cover",'Cover PivotTable'!$A$4,"Site",$A39,"Year",E$1)=""), "",GETPIVOTDATA("Cover",'Cover PivotTable'!$A$4,"Site",$A39,"Year",E$1,"Transect",$B39))</f>
        <v/>
      </c>
      <c r="F39" s="17">
        <f>IF(OR(ISERROR(GETPIVOTDATA("Cover",'Cover PivotTable'!$A$4,"Site",$A39,"Year",F$1,"Transect",$B39)),GETPIVOTDATA("Cover",'Cover PivotTable'!$A$4,"Site",$A39,"Year",F$1)=""), "",GETPIVOTDATA("Cover",'Cover PivotTable'!$A$4,"Site",$A39,"Year",F$1,"Transect",$B39))</f>
        <v>0</v>
      </c>
      <c r="G39" s="17" t="str">
        <f>IF(OR(ISERROR(GETPIVOTDATA("Cover",'Cover PivotTable'!$A$4,"Site",$A39,"Year",G$1,"Transect",$B39)),GETPIVOTDATA("Cover",'Cover PivotTable'!$A$4,"Site",$A39,"Year",G$1)=""), "",GETPIVOTDATA("Cover",'Cover PivotTable'!$A$4,"Site",$A39,"Year",G$1,"Transect",$B39))</f>
        <v/>
      </c>
      <c r="H39" s="17" t="str">
        <f>IF(OR(ISERROR(GETPIVOTDATA("Cover",'Cover PivotTable'!$A$4,"Site",$A39,"Year",H$1,"Transect",$B39)),GETPIVOTDATA("Cover",'Cover PivotTable'!$A$4,"Site",$A39,"Year",H$1)=""), "",GETPIVOTDATA("Cover",'Cover PivotTable'!$A$4,"Site",$A39,"Year",H$1,"Transect",$B39))</f>
        <v/>
      </c>
      <c r="I39" s="17" t="str">
        <f>IF(OR(ISERROR(GETPIVOTDATA("Cover",'Cover PivotTable'!$A$4,"Site",$A39,"Year",I$1,"Transect",$B39)),GETPIVOTDATA("Cover",'Cover PivotTable'!$A$4,"Site",$A39,"Year",I$1)=""), "",GETPIVOTDATA("Cover",'Cover PivotTable'!$A$4,"Site",$A39,"Year",I$1,"Transect",$B39))</f>
        <v/>
      </c>
      <c r="J39" s="17">
        <f>IF(OR(ISERROR(GETPIVOTDATA("Cover",'Cover PivotTable'!$A$4,"Site",$A39,"Year",J$1,"Transect",$B39)),GETPIVOTDATA("Cover",'Cover PivotTable'!$A$4,"Site",$A39,"Year",J$1)=""), "",GETPIVOTDATA("Cover",'Cover PivotTable'!$A$4,"Site",$A39,"Year",J$1,"Transect",$B39))</f>
        <v>0</v>
      </c>
      <c r="K39" s="17" t="str">
        <f>IF(OR(ISERROR(GETPIVOTDATA("Cover",'Cover PivotTable'!$A$4,"Site",$A39,"Year",K$1,"Transect",$B39)),GETPIVOTDATA("Cover",'Cover PivotTable'!$A$4,"Site",$A39,"Year",K$1)=""), "",GETPIVOTDATA("Cover",'Cover PivotTable'!$A$4,"Site",$A39,"Year",K$1,"Transect",$B39))</f>
        <v/>
      </c>
      <c r="L39" s="17">
        <f>IF(OR(ISERROR(GETPIVOTDATA("Cover",'Cover PivotTable'!$A$4,"Site",$A39,"Year",L$1,"Transect",$B39)),GETPIVOTDATA("Cover",'Cover PivotTable'!$A$4,"Site",$A39,"Year",L$1)=""), "",GETPIVOTDATA("Cover",'Cover PivotTable'!$A$4,"Site",$A39,"Year",L$1,"Transect",$B39))</f>
        <v>0</v>
      </c>
      <c r="M39" s="17" t="str">
        <f>IF(OR(ISERROR(GETPIVOTDATA("Cover",'Cover PivotTable'!$A$4,"Site",$A39,"Year",M$1,"Transect",$B39)),GETPIVOTDATA("Cover",'Cover PivotTable'!$A$4,"Site",$A39,"Year",M$1)=""), "",GETPIVOTDATA("Cover",'Cover PivotTable'!$A$4,"Site",$A39,"Year",M$1,"Transect",$B39))</f>
        <v/>
      </c>
      <c r="N39" s="17">
        <f>IF(OR(ISERROR(GETPIVOTDATA("Cover",'Cover PivotTable'!$A$4,"Site",$A39,"Year",N$1,"Transect",$B39)),GETPIVOTDATA("Cover",'Cover PivotTable'!$A$4,"Site",$A39,"Year",N$1)=""), "",GETPIVOTDATA("Cover",'Cover PivotTable'!$A$4,"Site",$A39,"Year",N$1,"Transect",$B39))</f>
        <v>0.5</v>
      </c>
      <c r="O39" s="17">
        <f>IF(OR(ISERROR(GETPIVOTDATA("Cover",'Cover PivotTable'!$A$4,"Site",$A39,"Year",O$1,"Transect",$B39)),GETPIVOTDATA("Cover",'Cover PivotTable'!$A$4,"Site",$A39,"Year",O$1)=""), "",GETPIVOTDATA("Cover",'Cover PivotTable'!$A$4,"Site",$A39,"Year",O$1,"Transect",$B39))</f>
        <v>1.5</v>
      </c>
    </row>
    <row r="40" spans="1:15" x14ac:dyDescent="0.35">
      <c r="A40" t="s">
        <v>18</v>
      </c>
      <c r="B40">
        <v>7.1</v>
      </c>
      <c r="C40" s="17">
        <f>IF(OR(ISERROR(GETPIVOTDATA("Cover",'Cover PivotTable'!$A$4,"Site",$A40,"Year",C$1,"Transect",$B40)),GETPIVOTDATA("Cover",'Cover PivotTable'!$A$4,"Site",$A40,"Year",C$1)=""), "",GETPIVOTDATA("Cover",'Cover PivotTable'!$A$4,"Site",$A40,"Year",C$1,"Transect",$B40))</f>
        <v>6</v>
      </c>
      <c r="D40" s="17" t="str">
        <f>IF(OR(ISERROR(GETPIVOTDATA("Cover",'Cover PivotTable'!$A$4,"Site",$A40,"Year",D$1,"Transect",$B40)),GETPIVOTDATA("Cover",'Cover PivotTable'!$A$4,"Site",$A40,"Year",D$1)=""), "",GETPIVOTDATA("Cover",'Cover PivotTable'!$A$4,"Site",$A40,"Year",D$1,"Transect",$B40))</f>
        <v/>
      </c>
      <c r="E40" s="17" t="str">
        <f>IF(OR(ISERROR(GETPIVOTDATA("Cover",'Cover PivotTable'!$A$4,"Site",$A40,"Year",E$1,"Transect",$B40)),GETPIVOTDATA("Cover",'Cover PivotTable'!$A$4,"Site",$A40,"Year",E$1)=""), "",GETPIVOTDATA("Cover",'Cover PivotTable'!$A$4,"Site",$A40,"Year",E$1,"Transect",$B40))</f>
        <v/>
      </c>
      <c r="F40" s="17">
        <f>IF(OR(ISERROR(GETPIVOTDATA("Cover",'Cover PivotTable'!$A$4,"Site",$A40,"Year",F$1,"Transect",$B40)),GETPIVOTDATA("Cover",'Cover PivotTable'!$A$4,"Site",$A40,"Year",F$1)=""), "",GETPIVOTDATA("Cover",'Cover PivotTable'!$A$4,"Site",$A40,"Year",F$1,"Transect",$B40))</f>
        <v>7.5</v>
      </c>
      <c r="G40" s="17" t="str">
        <f>IF(OR(ISERROR(GETPIVOTDATA("Cover",'Cover PivotTable'!$A$4,"Site",$A40,"Year",G$1,"Transect",$B40)),GETPIVOTDATA("Cover",'Cover PivotTable'!$A$4,"Site",$A40,"Year",G$1)=""), "",GETPIVOTDATA("Cover",'Cover PivotTable'!$A$4,"Site",$A40,"Year",G$1,"Transect",$B40))</f>
        <v/>
      </c>
      <c r="H40" s="17" t="str">
        <f>IF(OR(ISERROR(GETPIVOTDATA("Cover",'Cover PivotTable'!$A$4,"Site",$A40,"Year",H$1,"Transect",$B40)),GETPIVOTDATA("Cover",'Cover PivotTable'!$A$4,"Site",$A40,"Year",H$1)=""), "",GETPIVOTDATA("Cover",'Cover PivotTable'!$A$4,"Site",$A40,"Year",H$1,"Transect",$B40))</f>
        <v/>
      </c>
      <c r="I40" s="17" t="str">
        <f>IF(OR(ISERROR(GETPIVOTDATA("Cover",'Cover PivotTable'!$A$4,"Site",$A40,"Year",I$1,"Transect",$B40)),GETPIVOTDATA("Cover",'Cover PivotTable'!$A$4,"Site",$A40,"Year",I$1)=""), "",GETPIVOTDATA("Cover",'Cover PivotTable'!$A$4,"Site",$A40,"Year",I$1,"Transect",$B40))</f>
        <v/>
      </c>
      <c r="J40" s="17">
        <f>IF(OR(ISERROR(GETPIVOTDATA("Cover",'Cover PivotTable'!$A$4,"Site",$A40,"Year",J$1,"Transect",$B40)),GETPIVOTDATA("Cover",'Cover PivotTable'!$A$4,"Site",$A40,"Year",J$1)=""), "",GETPIVOTDATA("Cover",'Cover PivotTable'!$A$4,"Site",$A40,"Year",J$1,"Transect",$B40))</f>
        <v>2.5</v>
      </c>
      <c r="K40" s="17" t="str">
        <f>IF(OR(ISERROR(GETPIVOTDATA("Cover",'Cover PivotTable'!$A$4,"Site",$A40,"Year",K$1,"Transect",$B40)),GETPIVOTDATA("Cover",'Cover PivotTable'!$A$4,"Site",$A40,"Year",K$1)=""), "",GETPIVOTDATA("Cover",'Cover PivotTable'!$A$4,"Site",$A40,"Year",K$1,"Transect",$B40))</f>
        <v/>
      </c>
      <c r="L40" s="17">
        <f>IF(OR(ISERROR(GETPIVOTDATA("Cover",'Cover PivotTable'!$A$4,"Site",$A40,"Year",L$1,"Transect",$B40)),GETPIVOTDATA("Cover",'Cover PivotTable'!$A$4,"Site",$A40,"Year",L$1)=""), "",GETPIVOTDATA("Cover",'Cover PivotTable'!$A$4,"Site",$A40,"Year",L$1,"Transect",$B40))</f>
        <v>3</v>
      </c>
      <c r="M40" s="17" t="str">
        <f>IF(OR(ISERROR(GETPIVOTDATA("Cover",'Cover PivotTable'!$A$4,"Site",$A40,"Year",M$1,"Transect",$B40)),GETPIVOTDATA("Cover",'Cover PivotTable'!$A$4,"Site",$A40,"Year",M$1)=""), "",GETPIVOTDATA("Cover",'Cover PivotTable'!$A$4,"Site",$A40,"Year",M$1,"Transect",$B40))</f>
        <v/>
      </c>
      <c r="N40" s="17">
        <f>IF(OR(ISERROR(GETPIVOTDATA("Cover",'Cover PivotTable'!$A$4,"Site",$A40,"Year",N$1,"Transect",$B40)),GETPIVOTDATA("Cover",'Cover PivotTable'!$A$4,"Site",$A40,"Year",N$1)=""), "",GETPIVOTDATA("Cover",'Cover PivotTable'!$A$4,"Site",$A40,"Year",N$1,"Transect",$B40))</f>
        <v>2</v>
      </c>
      <c r="O40" s="17">
        <f>IF(OR(ISERROR(GETPIVOTDATA("Cover",'Cover PivotTable'!$A$4,"Site",$A40,"Year",O$1,"Transect",$B40)),GETPIVOTDATA("Cover",'Cover PivotTable'!$A$4,"Site",$A40,"Year",O$1)=""), "",GETPIVOTDATA("Cover",'Cover PivotTable'!$A$4,"Site",$A40,"Year",O$1,"Transect",$B40))</f>
        <v>1</v>
      </c>
    </row>
    <row r="41" spans="1:15" x14ac:dyDescent="0.35">
      <c r="A41" t="s">
        <v>18</v>
      </c>
      <c r="B41">
        <v>7.2</v>
      </c>
      <c r="C41" s="17">
        <f>IF(OR(ISERROR(GETPIVOTDATA("Cover",'Cover PivotTable'!$A$4,"Site",$A41,"Year",C$1,"Transect",$B41)),GETPIVOTDATA("Cover",'Cover PivotTable'!$A$4,"Site",$A41,"Year",C$1)=""), "",GETPIVOTDATA("Cover",'Cover PivotTable'!$A$4,"Site",$A41,"Year",C$1,"Transect",$B41))</f>
        <v>2.5</v>
      </c>
      <c r="D41" s="17" t="str">
        <f>IF(OR(ISERROR(GETPIVOTDATA("Cover",'Cover PivotTable'!$A$4,"Site",$A41,"Year",D$1,"Transect",$B41)),GETPIVOTDATA("Cover",'Cover PivotTable'!$A$4,"Site",$A41,"Year",D$1)=""), "",GETPIVOTDATA("Cover",'Cover PivotTable'!$A$4,"Site",$A41,"Year",D$1,"Transect",$B41))</f>
        <v/>
      </c>
      <c r="E41" s="17" t="str">
        <f>IF(OR(ISERROR(GETPIVOTDATA("Cover",'Cover PivotTable'!$A$4,"Site",$A41,"Year",E$1,"Transect",$B41)),GETPIVOTDATA("Cover",'Cover PivotTable'!$A$4,"Site",$A41,"Year",E$1)=""), "",GETPIVOTDATA("Cover",'Cover PivotTable'!$A$4,"Site",$A41,"Year",E$1,"Transect",$B41))</f>
        <v/>
      </c>
      <c r="F41" s="17">
        <f>IF(OR(ISERROR(GETPIVOTDATA("Cover",'Cover PivotTable'!$A$4,"Site",$A41,"Year",F$1,"Transect",$B41)),GETPIVOTDATA("Cover",'Cover PivotTable'!$A$4,"Site",$A41,"Year",F$1)=""), "",GETPIVOTDATA("Cover",'Cover PivotTable'!$A$4,"Site",$A41,"Year",F$1,"Transect",$B41))</f>
        <v>2</v>
      </c>
      <c r="G41" s="17" t="str">
        <f>IF(OR(ISERROR(GETPIVOTDATA("Cover",'Cover PivotTable'!$A$4,"Site",$A41,"Year",G$1,"Transect",$B41)),GETPIVOTDATA("Cover",'Cover PivotTable'!$A$4,"Site",$A41,"Year",G$1)=""), "",GETPIVOTDATA("Cover",'Cover PivotTable'!$A$4,"Site",$A41,"Year",G$1,"Transect",$B41))</f>
        <v/>
      </c>
      <c r="H41" s="17" t="str">
        <f>IF(OR(ISERROR(GETPIVOTDATA("Cover",'Cover PivotTable'!$A$4,"Site",$A41,"Year",H$1,"Transect",$B41)),GETPIVOTDATA("Cover",'Cover PivotTable'!$A$4,"Site",$A41,"Year",H$1)=""), "",GETPIVOTDATA("Cover",'Cover PivotTable'!$A$4,"Site",$A41,"Year",H$1,"Transect",$B41))</f>
        <v/>
      </c>
      <c r="I41" s="17" t="str">
        <f>IF(OR(ISERROR(GETPIVOTDATA("Cover",'Cover PivotTable'!$A$4,"Site",$A41,"Year",I$1,"Transect",$B41)),GETPIVOTDATA("Cover",'Cover PivotTable'!$A$4,"Site",$A41,"Year",I$1)=""), "",GETPIVOTDATA("Cover",'Cover PivotTable'!$A$4,"Site",$A41,"Year",I$1,"Transect",$B41))</f>
        <v/>
      </c>
      <c r="J41" s="17">
        <f>IF(OR(ISERROR(GETPIVOTDATA("Cover",'Cover PivotTable'!$A$4,"Site",$A41,"Year",J$1,"Transect",$B41)),GETPIVOTDATA("Cover",'Cover PivotTable'!$A$4,"Site",$A41,"Year",J$1)=""), "",GETPIVOTDATA("Cover",'Cover PivotTable'!$A$4,"Site",$A41,"Year",J$1,"Transect",$B41))</f>
        <v>2.5</v>
      </c>
      <c r="K41" s="17" t="str">
        <f>IF(OR(ISERROR(GETPIVOTDATA("Cover",'Cover PivotTable'!$A$4,"Site",$A41,"Year",K$1,"Transect",$B41)),GETPIVOTDATA("Cover",'Cover PivotTable'!$A$4,"Site",$A41,"Year",K$1)=""), "",GETPIVOTDATA("Cover",'Cover PivotTable'!$A$4,"Site",$A41,"Year",K$1,"Transect",$B41))</f>
        <v/>
      </c>
      <c r="L41" s="17">
        <f>IF(OR(ISERROR(GETPIVOTDATA("Cover",'Cover PivotTable'!$A$4,"Site",$A41,"Year",L$1,"Transect",$B41)),GETPIVOTDATA("Cover",'Cover PivotTable'!$A$4,"Site",$A41,"Year",L$1)=""), "",GETPIVOTDATA("Cover",'Cover PivotTable'!$A$4,"Site",$A41,"Year",L$1,"Transect",$B41))</f>
        <v>0</v>
      </c>
      <c r="M41" s="17" t="str">
        <f>IF(OR(ISERROR(GETPIVOTDATA("Cover",'Cover PivotTable'!$A$4,"Site",$A41,"Year",M$1,"Transect",$B41)),GETPIVOTDATA("Cover",'Cover PivotTable'!$A$4,"Site",$A41,"Year",M$1)=""), "",GETPIVOTDATA("Cover",'Cover PivotTable'!$A$4,"Site",$A41,"Year",M$1,"Transect",$B41))</f>
        <v/>
      </c>
      <c r="N41" s="17">
        <f>IF(OR(ISERROR(GETPIVOTDATA("Cover",'Cover PivotTable'!$A$4,"Site",$A41,"Year",N$1,"Transect",$B41)),GETPIVOTDATA("Cover",'Cover PivotTable'!$A$4,"Site",$A41,"Year",N$1)=""), "",GETPIVOTDATA("Cover",'Cover PivotTable'!$A$4,"Site",$A41,"Year",N$1,"Transect",$B41))</f>
        <v>2</v>
      </c>
      <c r="O41" s="17">
        <f>IF(OR(ISERROR(GETPIVOTDATA("Cover",'Cover PivotTable'!$A$4,"Site",$A41,"Year",O$1,"Transect",$B41)),GETPIVOTDATA("Cover",'Cover PivotTable'!$A$4,"Site",$A41,"Year",O$1)=""), "",GETPIVOTDATA("Cover",'Cover PivotTable'!$A$4,"Site",$A41,"Year",O$1,"Transect",$B41))</f>
        <v>6</v>
      </c>
    </row>
    <row r="42" spans="1:15" x14ac:dyDescent="0.35">
      <c r="A42" t="s">
        <v>18</v>
      </c>
      <c r="B42">
        <v>7.3</v>
      </c>
      <c r="C42" s="17">
        <f>IF(OR(ISERROR(GETPIVOTDATA("Cover",'Cover PivotTable'!$A$4,"Site",$A42,"Year",C$1,"Transect",$B42)),GETPIVOTDATA("Cover",'Cover PivotTable'!$A$4,"Site",$A42,"Year",C$1)=""), "",GETPIVOTDATA("Cover",'Cover PivotTable'!$A$4,"Site",$A42,"Year",C$1,"Transect",$B42))</f>
        <v>7</v>
      </c>
      <c r="D42" s="17" t="str">
        <f>IF(OR(ISERROR(GETPIVOTDATA("Cover",'Cover PivotTable'!$A$4,"Site",$A42,"Year",D$1,"Transect",$B42)),GETPIVOTDATA("Cover",'Cover PivotTable'!$A$4,"Site",$A42,"Year",D$1)=""), "",GETPIVOTDATA("Cover",'Cover PivotTable'!$A$4,"Site",$A42,"Year",D$1,"Transect",$B42))</f>
        <v/>
      </c>
      <c r="E42" s="17" t="str">
        <f>IF(OR(ISERROR(GETPIVOTDATA("Cover",'Cover PivotTable'!$A$4,"Site",$A42,"Year",E$1,"Transect",$B42)),GETPIVOTDATA("Cover",'Cover PivotTable'!$A$4,"Site",$A42,"Year",E$1)=""), "",GETPIVOTDATA("Cover",'Cover PivotTable'!$A$4,"Site",$A42,"Year",E$1,"Transect",$B42))</f>
        <v/>
      </c>
      <c r="F42" s="17">
        <f>IF(OR(ISERROR(GETPIVOTDATA("Cover",'Cover PivotTable'!$A$4,"Site",$A42,"Year",F$1,"Transect",$B42)),GETPIVOTDATA("Cover",'Cover PivotTable'!$A$4,"Site",$A42,"Year",F$1)=""), "",GETPIVOTDATA("Cover",'Cover PivotTable'!$A$4,"Site",$A42,"Year",F$1,"Transect",$B42))</f>
        <v>2.5</v>
      </c>
      <c r="G42" s="17" t="str">
        <f>IF(OR(ISERROR(GETPIVOTDATA("Cover",'Cover PivotTable'!$A$4,"Site",$A42,"Year",G$1,"Transect",$B42)),GETPIVOTDATA("Cover",'Cover PivotTable'!$A$4,"Site",$A42,"Year",G$1)=""), "",GETPIVOTDATA("Cover",'Cover PivotTable'!$A$4,"Site",$A42,"Year",G$1,"Transect",$B42))</f>
        <v/>
      </c>
      <c r="H42" s="17" t="str">
        <f>IF(OR(ISERROR(GETPIVOTDATA("Cover",'Cover PivotTable'!$A$4,"Site",$A42,"Year",H$1,"Transect",$B42)),GETPIVOTDATA("Cover",'Cover PivotTable'!$A$4,"Site",$A42,"Year",H$1)=""), "",GETPIVOTDATA("Cover",'Cover PivotTable'!$A$4,"Site",$A42,"Year",H$1,"Transect",$B42))</f>
        <v/>
      </c>
      <c r="I42" s="17" t="str">
        <f>IF(OR(ISERROR(GETPIVOTDATA("Cover",'Cover PivotTable'!$A$4,"Site",$A42,"Year",I$1,"Transect",$B42)),GETPIVOTDATA("Cover",'Cover PivotTable'!$A$4,"Site",$A42,"Year",I$1)=""), "",GETPIVOTDATA("Cover",'Cover PivotTable'!$A$4,"Site",$A42,"Year",I$1,"Transect",$B42))</f>
        <v/>
      </c>
      <c r="J42" s="17">
        <f>IF(OR(ISERROR(GETPIVOTDATA("Cover",'Cover PivotTable'!$A$4,"Site",$A42,"Year",J$1,"Transect",$B42)),GETPIVOTDATA("Cover",'Cover PivotTable'!$A$4,"Site",$A42,"Year",J$1)=""), "",GETPIVOTDATA("Cover",'Cover PivotTable'!$A$4,"Site",$A42,"Year",J$1,"Transect",$B42))</f>
        <v>7.5</v>
      </c>
      <c r="K42" s="17" t="str">
        <f>IF(OR(ISERROR(GETPIVOTDATA("Cover",'Cover PivotTable'!$A$4,"Site",$A42,"Year",K$1,"Transect",$B42)),GETPIVOTDATA("Cover",'Cover PivotTable'!$A$4,"Site",$A42,"Year",K$1)=""), "",GETPIVOTDATA("Cover",'Cover PivotTable'!$A$4,"Site",$A42,"Year",K$1,"Transect",$B42))</f>
        <v/>
      </c>
      <c r="L42" s="17">
        <f>IF(OR(ISERROR(GETPIVOTDATA("Cover",'Cover PivotTable'!$A$4,"Site",$A42,"Year",L$1,"Transect",$B42)),GETPIVOTDATA("Cover",'Cover PivotTable'!$A$4,"Site",$A42,"Year",L$1)=""), "",GETPIVOTDATA("Cover",'Cover PivotTable'!$A$4,"Site",$A42,"Year",L$1,"Transect",$B42))</f>
        <v>9.5</v>
      </c>
      <c r="M42" s="17" t="str">
        <f>IF(OR(ISERROR(GETPIVOTDATA("Cover",'Cover PivotTable'!$A$4,"Site",$A42,"Year",M$1,"Transect",$B42)),GETPIVOTDATA("Cover",'Cover PivotTable'!$A$4,"Site",$A42,"Year",M$1)=""), "",GETPIVOTDATA("Cover",'Cover PivotTable'!$A$4,"Site",$A42,"Year",M$1,"Transect",$B42))</f>
        <v/>
      </c>
      <c r="N42" s="17">
        <f>IF(OR(ISERROR(GETPIVOTDATA("Cover",'Cover PivotTable'!$A$4,"Site",$A42,"Year",N$1,"Transect",$B42)),GETPIVOTDATA("Cover",'Cover PivotTable'!$A$4,"Site",$A42,"Year",N$1)=""), "",GETPIVOTDATA("Cover",'Cover PivotTable'!$A$4,"Site",$A42,"Year",N$1,"Transect",$B42))</f>
        <v>9</v>
      </c>
      <c r="O42" s="17">
        <f>IF(OR(ISERROR(GETPIVOTDATA("Cover",'Cover PivotTable'!$A$4,"Site",$A42,"Year",O$1,"Transect",$B42)),GETPIVOTDATA("Cover",'Cover PivotTable'!$A$4,"Site",$A42,"Year",O$1)=""), "",GETPIVOTDATA("Cover",'Cover PivotTable'!$A$4,"Site",$A42,"Year",O$1,"Transect",$B42))</f>
        <v>9</v>
      </c>
    </row>
    <row r="43" spans="1:15" x14ac:dyDescent="0.35">
      <c r="A43" t="s">
        <v>18</v>
      </c>
      <c r="B43">
        <v>7.4</v>
      </c>
      <c r="C43" s="17">
        <f>IF(OR(ISERROR(GETPIVOTDATA("Cover",'Cover PivotTable'!$A$4,"Site",$A43,"Year",C$1,"Transect",$B43)),GETPIVOTDATA("Cover",'Cover PivotTable'!$A$4,"Site",$A43,"Year",C$1)=""), "",GETPIVOTDATA("Cover",'Cover PivotTable'!$A$4,"Site",$A43,"Year",C$1,"Transect",$B43))</f>
        <v>12</v>
      </c>
      <c r="D43" s="17" t="str">
        <f>IF(OR(ISERROR(GETPIVOTDATA("Cover",'Cover PivotTable'!$A$4,"Site",$A43,"Year",D$1,"Transect",$B43)),GETPIVOTDATA("Cover",'Cover PivotTable'!$A$4,"Site",$A43,"Year",D$1)=""), "",GETPIVOTDATA("Cover",'Cover PivotTable'!$A$4,"Site",$A43,"Year",D$1,"Transect",$B43))</f>
        <v/>
      </c>
      <c r="E43" s="17" t="str">
        <f>IF(OR(ISERROR(GETPIVOTDATA("Cover",'Cover PivotTable'!$A$4,"Site",$A43,"Year",E$1,"Transect",$B43)),GETPIVOTDATA("Cover",'Cover PivotTable'!$A$4,"Site",$A43,"Year",E$1)=""), "",GETPIVOTDATA("Cover",'Cover PivotTable'!$A$4,"Site",$A43,"Year",E$1,"Transect",$B43))</f>
        <v/>
      </c>
      <c r="F43" s="17">
        <f>IF(OR(ISERROR(GETPIVOTDATA("Cover",'Cover PivotTable'!$A$4,"Site",$A43,"Year",F$1,"Transect",$B43)),GETPIVOTDATA("Cover",'Cover PivotTable'!$A$4,"Site",$A43,"Year",F$1)=""), "",GETPIVOTDATA("Cover",'Cover PivotTable'!$A$4,"Site",$A43,"Year",F$1,"Transect",$B43))</f>
        <v>12.5</v>
      </c>
      <c r="G43" s="17" t="str">
        <f>IF(OR(ISERROR(GETPIVOTDATA("Cover",'Cover PivotTable'!$A$4,"Site",$A43,"Year",G$1,"Transect",$B43)),GETPIVOTDATA("Cover",'Cover PivotTable'!$A$4,"Site",$A43,"Year",G$1)=""), "",GETPIVOTDATA("Cover",'Cover PivotTable'!$A$4,"Site",$A43,"Year",G$1,"Transect",$B43))</f>
        <v/>
      </c>
      <c r="H43" s="17" t="str">
        <f>IF(OR(ISERROR(GETPIVOTDATA("Cover",'Cover PivotTable'!$A$4,"Site",$A43,"Year",H$1,"Transect",$B43)),GETPIVOTDATA("Cover",'Cover PivotTable'!$A$4,"Site",$A43,"Year",H$1)=""), "",GETPIVOTDATA("Cover",'Cover PivotTable'!$A$4,"Site",$A43,"Year",H$1,"Transect",$B43))</f>
        <v/>
      </c>
      <c r="I43" s="17" t="str">
        <f>IF(OR(ISERROR(GETPIVOTDATA("Cover",'Cover PivotTable'!$A$4,"Site",$A43,"Year",I$1,"Transect",$B43)),GETPIVOTDATA("Cover",'Cover PivotTable'!$A$4,"Site",$A43,"Year",I$1)=""), "",GETPIVOTDATA("Cover",'Cover PivotTable'!$A$4,"Site",$A43,"Year",I$1,"Transect",$B43))</f>
        <v/>
      </c>
      <c r="J43" s="17">
        <f>IF(OR(ISERROR(GETPIVOTDATA("Cover",'Cover PivotTable'!$A$4,"Site",$A43,"Year",J$1,"Transect",$B43)),GETPIVOTDATA("Cover",'Cover PivotTable'!$A$4,"Site",$A43,"Year",J$1)=""), "",GETPIVOTDATA("Cover",'Cover PivotTable'!$A$4,"Site",$A43,"Year",J$1,"Transect",$B43))</f>
        <v>13.5</v>
      </c>
      <c r="K43" s="17" t="str">
        <f>IF(OR(ISERROR(GETPIVOTDATA("Cover",'Cover PivotTable'!$A$4,"Site",$A43,"Year",K$1,"Transect",$B43)),GETPIVOTDATA("Cover",'Cover PivotTable'!$A$4,"Site",$A43,"Year",K$1)=""), "",GETPIVOTDATA("Cover",'Cover PivotTable'!$A$4,"Site",$A43,"Year",K$1,"Transect",$B43))</f>
        <v/>
      </c>
      <c r="L43" s="17">
        <f>IF(OR(ISERROR(GETPIVOTDATA("Cover",'Cover PivotTable'!$A$4,"Site",$A43,"Year",L$1,"Transect",$B43)),GETPIVOTDATA("Cover",'Cover PivotTable'!$A$4,"Site",$A43,"Year",L$1)=""), "",GETPIVOTDATA("Cover",'Cover PivotTable'!$A$4,"Site",$A43,"Year",L$1,"Transect",$B43))</f>
        <v>24.5</v>
      </c>
      <c r="M43" s="17" t="str">
        <f>IF(OR(ISERROR(GETPIVOTDATA("Cover",'Cover PivotTable'!$A$4,"Site",$A43,"Year",M$1,"Transect",$B43)),GETPIVOTDATA("Cover",'Cover PivotTable'!$A$4,"Site",$A43,"Year",M$1)=""), "",GETPIVOTDATA("Cover",'Cover PivotTable'!$A$4,"Site",$A43,"Year",M$1,"Transect",$B43))</f>
        <v/>
      </c>
      <c r="N43" s="17">
        <f>IF(OR(ISERROR(GETPIVOTDATA("Cover",'Cover PivotTable'!$A$4,"Site",$A43,"Year",N$1,"Transect",$B43)),GETPIVOTDATA("Cover",'Cover PivotTable'!$A$4,"Site",$A43,"Year",N$1)=""), "",GETPIVOTDATA("Cover",'Cover PivotTable'!$A$4,"Site",$A43,"Year",N$1,"Transect",$B43))</f>
        <v>5.5</v>
      </c>
      <c r="O43" s="17">
        <f>IF(OR(ISERROR(GETPIVOTDATA("Cover",'Cover PivotTable'!$A$4,"Site",$A43,"Year",O$1,"Transect",$B43)),GETPIVOTDATA("Cover",'Cover PivotTable'!$A$4,"Site",$A43,"Year",O$1)=""), "",GETPIVOTDATA("Cover",'Cover PivotTable'!$A$4,"Site",$A43,"Year",O$1,"Transect",$B43))</f>
        <v>15</v>
      </c>
    </row>
    <row r="44" spans="1:15" ht="15" thickBot="1" x14ac:dyDescent="0.4">
      <c r="A44" s="19"/>
      <c r="B44" s="19"/>
      <c r="C44" s="19"/>
      <c r="D44" s="19"/>
      <c r="E44" s="19"/>
      <c r="F44" s="19"/>
      <c r="G44" s="19"/>
      <c r="H44" s="19"/>
      <c r="I44" s="19"/>
      <c r="J44" s="19"/>
      <c r="K44" s="19"/>
      <c r="L44" s="19"/>
      <c r="M44" s="19"/>
      <c r="N44" s="19"/>
      <c r="O44" s="19"/>
    </row>
    <row r="46" spans="1:15" x14ac:dyDescent="0.35">
      <c r="A46" t="s">
        <v>274</v>
      </c>
      <c r="C46" s="17">
        <f>IF(SUM(C2:C43)=0, "", AVERAGE(C2:C43))</f>
        <v>3.1175795834805164</v>
      </c>
      <c r="D46" s="17" t="str">
        <f>IF(SUM(D2:D43)=0, "", AVERAGE(D2:D43))</f>
        <v/>
      </c>
      <c r="E46" s="17" t="str">
        <f>IF(SUM(E2:E43)=0, "", AVERAGE(E2:E43))</f>
        <v/>
      </c>
      <c r="F46" s="17">
        <f>IF(SUM(F2:F43)=0, "", AVERAGE(F2:F43))</f>
        <v>3.758492956088074</v>
      </c>
      <c r="G46" s="17" t="str">
        <f t="shared" ref="G46:O46" si="0">IF(SUM(G2:G43)=0, "", AVERAGE(G2:G43))</f>
        <v/>
      </c>
      <c r="H46" s="17" t="str">
        <f t="shared" si="0"/>
        <v/>
      </c>
      <c r="I46" s="17" t="str">
        <f t="shared" si="0"/>
        <v/>
      </c>
      <c r="J46" s="17">
        <f t="shared" si="0"/>
        <v>3.2744675759751138</v>
      </c>
      <c r="K46" s="17" t="str">
        <f t="shared" si="0"/>
        <v/>
      </c>
      <c r="L46" s="17">
        <f t="shared" si="0"/>
        <v>5.0008417508417509</v>
      </c>
      <c r="M46" s="17" t="str">
        <f t="shared" si="0"/>
        <v/>
      </c>
      <c r="N46" s="17">
        <f t="shared" si="0"/>
        <v>6.0952380952380949</v>
      </c>
      <c r="O46" s="17">
        <f t="shared" si="0"/>
        <v>9.6006550768455519</v>
      </c>
    </row>
    <row r="47" spans="1:15" x14ac:dyDescent="0.35">
      <c r="A47" t="s">
        <v>275</v>
      </c>
      <c r="C47" s="17">
        <f>IF(SUM(C2:C43)=0, "",STDEV(C2:C43))</f>
        <v>4.1765136401881069</v>
      </c>
      <c r="D47" s="17" t="str">
        <f>IF(SUM(D2:D43)=0, "",STDEV(D2:D43))</f>
        <v/>
      </c>
      <c r="E47" s="17" t="str">
        <f>IF(SUM(E2:E43)=0, "",STDEV(E2:E43))</f>
        <v/>
      </c>
      <c r="F47" s="17">
        <f>IF(SUM(F2:F43)=0, "",STDEV(F2:F43))</f>
        <v>5.0665000736638683</v>
      </c>
      <c r="G47" s="17" t="str">
        <f t="shared" ref="G47:O47" si="1">IF(SUM(G2:G43)=0, "",STDEV(G2:G43))</f>
        <v/>
      </c>
      <c r="H47" s="17" t="str">
        <f t="shared" si="1"/>
        <v/>
      </c>
      <c r="I47" s="17" t="str">
        <f t="shared" si="1"/>
        <v/>
      </c>
      <c r="J47" s="17">
        <f t="shared" si="1"/>
        <v>3.7178704628288508</v>
      </c>
      <c r="K47" s="17" t="str">
        <f t="shared" si="1"/>
        <v/>
      </c>
      <c r="L47" s="17">
        <f t="shared" si="1"/>
        <v>4.6601453957939807</v>
      </c>
      <c r="M47" s="17" t="str">
        <f t="shared" si="1"/>
        <v/>
      </c>
      <c r="N47" s="17">
        <f t="shared" si="1"/>
        <v>3.8654790118054554</v>
      </c>
      <c r="O47" s="17">
        <f t="shared" si="1"/>
        <v>5.6863525842153271</v>
      </c>
    </row>
    <row r="48" spans="1:15" x14ac:dyDescent="0.35">
      <c r="A48" t="s">
        <v>276</v>
      </c>
      <c r="C48" s="16">
        <f>IF(SUM(C2:C43)=0,"",_xlfn.CONFIDENCE.T(0.2,C47,COUNT(C2:C43)))</f>
        <v>0.83942412739051786</v>
      </c>
      <c r="D48" s="16" t="str">
        <f>IF(SUM(D2:D43)=0,"",_xlfn.CONFIDENCE.T(0.2,D47,COUNT(D2:D43)))</f>
        <v/>
      </c>
      <c r="E48" s="16" t="str">
        <f>IF(SUM(E2:E43)=0,"",_xlfn.CONFIDENCE.T(0.2,E47,COUNT(E2:E43)))</f>
        <v/>
      </c>
      <c r="F48" s="16">
        <f>IF(SUM(F2:F43)=0,"",_xlfn.CONFIDENCE.T(0.2,F47,COUNT(F2:F43)))</f>
        <v>1.0182996560422435</v>
      </c>
      <c r="G48" s="16" t="str">
        <f t="shared" ref="G48:O48" si="2">IF(SUM(G2:G43)=0,"",_xlfn.CONFIDENCE.T(0.2,G47,COUNT(G2:G43)))</f>
        <v/>
      </c>
      <c r="H48" s="16" t="str">
        <f t="shared" si="2"/>
        <v/>
      </c>
      <c r="I48" s="16" t="str">
        <f t="shared" si="2"/>
        <v/>
      </c>
      <c r="J48" s="16">
        <f t="shared" si="2"/>
        <v>0.74724290110795077</v>
      </c>
      <c r="K48" s="16" t="str">
        <f t="shared" si="2"/>
        <v/>
      </c>
      <c r="L48" s="16">
        <f t="shared" si="2"/>
        <v>0.93662772814531403</v>
      </c>
      <c r="M48" s="16" t="str">
        <f t="shared" si="2"/>
        <v/>
      </c>
      <c r="N48" s="16">
        <f t="shared" si="2"/>
        <v>0.77691027157402359</v>
      </c>
      <c r="O48" s="16">
        <f t="shared" si="2"/>
        <v>1.1428818309389703</v>
      </c>
    </row>
    <row r="49" spans="1:15" x14ac:dyDescent="0.35">
      <c r="A49" t="s">
        <v>277</v>
      </c>
      <c r="C49" s="17">
        <f>IF(C48="","",C46+C48)</f>
        <v>3.9570037108710343</v>
      </c>
      <c r="D49" s="17" t="str">
        <f>IF(D48="","",D46+D48)</f>
        <v/>
      </c>
      <c r="E49" s="17" t="str">
        <f>IF(E48="","",E46+E48)</f>
        <v/>
      </c>
      <c r="F49" s="17">
        <f>IF(F48="","",F46+F48)</f>
        <v>4.7767926121303175</v>
      </c>
      <c r="G49" s="17" t="str">
        <f t="shared" ref="G49:O49" si="3">IF(G48="","",G46+G48)</f>
        <v/>
      </c>
      <c r="H49" s="17" t="str">
        <f t="shared" si="3"/>
        <v/>
      </c>
      <c r="I49" s="17" t="str">
        <f t="shared" si="3"/>
        <v/>
      </c>
      <c r="J49" s="17">
        <f t="shared" si="3"/>
        <v>4.0217104770830643</v>
      </c>
      <c r="K49" s="17" t="str">
        <f t="shared" si="3"/>
        <v/>
      </c>
      <c r="L49" s="17">
        <f t="shared" si="3"/>
        <v>5.9374694789870652</v>
      </c>
      <c r="M49" s="17" t="str">
        <f t="shared" si="3"/>
        <v/>
      </c>
      <c r="N49" s="17">
        <f t="shared" si="3"/>
        <v>6.8721483668121186</v>
      </c>
      <c r="O49" s="17">
        <f t="shared" si="3"/>
        <v>10.743536907784522</v>
      </c>
    </row>
    <row r="51" spans="1:15" x14ac:dyDescent="0.35">
      <c r="A51" t="s">
        <v>270</v>
      </c>
      <c r="C51" s="17">
        <f t="shared" ref="C51:O51" si="4">VLOOKUP($A$2, TargetCover, 2, FALSE)*0.9</f>
        <v>13.5</v>
      </c>
      <c r="D51" s="17">
        <f t="shared" si="4"/>
        <v>13.5</v>
      </c>
      <c r="E51" s="17">
        <f t="shared" si="4"/>
        <v>13.5</v>
      </c>
      <c r="F51" s="17">
        <f t="shared" si="4"/>
        <v>13.5</v>
      </c>
      <c r="G51" s="17">
        <f t="shared" si="4"/>
        <v>13.5</v>
      </c>
      <c r="H51" s="17">
        <f t="shared" si="4"/>
        <v>13.5</v>
      </c>
      <c r="I51" s="17">
        <f t="shared" si="4"/>
        <v>13.5</v>
      </c>
      <c r="J51" s="17">
        <f t="shared" si="4"/>
        <v>13.5</v>
      </c>
      <c r="K51" s="17">
        <f t="shared" si="4"/>
        <v>13.5</v>
      </c>
      <c r="L51" s="17">
        <f t="shared" si="4"/>
        <v>13.5</v>
      </c>
      <c r="M51" s="17">
        <f t="shared" si="4"/>
        <v>13.5</v>
      </c>
      <c r="N51" s="17">
        <f t="shared" si="4"/>
        <v>13.5</v>
      </c>
      <c r="O51" s="17">
        <f t="shared" si="4"/>
        <v>13.5</v>
      </c>
    </row>
    <row r="52" spans="1:15" x14ac:dyDescent="0.35">
      <c r="A52" t="s">
        <v>283</v>
      </c>
      <c r="C52" s="17">
        <f>IF(C49="","",C49-C51)</f>
        <v>-9.5429962891289648</v>
      </c>
      <c r="D52" s="17" t="str">
        <f>IF(D49="","",D49-D51)</f>
        <v/>
      </c>
      <c r="E52" s="17" t="str">
        <f>IF(E49="","",E49-E51)</f>
        <v/>
      </c>
      <c r="F52" s="17">
        <f>IF(F49="","",F49-F51)</f>
        <v>-8.7232073878696816</v>
      </c>
      <c r="G52" s="17" t="str">
        <f t="shared" ref="G52:O52" si="5">IF(G49="","",G49-G51)</f>
        <v/>
      </c>
      <c r="H52" s="17" t="str">
        <f t="shared" si="5"/>
        <v/>
      </c>
      <c r="I52" s="17" t="str">
        <f t="shared" si="5"/>
        <v/>
      </c>
      <c r="J52" s="17">
        <f t="shared" si="5"/>
        <v>-9.4782895229169348</v>
      </c>
      <c r="K52" s="17" t="str">
        <f t="shared" si="5"/>
        <v/>
      </c>
      <c r="L52" s="17">
        <f t="shared" si="5"/>
        <v>-7.5625305210129348</v>
      </c>
      <c r="M52" s="17" t="str">
        <f t="shared" si="5"/>
        <v/>
      </c>
      <c r="N52" s="17">
        <f t="shared" si="5"/>
        <v>-6.6278516331878814</v>
      </c>
      <c r="O52" s="17">
        <f t="shared" si="5"/>
        <v>-2.756463092215478</v>
      </c>
    </row>
    <row r="53" spans="1:15" x14ac:dyDescent="0.35">
      <c r="A53" t="s">
        <v>279</v>
      </c>
      <c r="C53" t="b">
        <f>IF(C52="","",C52&gt;=0)</f>
        <v>0</v>
      </c>
      <c r="D53" t="str">
        <f>IF(D52="","",D52&gt;=0)</f>
        <v/>
      </c>
      <c r="E53" t="str">
        <f>IF(E52="","",E52&gt;=0)</f>
        <v/>
      </c>
      <c r="F53" t="b">
        <f>IF(F52="","",F52&gt;=0)</f>
        <v>0</v>
      </c>
      <c r="G53" t="str">
        <f t="shared" ref="G53:O53" si="6">IF(G52="","",G52&gt;=0)</f>
        <v/>
      </c>
      <c r="H53" t="str">
        <f t="shared" si="6"/>
        <v/>
      </c>
      <c r="I53" t="str">
        <f t="shared" si="6"/>
        <v/>
      </c>
      <c r="J53" t="b">
        <f t="shared" si="6"/>
        <v>0</v>
      </c>
      <c r="K53" t="str">
        <f t="shared" si="6"/>
        <v/>
      </c>
      <c r="L53" t="b">
        <f t="shared" si="6"/>
        <v>0</v>
      </c>
      <c r="M53" t="str">
        <f t="shared" si="6"/>
        <v/>
      </c>
      <c r="N53" t="b">
        <f t="shared" si="6"/>
        <v>0</v>
      </c>
      <c r="O53" t="b">
        <f t="shared" si="6"/>
        <v>0</v>
      </c>
    </row>
    <row r="54" spans="1:15" x14ac:dyDescent="0.35">
      <c r="A54" s="20"/>
      <c r="B54" s="20"/>
      <c r="C54" s="20"/>
      <c r="D54" s="20"/>
      <c r="E54" s="20"/>
      <c r="F54" s="20"/>
      <c r="G54" s="20"/>
      <c r="H54" s="20"/>
      <c r="I54" s="20"/>
      <c r="J54" s="20"/>
      <c r="K54" s="20"/>
      <c r="L54" s="20"/>
      <c r="M54" s="20"/>
      <c r="N54" s="20"/>
      <c r="O54" s="20"/>
    </row>
    <row r="56" spans="1:15" x14ac:dyDescent="0.35">
      <c r="A56" t="s">
        <v>280</v>
      </c>
      <c r="C56">
        <f>IF(GETPIVOTDATA("Helper_SPP",'Species Richness PivotTable'!$A$4,"Site",$A$2,"Year",C$1)="", "", GETPIVOTDATA("Helper_SPP",'Species Richness PivotTable'!$A$4,"Site",$A$2,"Year",C$1))</f>
        <v>3</v>
      </c>
      <c r="D56" t="str">
        <f>IF(GETPIVOTDATA("Helper_SPP",'Species Richness PivotTable'!$A$4,"Site",$A$2,"Year",D$1)="", "", GETPIVOTDATA("Helper_SPP",'Species Richness PivotTable'!$A$4,"Site",$A$2,"Year",D$1))</f>
        <v/>
      </c>
      <c r="E56" t="str">
        <f>IF(GETPIVOTDATA("Helper_SPP",'Species Richness PivotTable'!$A$4,"Site",$A$2,"Year",E$1)="", "", GETPIVOTDATA("Helper_SPP",'Species Richness PivotTable'!$A$4,"Site",$A$2,"Year",E$1))</f>
        <v/>
      </c>
      <c r="F56">
        <f>IF(GETPIVOTDATA("Helper_SPP",'Species Richness PivotTable'!$A$4,"Site",$A$2,"Year",F$1)="", "", GETPIVOTDATA("Helper_SPP",'Species Richness PivotTable'!$A$4,"Site",$A$2,"Year",F$1))</f>
        <v>4</v>
      </c>
      <c r="G56" t="str">
        <f>IF(GETPIVOTDATA("Helper_SPP",'Species Richness PivotTable'!$A$4,"Site",$A$2,"Year",G$1)="", "", GETPIVOTDATA("Helper_SPP",'Species Richness PivotTable'!$A$4,"Site",$A$2,"Year",G$1))</f>
        <v/>
      </c>
      <c r="H56" t="str">
        <f>IF(GETPIVOTDATA("Helper_SPP",'Species Richness PivotTable'!$A$4,"Site",$A$2,"Year",H$1)="", "", GETPIVOTDATA("Helper_SPP",'Species Richness PivotTable'!$A$4,"Site",$A$2,"Year",H$1))</f>
        <v/>
      </c>
      <c r="I56" t="str">
        <f>IF(GETPIVOTDATA("Helper_SPP",'Species Richness PivotTable'!$A$4,"Site",$A$2,"Year",I$1)="", "", GETPIVOTDATA("Helper_SPP",'Species Richness PivotTable'!$A$4,"Site",$A$2,"Year",I$1))</f>
        <v/>
      </c>
      <c r="J56">
        <f>IF(GETPIVOTDATA("Helper_SPP",'Species Richness PivotTable'!$A$4,"Site",$A$2,"Year",J$1)="", "", GETPIVOTDATA("Helper_SPP",'Species Richness PivotTable'!$A$4,"Site",$A$2,"Year",J$1))</f>
        <v>4</v>
      </c>
      <c r="K56" t="str">
        <f>IF(GETPIVOTDATA("Helper_SPP",'Species Richness PivotTable'!$A$4,"Site",$A$2,"Year",K$1)="", "", GETPIVOTDATA("Helper_SPP",'Species Richness PivotTable'!$A$4,"Site",$A$2,"Year",K$1))</f>
        <v/>
      </c>
      <c r="L56">
        <f>IF(GETPIVOTDATA("Helper_SPP",'Species Richness PivotTable'!$A$4,"Site",$A$2,"Year",L$1)="", "", GETPIVOTDATA("Helper_SPP",'Species Richness PivotTable'!$A$4,"Site",$A$2,"Year",L$1))</f>
        <v>4</v>
      </c>
      <c r="M56" t="str">
        <f>IF(GETPIVOTDATA("Helper_SPP",'Species Richness PivotTable'!$A$4,"Site",$A$2,"Year",M$1)="", "", GETPIVOTDATA("Helper_SPP",'Species Richness PivotTable'!$A$4,"Site",$A$2,"Year",M$1))</f>
        <v/>
      </c>
      <c r="N56">
        <f>IF(GETPIVOTDATA("Helper_SPP",'Species Richness PivotTable'!$A$4,"Site",$A$2,"Year",N$1)="", "", GETPIVOTDATA("Helper_SPP",'Species Richness PivotTable'!$A$4,"Site",$A$2,"Year",N$1))</f>
        <v>4</v>
      </c>
      <c r="O56">
        <f>IF(GETPIVOTDATA("Helper_SPP",'Species Richness PivotTable'!$A$4,"Site",$A$2,"Year",O$1)="", "", GETPIVOTDATA("Helper_SPP",'Species Richness PivotTable'!$A$4,"Site",$A$2,"Year",O$1))</f>
        <v>4</v>
      </c>
    </row>
    <row r="57" spans="1:15" x14ac:dyDescent="0.35">
      <c r="A57" t="s">
        <v>281</v>
      </c>
      <c r="C57" s="18">
        <f t="shared" ref="C57:O57" si="7">VLOOKUP($A$2, TargetCover, 3, FALSE)*0.75</f>
        <v>9</v>
      </c>
      <c r="D57" s="18">
        <f t="shared" si="7"/>
        <v>9</v>
      </c>
      <c r="E57" s="18">
        <f t="shared" si="7"/>
        <v>9</v>
      </c>
      <c r="F57" s="18">
        <f t="shared" si="7"/>
        <v>9</v>
      </c>
      <c r="G57" s="18">
        <f t="shared" si="7"/>
        <v>9</v>
      </c>
      <c r="H57" s="18">
        <f t="shared" si="7"/>
        <v>9</v>
      </c>
      <c r="I57" s="18">
        <f t="shared" si="7"/>
        <v>9</v>
      </c>
      <c r="J57" s="18">
        <f t="shared" si="7"/>
        <v>9</v>
      </c>
      <c r="K57" s="18">
        <f t="shared" si="7"/>
        <v>9</v>
      </c>
      <c r="L57" s="18">
        <f t="shared" si="7"/>
        <v>9</v>
      </c>
      <c r="M57" s="18">
        <f t="shared" si="7"/>
        <v>9</v>
      </c>
      <c r="N57" s="18">
        <f t="shared" si="7"/>
        <v>9</v>
      </c>
      <c r="O57" s="18">
        <f t="shared" si="7"/>
        <v>9</v>
      </c>
    </row>
    <row r="58" spans="1:15" x14ac:dyDescent="0.35">
      <c r="A58" t="s">
        <v>282</v>
      </c>
      <c r="C58" t="b">
        <f>IF(C56="","",C56&gt;=C57)</f>
        <v>0</v>
      </c>
      <c r="D58" t="str">
        <f>IF(D56="","",D56&gt;=D57)</f>
        <v/>
      </c>
      <c r="E58" t="str">
        <f>IF(E56="","",E56&gt;=E57)</f>
        <v/>
      </c>
      <c r="F58" t="b">
        <f>IF(F56="","",F56&gt;=F57)</f>
        <v>0</v>
      </c>
      <c r="G58" t="str">
        <f t="shared" ref="G58:O58" si="8">IF(G56="","",G56&gt;=G57)</f>
        <v/>
      </c>
      <c r="H58" t="str">
        <f t="shared" si="8"/>
        <v/>
      </c>
      <c r="I58" t="str">
        <f t="shared" si="8"/>
        <v/>
      </c>
      <c r="J58" t="b">
        <f t="shared" si="8"/>
        <v>0</v>
      </c>
      <c r="K58" t="str">
        <f t="shared" si="8"/>
        <v/>
      </c>
      <c r="L58" t="b">
        <f t="shared" si="8"/>
        <v>0</v>
      </c>
      <c r="M58" t="str">
        <f t="shared" si="8"/>
        <v/>
      </c>
      <c r="N58" t="b">
        <f t="shared" si="8"/>
        <v>0</v>
      </c>
      <c r="O58" t="b">
        <f t="shared" si="8"/>
        <v>0</v>
      </c>
    </row>
    <row r="59" spans="1:15" ht="15" thickBot="1" x14ac:dyDescent="0.4">
      <c r="A59" s="19"/>
      <c r="B59" s="19"/>
      <c r="C59" s="19"/>
      <c r="D59" s="19"/>
      <c r="E59" s="19"/>
      <c r="F59" s="19"/>
      <c r="G59" s="19"/>
      <c r="H59" s="19"/>
      <c r="I59" s="19"/>
      <c r="J59" s="19"/>
      <c r="K59" s="19"/>
      <c r="L59" s="19"/>
      <c r="M59" s="19"/>
      <c r="N59" s="19"/>
      <c r="O59" s="19"/>
    </row>
  </sheetData>
  <conditionalFormatting sqref="C53:O54 C58:O58">
    <cfRule type="cellIs" dxfId="39" priority="1" operator="equal">
      <formula>TRUE</formula>
    </cfRule>
    <cfRule type="cellIs" dxfId="38" priority="2" operator="equal">
      <formula>FALSE</formula>
    </cfRule>
  </conditionalFormatting>
  <pageMargins left="0.7" right="0.7" top="0.75" bottom="0.75" header="0.3" footer="0.3"/>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6"/>
  <dimension ref="A1:O26"/>
  <sheetViews>
    <sheetView workbookViewId="0">
      <pane xSplit="2" ySplit="1" topLeftCell="C2" activePane="bottomRight" state="frozen"/>
      <selection pane="topRight" activeCell="C1" sqref="C1"/>
      <selection pane="bottomLeft" activeCell="A2" sqref="A2"/>
      <selection pane="bottomRight" activeCell="C13" sqref="C13"/>
    </sheetView>
  </sheetViews>
  <sheetFormatPr defaultColWidth="9.08984375" defaultRowHeight="14.5" x14ac:dyDescent="0.35"/>
  <cols>
    <col min="3" max="3" width="9.08984375" customWidth="1"/>
    <col min="5" max="5" width="10.54296875" bestFit="1" customWidth="1"/>
    <col min="8" max="8" width="10.54296875" bestFit="1" customWidth="1"/>
    <col min="11" max="11" width="10.54296875" bestFit="1" customWidth="1"/>
  </cols>
  <sheetData>
    <row r="1" spans="1:15" x14ac:dyDescent="0.35">
      <c r="A1" t="s">
        <v>7</v>
      </c>
      <c r="B1" t="s">
        <v>0</v>
      </c>
      <c r="C1" s="13">
        <v>1999</v>
      </c>
      <c r="D1" s="13">
        <v>2001</v>
      </c>
      <c r="E1" s="13">
        <v>2002</v>
      </c>
      <c r="F1" s="13">
        <v>2003</v>
      </c>
      <c r="G1" s="13">
        <v>2004</v>
      </c>
      <c r="H1" s="13">
        <v>2005</v>
      </c>
      <c r="I1" s="13">
        <v>2006</v>
      </c>
      <c r="J1" s="13">
        <v>2007</v>
      </c>
      <c r="K1" s="13">
        <v>2010</v>
      </c>
      <c r="L1" s="13">
        <v>2012</v>
      </c>
      <c r="M1" s="13">
        <v>2013</v>
      </c>
      <c r="N1" s="13">
        <v>2016</v>
      </c>
      <c r="O1" s="13">
        <v>2017</v>
      </c>
    </row>
    <row r="2" spans="1:15" x14ac:dyDescent="0.35">
      <c r="A2" t="s">
        <v>24</v>
      </c>
      <c r="B2">
        <v>1.1000000000000001</v>
      </c>
      <c r="C2" s="17">
        <f>IF(OR(ISERROR(GETPIVOTDATA("Cover",'Cover PivotTable'!$A$4,"Site",$A2,"Year",C$1,"Transect",$B2)),GETPIVOTDATA("Cover",'Cover PivotTable'!$A$4,"Site",$A2,"Year",C$1)=""), "",GETPIVOTDATA("Cover",'Cover PivotTable'!$A$4,"Site",$A2,"Year",C$1,"Transect",$B2))</f>
        <v>6.9444444444444446</v>
      </c>
      <c r="D2" s="17" t="str">
        <f>IF(OR(ISERROR(GETPIVOTDATA("Cover",'Cover PivotTable'!$A$4,"Site",$A2,"Year",D$1,"Transect",$B2)),GETPIVOTDATA("Cover",'Cover PivotTable'!$A$4,"Site",$A2,"Year",D$1)=""), "",GETPIVOTDATA("Cover",'Cover PivotTable'!$A$4,"Site",$A2,"Year",D$1,"Transect",$B2))</f>
        <v/>
      </c>
      <c r="E2" s="17">
        <f>IF(OR(ISERROR(GETPIVOTDATA("Cover",'Cover PivotTable'!$A$4,"Site",$A2,"Year",E$1,"Transect",$B2)),GETPIVOTDATA("Cover",'Cover PivotTable'!$A$4,"Site",$A2,"Year",E$1)=""), "",GETPIVOTDATA("Cover",'Cover PivotTable'!$A$4,"Site",$A2,"Year",E$1,"Transect",$B2))</f>
        <v>11.111111111111111</v>
      </c>
      <c r="F2" s="17" t="str">
        <f>IF(OR(ISERROR(GETPIVOTDATA("Cover",'Cover PivotTable'!$A$4,"Site",$A2,"Year",F$1,"Transect",$B2)),GETPIVOTDATA("Cover",'Cover PivotTable'!$A$4,"Site",$A2,"Year",F$1)=""), "",GETPIVOTDATA("Cover",'Cover PivotTable'!$A$4,"Site",$A2,"Year",F$1,"Transect",$B2))</f>
        <v/>
      </c>
      <c r="G2" s="17" t="str">
        <f>IF(OR(ISERROR(GETPIVOTDATA("Cover",'Cover PivotTable'!$A$4,"Site",$A2,"Year",G$1,"Transect",$B2)),GETPIVOTDATA("Cover",'Cover PivotTable'!$A$4,"Site",$A2,"Year",G$1)=""), "",GETPIVOTDATA("Cover",'Cover PivotTable'!$A$4,"Site",$A2,"Year",G$1,"Transect",$B2))</f>
        <v/>
      </c>
      <c r="H2" s="17">
        <f>IF(OR(ISERROR(GETPIVOTDATA("Cover",'Cover PivotTable'!$A$4,"Site",$A2,"Year",H$1,"Transect",$B2)),GETPIVOTDATA("Cover",'Cover PivotTable'!$A$4,"Site",$A2,"Year",H$1)=""), "",GETPIVOTDATA("Cover",'Cover PivotTable'!$A$4,"Site",$A2,"Year",H$1,"Transect",$B2))</f>
        <v>2.083333333333333</v>
      </c>
      <c r="I2" s="17" t="str">
        <f>IF(OR(ISERROR(GETPIVOTDATA("Cover",'Cover PivotTable'!$A$4,"Site",$A2,"Year",I$1,"Transect",$B2)),GETPIVOTDATA("Cover",'Cover PivotTable'!$A$4,"Site",$A2,"Year",I$1)=""), "",GETPIVOTDATA("Cover",'Cover PivotTable'!$A$4,"Site",$A2,"Year",I$1,"Transect",$B2))</f>
        <v/>
      </c>
      <c r="J2" s="17" t="str">
        <f>IF(OR(ISERROR(GETPIVOTDATA("Cover",'Cover PivotTable'!$A$4,"Site",$A2,"Year",J$1,"Transect",$B2)),GETPIVOTDATA("Cover",'Cover PivotTable'!$A$4,"Site",$A2,"Year",J$1)=""), "",GETPIVOTDATA("Cover",'Cover PivotTable'!$A$4,"Site",$A2,"Year",J$1,"Transect",$B2))</f>
        <v/>
      </c>
      <c r="K2" s="17">
        <f>IF(OR(ISERROR(GETPIVOTDATA("Cover",'Cover PivotTable'!$A$4,"Site",$A2,"Year",K$1,"Transect",$B2)),GETPIVOTDATA("Cover",'Cover PivotTable'!$A$4,"Site",$A2,"Year",K$1)=""), "",GETPIVOTDATA("Cover",'Cover PivotTable'!$A$4,"Site",$A2,"Year",K$1,"Transect",$B2))</f>
        <v>24.64788732394366</v>
      </c>
      <c r="L2" s="17" t="str">
        <f>IF(OR(ISERROR(GETPIVOTDATA("Cover",'Cover PivotTable'!$A$4,"Site",$A2,"Year",L$1,"Transect",$B2)),GETPIVOTDATA("Cover",'Cover PivotTable'!$A$4,"Site",$A2,"Year",L$1)=""), "",GETPIVOTDATA("Cover",'Cover PivotTable'!$A$4,"Site",$A2,"Year",L$1,"Transect",$B2))</f>
        <v/>
      </c>
      <c r="M2" s="17" t="str">
        <f>IF(OR(ISERROR(GETPIVOTDATA("Cover",'Cover PivotTable'!$A$4,"Site",$A2,"Year",M$1,"Transect",$B2)),GETPIVOTDATA("Cover",'Cover PivotTable'!$A$4,"Site",$A2,"Year",M$1)=""), "",GETPIVOTDATA("Cover",'Cover PivotTable'!$A$4,"Site",$A2,"Year",M$1,"Transect",$B2))</f>
        <v/>
      </c>
      <c r="N2" s="17" t="str">
        <f>IF(OR(ISERROR(GETPIVOTDATA("Cover",'Cover PivotTable'!$A$4,"Site",$A2,"Year",N$1,"Transect",$B2)),GETPIVOTDATA("Cover",'Cover PivotTable'!$A$4,"Site",$A2,"Year",N$1)=""), "",GETPIVOTDATA("Cover",'Cover PivotTable'!$A$4,"Site",$A2,"Year",N$1,"Transect",$B2))</f>
        <v/>
      </c>
      <c r="O2" s="17" t="str">
        <f>IF(OR(ISERROR(GETPIVOTDATA("Cover",'Cover PivotTable'!$A$4,"Site",$A2,"Year",O$1,"Transect",$B2)),GETPIVOTDATA("Cover",'Cover PivotTable'!$A$4,"Site",$A2,"Year",O$1)=""), "",GETPIVOTDATA("Cover",'Cover PivotTable'!$A$4,"Site",$A2,"Year",O$1,"Transect",$B2))</f>
        <v/>
      </c>
    </row>
    <row r="3" spans="1:15" x14ac:dyDescent="0.35">
      <c r="A3" t="s">
        <v>24</v>
      </c>
      <c r="B3">
        <v>2.1</v>
      </c>
      <c r="C3" s="17">
        <f>IF(OR(ISERROR(GETPIVOTDATA("Cover",'Cover PivotTable'!$A$4,"Site",$A3,"Year",C$1,"Transect",$B3)),GETPIVOTDATA("Cover",'Cover PivotTable'!$A$4,"Site",$A3,"Year",C$1)=""), "",GETPIVOTDATA("Cover",'Cover PivotTable'!$A$4,"Site",$A3,"Year",C$1,"Transect",$B3))</f>
        <v>1.5384615384615385</v>
      </c>
      <c r="D3" s="17" t="str">
        <f>IF(OR(ISERROR(GETPIVOTDATA("Cover",'Cover PivotTable'!$A$4,"Site",$A3,"Year",D$1,"Transect",$B3)),GETPIVOTDATA("Cover",'Cover PivotTable'!$A$4,"Site",$A3,"Year",D$1)=""), "",GETPIVOTDATA("Cover",'Cover PivotTable'!$A$4,"Site",$A3,"Year",D$1,"Transect",$B3))</f>
        <v/>
      </c>
      <c r="E3" s="17">
        <f>IF(OR(ISERROR(GETPIVOTDATA("Cover",'Cover PivotTable'!$A$4,"Site",$A3,"Year",E$1,"Transect",$B3)),GETPIVOTDATA("Cover",'Cover PivotTable'!$A$4,"Site",$A3,"Year",E$1)=""), "",GETPIVOTDATA("Cover",'Cover PivotTable'!$A$4,"Site",$A3,"Year",E$1,"Transect",$B3))</f>
        <v>10.76923076923077</v>
      </c>
      <c r="F3" s="17" t="str">
        <f>IF(OR(ISERROR(GETPIVOTDATA("Cover",'Cover PivotTable'!$A$4,"Site",$A3,"Year",F$1,"Transect",$B3)),GETPIVOTDATA("Cover",'Cover PivotTable'!$A$4,"Site",$A3,"Year",F$1)=""), "",GETPIVOTDATA("Cover",'Cover PivotTable'!$A$4,"Site",$A3,"Year",F$1,"Transect",$B3))</f>
        <v/>
      </c>
      <c r="G3" s="17" t="str">
        <f>IF(OR(ISERROR(GETPIVOTDATA("Cover",'Cover PivotTable'!$A$4,"Site",$A3,"Year",G$1,"Transect",$B3)),GETPIVOTDATA("Cover",'Cover PivotTable'!$A$4,"Site",$A3,"Year",G$1)=""), "",GETPIVOTDATA("Cover",'Cover PivotTable'!$A$4,"Site",$A3,"Year",G$1,"Transect",$B3))</f>
        <v/>
      </c>
      <c r="H3" s="17">
        <f>IF(OR(ISERROR(GETPIVOTDATA("Cover",'Cover PivotTable'!$A$4,"Site",$A3,"Year",H$1,"Transect",$B3)),GETPIVOTDATA("Cover",'Cover PivotTable'!$A$4,"Site",$A3,"Year",H$1)=""), "",GETPIVOTDATA("Cover",'Cover PivotTable'!$A$4,"Site",$A3,"Year",H$1,"Transect",$B3))</f>
        <v>6.9230769230769234</v>
      </c>
      <c r="I3" s="17" t="str">
        <f>IF(OR(ISERROR(GETPIVOTDATA("Cover",'Cover PivotTable'!$A$4,"Site",$A3,"Year",I$1,"Transect",$B3)),GETPIVOTDATA("Cover",'Cover PivotTable'!$A$4,"Site",$A3,"Year",I$1)=""), "",GETPIVOTDATA("Cover",'Cover PivotTable'!$A$4,"Site",$A3,"Year",I$1,"Transect",$B3))</f>
        <v/>
      </c>
      <c r="J3" s="17" t="str">
        <f>IF(OR(ISERROR(GETPIVOTDATA("Cover",'Cover PivotTable'!$A$4,"Site",$A3,"Year",J$1,"Transect",$B3)),GETPIVOTDATA("Cover",'Cover PivotTable'!$A$4,"Site",$A3,"Year",J$1)=""), "",GETPIVOTDATA("Cover",'Cover PivotTable'!$A$4,"Site",$A3,"Year",J$1,"Transect",$B3))</f>
        <v/>
      </c>
      <c r="K3" s="17">
        <f>IF(OR(ISERROR(GETPIVOTDATA("Cover",'Cover PivotTable'!$A$4,"Site",$A3,"Year",K$1,"Transect",$B3)),GETPIVOTDATA("Cover",'Cover PivotTable'!$A$4,"Site",$A3,"Year",K$1)=""), "",GETPIVOTDATA("Cover",'Cover PivotTable'!$A$4,"Site",$A3,"Year",K$1,"Transect",$B3))</f>
        <v>30.769230769230774</v>
      </c>
      <c r="L3" s="17" t="str">
        <f>IF(OR(ISERROR(GETPIVOTDATA("Cover",'Cover PivotTable'!$A$4,"Site",$A3,"Year",L$1,"Transect",$B3)),GETPIVOTDATA("Cover",'Cover PivotTable'!$A$4,"Site",$A3,"Year",L$1)=""), "",GETPIVOTDATA("Cover",'Cover PivotTable'!$A$4,"Site",$A3,"Year",L$1,"Transect",$B3))</f>
        <v/>
      </c>
      <c r="M3" s="17" t="str">
        <f>IF(OR(ISERROR(GETPIVOTDATA("Cover",'Cover PivotTable'!$A$4,"Site",$A3,"Year",M$1,"Transect",$B3)),GETPIVOTDATA("Cover",'Cover PivotTable'!$A$4,"Site",$A3,"Year",M$1)=""), "",GETPIVOTDATA("Cover",'Cover PivotTable'!$A$4,"Site",$A3,"Year",M$1,"Transect",$B3))</f>
        <v/>
      </c>
      <c r="N3" s="17" t="str">
        <f>IF(OR(ISERROR(GETPIVOTDATA("Cover",'Cover PivotTable'!$A$4,"Site",$A3,"Year",N$1,"Transect",$B3)),GETPIVOTDATA("Cover",'Cover PivotTable'!$A$4,"Site",$A3,"Year",N$1)=""), "",GETPIVOTDATA("Cover",'Cover PivotTable'!$A$4,"Site",$A3,"Year",N$1,"Transect",$B3))</f>
        <v/>
      </c>
      <c r="O3" s="17" t="str">
        <f>IF(OR(ISERROR(GETPIVOTDATA("Cover",'Cover PivotTable'!$A$4,"Site",$A3,"Year",O$1,"Transect",$B3)),GETPIVOTDATA("Cover",'Cover PivotTable'!$A$4,"Site",$A3,"Year",O$1)=""), "",GETPIVOTDATA("Cover",'Cover PivotTable'!$A$4,"Site",$A3,"Year",O$1,"Transect",$B3))</f>
        <v/>
      </c>
    </row>
    <row r="4" spans="1:15" x14ac:dyDescent="0.35">
      <c r="A4" t="s">
        <v>24</v>
      </c>
      <c r="B4">
        <v>2.2000000000000002</v>
      </c>
      <c r="C4" s="17">
        <f>IF(OR(ISERROR(GETPIVOTDATA("Cover",'Cover PivotTable'!$A$4,"Site",$A4,"Year",C$1,"Transect",$B4)),GETPIVOTDATA("Cover",'Cover PivotTable'!$A$4,"Site",$A4,"Year",C$1)=""), "",GETPIVOTDATA("Cover",'Cover PivotTable'!$A$4,"Site",$A4,"Year",C$1,"Transect",$B4))</f>
        <v>7.5757575757575761</v>
      </c>
      <c r="D4" s="17" t="str">
        <f>IF(OR(ISERROR(GETPIVOTDATA("Cover",'Cover PivotTable'!$A$4,"Site",$A4,"Year",D$1,"Transect",$B4)),GETPIVOTDATA("Cover",'Cover PivotTable'!$A$4,"Site",$A4,"Year",D$1)=""), "",GETPIVOTDATA("Cover",'Cover PivotTable'!$A$4,"Site",$A4,"Year",D$1,"Transect",$B4))</f>
        <v/>
      </c>
      <c r="E4" s="17">
        <f>IF(OR(ISERROR(GETPIVOTDATA("Cover",'Cover PivotTable'!$A$4,"Site",$A4,"Year",E$1,"Transect",$B4)),GETPIVOTDATA("Cover",'Cover PivotTable'!$A$4,"Site",$A4,"Year",E$1)=""), "",GETPIVOTDATA("Cover",'Cover PivotTable'!$A$4,"Site",$A4,"Year",E$1,"Transect",$B4))</f>
        <v>16.666666666666668</v>
      </c>
      <c r="F4" s="17" t="str">
        <f>IF(OR(ISERROR(GETPIVOTDATA("Cover",'Cover PivotTable'!$A$4,"Site",$A4,"Year",F$1,"Transect",$B4)),GETPIVOTDATA("Cover",'Cover PivotTable'!$A$4,"Site",$A4,"Year",F$1)=""), "",GETPIVOTDATA("Cover",'Cover PivotTable'!$A$4,"Site",$A4,"Year",F$1,"Transect",$B4))</f>
        <v/>
      </c>
      <c r="G4" s="17" t="str">
        <f>IF(OR(ISERROR(GETPIVOTDATA("Cover",'Cover PivotTable'!$A$4,"Site",$A4,"Year",G$1,"Transect",$B4)),GETPIVOTDATA("Cover",'Cover PivotTable'!$A$4,"Site",$A4,"Year",G$1)=""), "",GETPIVOTDATA("Cover",'Cover PivotTable'!$A$4,"Site",$A4,"Year",G$1,"Transect",$B4))</f>
        <v/>
      </c>
      <c r="H4" s="17">
        <f>IF(OR(ISERROR(GETPIVOTDATA("Cover",'Cover PivotTable'!$A$4,"Site",$A4,"Year",H$1,"Transect",$B4)),GETPIVOTDATA("Cover",'Cover PivotTable'!$A$4,"Site",$A4,"Year",H$1)=""), "",GETPIVOTDATA("Cover",'Cover PivotTable'!$A$4,"Site",$A4,"Year",H$1,"Transect",$B4))</f>
        <v>4.545454545454545</v>
      </c>
      <c r="I4" s="17" t="str">
        <f>IF(OR(ISERROR(GETPIVOTDATA("Cover",'Cover PivotTable'!$A$4,"Site",$A4,"Year",I$1,"Transect",$B4)),GETPIVOTDATA("Cover",'Cover PivotTable'!$A$4,"Site",$A4,"Year",I$1)=""), "",GETPIVOTDATA("Cover",'Cover PivotTable'!$A$4,"Site",$A4,"Year",I$1,"Transect",$B4))</f>
        <v/>
      </c>
      <c r="J4" s="17" t="str">
        <f>IF(OR(ISERROR(GETPIVOTDATA("Cover",'Cover PivotTable'!$A$4,"Site",$A4,"Year",J$1,"Transect",$B4)),GETPIVOTDATA("Cover",'Cover PivotTable'!$A$4,"Site",$A4,"Year",J$1)=""), "",GETPIVOTDATA("Cover",'Cover PivotTable'!$A$4,"Site",$A4,"Year",J$1,"Transect",$B4))</f>
        <v/>
      </c>
      <c r="K4" s="17">
        <f>IF(OR(ISERROR(GETPIVOTDATA("Cover",'Cover PivotTable'!$A$4,"Site",$A4,"Year",K$1,"Transect",$B4)),GETPIVOTDATA("Cover",'Cover PivotTable'!$A$4,"Site",$A4,"Year",K$1)=""), "",GETPIVOTDATA("Cover",'Cover PivotTable'!$A$4,"Site",$A4,"Year",K$1,"Transect",$B4))</f>
        <v>62.121212121212125</v>
      </c>
      <c r="L4" s="17" t="str">
        <f>IF(OR(ISERROR(GETPIVOTDATA("Cover",'Cover PivotTable'!$A$4,"Site",$A4,"Year",L$1,"Transect",$B4)),GETPIVOTDATA("Cover",'Cover PivotTable'!$A$4,"Site",$A4,"Year",L$1)=""), "",GETPIVOTDATA("Cover",'Cover PivotTable'!$A$4,"Site",$A4,"Year",L$1,"Transect",$B4))</f>
        <v/>
      </c>
      <c r="M4" s="17" t="str">
        <f>IF(OR(ISERROR(GETPIVOTDATA("Cover",'Cover PivotTable'!$A$4,"Site",$A4,"Year",M$1,"Transect",$B4)),GETPIVOTDATA("Cover",'Cover PivotTable'!$A$4,"Site",$A4,"Year",M$1)=""), "",GETPIVOTDATA("Cover",'Cover PivotTable'!$A$4,"Site",$A4,"Year",M$1,"Transect",$B4))</f>
        <v/>
      </c>
      <c r="N4" s="17" t="str">
        <f>IF(OR(ISERROR(GETPIVOTDATA("Cover",'Cover PivotTable'!$A$4,"Site",$A4,"Year",N$1,"Transect",$B4)),GETPIVOTDATA("Cover",'Cover PivotTable'!$A$4,"Site",$A4,"Year",N$1)=""), "",GETPIVOTDATA("Cover",'Cover PivotTable'!$A$4,"Site",$A4,"Year",N$1,"Transect",$B4))</f>
        <v/>
      </c>
      <c r="O4" s="17" t="str">
        <f>IF(OR(ISERROR(GETPIVOTDATA("Cover",'Cover PivotTable'!$A$4,"Site",$A4,"Year",O$1,"Transect",$B4)),GETPIVOTDATA("Cover",'Cover PivotTable'!$A$4,"Site",$A4,"Year",O$1)=""), "",GETPIVOTDATA("Cover",'Cover PivotTable'!$A$4,"Site",$A4,"Year",O$1,"Transect",$B4))</f>
        <v/>
      </c>
    </row>
    <row r="5" spans="1:15" x14ac:dyDescent="0.35">
      <c r="A5" t="s">
        <v>24</v>
      </c>
      <c r="B5">
        <v>3.1</v>
      </c>
      <c r="C5" s="17">
        <f>IF(OR(ISERROR(GETPIVOTDATA("Cover",'Cover PivotTable'!$A$4,"Site",$A5,"Year",C$1,"Transect",$B5)),GETPIVOTDATA("Cover",'Cover PivotTable'!$A$4,"Site",$A5,"Year",C$1)=""), "",GETPIVOTDATA("Cover",'Cover PivotTable'!$A$4,"Site",$A5,"Year",C$1,"Transect",$B5))</f>
        <v>1.2048192771084338</v>
      </c>
      <c r="D5" s="17" t="str">
        <f>IF(OR(ISERROR(GETPIVOTDATA("Cover",'Cover PivotTable'!$A$4,"Site",$A5,"Year",D$1,"Transect",$B5)),GETPIVOTDATA("Cover",'Cover PivotTable'!$A$4,"Site",$A5,"Year",D$1)=""), "",GETPIVOTDATA("Cover",'Cover PivotTable'!$A$4,"Site",$A5,"Year",D$1,"Transect",$B5))</f>
        <v/>
      </c>
      <c r="E5" s="17">
        <f>IF(OR(ISERROR(GETPIVOTDATA("Cover",'Cover PivotTable'!$A$4,"Site",$A5,"Year",E$1,"Transect",$B5)),GETPIVOTDATA("Cover",'Cover PivotTable'!$A$4,"Site",$A5,"Year",E$1)=""), "",GETPIVOTDATA("Cover",'Cover PivotTable'!$A$4,"Site",$A5,"Year",E$1,"Transect",$B5))</f>
        <v>20.481927710843372</v>
      </c>
      <c r="F5" s="17" t="str">
        <f>IF(OR(ISERROR(GETPIVOTDATA("Cover",'Cover PivotTable'!$A$4,"Site",$A5,"Year",F$1,"Transect",$B5)),GETPIVOTDATA("Cover",'Cover PivotTable'!$A$4,"Site",$A5,"Year",F$1)=""), "",GETPIVOTDATA("Cover",'Cover PivotTable'!$A$4,"Site",$A5,"Year",F$1,"Transect",$B5))</f>
        <v/>
      </c>
      <c r="G5" s="17" t="str">
        <f>IF(OR(ISERROR(GETPIVOTDATA("Cover",'Cover PivotTable'!$A$4,"Site",$A5,"Year",G$1,"Transect",$B5)),GETPIVOTDATA("Cover",'Cover PivotTable'!$A$4,"Site",$A5,"Year",G$1)=""), "",GETPIVOTDATA("Cover",'Cover PivotTable'!$A$4,"Site",$A5,"Year",G$1,"Transect",$B5))</f>
        <v/>
      </c>
      <c r="H5" s="17">
        <f>IF(OR(ISERROR(GETPIVOTDATA("Cover",'Cover PivotTable'!$A$4,"Site",$A5,"Year",H$1,"Transect",$B5)),GETPIVOTDATA("Cover",'Cover PivotTable'!$A$4,"Site",$A5,"Year",H$1)=""), "",GETPIVOTDATA("Cover",'Cover PivotTable'!$A$4,"Site",$A5,"Year",H$1,"Transect",$B5))</f>
        <v>3.6144578313253009</v>
      </c>
      <c r="I5" s="17" t="str">
        <f>IF(OR(ISERROR(GETPIVOTDATA("Cover",'Cover PivotTable'!$A$4,"Site",$A5,"Year",I$1,"Transect",$B5)),GETPIVOTDATA("Cover",'Cover PivotTable'!$A$4,"Site",$A5,"Year",I$1)=""), "",GETPIVOTDATA("Cover",'Cover PivotTable'!$A$4,"Site",$A5,"Year",I$1,"Transect",$B5))</f>
        <v/>
      </c>
      <c r="J5" s="17" t="str">
        <f>IF(OR(ISERROR(GETPIVOTDATA("Cover",'Cover PivotTable'!$A$4,"Site",$A5,"Year",J$1,"Transect",$B5)),GETPIVOTDATA("Cover",'Cover PivotTable'!$A$4,"Site",$A5,"Year",J$1)=""), "",GETPIVOTDATA("Cover",'Cover PivotTable'!$A$4,"Site",$A5,"Year",J$1,"Transect",$B5))</f>
        <v/>
      </c>
      <c r="K5" s="17">
        <f>IF(OR(ISERROR(GETPIVOTDATA("Cover",'Cover PivotTable'!$A$4,"Site",$A5,"Year",K$1,"Transect",$B5)),GETPIVOTDATA("Cover",'Cover PivotTable'!$A$4,"Site",$A5,"Year",K$1)=""), "",GETPIVOTDATA("Cover",'Cover PivotTable'!$A$4,"Site",$A5,"Year",K$1,"Transect",$B5))</f>
        <v>36.144578313253014</v>
      </c>
      <c r="L5" s="17" t="str">
        <f>IF(OR(ISERROR(GETPIVOTDATA("Cover",'Cover PivotTable'!$A$4,"Site",$A5,"Year",L$1,"Transect",$B5)),GETPIVOTDATA("Cover",'Cover PivotTable'!$A$4,"Site",$A5,"Year",L$1)=""), "",GETPIVOTDATA("Cover",'Cover PivotTable'!$A$4,"Site",$A5,"Year",L$1,"Transect",$B5))</f>
        <v/>
      </c>
      <c r="M5" s="17" t="str">
        <f>IF(OR(ISERROR(GETPIVOTDATA("Cover",'Cover PivotTable'!$A$4,"Site",$A5,"Year",M$1,"Transect",$B5)),GETPIVOTDATA("Cover",'Cover PivotTable'!$A$4,"Site",$A5,"Year",M$1)=""), "",GETPIVOTDATA("Cover",'Cover PivotTable'!$A$4,"Site",$A5,"Year",M$1,"Transect",$B5))</f>
        <v/>
      </c>
      <c r="N5" s="17" t="str">
        <f>IF(OR(ISERROR(GETPIVOTDATA("Cover",'Cover PivotTable'!$A$4,"Site",$A5,"Year",N$1,"Transect",$B5)),GETPIVOTDATA("Cover",'Cover PivotTable'!$A$4,"Site",$A5,"Year",N$1)=""), "",GETPIVOTDATA("Cover",'Cover PivotTable'!$A$4,"Site",$A5,"Year",N$1,"Transect",$B5))</f>
        <v/>
      </c>
      <c r="O5" s="17" t="str">
        <f>IF(OR(ISERROR(GETPIVOTDATA("Cover",'Cover PivotTable'!$A$4,"Site",$A5,"Year",O$1,"Transect",$B5)),GETPIVOTDATA("Cover",'Cover PivotTable'!$A$4,"Site",$A5,"Year",O$1)=""), "",GETPIVOTDATA("Cover",'Cover PivotTable'!$A$4,"Site",$A5,"Year",O$1,"Transect",$B5))</f>
        <v/>
      </c>
    </row>
    <row r="6" spans="1:15" x14ac:dyDescent="0.35">
      <c r="A6" t="s">
        <v>24</v>
      </c>
      <c r="B6">
        <v>3.2</v>
      </c>
      <c r="C6" s="17">
        <f>IF(OR(ISERROR(GETPIVOTDATA("Cover",'Cover PivotTable'!$A$4,"Site",$A6,"Year",C$1,"Transect",$B6)),GETPIVOTDATA("Cover",'Cover PivotTable'!$A$4,"Site",$A6,"Year",C$1)=""), "",GETPIVOTDATA("Cover",'Cover PivotTable'!$A$4,"Site",$A6,"Year",C$1,"Transect",$B6))</f>
        <v>22.857142857142858</v>
      </c>
      <c r="D6" s="17" t="str">
        <f>IF(OR(ISERROR(GETPIVOTDATA("Cover",'Cover PivotTable'!$A$4,"Site",$A6,"Year",D$1,"Transect",$B6)),GETPIVOTDATA("Cover",'Cover PivotTable'!$A$4,"Site",$A6,"Year",D$1)=""), "",GETPIVOTDATA("Cover",'Cover PivotTable'!$A$4,"Site",$A6,"Year",D$1,"Transect",$B6))</f>
        <v/>
      </c>
      <c r="E6" s="17">
        <f>IF(OR(ISERROR(GETPIVOTDATA("Cover",'Cover PivotTable'!$A$4,"Site",$A6,"Year",E$1,"Transect",$B6)),GETPIVOTDATA("Cover",'Cover PivotTable'!$A$4,"Site",$A6,"Year",E$1)=""), "",GETPIVOTDATA("Cover",'Cover PivotTable'!$A$4,"Site",$A6,"Year",E$1,"Transect",$B6))</f>
        <v>31.428571428571431</v>
      </c>
      <c r="F6" s="17" t="str">
        <f>IF(OR(ISERROR(GETPIVOTDATA("Cover",'Cover PivotTable'!$A$4,"Site",$A6,"Year",F$1,"Transect",$B6)),GETPIVOTDATA("Cover",'Cover PivotTable'!$A$4,"Site",$A6,"Year",F$1)=""), "",GETPIVOTDATA("Cover",'Cover PivotTable'!$A$4,"Site",$A6,"Year",F$1,"Transect",$B6))</f>
        <v/>
      </c>
      <c r="G6" s="17" t="str">
        <f>IF(OR(ISERROR(GETPIVOTDATA("Cover",'Cover PivotTable'!$A$4,"Site",$A6,"Year",G$1,"Transect",$B6)),GETPIVOTDATA("Cover",'Cover PivotTable'!$A$4,"Site",$A6,"Year",G$1)=""), "",GETPIVOTDATA("Cover",'Cover PivotTable'!$A$4,"Site",$A6,"Year",G$1,"Transect",$B6))</f>
        <v/>
      </c>
      <c r="H6" s="17">
        <f>IF(OR(ISERROR(GETPIVOTDATA("Cover",'Cover PivotTable'!$A$4,"Site",$A6,"Year",H$1,"Transect",$B6)),GETPIVOTDATA("Cover",'Cover PivotTable'!$A$4,"Site",$A6,"Year",H$1)=""), "",GETPIVOTDATA("Cover",'Cover PivotTable'!$A$4,"Site",$A6,"Year",H$1,"Transect",$B6))</f>
        <v>14.285714285714285</v>
      </c>
      <c r="I6" s="17" t="str">
        <f>IF(OR(ISERROR(GETPIVOTDATA("Cover",'Cover PivotTable'!$A$4,"Site",$A6,"Year",I$1,"Transect",$B6)),GETPIVOTDATA("Cover",'Cover PivotTable'!$A$4,"Site",$A6,"Year",I$1)=""), "",GETPIVOTDATA("Cover",'Cover PivotTable'!$A$4,"Site",$A6,"Year",I$1,"Transect",$B6))</f>
        <v/>
      </c>
      <c r="J6" s="17" t="str">
        <f>IF(OR(ISERROR(GETPIVOTDATA("Cover",'Cover PivotTable'!$A$4,"Site",$A6,"Year",J$1,"Transect",$B6)),GETPIVOTDATA("Cover",'Cover PivotTable'!$A$4,"Site",$A6,"Year",J$1)=""), "",GETPIVOTDATA("Cover",'Cover PivotTable'!$A$4,"Site",$A6,"Year",J$1,"Transect",$B6))</f>
        <v/>
      </c>
      <c r="K6" s="17">
        <f>IF(OR(ISERROR(GETPIVOTDATA("Cover",'Cover PivotTable'!$A$4,"Site",$A6,"Year",K$1,"Transect",$B6)),GETPIVOTDATA("Cover",'Cover PivotTable'!$A$4,"Site",$A6,"Year",K$1)=""), "",GETPIVOTDATA("Cover",'Cover PivotTable'!$A$4,"Site",$A6,"Year",K$1,"Transect",$B6))</f>
        <v>74.999999999999986</v>
      </c>
      <c r="L6" s="17" t="str">
        <f>IF(OR(ISERROR(GETPIVOTDATA("Cover",'Cover PivotTable'!$A$4,"Site",$A6,"Year",L$1,"Transect",$B6)),GETPIVOTDATA("Cover",'Cover PivotTable'!$A$4,"Site",$A6,"Year",L$1)=""), "",GETPIVOTDATA("Cover",'Cover PivotTable'!$A$4,"Site",$A6,"Year",L$1,"Transect",$B6))</f>
        <v/>
      </c>
      <c r="M6" s="17" t="str">
        <f>IF(OR(ISERROR(GETPIVOTDATA("Cover",'Cover PivotTable'!$A$4,"Site",$A6,"Year",M$1,"Transect",$B6)),GETPIVOTDATA("Cover",'Cover PivotTable'!$A$4,"Site",$A6,"Year",M$1)=""), "",GETPIVOTDATA("Cover",'Cover PivotTable'!$A$4,"Site",$A6,"Year",M$1,"Transect",$B6))</f>
        <v/>
      </c>
      <c r="N6" s="17" t="str">
        <f>IF(OR(ISERROR(GETPIVOTDATA("Cover",'Cover PivotTable'!$A$4,"Site",$A6,"Year",N$1,"Transect",$B6)),GETPIVOTDATA("Cover",'Cover PivotTable'!$A$4,"Site",$A6,"Year",N$1)=""), "",GETPIVOTDATA("Cover",'Cover PivotTable'!$A$4,"Site",$A6,"Year",N$1,"Transect",$B6))</f>
        <v/>
      </c>
      <c r="O6" s="17" t="str">
        <f>IF(OR(ISERROR(GETPIVOTDATA("Cover",'Cover PivotTable'!$A$4,"Site",$A6,"Year",O$1,"Transect",$B6)),GETPIVOTDATA("Cover",'Cover PivotTable'!$A$4,"Site",$A6,"Year",O$1)=""), "",GETPIVOTDATA("Cover",'Cover PivotTable'!$A$4,"Site",$A6,"Year",O$1,"Transect",$B6))</f>
        <v/>
      </c>
    </row>
    <row r="7" spans="1:15" x14ac:dyDescent="0.35">
      <c r="A7" t="s">
        <v>24</v>
      </c>
      <c r="B7">
        <v>4.0999999999999996</v>
      </c>
      <c r="C7" s="17">
        <f>IF(OR(ISERROR(GETPIVOTDATA("Cover",'Cover PivotTable'!$A$4,"Site",$A7,"Year",C$1,"Transect",$B7)),GETPIVOTDATA("Cover",'Cover PivotTable'!$A$4,"Site",$A7,"Year",C$1)=""), "",GETPIVOTDATA("Cover",'Cover PivotTable'!$A$4,"Site",$A7,"Year",C$1,"Transect",$B7))</f>
        <v>4.3859649122807012</v>
      </c>
      <c r="D7" s="17" t="str">
        <f>IF(OR(ISERROR(GETPIVOTDATA("Cover",'Cover PivotTable'!$A$4,"Site",$A7,"Year",D$1,"Transect",$B7)),GETPIVOTDATA("Cover",'Cover PivotTable'!$A$4,"Site",$A7,"Year",D$1)=""), "",GETPIVOTDATA("Cover",'Cover PivotTable'!$A$4,"Site",$A7,"Year",D$1,"Transect",$B7))</f>
        <v/>
      </c>
      <c r="E7" s="17">
        <f>IF(OR(ISERROR(GETPIVOTDATA("Cover",'Cover PivotTable'!$A$4,"Site",$A7,"Year",E$1,"Transect",$B7)),GETPIVOTDATA("Cover",'Cover PivotTable'!$A$4,"Site",$A7,"Year",E$1)=""), "",GETPIVOTDATA("Cover",'Cover PivotTable'!$A$4,"Site",$A7,"Year",E$1,"Transect",$B7))</f>
        <v>6.140350877192982</v>
      </c>
      <c r="F7" s="17" t="str">
        <f>IF(OR(ISERROR(GETPIVOTDATA("Cover",'Cover PivotTable'!$A$4,"Site",$A7,"Year",F$1,"Transect",$B7)),GETPIVOTDATA("Cover",'Cover PivotTable'!$A$4,"Site",$A7,"Year",F$1)=""), "",GETPIVOTDATA("Cover",'Cover PivotTable'!$A$4,"Site",$A7,"Year",F$1,"Transect",$B7))</f>
        <v/>
      </c>
      <c r="G7" s="17" t="str">
        <f>IF(OR(ISERROR(GETPIVOTDATA("Cover",'Cover PivotTable'!$A$4,"Site",$A7,"Year",G$1,"Transect",$B7)),GETPIVOTDATA("Cover",'Cover PivotTable'!$A$4,"Site",$A7,"Year",G$1)=""), "",GETPIVOTDATA("Cover",'Cover PivotTable'!$A$4,"Site",$A7,"Year",G$1,"Transect",$B7))</f>
        <v/>
      </c>
      <c r="H7" s="17">
        <f>IF(OR(ISERROR(GETPIVOTDATA("Cover",'Cover PivotTable'!$A$4,"Site",$A7,"Year",H$1,"Transect",$B7)),GETPIVOTDATA("Cover",'Cover PivotTable'!$A$4,"Site",$A7,"Year",H$1)=""), "",GETPIVOTDATA("Cover",'Cover PivotTable'!$A$4,"Site",$A7,"Year",H$1,"Transect",$B7))</f>
        <v>3.5087719298245612</v>
      </c>
      <c r="I7" s="17" t="str">
        <f>IF(OR(ISERROR(GETPIVOTDATA("Cover",'Cover PivotTable'!$A$4,"Site",$A7,"Year",I$1,"Transect",$B7)),GETPIVOTDATA("Cover",'Cover PivotTable'!$A$4,"Site",$A7,"Year",I$1)=""), "",GETPIVOTDATA("Cover",'Cover PivotTable'!$A$4,"Site",$A7,"Year",I$1,"Transect",$B7))</f>
        <v/>
      </c>
      <c r="J7" s="17" t="str">
        <f>IF(OR(ISERROR(GETPIVOTDATA("Cover",'Cover PivotTable'!$A$4,"Site",$A7,"Year",J$1,"Transect",$B7)),GETPIVOTDATA("Cover",'Cover PivotTable'!$A$4,"Site",$A7,"Year",J$1)=""), "",GETPIVOTDATA("Cover",'Cover PivotTable'!$A$4,"Site",$A7,"Year",J$1,"Transect",$B7))</f>
        <v/>
      </c>
      <c r="K7" s="17">
        <f>IF(OR(ISERROR(GETPIVOTDATA("Cover",'Cover PivotTable'!$A$4,"Site",$A7,"Year",K$1,"Transect",$B7)),GETPIVOTDATA("Cover",'Cover PivotTable'!$A$4,"Site",$A7,"Year",K$1)=""), "",GETPIVOTDATA("Cover",'Cover PivotTable'!$A$4,"Site",$A7,"Year",K$1,"Transect",$B7))</f>
        <v>27.826086956521742</v>
      </c>
      <c r="L7" s="17" t="str">
        <f>IF(OR(ISERROR(GETPIVOTDATA("Cover",'Cover PivotTable'!$A$4,"Site",$A7,"Year",L$1,"Transect",$B7)),GETPIVOTDATA("Cover",'Cover PivotTable'!$A$4,"Site",$A7,"Year",L$1)=""), "",GETPIVOTDATA("Cover",'Cover PivotTable'!$A$4,"Site",$A7,"Year",L$1,"Transect",$B7))</f>
        <v/>
      </c>
      <c r="M7" s="17" t="str">
        <f>IF(OR(ISERROR(GETPIVOTDATA("Cover",'Cover PivotTable'!$A$4,"Site",$A7,"Year",M$1,"Transect",$B7)),GETPIVOTDATA("Cover",'Cover PivotTable'!$A$4,"Site",$A7,"Year",M$1)=""), "",GETPIVOTDATA("Cover",'Cover PivotTable'!$A$4,"Site",$A7,"Year",M$1,"Transect",$B7))</f>
        <v/>
      </c>
      <c r="N7" s="17" t="str">
        <f>IF(OR(ISERROR(GETPIVOTDATA("Cover",'Cover PivotTable'!$A$4,"Site",$A7,"Year",N$1,"Transect",$B7)),GETPIVOTDATA("Cover",'Cover PivotTable'!$A$4,"Site",$A7,"Year",N$1)=""), "",GETPIVOTDATA("Cover",'Cover PivotTable'!$A$4,"Site",$A7,"Year",N$1,"Transect",$B7))</f>
        <v/>
      </c>
      <c r="O7" s="17" t="str">
        <f>IF(OR(ISERROR(GETPIVOTDATA("Cover",'Cover PivotTable'!$A$4,"Site",$A7,"Year",O$1,"Transect",$B7)),GETPIVOTDATA("Cover",'Cover PivotTable'!$A$4,"Site",$A7,"Year",O$1)=""), "",GETPIVOTDATA("Cover",'Cover PivotTable'!$A$4,"Site",$A7,"Year",O$1,"Transect",$B7))</f>
        <v/>
      </c>
    </row>
    <row r="8" spans="1:15" x14ac:dyDescent="0.35">
      <c r="A8" t="s">
        <v>24</v>
      </c>
      <c r="B8">
        <v>5.0999999999999996</v>
      </c>
      <c r="C8" s="17">
        <f>IF(OR(ISERROR(GETPIVOTDATA("Cover",'Cover PivotTable'!$A$4,"Site",$A8,"Year",C$1,"Transect",$B8)),GETPIVOTDATA("Cover",'Cover PivotTable'!$A$4,"Site",$A8,"Year",C$1)=""), "",GETPIVOTDATA("Cover",'Cover PivotTable'!$A$4,"Site",$A8,"Year",C$1,"Transect",$B8))</f>
        <v>5.48780487804878</v>
      </c>
      <c r="D8" s="17" t="str">
        <f>IF(OR(ISERROR(GETPIVOTDATA("Cover",'Cover PivotTable'!$A$4,"Site",$A8,"Year",D$1,"Transect",$B8)),GETPIVOTDATA("Cover",'Cover PivotTable'!$A$4,"Site",$A8,"Year",D$1)=""), "",GETPIVOTDATA("Cover",'Cover PivotTable'!$A$4,"Site",$A8,"Year",D$1,"Transect",$B8))</f>
        <v/>
      </c>
      <c r="E8" s="17">
        <f>IF(OR(ISERROR(GETPIVOTDATA("Cover",'Cover PivotTable'!$A$4,"Site",$A8,"Year",E$1,"Transect",$B8)),GETPIVOTDATA("Cover",'Cover PivotTable'!$A$4,"Site",$A8,"Year",E$1)=""), "",GETPIVOTDATA("Cover",'Cover PivotTable'!$A$4,"Site",$A8,"Year",E$1,"Transect",$B8))</f>
        <v>21.341463414634145</v>
      </c>
      <c r="F8" s="17" t="str">
        <f>IF(OR(ISERROR(GETPIVOTDATA("Cover",'Cover PivotTable'!$A$4,"Site",$A8,"Year",F$1,"Transect",$B8)),GETPIVOTDATA("Cover",'Cover PivotTable'!$A$4,"Site",$A8,"Year",F$1)=""), "",GETPIVOTDATA("Cover",'Cover PivotTable'!$A$4,"Site",$A8,"Year",F$1,"Transect",$B8))</f>
        <v/>
      </c>
      <c r="G8" s="17" t="str">
        <f>IF(OR(ISERROR(GETPIVOTDATA("Cover",'Cover PivotTable'!$A$4,"Site",$A8,"Year",G$1,"Transect",$B8)),GETPIVOTDATA("Cover",'Cover PivotTable'!$A$4,"Site",$A8,"Year",G$1)=""), "",GETPIVOTDATA("Cover",'Cover PivotTable'!$A$4,"Site",$A8,"Year",G$1,"Transect",$B8))</f>
        <v/>
      </c>
      <c r="H8" s="17">
        <f>IF(OR(ISERROR(GETPIVOTDATA("Cover",'Cover PivotTable'!$A$4,"Site",$A8,"Year",H$1,"Transect",$B8)),GETPIVOTDATA("Cover",'Cover PivotTable'!$A$4,"Site",$A8,"Year",H$1)=""), "",GETPIVOTDATA("Cover",'Cover PivotTable'!$A$4,"Site",$A8,"Year",H$1,"Transect",$B8))</f>
        <v>17.073170731707318</v>
      </c>
      <c r="I8" s="17" t="str">
        <f>IF(OR(ISERROR(GETPIVOTDATA("Cover",'Cover PivotTable'!$A$4,"Site",$A8,"Year",I$1,"Transect",$B8)),GETPIVOTDATA("Cover",'Cover PivotTable'!$A$4,"Site",$A8,"Year",I$1)=""), "",GETPIVOTDATA("Cover",'Cover PivotTable'!$A$4,"Site",$A8,"Year",I$1,"Transect",$B8))</f>
        <v/>
      </c>
      <c r="J8" s="17" t="str">
        <f>IF(OR(ISERROR(GETPIVOTDATA("Cover",'Cover PivotTable'!$A$4,"Site",$A8,"Year",J$1,"Transect",$B8)),GETPIVOTDATA("Cover",'Cover PivotTable'!$A$4,"Site",$A8,"Year",J$1)=""), "",GETPIVOTDATA("Cover",'Cover PivotTable'!$A$4,"Site",$A8,"Year",J$1,"Transect",$B8))</f>
        <v/>
      </c>
      <c r="K8" s="17">
        <f>IF(OR(ISERROR(GETPIVOTDATA("Cover",'Cover PivotTable'!$A$4,"Site",$A8,"Year",K$1,"Transect",$B8)),GETPIVOTDATA("Cover",'Cover PivotTable'!$A$4,"Site",$A8,"Year",K$1)=""), "",GETPIVOTDATA("Cover",'Cover PivotTable'!$A$4,"Site",$A8,"Year",K$1,"Transect",$B8))</f>
        <v>30.487804878048784</v>
      </c>
      <c r="L8" s="17" t="str">
        <f>IF(OR(ISERROR(GETPIVOTDATA("Cover",'Cover PivotTable'!$A$4,"Site",$A8,"Year",L$1,"Transect",$B8)),GETPIVOTDATA("Cover",'Cover PivotTable'!$A$4,"Site",$A8,"Year",L$1)=""), "",GETPIVOTDATA("Cover",'Cover PivotTable'!$A$4,"Site",$A8,"Year",L$1,"Transect",$B8))</f>
        <v/>
      </c>
      <c r="M8" s="17" t="str">
        <f>IF(OR(ISERROR(GETPIVOTDATA("Cover",'Cover PivotTable'!$A$4,"Site",$A8,"Year",M$1,"Transect",$B8)),GETPIVOTDATA("Cover",'Cover PivotTable'!$A$4,"Site",$A8,"Year",M$1)=""), "",GETPIVOTDATA("Cover",'Cover PivotTable'!$A$4,"Site",$A8,"Year",M$1,"Transect",$B8))</f>
        <v/>
      </c>
      <c r="N8" s="17" t="str">
        <f>IF(OR(ISERROR(GETPIVOTDATA("Cover",'Cover PivotTable'!$A$4,"Site",$A8,"Year",N$1,"Transect",$B8)),GETPIVOTDATA("Cover",'Cover PivotTable'!$A$4,"Site",$A8,"Year",N$1)=""), "",GETPIVOTDATA("Cover",'Cover PivotTable'!$A$4,"Site",$A8,"Year",N$1,"Transect",$B8))</f>
        <v/>
      </c>
      <c r="O8" s="17" t="str">
        <f>IF(OR(ISERROR(GETPIVOTDATA("Cover",'Cover PivotTable'!$A$4,"Site",$A8,"Year",O$1,"Transect",$B8)),GETPIVOTDATA("Cover",'Cover PivotTable'!$A$4,"Site",$A8,"Year",O$1)=""), "",GETPIVOTDATA("Cover",'Cover PivotTable'!$A$4,"Site",$A8,"Year",O$1,"Transect",$B8))</f>
        <v/>
      </c>
    </row>
    <row r="9" spans="1:15" x14ac:dyDescent="0.35">
      <c r="A9" t="s">
        <v>24</v>
      </c>
      <c r="B9">
        <v>6.1</v>
      </c>
      <c r="C9" s="17">
        <f>IF(OR(ISERROR(GETPIVOTDATA("Cover",'Cover PivotTable'!$A$4,"Site",$A9,"Year",C$1,"Transect",$B9)),GETPIVOTDATA("Cover",'Cover PivotTable'!$A$4,"Site",$A9,"Year",C$1)=""), "",GETPIVOTDATA("Cover",'Cover PivotTable'!$A$4,"Site",$A9,"Year",C$1,"Transect",$B9))</f>
        <v>4.0609137055837561</v>
      </c>
      <c r="D9" s="17" t="str">
        <f>IF(OR(ISERROR(GETPIVOTDATA("Cover",'Cover PivotTable'!$A$4,"Site",$A9,"Year",D$1,"Transect",$B9)),GETPIVOTDATA("Cover",'Cover PivotTable'!$A$4,"Site",$A9,"Year",D$1)=""), "",GETPIVOTDATA("Cover",'Cover PivotTable'!$A$4,"Site",$A9,"Year",D$1,"Transect",$B9))</f>
        <v/>
      </c>
      <c r="E9" s="17">
        <f>IF(OR(ISERROR(GETPIVOTDATA("Cover",'Cover PivotTable'!$A$4,"Site",$A9,"Year",E$1,"Transect",$B9)),GETPIVOTDATA("Cover",'Cover PivotTable'!$A$4,"Site",$A9,"Year",E$1)=""), "",GETPIVOTDATA("Cover",'Cover PivotTable'!$A$4,"Site",$A9,"Year",E$1,"Transect",$B9))</f>
        <v>5.5837563451776653</v>
      </c>
      <c r="F9" s="17" t="str">
        <f>IF(OR(ISERROR(GETPIVOTDATA("Cover",'Cover PivotTable'!$A$4,"Site",$A9,"Year",F$1,"Transect",$B9)),GETPIVOTDATA("Cover",'Cover PivotTable'!$A$4,"Site",$A9,"Year",F$1)=""), "",GETPIVOTDATA("Cover",'Cover PivotTable'!$A$4,"Site",$A9,"Year",F$1,"Transect",$B9))</f>
        <v/>
      </c>
      <c r="G9" s="17" t="str">
        <f>IF(OR(ISERROR(GETPIVOTDATA("Cover",'Cover PivotTable'!$A$4,"Site",$A9,"Year",G$1,"Transect",$B9)),GETPIVOTDATA("Cover",'Cover PivotTable'!$A$4,"Site",$A9,"Year",G$1)=""), "",GETPIVOTDATA("Cover",'Cover PivotTable'!$A$4,"Site",$A9,"Year",G$1,"Transect",$B9))</f>
        <v/>
      </c>
      <c r="H9" s="17">
        <f>IF(OR(ISERROR(GETPIVOTDATA("Cover",'Cover PivotTable'!$A$4,"Site",$A9,"Year",H$1,"Transect",$B9)),GETPIVOTDATA("Cover",'Cover PivotTable'!$A$4,"Site",$A9,"Year",H$1)=""), "",GETPIVOTDATA("Cover",'Cover PivotTable'!$A$4,"Site",$A9,"Year",H$1,"Transect",$B9))</f>
        <v>12.18274111675127</v>
      </c>
      <c r="I9" s="17" t="str">
        <f>IF(OR(ISERROR(GETPIVOTDATA("Cover",'Cover PivotTable'!$A$4,"Site",$A9,"Year",I$1,"Transect",$B9)),GETPIVOTDATA("Cover",'Cover PivotTable'!$A$4,"Site",$A9,"Year",I$1)=""), "",GETPIVOTDATA("Cover",'Cover PivotTable'!$A$4,"Site",$A9,"Year",I$1,"Transect",$B9))</f>
        <v/>
      </c>
      <c r="J9" s="17" t="str">
        <f>IF(OR(ISERROR(GETPIVOTDATA("Cover",'Cover PivotTable'!$A$4,"Site",$A9,"Year",J$1,"Transect",$B9)),GETPIVOTDATA("Cover",'Cover PivotTable'!$A$4,"Site",$A9,"Year",J$1)=""), "",GETPIVOTDATA("Cover",'Cover PivotTable'!$A$4,"Site",$A9,"Year",J$1,"Transect",$B9))</f>
        <v/>
      </c>
      <c r="K9" s="17">
        <f>IF(OR(ISERROR(GETPIVOTDATA("Cover",'Cover PivotTable'!$A$4,"Site",$A9,"Year",K$1,"Transect",$B9)),GETPIVOTDATA("Cover",'Cover PivotTable'!$A$4,"Site",$A9,"Year",K$1)=""), "",GETPIVOTDATA("Cover",'Cover PivotTable'!$A$4,"Site",$A9,"Year",K$1,"Transect",$B9))</f>
        <v>23.350253807106597</v>
      </c>
      <c r="L9" s="17" t="str">
        <f>IF(OR(ISERROR(GETPIVOTDATA("Cover",'Cover PivotTable'!$A$4,"Site",$A9,"Year",L$1,"Transect",$B9)),GETPIVOTDATA("Cover",'Cover PivotTable'!$A$4,"Site",$A9,"Year",L$1)=""), "",GETPIVOTDATA("Cover",'Cover PivotTable'!$A$4,"Site",$A9,"Year",L$1,"Transect",$B9))</f>
        <v/>
      </c>
      <c r="M9" s="17" t="str">
        <f>IF(OR(ISERROR(GETPIVOTDATA("Cover",'Cover PivotTable'!$A$4,"Site",$A9,"Year",M$1,"Transect",$B9)),GETPIVOTDATA("Cover",'Cover PivotTable'!$A$4,"Site",$A9,"Year",M$1)=""), "",GETPIVOTDATA("Cover",'Cover PivotTable'!$A$4,"Site",$A9,"Year",M$1,"Transect",$B9))</f>
        <v/>
      </c>
      <c r="N9" s="17" t="str">
        <f>IF(OR(ISERROR(GETPIVOTDATA("Cover",'Cover PivotTable'!$A$4,"Site",$A9,"Year",N$1,"Transect",$B9)),GETPIVOTDATA("Cover",'Cover PivotTable'!$A$4,"Site",$A9,"Year",N$1)=""), "",GETPIVOTDATA("Cover",'Cover PivotTable'!$A$4,"Site",$A9,"Year",N$1,"Transect",$B9))</f>
        <v/>
      </c>
      <c r="O9" s="17" t="str">
        <f>IF(OR(ISERROR(GETPIVOTDATA("Cover",'Cover PivotTable'!$A$4,"Site",$A9,"Year",O$1,"Transect",$B9)),GETPIVOTDATA("Cover",'Cover PivotTable'!$A$4,"Site",$A9,"Year",O$1)=""), "",GETPIVOTDATA("Cover",'Cover PivotTable'!$A$4,"Site",$A9,"Year",O$1,"Transect",$B9))</f>
        <v/>
      </c>
    </row>
    <row r="10" spans="1:15" x14ac:dyDescent="0.35">
      <c r="A10" t="s">
        <v>24</v>
      </c>
      <c r="B10">
        <v>7.1</v>
      </c>
      <c r="C10" s="17">
        <f>IF(OR(ISERROR(GETPIVOTDATA("Cover",'Cover PivotTable'!$A$4,"Site",$A10,"Year",C$1,"Transect",$B10)),GETPIVOTDATA("Cover",'Cover PivotTable'!$A$4,"Site",$A10,"Year",C$1)=""), "",GETPIVOTDATA("Cover",'Cover PivotTable'!$A$4,"Site",$A10,"Year",C$1,"Transect",$B10))</f>
        <v>6.8376068376068382</v>
      </c>
      <c r="D10" s="17" t="str">
        <f>IF(OR(ISERROR(GETPIVOTDATA("Cover",'Cover PivotTable'!$A$4,"Site",$A10,"Year",D$1,"Transect",$B10)),GETPIVOTDATA("Cover",'Cover PivotTable'!$A$4,"Site",$A10,"Year",D$1)=""), "",GETPIVOTDATA("Cover",'Cover PivotTable'!$A$4,"Site",$A10,"Year",D$1,"Transect",$B10))</f>
        <v/>
      </c>
      <c r="E10" s="17">
        <f>IF(OR(ISERROR(GETPIVOTDATA("Cover",'Cover PivotTable'!$A$4,"Site",$A10,"Year",E$1,"Transect",$B10)),GETPIVOTDATA("Cover",'Cover PivotTable'!$A$4,"Site",$A10,"Year",E$1)=""), "",GETPIVOTDATA("Cover",'Cover PivotTable'!$A$4,"Site",$A10,"Year",E$1,"Transect",$B10))</f>
        <v>5.1282051282051277</v>
      </c>
      <c r="F10" s="17" t="str">
        <f>IF(OR(ISERROR(GETPIVOTDATA("Cover",'Cover PivotTable'!$A$4,"Site",$A10,"Year",F$1,"Transect",$B10)),GETPIVOTDATA("Cover",'Cover PivotTable'!$A$4,"Site",$A10,"Year",F$1)=""), "",GETPIVOTDATA("Cover",'Cover PivotTable'!$A$4,"Site",$A10,"Year",F$1,"Transect",$B10))</f>
        <v/>
      </c>
      <c r="G10" s="17" t="str">
        <f>IF(OR(ISERROR(GETPIVOTDATA("Cover",'Cover PivotTable'!$A$4,"Site",$A10,"Year",G$1,"Transect",$B10)),GETPIVOTDATA("Cover",'Cover PivotTable'!$A$4,"Site",$A10,"Year",G$1)=""), "",GETPIVOTDATA("Cover",'Cover PivotTable'!$A$4,"Site",$A10,"Year",G$1,"Transect",$B10))</f>
        <v/>
      </c>
      <c r="H10" s="17">
        <f>IF(OR(ISERROR(GETPIVOTDATA("Cover",'Cover PivotTable'!$A$4,"Site",$A10,"Year",H$1,"Transect",$B10)),GETPIVOTDATA("Cover",'Cover PivotTable'!$A$4,"Site",$A10,"Year",H$1)=""), "",GETPIVOTDATA("Cover",'Cover PivotTable'!$A$4,"Site",$A10,"Year",H$1,"Transect",$B10))</f>
        <v>6.8376068376068382</v>
      </c>
      <c r="I10" s="17" t="str">
        <f>IF(OR(ISERROR(GETPIVOTDATA("Cover",'Cover PivotTable'!$A$4,"Site",$A10,"Year",I$1,"Transect",$B10)),GETPIVOTDATA("Cover",'Cover PivotTable'!$A$4,"Site",$A10,"Year",I$1)=""), "",GETPIVOTDATA("Cover",'Cover PivotTable'!$A$4,"Site",$A10,"Year",I$1,"Transect",$B10))</f>
        <v/>
      </c>
      <c r="J10" s="17" t="str">
        <f>IF(OR(ISERROR(GETPIVOTDATA("Cover",'Cover PivotTable'!$A$4,"Site",$A10,"Year",J$1,"Transect",$B10)),GETPIVOTDATA("Cover",'Cover PivotTable'!$A$4,"Site",$A10,"Year",J$1)=""), "",GETPIVOTDATA("Cover",'Cover PivotTable'!$A$4,"Site",$A10,"Year",J$1,"Transect",$B10))</f>
        <v/>
      </c>
      <c r="K10" s="17">
        <f>IF(OR(ISERROR(GETPIVOTDATA("Cover",'Cover PivotTable'!$A$4,"Site",$A10,"Year",K$1,"Transect",$B10)),GETPIVOTDATA("Cover",'Cover PivotTable'!$A$4,"Site",$A10,"Year",K$1)=""), "",GETPIVOTDATA("Cover",'Cover PivotTable'!$A$4,"Site",$A10,"Year",K$1,"Transect",$B10))</f>
        <v>13.793103448275861</v>
      </c>
      <c r="L10" s="17" t="str">
        <f>IF(OR(ISERROR(GETPIVOTDATA("Cover",'Cover PivotTable'!$A$4,"Site",$A10,"Year",L$1,"Transect",$B10)),GETPIVOTDATA("Cover",'Cover PivotTable'!$A$4,"Site",$A10,"Year",L$1)=""), "",GETPIVOTDATA("Cover",'Cover PivotTable'!$A$4,"Site",$A10,"Year",L$1,"Transect",$B10))</f>
        <v/>
      </c>
      <c r="M10" s="17" t="str">
        <f>IF(OR(ISERROR(GETPIVOTDATA("Cover",'Cover PivotTable'!$A$4,"Site",$A10,"Year",M$1,"Transect",$B10)),GETPIVOTDATA("Cover",'Cover PivotTable'!$A$4,"Site",$A10,"Year",M$1)=""), "",GETPIVOTDATA("Cover",'Cover PivotTable'!$A$4,"Site",$A10,"Year",M$1,"Transect",$B10))</f>
        <v/>
      </c>
      <c r="N10" s="17" t="str">
        <f>IF(OR(ISERROR(GETPIVOTDATA("Cover",'Cover PivotTable'!$A$4,"Site",$A10,"Year",N$1,"Transect",$B10)),GETPIVOTDATA("Cover",'Cover PivotTable'!$A$4,"Site",$A10,"Year",N$1)=""), "",GETPIVOTDATA("Cover",'Cover PivotTable'!$A$4,"Site",$A10,"Year",N$1,"Transect",$B10))</f>
        <v/>
      </c>
      <c r="O10" s="17" t="str">
        <f>IF(OR(ISERROR(GETPIVOTDATA("Cover",'Cover PivotTable'!$A$4,"Site",$A10,"Year",O$1,"Transect",$B10)),GETPIVOTDATA("Cover",'Cover PivotTable'!$A$4,"Site",$A10,"Year",O$1)=""), "",GETPIVOTDATA("Cover",'Cover PivotTable'!$A$4,"Site",$A10,"Year",O$1,"Transect",$B10))</f>
        <v/>
      </c>
    </row>
    <row r="11" spans="1:15" ht="15" thickBot="1" x14ac:dyDescent="0.4">
      <c r="A11" s="19"/>
      <c r="B11" s="19"/>
      <c r="C11" s="19"/>
      <c r="D11" s="19"/>
      <c r="E11" s="19"/>
      <c r="F11" s="19"/>
      <c r="G11" s="19"/>
      <c r="H11" s="19"/>
      <c r="I11" s="19"/>
      <c r="J11" s="19"/>
      <c r="K11" s="19"/>
      <c r="L11" s="19"/>
      <c r="M11" s="19"/>
      <c r="N11" s="19"/>
      <c r="O11" s="19"/>
    </row>
    <row r="13" spans="1:15" x14ac:dyDescent="0.35">
      <c r="A13" t="s">
        <v>274</v>
      </c>
      <c r="C13" s="17">
        <f t="shared" ref="C13:H13" si="0">IF(SUM(C2:C10)=0, "", AVERAGE(C2:C10))</f>
        <v>6.7658795584927702</v>
      </c>
      <c r="D13" s="17" t="str">
        <f t="shared" si="0"/>
        <v/>
      </c>
      <c r="E13" s="17">
        <f t="shared" si="0"/>
        <v>14.294587050181475</v>
      </c>
      <c r="F13" s="17" t="str">
        <f t="shared" si="0"/>
        <v/>
      </c>
      <c r="G13" s="17" t="str">
        <f t="shared" si="0"/>
        <v/>
      </c>
      <c r="H13" s="17">
        <f t="shared" si="0"/>
        <v>7.89492528164382</v>
      </c>
      <c r="I13" s="17" t="str">
        <f t="shared" ref="I13:O13" si="1">IF(SUM(I2:I10)=0, "", AVERAGE(I2:I10))</f>
        <v/>
      </c>
      <c r="J13" s="17" t="str">
        <f t="shared" si="1"/>
        <v/>
      </c>
      <c r="K13" s="17">
        <f t="shared" si="1"/>
        <v>36.015573068621393</v>
      </c>
      <c r="L13" s="17" t="str">
        <f t="shared" si="1"/>
        <v/>
      </c>
      <c r="M13" s="17" t="str">
        <f t="shared" si="1"/>
        <v/>
      </c>
      <c r="N13" s="17" t="str">
        <f t="shared" si="1"/>
        <v/>
      </c>
      <c r="O13" s="17" t="str">
        <f t="shared" si="1"/>
        <v/>
      </c>
    </row>
    <row r="14" spans="1:15" x14ac:dyDescent="0.35">
      <c r="A14" t="s">
        <v>275</v>
      </c>
      <c r="C14" s="17">
        <f t="shared" ref="C14:H14" si="2">IF(SUM(C2:C10)=0, "",STDEV(C2:C10))</f>
        <v>6.446775227363525</v>
      </c>
      <c r="D14" s="17" t="str">
        <f t="shared" si="2"/>
        <v/>
      </c>
      <c r="E14" s="17">
        <f t="shared" si="2"/>
        <v>8.9169584638677506</v>
      </c>
      <c r="F14" s="17" t="str">
        <f t="shared" si="2"/>
        <v/>
      </c>
      <c r="G14" s="17" t="str">
        <f t="shared" si="2"/>
        <v/>
      </c>
      <c r="H14" s="17">
        <f t="shared" si="2"/>
        <v>5.339527692142755</v>
      </c>
      <c r="I14" s="17" t="str">
        <f t="shared" ref="I14:O14" si="3">IF(SUM(I2:I10)=0, "",STDEV(I2:I10))</f>
        <v/>
      </c>
      <c r="J14" s="17" t="str">
        <f t="shared" si="3"/>
        <v/>
      </c>
      <c r="K14" s="17">
        <f t="shared" si="3"/>
        <v>19.716513809969275</v>
      </c>
      <c r="L14" s="17" t="str">
        <f t="shared" si="3"/>
        <v/>
      </c>
      <c r="M14" s="17" t="str">
        <f t="shared" si="3"/>
        <v/>
      </c>
      <c r="N14" s="17" t="str">
        <f t="shared" si="3"/>
        <v/>
      </c>
      <c r="O14" s="17" t="str">
        <f t="shared" si="3"/>
        <v/>
      </c>
    </row>
    <row r="15" spans="1:15" x14ac:dyDescent="0.35">
      <c r="A15" t="s">
        <v>276</v>
      </c>
      <c r="C15" s="16">
        <f t="shared" ref="C15:H15" si="4">IF(SUM(C2:C10)=0,"",_xlfn.CONFIDENCE.T(0.2,C14,COUNT(C2:C10)))</f>
        <v>3.0016514453529513</v>
      </c>
      <c r="D15" s="16" t="str">
        <f t="shared" si="4"/>
        <v/>
      </c>
      <c r="E15" s="16">
        <f t="shared" si="4"/>
        <v>4.1517813662268681</v>
      </c>
      <c r="F15" s="16" t="str">
        <f t="shared" si="4"/>
        <v/>
      </c>
      <c r="G15" s="16" t="str">
        <f t="shared" si="4"/>
        <v/>
      </c>
      <c r="H15" s="16">
        <f t="shared" si="4"/>
        <v>2.4861113423954415</v>
      </c>
      <c r="I15" s="16" t="str">
        <f t="shared" ref="I15:O15" si="5">IF(SUM(I2:I10)=0,"",_xlfn.CONFIDENCE.T(0.2,I14,COUNT(I2:I10)))</f>
        <v/>
      </c>
      <c r="J15" s="16" t="str">
        <f t="shared" si="5"/>
        <v/>
      </c>
      <c r="K15" s="43">
        <f t="shared" si="5"/>
        <v>9.1801094481804721</v>
      </c>
      <c r="L15" s="16" t="str">
        <f t="shared" si="5"/>
        <v/>
      </c>
      <c r="M15" s="16" t="str">
        <f t="shared" si="5"/>
        <v/>
      </c>
      <c r="N15" s="16" t="str">
        <f t="shared" si="5"/>
        <v/>
      </c>
      <c r="O15" s="16" t="str">
        <f t="shared" si="5"/>
        <v/>
      </c>
    </row>
    <row r="16" spans="1:15" x14ac:dyDescent="0.35">
      <c r="A16" t="s">
        <v>277</v>
      </c>
      <c r="C16" s="17">
        <f t="shared" ref="C16:H16" si="6">IF(C15="","",C13+C15)</f>
        <v>9.7675310038457219</v>
      </c>
      <c r="D16" s="17" t="str">
        <f t="shared" si="6"/>
        <v/>
      </c>
      <c r="E16" s="17">
        <f t="shared" si="6"/>
        <v>18.446368416408344</v>
      </c>
      <c r="F16" s="17" t="str">
        <f t="shared" si="6"/>
        <v/>
      </c>
      <c r="G16" s="17" t="str">
        <f t="shared" si="6"/>
        <v/>
      </c>
      <c r="H16" s="17">
        <f t="shared" si="6"/>
        <v>10.381036624039261</v>
      </c>
      <c r="I16" s="17" t="str">
        <f t="shared" ref="I16:O16" si="7">IF(I15="","",I13+I15)</f>
        <v/>
      </c>
      <c r="J16" s="17" t="str">
        <f t="shared" si="7"/>
        <v/>
      </c>
      <c r="K16" s="17">
        <f t="shared" si="7"/>
        <v>45.195682516801867</v>
      </c>
      <c r="L16" s="17" t="str">
        <f t="shared" si="7"/>
        <v/>
      </c>
      <c r="M16" s="17" t="str">
        <f t="shared" si="7"/>
        <v/>
      </c>
      <c r="N16" s="17" t="str">
        <f t="shared" si="7"/>
        <v/>
      </c>
      <c r="O16" s="17" t="str">
        <f t="shared" si="7"/>
        <v/>
      </c>
    </row>
    <row r="18" spans="1:15" x14ac:dyDescent="0.35">
      <c r="A18" t="s">
        <v>270</v>
      </c>
      <c r="C18" s="17">
        <f t="shared" ref="C18:O18" si="8">VLOOKUP($A$2, TargetCover, 2, FALSE)*0.9</f>
        <v>30.6</v>
      </c>
      <c r="D18" s="17">
        <f t="shared" si="8"/>
        <v>30.6</v>
      </c>
      <c r="E18" s="17">
        <f t="shared" si="8"/>
        <v>30.6</v>
      </c>
      <c r="F18" s="17">
        <f t="shared" si="8"/>
        <v>30.6</v>
      </c>
      <c r="G18" s="17">
        <f t="shared" si="8"/>
        <v>30.6</v>
      </c>
      <c r="H18" s="17">
        <f t="shared" si="8"/>
        <v>30.6</v>
      </c>
      <c r="I18" s="17">
        <f t="shared" si="8"/>
        <v>30.6</v>
      </c>
      <c r="J18" s="17">
        <f t="shared" si="8"/>
        <v>30.6</v>
      </c>
      <c r="K18" s="17">
        <f t="shared" si="8"/>
        <v>30.6</v>
      </c>
      <c r="L18" s="17">
        <f t="shared" si="8"/>
        <v>30.6</v>
      </c>
      <c r="M18" s="17">
        <f t="shared" si="8"/>
        <v>30.6</v>
      </c>
      <c r="N18" s="17">
        <f t="shared" si="8"/>
        <v>30.6</v>
      </c>
      <c r="O18" s="17">
        <f t="shared" si="8"/>
        <v>30.6</v>
      </c>
    </row>
    <row r="19" spans="1:15" x14ac:dyDescent="0.35">
      <c r="A19" t="s">
        <v>283</v>
      </c>
      <c r="C19" s="17">
        <f t="shared" ref="C19:H19" si="9">IF(C16="","",C16-C18)</f>
        <v>-20.832468996154279</v>
      </c>
      <c r="D19" s="17" t="str">
        <f t="shared" si="9"/>
        <v/>
      </c>
      <c r="E19" s="17">
        <f t="shared" si="9"/>
        <v>-12.153631583591658</v>
      </c>
      <c r="F19" s="17" t="str">
        <f t="shared" si="9"/>
        <v/>
      </c>
      <c r="G19" s="17" t="str">
        <f t="shared" si="9"/>
        <v/>
      </c>
      <c r="H19" s="17">
        <f t="shared" si="9"/>
        <v>-20.21896337596074</v>
      </c>
      <c r="I19" s="17" t="str">
        <f t="shared" ref="I19:O19" si="10">IF(I16="","",I16-I18)</f>
        <v/>
      </c>
      <c r="J19" s="17" t="str">
        <f t="shared" si="10"/>
        <v/>
      </c>
      <c r="K19" s="17">
        <f t="shared" si="10"/>
        <v>14.595682516801865</v>
      </c>
      <c r="L19" s="17" t="str">
        <f t="shared" si="10"/>
        <v/>
      </c>
      <c r="M19" s="17" t="str">
        <f t="shared" si="10"/>
        <v/>
      </c>
      <c r="N19" s="17" t="str">
        <f t="shared" si="10"/>
        <v/>
      </c>
      <c r="O19" s="17" t="str">
        <f t="shared" si="10"/>
        <v/>
      </c>
    </row>
    <row r="20" spans="1:15" x14ac:dyDescent="0.35">
      <c r="A20" t="s">
        <v>279</v>
      </c>
      <c r="C20" t="b">
        <f t="shared" ref="C20:H20" si="11">IF(C19="","",C19&gt;=0)</f>
        <v>0</v>
      </c>
      <c r="D20" t="str">
        <f t="shared" si="11"/>
        <v/>
      </c>
      <c r="E20" t="b">
        <f t="shared" si="11"/>
        <v>0</v>
      </c>
      <c r="F20" t="str">
        <f t="shared" si="11"/>
        <v/>
      </c>
      <c r="G20" t="str">
        <f t="shared" si="11"/>
        <v/>
      </c>
      <c r="H20" t="b">
        <f t="shared" si="11"/>
        <v>0</v>
      </c>
      <c r="I20" t="str">
        <f t="shared" ref="I20:O20" si="12">IF(I19="","",I19&gt;=0)</f>
        <v/>
      </c>
      <c r="J20" t="str">
        <f t="shared" si="12"/>
        <v/>
      </c>
      <c r="K20" t="b">
        <f t="shared" si="12"/>
        <v>1</v>
      </c>
      <c r="L20" t="str">
        <f t="shared" si="12"/>
        <v/>
      </c>
      <c r="M20" t="str">
        <f t="shared" si="12"/>
        <v/>
      </c>
      <c r="N20" t="str">
        <f t="shared" si="12"/>
        <v/>
      </c>
      <c r="O20" t="str">
        <f t="shared" si="12"/>
        <v/>
      </c>
    </row>
    <row r="21" spans="1:15" x14ac:dyDescent="0.35">
      <c r="A21" s="20"/>
      <c r="B21" s="20"/>
      <c r="C21" s="20"/>
      <c r="D21" s="20"/>
      <c r="E21" s="20"/>
      <c r="F21" s="20"/>
      <c r="G21" s="20"/>
      <c r="H21" s="20"/>
      <c r="I21" s="20"/>
      <c r="J21" s="20"/>
      <c r="K21" s="20"/>
      <c r="L21" s="20"/>
      <c r="M21" s="20"/>
      <c r="N21" s="20"/>
      <c r="O21" s="20"/>
    </row>
    <row r="23" spans="1:15" x14ac:dyDescent="0.35">
      <c r="A23" t="s">
        <v>280</v>
      </c>
      <c r="C23">
        <f>IF(GETPIVOTDATA("Helper_SPP",'Species Richness PivotTable'!$A$4,"Site",$A$2,"Year",C$1)="", "", GETPIVOTDATA("Helper_SPP",'Species Richness PivotTable'!$A$4,"Site",$A$2,"Year",C$1))</f>
        <v>7</v>
      </c>
      <c r="D23" t="str">
        <f>IF(GETPIVOTDATA("Helper_SPP",'Species Richness PivotTable'!$A$4,"Site",$A$2,"Year",D$1)="", "", GETPIVOTDATA("Helper_SPP",'Species Richness PivotTable'!$A$4,"Site",$A$2,"Year",D$1))</f>
        <v/>
      </c>
      <c r="E23">
        <f>IF(GETPIVOTDATA("Helper_SPP",'Species Richness PivotTable'!$A$4,"Site",$A$2,"Year",E$1)="", "", GETPIVOTDATA("Helper_SPP",'Species Richness PivotTable'!$A$4,"Site",$A$2,"Year",E$1))</f>
        <v>6</v>
      </c>
      <c r="F23" t="str">
        <f>IF(GETPIVOTDATA("Helper_SPP",'Species Richness PivotTable'!$A$4,"Site",$A$2,"Year",F$1)="", "", GETPIVOTDATA("Helper_SPP",'Species Richness PivotTable'!$A$4,"Site",$A$2,"Year",F$1))</f>
        <v/>
      </c>
      <c r="G23" t="str">
        <f>IF(GETPIVOTDATA("Helper_SPP",'Species Richness PivotTable'!$A$4,"Site",$A$2,"Year",G$1)="", "", GETPIVOTDATA("Helper_SPP",'Species Richness PivotTable'!$A$4,"Site",$A$2,"Year",G$1))</f>
        <v/>
      </c>
      <c r="H23">
        <f>IF(GETPIVOTDATA("Helper_SPP",'Species Richness PivotTable'!$A$4,"Site",$A$2,"Year",H$1)="", "", GETPIVOTDATA("Helper_SPP",'Species Richness PivotTable'!$A$4,"Site",$A$2,"Year",H$1))</f>
        <v>7</v>
      </c>
      <c r="I23" t="str">
        <f>IF(GETPIVOTDATA("Helper_SPP",'Species Richness PivotTable'!$A$4,"Site",$A$2,"Year",I$1)="", "", GETPIVOTDATA("Helper_SPP",'Species Richness PivotTable'!$A$4,"Site",$A$2,"Year",I$1))</f>
        <v/>
      </c>
      <c r="J23" t="str">
        <f>IF(GETPIVOTDATA("Helper_SPP",'Species Richness PivotTable'!$A$4,"Site",$A$2,"Year",J$1)="", "", GETPIVOTDATA("Helper_SPP",'Species Richness PivotTable'!$A$4,"Site",$A$2,"Year",J$1))</f>
        <v/>
      </c>
      <c r="K23">
        <f>IF(GETPIVOTDATA("Helper_SPP",'Species Richness PivotTable'!$A$4,"Site",$A$2,"Year",K$1)="", "", GETPIVOTDATA("Helper_SPP",'Species Richness PivotTable'!$A$4,"Site",$A$2,"Year",K$1))</f>
        <v>11</v>
      </c>
      <c r="L23" t="str">
        <f>IF(GETPIVOTDATA("Helper_SPP",'Species Richness PivotTable'!$A$4,"Site",$A$2,"Year",L$1)="", "", GETPIVOTDATA("Helper_SPP",'Species Richness PivotTable'!$A$4,"Site",$A$2,"Year",L$1))</f>
        <v/>
      </c>
      <c r="M23" t="str">
        <f>IF(GETPIVOTDATA("Helper_SPP",'Species Richness PivotTable'!$A$4,"Site",$A$2,"Year",M$1)="", "", GETPIVOTDATA("Helper_SPP",'Species Richness PivotTable'!$A$4,"Site",$A$2,"Year",M$1))</f>
        <v/>
      </c>
      <c r="N23" t="str">
        <f>IF(GETPIVOTDATA("Helper_SPP",'Species Richness PivotTable'!$A$4,"Site",$A$2,"Year",N$1)="", "", GETPIVOTDATA("Helper_SPP",'Species Richness PivotTable'!$A$4,"Site",$A$2,"Year",N$1))</f>
        <v/>
      </c>
      <c r="O23" t="str">
        <f>IF(GETPIVOTDATA("Helper_SPP",'Species Richness PivotTable'!$A$4,"Site",$A$2,"Year",O$1)="", "", GETPIVOTDATA("Helper_SPP",'Species Richness PivotTable'!$A$4,"Site",$A$2,"Year",O$1))</f>
        <v/>
      </c>
    </row>
    <row r="24" spans="1:15" x14ac:dyDescent="0.35">
      <c r="A24" t="s">
        <v>281</v>
      </c>
      <c r="C24" s="18">
        <f t="shared" ref="C24:O24" si="13">VLOOKUP($A$2, TargetCover, 3, FALSE)*0.75</f>
        <v>4.5</v>
      </c>
      <c r="D24" s="18">
        <f t="shared" si="13"/>
        <v>4.5</v>
      </c>
      <c r="E24" s="18">
        <f t="shared" si="13"/>
        <v>4.5</v>
      </c>
      <c r="F24" s="18">
        <f t="shared" si="13"/>
        <v>4.5</v>
      </c>
      <c r="G24" s="18">
        <f t="shared" si="13"/>
        <v>4.5</v>
      </c>
      <c r="H24" s="18">
        <f t="shared" si="13"/>
        <v>4.5</v>
      </c>
      <c r="I24" s="18">
        <f t="shared" si="13"/>
        <v>4.5</v>
      </c>
      <c r="J24" s="18">
        <f t="shared" si="13"/>
        <v>4.5</v>
      </c>
      <c r="K24" s="18">
        <f t="shared" si="13"/>
        <v>4.5</v>
      </c>
      <c r="L24" s="18">
        <f t="shared" si="13"/>
        <v>4.5</v>
      </c>
      <c r="M24" s="18">
        <f t="shared" si="13"/>
        <v>4.5</v>
      </c>
      <c r="N24" s="18">
        <f t="shared" si="13"/>
        <v>4.5</v>
      </c>
      <c r="O24" s="18">
        <f t="shared" si="13"/>
        <v>4.5</v>
      </c>
    </row>
    <row r="25" spans="1:15" x14ac:dyDescent="0.35">
      <c r="A25" t="s">
        <v>282</v>
      </c>
      <c r="C25" t="b">
        <f t="shared" ref="C25:H25" si="14">IF(C23="","",C23&gt;=C24)</f>
        <v>1</v>
      </c>
      <c r="D25" t="str">
        <f t="shared" si="14"/>
        <v/>
      </c>
      <c r="E25" t="b">
        <f t="shared" si="14"/>
        <v>1</v>
      </c>
      <c r="F25" t="str">
        <f t="shared" si="14"/>
        <v/>
      </c>
      <c r="G25" t="str">
        <f t="shared" si="14"/>
        <v/>
      </c>
      <c r="H25" t="b">
        <f t="shared" si="14"/>
        <v>1</v>
      </c>
      <c r="I25" t="str">
        <f t="shared" ref="I25:O25" si="15">IF(I23="","",I23&gt;=I24)</f>
        <v/>
      </c>
      <c r="J25" t="str">
        <f t="shared" si="15"/>
        <v/>
      </c>
      <c r="K25" t="b">
        <f t="shared" si="15"/>
        <v>1</v>
      </c>
      <c r="L25" t="str">
        <f t="shared" si="15"/>
        <v/>
      </c>
      <c r="M25" t="str">
        <f t="shared" si="15"/>
        <v/>
      </c>
      <c r="N25" t="str">
        <f t="shared" si="15"/>
        <v/>
      </c>
      <c r="O25" t="str">
        <f t="shared" si="15"/>
        <v/>
      </c>
    </row>
    <row r="26" spans="1:15" ht="15" thickBot="1" x14ac:dyDescent="0.4">
      <c r="A26" s="19"/>
      <c r="B26" s="19"/>
      <c r="C26" s="19"/>
      <c r="D26" s="19"/>
      <c r="E26" s="19"/>
      <c r="F26" s="19"/>
      <c r="G26" s="19"/>
      <c r="H26" s="19"/>
      <c r="I26" s="19"/>
      <c r="J26" s="19"/>
      <c r="K26" s="19"/>
      <c r="L26" s="19"/>
      <c r="M26" s="19"/>
      <c r="N26" s="19"/>
      <c r="O26" s="19"/>
    </row>
  </sheetData>
  <conditionalFormatting sqref="C20:G21 H20:O20 C25:O25">
    <cfRule type="cellIs" dxfId="37" priority="1" operator="equal">
      <formula>TRUE</formula>
    </cfRule>
    <cfRule type="cellIs" dxfId="36" priority="2" operator="equal">
      <formula>FALSE</formula>
    </cfRule>
  </conditionalFormatting>
  <pageMargins left="0.7" right="0.7" top="0.75" bottom="0.75" header="0.3" footer="0.3"/>
  <legacyDrawing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7"/>
  <dimension ref="A1:P29"/>
  <sheetViews>
    <sheetView workbookViewId="0">
      <pane xSplit="2" ySplit="1" topLeftCell="L2" activePane="bottomRight" state="frozen"/>
      <selection pane="topRight" activeCell="C1" sqref="C1"/>
      <selection pane="bottomLeft" activeCell="A2" sqref="A2"/>
      <selection pane="bottomRight" activeCell="P21" sqref="P21"/>
    </sheetView>
  </sheetViews>
  <sheetFormatPr defaultColWidth="9.08984375" defaultRowHeight="14.5" x14ac:dyDescent="0.35"/>
  <cols>
    <col min="3" max="3" width="9.08984375" customWidth="1"/>
  </cols>
  <sheetData>
    <row r="1" spans="1:16" x14ac:dyDescent="0.35">
      <c r="A1" t="s">
        <v>7</v>
      </c>
      <c r="B1" t="s">
        <v>0</v>
      </c>
      <c r="C1" s="13">
        <v>1999</v>
      </c>
      <c r="D1" s="13">
        <v>2001</v>
      </c>
      <c r="E1" s="13">
        <v>2002</v>
      </c>
      <c r="F1" s="13">
        <v>2003</v>
      </c>
      <c r="G1" s="13">
        <v>2004</v>
      </c>
      <c r="H1" s="13">
        <v>2005</v>
      </c>
      <c r="I1" s="13">
        <v>2006</v>
      </c>
      <c r="J1" s="13">
        <v>2007</v>
      </c>
      <c r="K1" s="13">
        <v>2010</v>
      </c>
      <c r="L1" s="13">
        <v>2012</v>
      </c>
      <c r="M1" s="13">
        <v>2013</v>
      </c>
      <c r="N1" s="13">
        <v>2016</v>
      </c>
      <c r="O1" s="13">
        <v>2017</v>
      </c>
      <c r="P1" s="41">
        <v>2018</v>
      </c>
    </row>
    <row r="2" spans="1:16" x14ac:dyDescent="0.35">
      <c r="A2" t="s">
        <v>19</v>
      </c>
      <c r="B2">
        <v>1.1000000000000001</v>
      </c>
      <c r="C2" s="17">
        <f>IF(OR(ISERROR(GETPIVOTDATA("Cover",'Cover PivotTable'!$A$4,"Site",$A2,"Year",C$1,"Transect",$B2)),GETPIVOTDATA("Cover",'Cover PivotTable'!$A$4,"Site",$A2,"Year",C$1)=""), "",GETPIVOTDATA("Cover",'Cover PivotTable'!$A$4,"Site",$A2,"Year",C$1,"Transect",$B2))</f>
        <v>4.5</v>
      </c>
      <c r="D2" s="17">
        <f>IF(OR(ISERROR(GETPIVOTDATA("Cover",'Cover PivotTable'!$A$4,"Site",$A2,"Year",D$1,"Transect",$B2)),GETPIVOTDATA("Cover",'Cover PivotTable'!$A$4,"Site",$A2,"Year",D$1)=""), "",GETPIVOTDATA("Cover",'Cover PivotTable'!$A$4,"Site",$A2,"Year",D$1,"Transect",$B2))</f>
        <v>4.5</v>
      </c>
      <c r="E2" s="17" t="str">
        <f>IF(OR(ISERROR(GETPIVOTDATA("Cover",'Cover PivotTable'!$A$4,"Site",$A2,"Year",E$1,"Transect",$B2)),GETPIVOTDATA("Cover",'Cover PivotTable'!$A$4,"Site",$A2,"Year",E$1)=""), "",GETPIVOTDATA("Cover",'Cover PivotTable'!$A$4,"Site",$A2,"Year",E$1,"Transect",$B2))</f>
        <v/>
      </c>
      <c r="F2" s="17" t="str">
        <f>IF(OR(ISERROR(GETPIVOTDATA("Cover",'Cover PivotTable'!$A$4,"Site",$A2,"Year",F$1,"Transect",$B2)),GETPIVOTDATA("Cover",'Cover PivotTable'!$A$4,"Site",$A2,"Year",F$1)=""), "",GETPIVOTDATA("Cover",'Cover PivotTable'!$A$4,"Site",$A2,"Year",F$1,"Transect",$B2))</f>
        <v/>
      </c>
      <c r="G2" s="17" t="str">
        <f>IF(OR(ISERROR(GETPIVOTDATA("Cover",'Cover PivotTable'!$A$4,"Site",$A2,"Year",G$1,"Transect",$B2)),GETPIVOTDATA("Cover",'Cover PivotTable'!$A$4,"Site",$A2,"Year",G$1)=""), "",GETPIVOTDATA("Cover",'Cover PivotTable'!$A$4,"Site",$A2,"Year",G$1,"Transect",$B2))</f>
        <v/>
      </c>
      <c r="H2" s="17" t="str">
        <f>IF(OR(ISERROR(GETPIVOTDATA("Cover",'Cover PivotTable'!$A$4,"Site",$A2,"Year",H$1,"Transect",$B2)),GETPIVOTDATA("Cover",'Cover PivotTable'!$A$4,"Site",$A2,"Year",H$1)=""), "",GETPIVOTDATA("Cover",'Cover PivotTable'!$A$4,"Site",$A2,"Year",H$1,"Transect",$B2))</f>
        <v/>
      </c>
      <c r="I2" s="17" t="str">
        <f>IF(OR(ISERROR(GETPIVOTDATA("Cover",'Cover PivotTable'!$A$4,"Site",$A2,"Year",I$1,"Transect",$B2)),GETPIVOTDATA("Cover",'Cover PivotTable'!$A$4,"Site",$A2,"Year",I$1)=""), "",GETPIVOTDATA("Cover",'Cover PivotTable'!$A$4,"Site",$A2,"Year",I$1,"Transect",$B2))</f>
        <v/>
      </c>
      <c r="J2" s="17" t="str">
        <f>IF(OR(ISERROR(GETPIVOTDATA("Cover",'Cover PivotTable'!$A$4,"Site",$A2,"Year",J$1,"Transect",$B2)),GETPIVOTDATA("Cover",'Cover PivotTable'!$A$4,"Site",$A2,"Year",J$1)=""), "",GETPIVOTDATA("Cover",'Cover PivotTable'!$A$4,"Site",$A2,"Year",J$1,"Transect",$B2))</f>
        <v/>
      </c>
      <c r="K2" s="17" t="str">
        <f>IF(OR(ISERROR(GETPIVOTDATA("Cover",'Cover PivotTable'!$A$4,"Site",$A2,"Year",K$1,"Transect",$B2)),GETPIVOTDATA("Cover",'Cover PivotTable'!$A$4,"Site",$A2,"Year",K$1)=""), "",GETPIVOTDATA("Cover",'Cover PivotTable'!$A$4,"Site",$A2,"Year",K$1,"Transect",$B2))</f>
        <v/>
      </c>
      <c r="L2" s="17" t="str">
        <f>IF(OR(ISERROR(GETPIVOTDATA("Cover",'Cover PivotTable'!$A$4,"Site",$A2,"Year",L$1,"Transect",$B2)),GETPIVOTDATA("Cover",'Cover PivotTable'!$A$4,"Site",$A2,"Year",L$1)=""), "",GETPIVOTDATA("Cover",'Cover PivotTable'!$A$4,"Site",$A2,"Year",L$1,"Transect",$B2))</f>
        <v/>
      </c>
      <c r="M2" s="17" t="str">
        <f>IF(OR(ISERROR(GETPIVOTDATA("Cover",'Cover PivotTable'!$A$4,"Site",$A2,"Year",M$1,"Transect",$B2)),GETPIVOTDATA("Cover",'Cover PivotTable'!$A$4,"Site",$A2,"Year",M$1)=""), "",GETPIVOTDATA("Cover",'Cover PivotTable'!$A$4,"Site",$A2,"Year",M$1,"Transect",$B2))</f>
        <v/>
      </c>
      <c r="N2" s="17" t="str">
        <f>IF(OR(ISERROR(GETPIVOTDATA("Cover",'Cover PivotTable'!$A$4,"Site",$A2,"Year",N$1,"Transect",$B2)),GETPIVOTDATA("Cover",'Cover PivotTable'!$A$4,"Site",$A2,"Year",N$1)=""), "",GETPIVOTDATA("Cover",'Cover PivotTable'!$A$4,"Site",$A2,"Year",N$1,"Transect",$B2))</f>
        <v/>
      </c>
      <c r="O2" s="17">
        <f>IF(OR(ISERROR(GETPIVOTDATA("Cover",'Cover PivotTable'!$A$4,"Site",$A2,"Year",O$1,"Transect",$B2)),GETPIVOTDATA("Cover",'Cover PivotTable'!$A$4,"Site",$A2,"Year",O$1)=""), "",GETPIVOTDATA("Cover",'Cover PivotTable'!$A$4,"Site",$A2,"Year",O$1,"Transect",$B2))</f>
        <v>19.5</v>
      </c>
      <c r="P2" s="41">
        <v>8.2191780821917799</v>
      </c>
    </row>
    <row r="3" spans="1:16" x14ac:dyDescent="0.35">
      <c r="A3" t="s">
        <v>19</v>
      </c>
      <c r="B3">
        <v>1.2</v>
      </c>
      <c r="C3" s="17">
        <f>IF(OR(ISERROR(GETPIVOTDATA("Cover",'Cover PivotTable'!$A$4,"Site",$A3,"Year",C$1,"Transect",$B3)),GETPIVOTDATA("Cover",'Cover PivotTable'!$A$4,"Site",$A3,"Year",C$1)=""), "",GETPIVOTDATA("Cover",'Cover PivotTable'!$A$4,"Site",$A3,"Year",C$1,"Transect",$B3))</f>
        <v>6.5</v>
      </c>
      <c r="D3" s="17">
        <f>IF(OR(ISERROR(GETPIVOTDATA("Cover",'Cover PivotTable'!$A$4,"Site",$A3,"Year",D$1,"Transect",$B3)),GETPIVOTDATA("Cover",'Cover PivotTable'!$A$4,"Site",$A3,"Year",D$1)=""), "",GETPIVOTDATA("Cover",'Cover PivotTable'!$A$4,"Site",$A3,"Year",D$1,"Transect",$B3))</f>
        <v>7.0000000000000009</v>
      </c>
      <c r="E3" s="17" t="str">
        <f>IF(OR(ISERROR(GETPIVOTDATA("Cover",'Cover PivotTable'!$A$4,"Site",$A3,"Year",E$1,"Transect",$B3)),GETPIVOTDATA("Cover",'Cover PivotTable'!$A$4,"Site",$A3,"Year",E$1)=""), "",GETPIVOTDATA("Cover",'Cover PivotTable'!$A$4,"Site",$A3,"Year",E$1,"Transect",$B3))</f>
        <v/>
      </c>
      <c r="F3" s="17" t="str">
        <f>IF(OR(ISERROR(GETPIVOTDATA("Cover",'Cover PivotTable'!$A$4,"Site",$A3,"Year",F$1,"Transect",$B3)),GETPIVOTDATA("Cover",'Cover PivotTable'!$A$4,"Site",$A3,"Year",F$1)=""), "",GETPIVOTDATA("Cover",'Cover PivotTable'!$A$4,"Site",$A3,"Year",F$1,"Transect",$B3))</f>
        <v/>
      </c>
      <c r="G3" s="17" t="str">
        <f>IF(OR(ISERROR(GETPIVOTDATA("Cover",'Cover PivotTable'!$A$4,"Site",$A3,"Year",G$1,"Transect",$B3)),GETPIVOTDATA("Cover",'Cover PivotTable'!$A$4,"Site",$A3,"Year",G$1)=""), "",GETPIVOTDATA("Cover",'Cover PivotTable'!$A$4,"Site",$A3,"Year",G$1,"Transect",$B3))</f>
        <v/>
      </c>
      <c r="H3" s="17" t="str">
        <f>IF(OR(ISERROR(GETPIVOTDATA("Cover",'Cover PivotTable'!$A$4,"Site",$A3,"Year",H$1,"Transect",$B3)),GETPIVOTDATA("Cover",'Cover PivotTable'!$A$4,"Site",$A3,"Year",H$1)=""), "",GETPIVOTDATA("Cover",'Cover PivotTable'!$A$4,"Site",$A3,"Year",H$1,"Transect",$B3))</f>
        <v/>
      </c>
      <c r="I3" s="17" t="str">
        <f>IF(OR(ISERROR(GETPIVOTDATA("Cover",'Cover PivotTable'!$A$4,"Site",$A3,"Year",I$1,"Transect",$B3)),GETPIVOTDATA("Cover",'Cover PivotTable'!$A$4,"Site",$A3,"Year",I$1)=""), "",GETPIVOTDATA("Cover",'Cover PivotTable'!$A$4,"Site",$A3,"Year",I$1,"Transect",$B3))</f>
        <v/>
      </c>
      <c r="J3" s="17" t="str">
        <f>IF(OR(ISERROR(GETPIVOTDATA("Cover",'Cover PivotTable'!$A$4,"Site",$A3,"Year",J$1,"Transect",$B3)),GETPIVOTDATA("Cover",'Cover PivotTable'!$A$4,"Site",$A3,"Year",J$1)=""), "",GETPIVOTDATA("Cover",'Cover PivotTable'!$A$4,"Site",$A3,"Year",J$1,"Transect",$B3))</f>
        <v/>
      </c>
      <c r="K3" s="17" t="str">
        <f>IF(OR(ISERROR(GETPIVOTDATA("Cover",'Cover PivotTable'!$A$4,"Site",$A3,"Year",K$1,"Transect",$B3)),GETPIVOTDATA("Cover",'Cover PivotTable'!$A$4,"Site",$A3,"Year",K$1)=""), "",GETPIVOTDATA("Cover",'Cover PivotTable'!$A$4,"Site",$A3,"Year",K$1,"Transect",$B3))</f>
        <v/>
      </c>
      <c r="L3" s="17" t="str">
        <f>IF(OR(ISERROR(GETPIVOTDATA("Cover",'Cover PivotTable'!$A$4,"Site",$A3,"Year",L$1,"Transect",$B3)),GETPIVOTDATA("Cover",'Cover PivotTable'!$A$4,"Site",$A3,"Year",L$1)=""), "",GETPIVOTDATA("Cover",'Cover PivotTable'!$A$4,"Site",$A3,"Year",L$1,"Transect",$B3))</f>
        <v/>
      </c>
      <c r="M3" s="17" t="str">
        <f>IF(OR(ISERROR(GETPIVOTDATA("Cover",'Cover PivotTable'!$A$4,"Site",$A3,"Year",M$1,"Transect",$B3)),GETPIVOTDATA("Cover",'Cover PivotTable'!$A$4,"Site",$A3,"Year",M$1)=""), "",GETPIVOTDATA("Cover",'Cover PivotTable'!$A$4,"Site",$A3,"Year",M$1,"Transect",$B3))</f>
        <v/>
      </c>
      <c r="N3" s="17" t="str">
        <f>IF(OR(ISERROR(GETPIVOTDATA("Cover",'Cover PivotTable'!$A$4,"Site",$A3,"Year",N$1,"Transect",$B3)),GETPIVOTDATA("Cover",'Cover PivotTable'!$A$4,"Site",$A3,"Year",N$1)=""), "",GETPIVOTDATA("Cover",'Cover PivotTable'!$A$4,"Site",$A3,"Year",N$1,"Transect",$B3))</f>
        <v/>
      </c>
      <c r="O3" s="17">
        <f>IF(OR(ISERROR(GETPIVOTDATA("Cover",'Cover PivotTable'!$A$4,"Site",$A3,"Year",O$1,"Transect",$B3)),GETPIVOTDATA("Cover",'Cover PivotTable'!$A$4,"Site",$A3,"Year",O$1)=""), "",GETPIVOTDATA("Cover",'Cover PivotTable'!$A$4,"Site",$A3,"Year",O$1,"Transect",$B3))</f>
        <v>21.363636363636363</v>
      </c>
      <c r="P3" s="41">
        <v>8.5</v>
      </c>
    </row>
    <row r="4" spans="1:16" x14ac:dyDescent="0.35">
      <c r="A4" t="s">
        <v>19</v>
      </c>
      <c r="B4">
        <v>2.1</v>
      </c>
      <c r="C4" s="17">
        <f>IF(OR(ISERROR(GETPIVOTDATA("Cover",'Cover PivotTable'!$A$4,"Site",$A4,"Year",C$1,"Transect",$B4)),GETPIVOTDATA("Cover",'Cover PivotTable'!$A$4,"Site",$A4,"Year",C$1)=""), "",GETPIVOTDATA("Cover",'Cover PivotTable'!$A$4,"Site",$A4,"Year",C$1,"Transect",$B4))</f>
        <v>7</v>
      </c>
      <c r="D4" s="17">
        <f>IF(OR(ISERROR(GETPIVOTDATA("Cover",'Cover PivotTable'!$A$4,"Site",$A4,"Year",D$1,"Transect",$B4)),GETPIVOTDATA("Cover",'Cover PivotTable'!$A$4,"Site",$A4,"Year",D$1)=""), "",GETPIVOTDATA("Cover",'Cover PivotTable'!$A$4,"Site",$A4,"Year",D$1,"Transect",$B4))</f>
        <v>9.5</v>
      </c>
      <c r="E4" s="17" t="str">
        <f>IF(OR(ISERROR(GETPIVOTDATA("Cover",'Cover PivotTable'!$A$4,"Site",$A4,"Year",E$1,"Transect",$B4)),GETPIVOTDATA("Cover",'Cover PivotTable'!$A$4,"Site",$A4,"Year",E$1)=""), "",GETPIVOTDATA("Cover",'Cover PivotTable'!$A$4,"Site",$A4,"Year",E$1,"Transect",$B4))</f>
        <v/>
      </c>
      <c r="F4" s="17" t="str">
        <f>IF(OR(ISERROR(GETPIVOTDATA("Cover",'Cover PivotTable'!$A$4,"Site",$A4,"Year",F$1,"Transect",$B4)),GETPIVOTDATA("Cover",'Cover PivotTable'!$A$4,"Site",$A4,"Year",F$1)=""), "",GETPIVOTDATA("Cover",'Cover PivotTable'!$A$4,"Site",$A4,"Year",F$1,"Transect",$B4))</f>
        <v/>
      </c>
      <c r="G4" s="17" t="str">
        <f>IF(OR(ISERROR(GETPIVOTDATA("Cover",'Cover PivotTable'!$A$4,"Site",$A4,"Year",G$1,"Transect",$B4)),GETPIVOTDATA("Cover",'Cover PivotTable'!$A$4,"Site",$A4,"Year",G$1)=""), "",GETPIVOTDATA("Cover",'Cover PivotTable'!$A$4,"Site",$A4,"Year",G$1,"Transect",$B4))</f>
        <v/>
      </c>
      <c r="H4" s="17" t="str">
        <f>IF(OR(ISERROR(GETPIVOTDATA("Cover",'Cover PivotTable'!$A$4,"Site",$A4,"Year",H$1,"Transect",$B4)),GETPIVOTDATA("Cover",'Cover PivotTable'!$A$4,"Site",$A4,"Year",H$1)=""), "",GETPIVOTDATA("Cover",'Cover PivotTable'!$A$4,"Site",$A4,"Year",H$1,"Transect",$B4))</f>
        <v/>
      </c>
      <c r="I4" s="17" t="str">
        <f>IF(OR(ISERROR(GETPIVOTDATA("Cover",'Cover PivotTable'!$A$4,"Site",$A4,"Year",I$1,"Transect",$B4)),GETPIVOTDATA("Cover",'Cover PivotTable'!$A$4,"Site",$A4,"Year",I$1)=""), "",GETPIVOTDATA("Cover",'Cover PivotTable'!$A$4,"Site",$A4,"Year",I$1,"Transect",$B4))</f>
        <v/>
      </c>
      <c r="J4" s="17" t="str">
        <f>IF(OR(ISERROR(GETPIVOTDATA("Cover",'Cover PivotTable'!$A$4,"Site",$A4,"Year",J$1,"Transect",$B4)),GETPIVOTDATA("Cover",'Cover PivotTable'!$A$4,"Site",$A4,"Year",J$1)=""), "",GETPIVOTDATA("Cover",'Cover PivotTable'!$A$4,"Site",$A4,"Year",J$1,"Transect",$B4))</f>
        <v/>
      </c>
      <c r="K4" s="17" t="str">
        <f>IF(OR(ISERROR(GETPIVOTDATA("Cover",'Cover PivotTable'!$A$4,"Site",$A4,"Year",K$1,"Transect",$B4)),GETPIVOTDATA("Cover",'Cover PivotTable'!$A$4,"Site",$A4,"Year",K$1)=""), "",GETPIVOTDATA("Cover",'Cover PivotTable'!$A$4,"Site",$A4,"Year",K$1,"Transect",$B4))</f>
        <v/>
      </c>
      <c r="L4" s="17" t="str">
        <f>IF(OR(ISERROR(GETPIVOTDATA("Cover",'Cover PivotTable'!$A$4,"Site",$A4,"Year",L$1,"Transect",$B4)),GETPIVOTDATA("Cover",'Cover PivotTable'!$A$4,"Site",$A4,"Year",L$1)=""), "",GETPIVOTDATA("Cover",'Cover PivotTable'!$A$4,"Site",$A4,"Year",L$1,"Transect",$B4))</f>
        <v/>
      </c>
      <c r="M4" s="17" t="str">
        <f>IF(OR(ISERROR(GETPIVOTDATA("Cover",'Cover PivotTable'!$A$4,"Site",$A4,"Year",M$1,"Transect",$B4)),GETPIVOTDATA("Cover",'Cover PivotTable'!$A$4,"Site",$A4,"Year",M$1)=""), "",GETPIVOTDATA("Cover",'Cover PivotTable'!$A$4,"Site",$A4,"Year",M$1,"Transect",$B4))</f>
        <v/>
      </c>
      <c r="N4" s="17" t="str">
        <f>IF(OR(ISERROR(GETPIVOTDATA("Cover",'Cover PivotTable'!$A$4,"Site",$A4,"Year",N$1,"Transect",$B4)),GETPIVOTDATA("Cover",'Cover PivotTable'!$A$4,"Site",$A4,"Year",N$1)=""), "",GETPIVOTDATA("Cover",'Cover PivotTable'!$A$4,"Site",$A4,"Year",N$1,"Transect",$B4))</f>
        <v/>
      </c>
      <c r="O4" s="17">
        <f>IF(OR(ISERROR(GETPIVOTDATA("Cover",'Cover PivotTable'!$A$4,"Site",$A4,"Year",O$1,"Transect",$B4)),GETPIVOTDATA("Cover",'Cover PivotTable'!$A$4,"Site",$A4,"Year",O$1)=""), "",GETPIVOTDATA("Cover",'Cover PivotTable'!$A$4,"Site",$A4,"Year",O$1,"Transect",$B4))</f>
        <v>11</v>
      </c>
      <c r="P4" s="41">
        <v>7.2115384615384608</v>
      </c>
    </row>
    <row r="5" spans="1:16" x14ac:dyDescent="0.35">
      <c r="A5" t="s">
        <v>19</v>
      </c>
      <c r="B5">
        <v>2.2000000000000002</v>
      </c>
      <c r="C5" s="17">
        <f>IF(OR(ISERROR(GETPIVOTDATA("Cover",'Cover PivotTable'!$A$4,"Site",$A5,"Year",C$1,"Transect",$B5)),GETPIVOTDATA("Cover",'Cover PivotTable'!$A$4,"Site",$A5,"Year",C$1)=""), "",GETPIVOTDATA("Cover",'Cover PivotTable'!$A$4,"Site",$A5,"Year",C$1,"Transect",$B5))</f>
        <v>5.5</v>
      </c>
      <c r="D5" s="17">
        <f>IF(OR(ISERROR(GETPIVOTDATA("Cover",'Cover PivotTable'!$A$4,"Site",$A5,"Year",D$1,"Transect",$B5)),GETPIVOTDATA("Cover",'Cover PivotTable'!$A$4,"Site",$A5,"Year",D$1)=""), "",GETPIVOTDATA("Cover",'Cover PivotTable'!$A$4,"Site",$A5,"Year",D$1,"Transect",$B5))</f>
        <v>8.5</v>
      </c>
      <c r="E5" s="17" t="str">
        <f>IF(OR(ISERROR(GETPIVOTDATA("Cover",'Cover PivotTable'!$A$4,"Site",$A5,"Year",E$1,"Transect",$B5)),GETPIVOTDATA("Cover",'Cover PivotTable'!$A$4,"Site",$A5,"Year",E$1)=""), "",GETPIVOTDATA("Cover",'Cover PivotTable'!$A$4,"Site",$A5,"Year",E$1,"Transect",$B5))</f>
        <v/>
      </c>
      <c r="F5" s="17" t="str">
        <f>IF(OR(ISERROR(GETPIVOTDATA("Cover",'Cover PivotTable'!$A$4,"Site",$A5,"Year",F$1,"Transect",$B5)),GETPIVOTDATA("Cover",'Cover PivotTable'!$A$4,"Site",$A5,"Year",F$1)=""), "",GETPIVOTDATA("Cover",'Cover PivotTable'!$A$4,"Site",$A5,"Year",F$1,"Transect",$B5))</f>
        <v/>
      </c>
      <c r="G5" s="17" t="str">
        <f>IF(OR(ISERROR(GETPIVOTDATA("Cover",'Cover PivotTable'!$A$4,"Site",$A5,"Year",G$1,"Transect",$B5)),GETPIVOTDATA("Cover",'Cover PivotTable'!$A$4,"Site",$A5,"Year",G$1)=""), "",GETPIVOTDATA("Cover",'Cover PivotTable'!$A$4,"Site",$A5,"Year",G$1,"Transect",$B5))</f>
        <v/>
      </c>
      <c r="H5" s="17" t="str">
        <f>IF(OR(ISERROR(GETPIVOTDATA("Cover",'Cover PivotTable'!$A$4,"Site",$A5,"Year",H$1,"Transect",$B5)),GETPIVOTDATA("Cover",'Cover PivotTable'!$A$4,"Site",$A5,"Year",H$1)=""), "",GETPIVOTDATA("Cover",'Cover PivotTable'!$A$4,"Site",$A5,"Year",H$1,"Transect",$B5))</f>
        <v/>
      </c>
      <c r="I5" s="17" t="str">
        <f>IF(OR(ISERROR(GETPIVOTDATA("Cover",'Cover PivotTable'!$A$4,"Site",$A5,"Year",I$1,"Transect",$B5)),GETPIVOTDATA("Cover",'Cover PivotTable'!$A$4,"Site",$A5,"Year",I$1)=""), "",GETPIVOTDATA("Cover",'Cover PivotTable'!$A$4,"Site",$A5,"Year",I$1,"Transect",$B5))</f>
        <v/>
      </c>
      <c r="J5" s="17" t="str">
        <f>IF(OR(ISERROR(GETPIVOTDATA("Cover",'Cover PivotTable'!$A$4,"Site",$A5,"Year",J$1,"Transect",$B5)),GETPIVOTDATA("Cover",'Cover PivotTable'!$A$4,"Site",$A5,"Year",J$1)=""), "",GETPIVOTDATA("Cover",'Cover PivotTable'!$A$4,"Site",$A5,"Year",J$1,"Transect",$B5))</f>
        <v/>
      </c>
      <c r="K5" s="17" t="str">
        <f>IF(OR(ISERROR(GETPIVOTDATA("Cover",'Cover PivotTable'!$A$4,"Site",$A5,"Year",K$1,"Transect",$B5)),GETPIVOTDATA("Cover",'Cover PivotTable'!$A$4,"Site",$A5,"Year",K$1)=""), "",GETPIVOTDATA("Cover",'Cover PivotTable'!$A$4,"Site",$A5,"Year",K$1,"Transect",$B5))</f>
        <v/>
      </c>
      <c r="L5" s="17" t="str">
        <f>IF(OR(ISERROR(GETPIVOTDATA("Cover",'Cover PivotTable'!$A$4,"Site",$A5,"Year",L$1,"Transect",$B5)),GETPIVOTDATA("Cover",'Cover PivotTable'!$A$4,"Site",$A5,"Year",L$1)=""), "",GETPIVOTDATA("Cover",'Cover PivotTable'!$A$4,"Site",$A5,"Year",L$1,"Transect",$B5))</f>
        <v/>
      </c>
      <c r="M5" s="17" t="str">
        <f>IF(OR(ISERROR(GETPIVOTDATA("Cover",'Cover PivotTable'!$A$4,"Site",$A5,"Year",M$1,"Transect",$B5)),GETPIVOTDATA("Cover",'Cover PivotTable'!$A$4,"Site",$A5,"Year",M$1)=""), "",GETPIVOTDATA("Cover",'Cover PivotTable'!$A$4,"Site",$A5,"Year",M$1,"Transect",$B5))</f>
        <v/>
      </c>
      <c r="N5" s="17" t="str">
        <f>IF(OR(ISERROR(GETPIVOTDATA("Cover",'Cover PivotTable'!$A$4,"Site",$A5,"Year",N$1,"Transect",$B5)),GETPIVOTDATA("Cover",'Cover PivotTable'!$A$4,"Site",$A5,"Year",N$1)=""), "",GETPIVOTDATA("Cover",'Cover PivotTable'!$A$4,"Site",$A5,"Year",N$1,"Transect",$B5))</f>
        <v/>
      </c>
      <c r="O5" s="17">
        <f>IF(OR(ISERROR(GETPIVOTDATA("Cover",'Cover PivotTable'!$A$4,"Site",$A5,"Year",O$1,"Transect",$B5)),GETPIVOTDATA("Cover",'Cover PivotTable'!$A$4,"Site",$A5,"Year",O$1)=""), "",GETPIVOTDATA("Cover",'Cover PivotTable'!$A$4,"Site",$A5,"Year",O$1,"Transect",$B5))</f>
        <v>20.673076923076923</v>
      </c>
      <c r="P5" s="41">
        <v>8</v>
      </c>
    </row>
    <row r="6" spans="1:16" x14ac:dyDescent="0.35">
      <c r="A6" t="s">
        <v>19</v>
      </c>
      <c r="B6">
        <v>3.1</v>
      </c>
      <c r="C6" s="17">
        <f>IF(OR(ISERROR(GETPIVOTDATA("Cover",'Cover PivotTable'!$A$4,"Site",$A6,"Year",C$1,"Transect",$B6)),GETPIVOTDATA("Cover",'Cover PivotTable'!$A$4,"Site",$A6,"Year",C$1)=""), "",GETPIVOTDATA("Cover",'Cover PivotTable'!$A$4,"Site",$A6,"Year",C$1,"Transect",$B6))</f>
        <v>6</v>
      </c>
      <c r="D6" s="17">
        <f>IF(OR(ISERROR(GETPIVOTDATA("Cover",'Cover PivotTable'!$A$4,"Site",$A6,"Year",D$1,"Transect",$B6)),GETPIVOTDATA("Cover",'Cover PivotTable'!$A$4,"Site",$A6,"Year",D$1)=""), "",GETPIVOTDATA("Cover",'Cover PivotTable'!$A$4,"Site",$A6,"Year",D$1,"Transect",$B6))</f>
        <v>5.5</v>
      </c>
      <c r="E6" s="17" t="str">
        <f>IF(OR(ISERROR(GETPIVOTDATA("Cover",'Cover PivotTable'!$A$4,"Site",$A6,"Year",E$1,"Transect",$B6)),GETPIVOTDATA("Cover",'Cover PivotTable'!$A$4,"Site",$A6,"Year",E$1)=""), "",GETPIVOTDATA("Cover",'Cover PivotTable'!$A$4,"Site",$A6,"Year",E$1,"Transect",$B6))</f>
        <v/>
      </c>
      <c r="F6" s="17" t="str">
        <f>IF(OR(ISERROR(GETPIVOTDATA("Cover",'Cover PivotTable'!$A$4,"Site",$A6,"Year",F$1,"Transect",$B6)),GETPIVOTDATA("Cover",'Cover PivotTable'!$A$4,"Site",$A6,"Year",F$1)=""), "",GETPIVOTDATA("Cover",'Cover PivotTable'!$A$4,"Site",$A6,"Year",F$1,"Transect",$B6))</f>
        <v/>
      </c>
      <c r="G6" s="17" t="str">
        <f>IF(OR(ISERROR(GETPIVOTDATA("Cover",'Cover PivotTable'!$A$4,"Site",$A6,"Year",G$1,"Transect",$B6)),GETPIVOTDATA("Cover",'Cover PivotTable'!$A$4,"Site",$A6,"Year",G$1)=""), "",GETPIVOTDATA("Cover",'Cover PivotTable'!$A$4,"Site",$A6,"Year",G$1,"Transect",$B6))</f>
        <v/>
      </c>
      <c r="H6" s="17" t="str">
        <f>IF(OR(ISERROR(GETPIVOTDATA("Cover",'Cover PivotTable'!$A$4,"Site",$A6,"Year",H$1,"Transect",$B6)),GETPIVOTDATA("Cover",'Cover PivotTable'!$A$4,"Site",$A6,"Year",H$1)=""), "",GETPIVOTDATA("Cover",'Cover PivotTable'!$A$4,"Site",$A6,"Year",H$1,"Transect",$B6))</f>
        <v/>
      </c>
      <c r="I6" s="17" t="str">
        <f>IF(OR(ISERROR(GETPIVOTDATA("Cover",'Cover PivotTable'!$A$4,"Site",$A6,"Year",I$1,"Transect",$B6)),GETPIVOTDATA("Cover",'Cover PivotTable'!$A$4,"Site",$A6,"Year",I$1)=""), "",GETPIVOTDATA("Cover",'Cover PivotTable'!$A$4,"Site",$A6,"Year",I$1,"Transect",$B6))</f>
        <v/>
      </c>
      <c r="J6" s="17" t="str">
        <f>IF(OR(ISERROR(GETPIVOTDATA("Cover",'Cover PivotTable'!$A$4,"Site",$A6,"Year",J$1,"Transect",$B6)),GETPIVOTDATA("Cover",'Cover PivotTable'!$A$4,"Site",$A6,"Year",J$1)=""), "",GETPIVOTDATA("Cover",'Cover PivotTable'!$A$4,"Site",$A6,"Year",J$1,"Transect",$B6))</f>
        <v/>
      </c>
      <c r="K6" s="17" t="str">
        <f>IF(OR(ISERROR(GETPIVOTDATA("Cover",'Cover PivotTable'!$A$4,"Site",$A6,"Year",K$1,"Transect",$B6)),GETPIVOTDATA("Cover",'Cover PivotTable'!$A$4,"Site",$A6,"Year",K$1)=""), "",GETPIVOTDATA("Cover",'Cover PivotTable'!$A$4,"Site",$A6,"Year",K$1,"Transect",$B6))</f>
        <v/>
      </c>
      <c r="L6" s="17" t="str">
        <f>IF(OR(ISERROR(GETPIVOTDATA("Cover",'Cover PivotTable'!$A$4,"Site",$A6,"Year",L$1,"Transect",$B6)),GETPIVOTDATA("Cover",'Cover PivotTable'!$A$4,"Site",$A6,"Year",L$1)=""), "",GETPIVOTDATA("Cover",'Cover PivotTable'!$A$4,"Site",$A6,"Year",L$1,"Transect",$B6))</f>
        <v/>
      </c>
      <c r="M6" s="17" t="str">
        <f>IF(OR(ISERROR(GETPIVOTDATA("Cover",'Cover PivotTable'!$A$4,"Site",$A6,"Year",M$1,"Transect",$B6)),GETPIVOTDATA("Cover",'Cover PivotTable'!$A$4,"Site",$A6,"Year",M$1)=""), "",GETPIVOTDATA("Cover",'Cover PivotTable'!$A$4,"Site",$A6,"Year",M$1,"Transect",$B6))</f>
        <v/>
      </c>
      <c r="N6" s="17" t="str">
        <f>IF(OR(ISERROR(GETPIVOTDATA("Cover",'Cover PivotTable'!$A$4,"Site",$A6,"Year",N$1,"Transect",$B6)),GETPIVOTDATA("Cover",'Cover PivotTable'!$A$4,"Site",$A6,"Year",N$1)=""), "",GETPIVOTDATA("Cover",'Cover PivotTable'!$A$4,"Site",$A6,"Year",N$1,"Transect",$B6))</f>
        <v/>
      </c>
      <c r="O6" s="17">
        <f>IF(OR(ISERROR(GETPIVOTDATA("Cover",'Cover PivotTable'!$A$4,"Site",$A6,"Year",O$1,"Transect",$B6)),GETPIVOTDATA("Cover",'Cover PivotTable'!$A$4,"Site",$A6,"Year",O$1)=""), "",GETPIVOTDATA("Cover",'Cover PivotTable'!$A$4,"Site",$A6,"Year",O$1,"Transect",$B6))</f>
        <v>14</v>
      </c>
      <c r="P6" s="41">
        <v>19.791666666666664</v>
      </c>
    </row>
    <row r="7" spans="1:16" x14ac:dyDescent="0.35">
      <c r="A7" t="s">
        <v>19</v>
      </c>
      <c r="B7">
        <v>3.2</v>
      </c>
      <c r="C7" s="17">
        <f>IF(OR(ISERROR(GETPIVOTDATA("Cover",'Cover PivotTable'!$A$4,"Site",$A7,"Year",C$1,"Transect",$B7)),GETPIVOTDATA("Cover",'Cover PivotTable'!$A$4,"Site",$A7,"Year",C$1)=""), "",GETPIVOTDATA("Cover",'Cover PivotTable'!$A$4,"Site",$A7,"Year",C$1,"Transect",$B7))</f>
        <v>4.1666666666666661</v>
      </c>
      <c r="D7" s="17">
        <f>IF(OR(ISERROR(GETPIVOTDATA("Cover",'Cover PivotTable'!$A$4,"Site",$A7,"Year",D$1,"Transect",$B7)),GETPIVOTDATA("Cover",'Cover PivotTable'!$A$4,"Site",$A7,"Year",D$1)=""), "",GETPIVOTDATA("Cover",'Cover PivotTable'!$A$4,"Site",$A7,"Year",D$1,"Transect",$B7))</f>
        <v>10.416666666666666</v>
      </c>
      <c r="E7" s="17" t="str">
        <f>IF(OR(ISERROR(GETPIVOTDATA("Cover",'Cover PivotTable'!$A$4,"Site",$A7,"Year",E$1,"Transect",$B7)),GETPIVOTDATA("Cover",'Cover PivotTable'!$A$4,"Site",$A7,"Year",E$1)=""), "",GETPIVOTDATA("Cover",'Cover PivotTable'!$A$4,"Site",$A7,"Year",E$1,"Transect",$B7))</f>
        <v/>
      </c>
      <c r="F7" s="17" t="str">
        <f>IF(OR(ISERROR(GETPIVOTDATA("Cover",'Cover PivotTable'!$A$4,"Site",$A7,"Year",F$1,"Transect",$B7)),GETPIVOTDATA("Cover",'Cover PivotTable'!$A$4,"Site",$A7,"Year",F$1)=""), "",GETPIVOTDATA("Cover",'Cover PivotTable'!$A$4,"Site",$A7,"Year",F$1,"Transect",$B7))</f>
        <v/>
      </c>
      <c r="G7" s="17" t="str">
        <f>IF(OR(ISERROR(GETPIVOTDATA("Cover",'Cover PivotTable'!$A$4,"Site",$A7,"Year",G$1,"Transect",$B7)),GETPIVOTDATA("Cover",'Cover PivotTable'!$A$4,"Site",$A7,"Year",G$1)=""), "",GETPIVOTDATA("Cover",'Cover PivotTable'!$A$4,"Site",$A7,"Year",G$1,"Transect",$B7))</f>
        <v/>
      </c>
      <c r="H7" s="17" t="str">
        <f>IF(OR(ISERROR(GETPIVOTDATA("Cover",'Cover PivotTable'!$A$4,"Site",$A7,"Year",H$1,"Transect",$B7)),GETPIVOTDATA("Cover",'Cover PivotTable'!$A$4,"Site",$A7,"Year",H$1)=""), "",GETPIVOTDATA("Cover",'Cover PivotTable'!$A$4,"Site",$A7,"Year",H$1,"Transect",$B7))</f>
        <v/>
      </c>
      <c r="I7" s="17" t="str">
        <f>IF(OR(ISERROR(GETPIVOTDATA("Cover",'Cover PivotTable'!$A$4,"Site",$A7,"Year",I$1,"Transect",$B7)),GETPIVOTDATA("Cover",'Cover PivotTable'!$A$4,"Site",$A7,"Year",I$1)=""), "",GETPIVOTDATA("Cover",'Cover PivotTable'!$A$4,"Site",$A7,"Year",I$1,"Transect",$B7))</f>
        <v/>
      </c>
      <c r="J7" s="17" t="str">
        <f>IF(OR(ISERROR(GETPIVOTDATA("Cover",'Cover PivotTable'!$A$4,"Site",$A7,"Year",J$1,"Transect",$B7)),GETPIVOTDATA("Cover",'Cover PivotTable'!$A$4,"Site",$A7,"Year",J$1)=""), "",GETPIVOTDATA("Cover",'Cover PivotTable'!$A$4,"Site",$A7,"Year",J$1,"Transect",$B7))</f>
        <v/>
      </c>
      <c r="K7" s="17" t="str">
        <f>IF(OR(ISERROR(GETPIVOTDATA("Cover",'Cover PivotTable'!$A$4,"Site",$A7,"Year",K$1,"Transect",$B7)),GETPIVOTDATA("Cover",'Cover PivotTable'!$A$4,"Site",$A7,"Year",K$1)=""), "",GETPIVOTDATA("Cover",'Cover PivotTable'!$A$4,"Site",$A7,"Year",K$1,"Transect",$B7))</f>
        <v/>
      </c>
      <c r="L7" s="17" t="str">
        <f>IF(OR(ISERROR(GETPIVOTDATA("Cover",'Cover PivotTable'!$A$4,"Site",$A7,"Year",L$1,"Transect",$B7)),GETPIVOTDATA("Cover",'Cover PivotTable'!$A$4,"Site",$A7,"Year",L$1)=""), "",GETPIVOTDATA("Cover",'Cover PivotTable'!$A$4,"Site",$A7,"Year",L$1,"Transect",$B7))</f>
        <v/>
      </c>
      <c r="M7" s="17" t="str">
        <f>IF(OR(ISERROR(GETPIVOTDATA("Cover",'Cover PivotTable'!$A$4,"Site",$A7,"Year",M$1,"Transect",$B7)),GETPIVOTDATA("Cover",'Cover PivotTable'!$A$4,"Site",$A7,"Year",M$1)=""), "",GETPIVOTDATA("Cover",'Cover PivotTable'!$A$4,"Site",$A7,"Year",M$1,"Transect",$B7))</f>
        <v/>
      </c>
      <c r="N7" s="17" t="str">
        <f>IF(OR(ISERROR(GETPIVOTDATA("Cover",'Cover PivotTable'!$A$4,"Site",$A7,"Year",N$1,"Transect",$B7)),GETPIVOTDATA("Cover",'Cover PivotTable'!$A$4,"Site",$A7,"Year",N$1)=""), "",GETPIVOTDATA("Cover",'Cover PivotTable'!$A$4,"Site",$A7,"Year",N$1,"Transect",$B7))</f>
        <v/>
      </c>
      <c r="O7" s="17">
        <f>IF(OR(ISERROR(GETPIVOTDATA("Cover",'Cover PivotTable'!$A$4,"Site",$A7,"Year",O$1,"Transect",$B7)),GETPIVOTDATA("Cover",'Cover PivotTable'!$A$4,"Site",$A7,"Year",O$1)=""), "",GETPIVOTDATA("Cover",'Cover PivotTable'!$A$4,"Site",$A7,"Year",O$1,"Transect",$B7))</f>
        <v>32.460732984293195</v>
      </c>
      <c r="P7" s="41">
        <v>5.5</v>
      </c>
    </row>
    <row r="8" spans="1:16" x14ac:dyDescent="0.35">
      <c r="A8" t="s">
        <v>19</v>
      </c>
      <c r="B8">
        <v>4.0999999999999996</v>
      </c>
      <c r="C8" s="17">
        <f>IF(OR(ISERROR(GETPIVOTDATA("Cover",'Cover PivotTable'!$A$4,"Site",$A8,"Year",C$1,"Transect",$B8)),GETPIVOTDATA("Cover",'Cover PivotTable'!$A$4,"Site",$A8,"Year",C$1)=""), "",GETPIVOTDATA("Cover",'Cover PivotTable'!$A$4,"Site",$A8,"Year",C$1,"Transect",$B8))</f>
        <v>7</v>
      </c>
      <c r="D8" s="17">
        <f>IF(OR(ISERROR(GETPIVOTDATA("Cover",'Cover PivotTable'!$A$4,"Site",$A8,"Year",D$1,"Transect",$B8)),GETPIVOTDATA("Cover",'Cover PivotTable'!$A$4,"Site",$A8,"Year",D$1)=""), "",GETPIVOTDATA("Cover",'Cover PivotTable'!$A$4,"Site",$A8,"Year",D$1,"Transect",$B8))</f>
        <v>9</v>
      </c>
      <c r="E8" s="17" t="str">
        <f>IF(OR(ISERROR(GETPIVOTDATA("Cover",'Cover PivotTable'!$A$4,"Site",$A8,"Year",E$1,"Transect",$B8)),GETPIVOTDATA("Cover",'Cover PivotTable'!$A$4,"Site",$A8,"Year",E$1)=""), "",GETPIVOTDATA("Cover",'Cover PivotTable'!$A$4,"Site",$A8,"Year",E$1,"Transect",$B8))</f>
        <v/>
      </c>
      <c r="F8" s="17" t="str">
        <f>IF(OR(ISERROR(GETPIVOTDATA("Cover",'Cover PivotTable'!$A$4,"Site",$A8,"Year",F$1,"Transect",$B8)),GETPIVOTDATA("Cover",'Cover PivotTable'!$A$4,"Site",$A8,"Year",F$1)=""), "",GETPIVOTDATA("Cover",'Cover PivotTable'!$A$4,"Site",$A8,"Year",F$1,"Transect",$B8))</f>
        <v/>
      </c>
      <c r="G8" s="17" t="str">
        <f>IF(OR(ISERROR(GETPIVOTDATA("Cover",'Cover PivotTable'!$A$4,"Site",$A8,"Year",G$1,"Transect",$B8)),GETPIVOTDATA("Cover",'Cover PivotTable'!$A$4,"Site",$A8,"Year",G$1)=""), "",GETPIVOTDATA("Cover",'Cover PivotTable'!$A$4,"Site",$A8,"Year",G$1,"Transect",$B8))</f>
        <v/>
      </c>
      <c r="H8" s="17" t="str">
        <f>IF(OR(ISERROR(GETPIVOTDATA("Cover",'Cover PivotTable'!$A$4,"Site",$A8,"Year",H$1,"Transect",$B8)),GETPIVOTDATA("Cover",'Cover PivotTable'!$A$4,"Site",$A8,"Year",H$1)=""), "",GETPIVOTDATA("Cover",'Cover PivotTable'!$A$4,"Site",$A8,"Year",H$1,"Transect",$B8))</f>
        <v/>
      </c>
      <c r="I8" s="17" t="str">
        <f>IF(OR(ISERROR(GETPIVOTDATA("Cover",'Cover PivotTable'!$A$4,"Site",$A8,"Year",I$1,"Transect",$B8)),GETPIVOTDATA("Cover",'Cover PivotTable'!$A$4,"Site",$A8,"Year",I$1)=""), "",GETPIVOTDATA("Cover",'Cover PivotTable'!$A$4,"Site",$A8,"Year",I$1,"Transect",$B8))</f>
        <v/>
      </c>
      <c r="J8" s="17" t="str">
        <f>IF(OR(ISERROR(GETPIVOTDATA("Cover",'Cover PivotTable'!$A$4,"Site",$A8,"Year",J$1,"Transect",$B8)),GETPIVOTDATA("Cover",'Cover PivotTable'!$A$4,"Site",$A8,"Year",J$1)=""), "",GETPIVOTDATA("Cover",'Cover PivotTable'!$A$4,"Site",$A8,"Year",J$1,"Transect",$B8))</f>
        <v/>
      </c>
      <c r="K8" s="17" t="str">
        <f>IF(OR(ISERROR(GETPIVOTDATA("Cover",'Cover PivotTable'!$A$4,"Site",$A8,"Year",K$1,"Transect",$B8)),GETPIVOTDATA("Cover",'Cover PivotTable'!$A$4,"Site",$A8,"Year",K$1)=""), "",GETPIVOTDATA("Cover",'Cover PivotTable'!$A$4,"Site",$A8,"Year",K$1,"Transect",$B8))</f>
        <v/>
      </c>
      <c r="L8" s="17" t="str">
        <f>IF(OR(ISERROR(GETPIVOTDATA("Cover",'Cover PivotTable'!$A$4,"Site",$A8,"Year",L$1,"Transect",$B8)),GETPIVOTDATA("Cover",'Cover PivotTable'!$A$4,"Site",$A8,"Year",L$1)=""), "",GETPIVOTDATA("Cover",'Cover PivotTable'!$A$4,"Site",$A8,"Year",L$1,"Transect",$B8))</f>
        <v/>
      </c>
      <c r="M8" s="17" t="str">
        <f>IF(OR(ISERROR(GETPIVOTDATA("Cover",'Cover PivotTable'!$A$4,"Site",$A8,"Year",M$1,"Transect",$B8)),GETPIVOTDATA("Cover",'Cover PivotTable'!$A$4,"Site",$A8,"Year",M$1)=""), "",GETPIVOTDATA("Cover",'Cover PivotTable'!$A$4,"Site",$A8,"Year",M$1,"Transect",$B8))</f>
        <v/>
      </c>
      <c r="N8" s="17" t="str">
        <f>IF(OR(ISERROR(GETPIVOTDATA("Cover",'Cover PivotTable'!$A$4,"Site",$A8,"Year",N$1,"Transect",$B8)),GETPIVOTDATA("Cover",'Cover PivotTable'!$A$4,"Site",$A8,"Year",N$1)=""), "",GETPIVOTDATA("Cover",'Cover PivotTable'!$A$4,"Site",$A8,"Year",N$1,"Transect",$B8))</f>
        <v/>
      </c>
      <c r="O8" s="17">
        <f>IF(OR(ISERROR(GETPIVOTDATA("Cover",'Cover PivotTable'!$A$4,"Site",$A8,"Year",O$1,"Transect",$B8)),GETPIVOTDATA("Cover",'Cover PivotTable'!$A$4,"Site",$A8,"Year",O$1)=""), "",GETPIVOTDATA("Cover",'Cover PivotTable'!$A$4,"Site",$A8,"Year",O$1,"Transect",$B8))</f>
        <v>12.5</v>
      </c>
      <c r="P8" s="41">
        <v>14.689265536723164</v>
      </c>
    </row>
    <row r="9" spans="1:16" x14ac:dyDescent="0.35">
      <c r="A9" t="s">
        <v>19</v>
      </c>
      <c r="B9">
        <v>4.2</v>
      </c>
      <c r="C9" s="17">
        <f>IF(OR(ISERROR(GETPIVOTDATA("Cover",'Cover PivotTable'!$A$4,"Site",$A9,"Year",C$1,"Transect",$B9)),GETPIVOTDATA("Cover",'Cover PivotTable'!$A$4,"Site",$A9,"Year",C$1)=""), "",GETPIVOTDATA("Cover",'Cover PivotTable'!$A$4,"Site",$A9,"Year",C$1,"Transect",$B9))</f>
        <v>10.734463276836157</v>
      </c>
      <c r="D9" s="17">
        <f>IF(OR(ISERROR(GETPIVOTDATA("Cover",'Cover PivotTable'!$A$4,"Site",$A9,"Year",D$1,"Transect",$B9)),GETPIVOTDATA("Cover",'Cover PivotTable'!$A$4,"Site",$A9,"Year",D$1)=""), "",GETPIVOTDATA("Cover",'Cover PivotTable'!$A$4,"Site",$A9,"Year",D$1,"Transect",$B9))</f>
        <v>12.429378531073448</v>
      </c>
      <c r="E9" s="17" t="str">
        <f>IF(OR(ISERROR(GETPIVOTDATA("Cover",'Cover PivotTable'!$A$4,"Site",$A9,"Year",E$1,"Transect",$B9)),GETPIVOTDATA("Cover",'Cover PivotTable'!$A$4,"Site",$A9,"Year",E$1)=""), "",GETPIVOTDATA("Cover",'Cover PivotTable'!$A$4,"Site",$A9,"Year",E$1,"Transect",$B9))</f>
        <v/>
      </c>
      <c r="F9" s="17" t="str">
        <f>IF(OR(ISERROR(GETPIVOTDATA("Cover",'Cover PivotTable'!$A$4,"Site",$A9,"Year",F$1,"Transect",$B9)),GETPIVOTDATA("Cover",'Cover PivotTable'!$A$4,"Site",$A9,"Year",F$1)=""), "",GETPIVOTDATA("Cover",'Cover PivotTable'!$A$4,"Site",$A9,"Year",F$1,"Transect",$B9))</f>
        <v/>
      </c>
      <c r="G9" s="17" t="str">
        <f>IF(OR(ISERROR(GETPIVOTDATA("Cover",'Cover PivotTable'!$A$4,"Site",$A9,"Year",G$1,"Transect",$B9)),GETPIVOTDATA("Cover",'Cover PivotTable'!$A$4,"Site",$A9,"Year",G$1)=""), "",GETPIVOTDATA("Cover",'Cover PivotTable'!$A$4,"Site",$A9,"Year",G$1,"Transect",$B9))</f>
        <v/>
      </c>
      <c r="H9" s="17" t="str">
        <f>IF(OR(ISERROR(GETPIVOTDATA("Cover",'Cover PivotTable'!$A$4,"Site",$A9,"Year",H$1,"Transect",$B9)),GETPIVOTDATA("Cover",'Cover PivotTable'!$A$4,"Site",$A9,"Year",H$1)=""), "",GETPIVOTDATA("Cover",'Cover PivotTable'!$A$4,"Site",$A9,"Year",H$1,"Transect",$B9))</f>
        <v/>
      </c>
      <c r="I9" s="17" t="str">
        <f>IF(OR(ISERROR(GETPIVOTDATA("Cover",'Cover PivotTable'!$A$4,"Site",$A9,"Year",I$1,"Transect",$B9)),GETPIVOTDATA("Cover",'Cover PivotTable'!$A$4,"Site",$A9,"Year",I$1)=""), "",GETPIVOTDATA("Cover",'Cover PivotTable'!$A$4,"Site",$A9,"Year",I$1,"Transect",$B9))</f>
        <v/>
      </c>
      <c r="J9" s="17" t="str">
        <f>IF(OR(ISERROR(GETPIVOTDATA("Cover",'Cover PivotTable'!$A$4,"Site",$A9,"Year",J$1,"Transect",$B9)),GETPIVOTDATA("Cover",'Cover PivotTable'!$A$4,"Site",$A9,"Year",J$1)=""), "",GETPIVOTDATA("Cover",'Cover PivotTable'!$A$4,"Site",$A9,"Year",J$1,"Transect",$B9))</f>
        <v/>
      </c>
      <c r="K9" s="17" t="str">
        <f>IF(OR(ISERROR(GETPIVOTDATA("Cover",'Cover PivotTable'!$A$4,"Site",$A9,"Year",K$1,"Transect",$B9)),GETPIVOTDATA("Cover",'Cover PivotTable'!$A$4,"Site",$A9,"Year",K$1)=""), "",GETPIVOTDATA("Cover",'Cover PivotTable'!$A$4,"Site",$A9,"Year",K$1,"Transect",$B9))</f>
        <v/>
      </c>
      <c r="L9" s="17" t="str">
        <f>IF(OR(ISERROR(GETPIVOTDATA("Cover",'Cover PivotTable'!$A$4,"Site",$A9,"Year",L$1,"Transect",$B9)),GETPIVOTDATA("Cover",'Cover PivotTable'!$A$4,"Site",$A9,"Year",L$1)=""), "",GETPIVOTDATA("Cover",'Cover PivotTable'!$A$4,"Site",$A9,"Year",L$1,"Transect",$B9))</f>
        <v/>
      </c>
      <c r="M9" s="17" t="str">
        <f>IF(OR(ISERROR(GETPIVOTDATA("Cover",'Cover PivotTable'!$A$4,"Site",$A9,"Year",M$1,"Transect",$B9)),GETPIVOTDATA("Cover",'Cover PivotTable'!$A$4,"Site",$A9,"Year",M$1)=""), "",GETPIVOTDATA("Cover",'Cover PivotTable'!$A$4,"Site",$A9,"Year",M$1,"Transect",$B9))</f>
        <v/>
      </c>
      <c r="N9" s="17" t="str">
        <f>IF(OR(ISERROR(GETPIVOTDATA("Cover",'Cover PivotTable'!$A$4,"Site",$A9,"Year",N$1,"Transect",$B9)),GETPIVOTDATA("Cover",'Cover PivotTable'!$A$4,"Site",$A9,"Year",N$1)=""), "",GETPIVOTDATA("Cover",'Cover PivotTable'!$A$4,"Site",$A9,"Year",N$1,"Transect",$B9))</f>
        <v/>
      </c>
      <c r="O9" s="17">
        <f>IF(OR(ISERROR(GETPIVOTDATA("Cover",'Cover PivotTable'!$A$4,"Site",$A9,"Year",O$1,"Transect",$B9)),GETPIVOTDATA("Cover",'Cover PivotTable'!$A$4,"Site",$A9,"Year",O$1)=""), "",GETPIVOTDATA("Cover",'Cover PivotTable'!$A$4,"Site",$A9,"Year",O$1,"Transect",$B9))</f>
        <v>34.659090909090907</v>
      </c>
      <c r="P9" s="41">
        <v>8.9552238805970141</v>
      </c>
    </row>
    <row r="10" spans="1:16" x14ac:dyDescent="0.35">
      <c r="A10" t="s">
        <v>19</v>
      </c>
      <c r="B10">
        <v>5.0999999999999996</v>
      </c>
      <c r="C10" s="17">
        <f>IF(OR(ISERROR(GETPIVOTDATA("Cover",'Cover PivotTable'!$A$4,"Site",$A10,"Year",C$1,"Transect",$B10)),GETPIVOTDATA("Cover",'Cover PivotTable'!$A$4,"Site",$A10,"Year",C$1)=""), "",GETPIVOTDATA("Cover",'Cover PivotTable'!$A$4,"Site",$A10,"Year",C$1,"Transect",$B10))</f>
        <v>14.500000000000002</v>
      </c>
      <c r="D10" s="17">
        <f>IF(OR(ISERROR(GETPIVOTDATA("Cover",'Cover PivotTable'!$A$4,"Site",$A10,"Year",D$1,"Transect",$B10)),GETPIVOTDATA("Cover",'Cover PivotTable'!$A$4,"Site",$A10,"Year",D$1)=""), "",GETPIVOTDATA("Cover",'Cover PivotTable'!$A$4,"Site",$A10,"Year",D$1,"Transect",$B10))</f>
        <v>22</v>
      </c>
      <c r="E10" s="17" t="str">
        <f>IF(OR(ISERROR(GETPIVOTDATA("Cover",'Cover PivotTable'!$A$4,"Site",$A10,"Year",E$1,"Transect",$B10)),GETPIVOTDATA("Cover",'Cover PivotTable'!$A$4,"Site",$A10,"Year",E$1)=""), "",GETPIVOTDATA("Cover",'Cover PivotTable'!$A$4,"Site",$A10,"Year",E$1,"Transect",$B10))</f>
        <v/>
      </c>
      <c r="F10" s="17" t="str">
        <f>IF(OR(ISERROR(GETPIVOTDATA("Cover",'Cover PivotTable'!$A$4,"Site",$A10,"Year",F$1,"Transect",$B10)),GETPIVOTDATA("Cover",'Cover PivotTable'!$A$4,"Site",$A10,"Year",F$1)=""), "",GETPIVOTDATA("Cover",'Cover PivotTable'!$A$4,"Site",$A10,"Year",F$1,"Transect",$B10))</f>
        <v/>
      </c>
      <c r="G10" s="17" t="str">
        <f>IF(OR(ISERROR(GETPIVOTDATA("Cover",'Cover PivotTable'!$A$4,"Site",$A10,"Year",G$1,"Transect",$B10)),GETPIVOTDATA("Cover",'Cover PivotTable'!$A$4,"Site",$A10,"Year",G$1)=""), "",GETPIVOTDATA("Cover",'Cover PivotTable'!$A$4,"Site",$A10,"Year",G$1,"Transect",$B10))</f>
        <v/>
      </c>
      <c r="H10" s="17" t="str">
        <f>IF(OR(ISERROR(GETPIVOTDATA("Cover",'Cover PivotTable'!$A$4,"Site",$A10,"Year",H$1,"Transect",$B10)),GETPIVOTDATA("Cover",'Cover PivotTable'!$A$4,"Site",$A10,"Year",H$1)=""), "",GETPIVOTDATA("Cover",'Cover PivotTable'!$A$4,"Site",$A10,"Year",H$1,"Transect",$B10))</f>
        <v/>
      </c>
      <c r="I10" s="17" t="str">
        <f>IF(OR(ISERROR(GETPIVOTDATA("Cover",'Cover PivotTable'!$A$4,"Site",$A10,"Year",I$1,"Transect",$B10)),GETPIVOTDATA("Cover",'Cover PivotTable'!$A$4,"Site",$A10,"Year",I$1)=""), "",GETPIVOTDATA("Cover",'Cover PivotTable'!$A$4,"Site",$A10,"Year",I$1,"Transect",$B10))</f>
        <v/>
      </c>
      <c r="J10" s="17" t="str">
        <f>IF(OR(ISERROR(GETPIVOTDATA("Cover",'Cover PivotTable'!$A$4,"Site",$A10,"Year",J$1,"Transect",$B10)),GETPIVOTDATA("Cover",'Cover PivotTable'!$A$4,"Site",$A10,"Year",J$1)=""), "",GETPIVOTDATA("Cover",'Cover PivotTable'!$A$4,"Site",$A10,"Year",J$1,"Transect",$B10))</f>
        <v/>
      </c>
      <c r="K10" s="17" t="str">
        <f>IF(OR(ISERROR(GETPIVOTDATA("Cover",'Cover PivotTable'!$A$4,"Site",$A10,"Year",K$1,"Transect",$B10)),GETPIVOTDATA("Cover",'Cover PivotTable'!$A$4,"Site",$A10,"Year",K$1)=""), "",GETPIVOTDATA("Cover",'Cover PivotTable'!$A$4,"Site",$A10,"Year",K$1,"Transect",$B10))</f>
        <v/>
      </c>
      <c r="L10" s="17" t="str">
        <f>IF(OR(ISERROR(GETPIVOTDATA("Cover",'Cover PivotTable'!$A$4,"Site",$A10,"Year",L$1,"Transect",$B10)),GETPIVOTDATA("Cover",'Cover PivotTable'!$A$4,"Site",$A10,"Year",L$1)=""), "",GETPIVOTDATA("Cover",'Cover PivotTable'!$A$4,"Site",$A10,"Year",L$1,"Transect",$B10))</f>
        <v/>
      </c>
      <c r="M10" s="17" t="str">
        <f>IF(OR(ISERROR(GETPIVOTDATA("Cover",'Cover PivotTable'!$A$4,"Site",$A10,"Year",M$1,"Transect",$B10)),GETPIVOTDATA("Cover",'Cover PivotTable'!$A$4,"Site",$A10,"Year",M$1)=""), "",GETPIVOTDATA("Cover",'Cover PivotTable'!$A$4,"Site",$A10,"Year",M$1,"Transect",$B10))</f>
        <v/>
      </c>
      <c r="N10" s="17" t="str">
        <f>IF(OR(ISERROR(GETPIVOTDATA("Cover",'Cover PivotTable'!$A$4,"Site",$A10,"Year",N$1,"Transect",$B10)),GETPIVOTDATA("Cover",'Cover PivotTable'!$A$4,"Site",$A10,"Year",N$1)=""), "",GETPIVOTDATA("Cover",'Cover PivotTable'!$A$4,"Site",$A10,"Year",N$1,"Transect",$B10))</f>
        <v/>
      </c>
      <c r="O10" s="17">
        <f>IF(OR(ISERROR(GETPIVOTDATA("Cover",'Cover PivotTable'!$A$4,"Site",$A10,"Year",O$1,"Transect",$B10)),GETPIVOTDATA("Cover",'Cover PivotTable'!$A$4,"Site",$A10,"Year",O$1)=""), "",GETPIVOTDATA("Cover",'Cover PivotTable'!$A$4,"Site",$A10,"Year",O$1,"Transect",$B10))</f>
        <v>23</v>
      </c>
      <c r="P10" s="41">
        <v>19.108280254777071</v>
      </c>
    </row>
    <row r="11" spans="1:16" x14ac:dyDescent="0.35">
      <c r="A11" t="s">
        <v>19</v>
      </c>
      <c r="B11">
        <v>5.2</v>
      </c>
      <c r="C11" s="17">
        <f>IF(OR(ISERROR(GETPIVOTDATA("Cover",'Cover PivotTable'!$A$4,"Site",$A11,"Year",C$1,"Transect",$B11)),GETPIVOTDATA("Cover",'Cover PivotTable'!$A$4,"Site",$A11,"Year",C$1)=""), "",GETPIVOTDATA("Cover",'Cover PivotTable'!$A$4,"Site",$A11,"Year",C$1,"Transect",$B11))</f>
        <v>7.0063694267515926</v>
      </c>
      <c r="D11" s="17">
        <f>IF(OR(ISERROR(GETPIVOTDATA("Cover",'Cover PivotTable'!$A$4,"Site",$A11,"Year",D$1,"Transect",$B11)),GETPIVOTDATA("Cover",'Cover PivotTable'!$A$4,"Site",$A11,"Year",D$1)=""), "",GETPIVOTDATA("Cover",'Cover PivotTable'!$A$4,"Site",$A11,"Year",D$1,"Transect",$B11))</f>
        <v>19.745222929936304</v>
      </c>
      <c r="E11" s="17" t="str">
        <f>IF(OR(ISERROR(GETPIVOTDATA("Cover",'Cover PivotTable'!$A$4,"Site",$A11,"Year",E$1,"Transect",$B11)),GETPIVOTDATA("Cover",'Cover PivotTable'!$A$4,"Site",$A11,"Year",E$1)=""), "",GETPIVOTDATA("Cover",'Cover PivotTable'!$A$4,"Site",$A11,"Year",E$1,"Transect",$B11))</f>
        <v/>
      </c>
      <c r="F11" s="17" t="str">
        <f>IF(OR(ISERROR(GETPIVOTDATA("Cover",'Cover PivotTable'!$A$4,"Site",$A11,"Year",F$1,"Transect",$B11)),GETPIVOTDATA("Cover",'Cover PivotTable'!$A$4,"Site",$A11,"Year",F$1)=""), "",GETPIVOTDATA("Cover",'Cover PivotTable'!$A$4,"Site",$A11,"Year",F$1,"Transect",$B11))</f>
        <v/>
      </c>
      <c r="G11" s="17" t="str">
        <f>IF(OR(ISERROR(GETPIVOTDATA("Cover",'Cover PivotTable'!$A$4,"Site",$A11,"Year",G$1,"Transect",$B11)),GETPIVOTDATA("Cover",'Cover PivotTable'!$A$4,"Site",$A11,"Year",G$1)=""), "",GETPIVOTDATA("Cover",'Cover PivotTable'!$A$4,"Site",$A11,"Year",G$1,"Transect",$B11))</f>
        <v/>
      </c>
      <c r="H11" s="17" t="str">
        <f>IF(OR(ISERROR(GETPIVOTDATA("Cover",'Cover PivotTable'!$A$4,"Site",$A11,"Year",H$1,"Transect",$B11)),GETPIVOTDATA("Cover",'Cover PivotTable'!$A$4,"Site",$A11,"Year",H$1)=""), "",GETPIVOTDATA("Cover",'Cover PivotTable'!$A$4,"Site",$A11,"Year",H$1,"Transect",$B11))</f>
        <v/>
      </c>
      <c r="I11" s="17" t="str">
        <f>IF(OR(ISERROR(GETPIVOTDATA("Cover",'Cover PivotTable'!$A$4,"Site",$A11,"Year",I$1,"Transect",$B11)),GETPIVOTDATA("Cover",'Cover PivotTable'!$A$4,"Site",$A11,"Year",I$1)=""), "",GETPIVOTDATA("Cover",'Cover PivotTable'!$A$4,"Site",$A11,"Year",I$1,"Transect",$B11))</f>
        <v/>
      </c>
      <c r="J11" s="17" t="str">
        <f>IF(OR(ISERROR(GETPIVOTDATA("Cover",'Cover PivotTable'!$A$4,"Site",$A11,"Year",J$1,"Transect",$B11)),GETPIVOTDATA("Cover",'Cover PivotTable'!$A$4,"Site",$A11,"Year",J$1)=""), "",GETPIVOTDATA("Cover",'Cover PivotTable'!$A$4,"Site",$A11,"Year",J$1,"Transect",$B11))</f>
        <v/>
      </c>
      <c r="K11" s="17" t="str">
        <f>IF(OR(ISERROR(GETPIVOTDATA("Cover",'Cover PivotTable'!$A$4,"Site",$A11,"Year",K$1,"Transect",$B11)),GETPIVOTDATA("Cover",'Cover PivotTable'!$A$4,"Site",$A11,"Year",K$1)=""), "",GETPIVOTDATA("Cover",'Cover PivotTable'!$A$4,"Site",$A11,"Year",K$1,"Transect",$B11))</f>
        <v/>
      </c>
      <c r="L11" s="17" t="str">
        <f>IF(OR(ISERROR(GETPIVOTDATA("Cover",'Cover PivotTable'!$A$4,"Site",$A11,"Year",L$1,"Transect",$B11)),GETPIVOTDATA("Cover",'Cover PivotTable'!$A$4,"Site",$A11,"Year",L$1)=""), "",GETPIVOTDATA("Cover",'Cover PivotTable'!$A$4,"Site",$A11,"Year",L$1,"Transect",$B11))</f>
        <v/>
      </c>
      <c r="M11" s="17" t="str">
        <f>IF(OR(ISERROR(GETPIVOTDATA("Cover",'Cover PivotTable'!$A$4,"Site",$A11,"Year",M$1,"Transect",$B11)),GETPIVOTDATA("Cover",'Cover PivotTable'!$A$4,"Site",$A11,"Year",M$1)=""), "",GETPIVOTDATA("Cover",'Cover PivotTable'!$A$4,"Site",$A11,"Year",M$1,"Transect",$B11))</f>
        <v/>
      </c>
      <c r="N11" s="17" t="str">
        <f>IF(OR(ISERROR(GETPIVOTDATA("Cover",'Cover PivotTable'!$A$4,"Site",$A11,"Year",N$1,"Transect",$B11)),GETPIVOTDATA("Cover",'Cover PivotTable'!$A$4,"Site",$A11,"Year",N$1)=""), "",GETPIVOTDATA("Cover",'Cover PivotTable'!$A$4,"Site",$A11,"Year",N$1,"Transect",$B11))</f>
        <v/>
      </c>
      <c r="O11" s="17">
        <f>IF(OR(ISERROR(GETPIVOTDATA("Cover",'Cover PivotTable'!$A$4,"Site",$A11,"Year",O$1,"Transect",$B11)),GETPIVOTDATA("Cover",'Cover PivotTable'!$A$4,"Site",$A11,"Year",O$1)=""), "",GETPIVOTDATA("Cover",'Cover PivotTable'!$A$4,"Site",$A11,"Year",O$1,"Transect",$B11))</f>
        <v>35.031847133757964</v>
      </c>
      <c r="P11" s="41">
        <v>16.5</v>
      </c>
    </row>
    <row r="12" spans="1:16" x14ac:dyDescent="0.35">
      <c r="A12" t="s">
        <v>19</v>
      </c>
      <c r="B12">
        <v>6.1</v>
      </c>
      <c r="C12" s="17">
        <f>IF(OR(ISERROR(GETPIVOTDATA("Cover",'Cover PivotTable'!$A$4,"Site",$A12,"Year",C$1,"Transect",$B12)),GETPIVOTDATA("Cover",'Cover PivotTable'!$A$4,"Site",$A12,"Year",C$1)=""), "",GETPIVOTDATA("Cover",'Cover PivotTable'!$A$4,"Site",$A12,"Year",C$1,"Transect",$B12))</f>
        <v>11.5</v>
      </c>
      <c r="D12" s="17">
        <f>IF(OR(ISERROR(GETPIVOTDATA("Cover",'Cover PivotTable'!$A$4,"Site",$A12,"Year",D$1,"Transect",$B12)),GETPIVOTDATA("Cover",'Cover PivotTable'!$A$4,"Site",$A12,"Year",D$1)=""), "",GETPIVOTDATA("Cover",'Cover PivotTable'!$A$4,"Site",$A12,"Year",D$1,"Transect",$B12))</f>
        <v>17</v>
      </c>
      <c r="E12" s="17" t="str">
        <f>IF(OR(ISERROR(GETPIVOTDATA("Cover",'Cover PivotTable'!$A$4,"Site",$A12,"Year",E$1,"Transect",$B12)),GETPIVOTDATA("Cover",'Cover PivotTable'!$A$4,"Site",$A12,"Year",E$1)=""), "",GETPIVOTDATA("Cover",'Cover PivotTable'!$A$4,"Site",$A12,"Year",E$1,"Transect",$B12))</f>
        <v/>
      </c>
      <c r="F12" s="17" t="str">
        <f>IF(OR(ISERROR(GETPIVOTDATA("Cover",'Cover PivotTable'!$A$4,"Site",$A12,"Year",F$1,"Transect",$B12)),GETPIVOTDATA("Cover",'Cover PivotTable'!$A$4,"Site",$A12,"Year",F$1)=""), "",GETPIVOTDATA("Cover",'Cover PivotTable'!$A$4,"Site",$A12,"Year",F$1,"Transect",$B12))</f>
        <v/>
      </c>
      <c r="G12" s="17" t="str">
        <f>IF(OR(ISERROR(GETPIVOTDATA("Cover",'Cover PivotTable'!$A$4,"Site",$A12,"Year",G$1,"Transect",$B12)),GETPIVOTDATA("Cover",'Cover PivotTable'!$A$4,"Site",$A12,"Year",G$1)=""), "",GETPIVOTDATA("Cover",'Cover PivotTable'!$A$4,"Site",$A12,"Year",G$1,"Transect",$B12))</f>
        <v/>
      </c>
      <c r="H12" s="17" t="str">
        <f>IF(OR(ISERROR(GETPIVOTDATA("Cover",'Cover PivotTable'!$A$4,"Site",$A12,"Year",H$1,"Transect",$B12)),GETPIVOTDATA("Cover",'Cover PivotTable'!$A$4,"Site",$A12,"Year",H$1)=""), "",GETPIVOTDATA("Cover",'Cover PivotTable'!$A$4,"Site",$A12,"Year",H$1,"Transect",$B12))</f>
        <v/>
      </c>
      <c r="I12" s="17" t="str">
        <f>IF(OR(ISERROR(GETPIVOTDATA("Cover",'Cover PivotTable'!$A$4,"Site",$A12,"Year",I$1,"Transect",$B12)),GETPIVOTDATA("Cover",'Cover PivotTable'!$A$4,"Site",$A12,"Year",I$1)=""), "",GETPIVOTDATA("Cover",'Cover PivotTable'!$A$4,"Site",$A12,"Year",I$1,"Transect",$B12))</f>
        <v/>
      </c>
      <c r="J12" s="17" t="str">
        <f>IF(OR(ISERROR(GETPIVOTDATA("Cover",'Cover PivotTable'!$A$4,"Site",$A12,"Year",J$1,"Transect",$B12)),GETPIVOTDATA("Cover",'Cover PivotTable'!$A$4,"Site",$A12,"Year",J$1)=""), "",GETPIVOTDATA("Cover",'Cover PivotTable'!$A$4,"Site",$A12,"Year",J$1,"Transect",$B12))</f>
        <v/>
      </c>
      <c r="K12" s="17" t="str">
        <f>IF(OR(ISERROR(GETPIVOTDATA("Cover",'Cover PivotTable'!$A$4,"Site",$A12,"Year",K$1,"Transect",$B12)),GETPIVOTDATA("Cover",'Cover PivotTable'!$A$4,"Site",$A12,"Year",K$1)=""), "",GETPIVOTDATA("Cover",'Cover PivotTable'!$A$4,"Site",$A12,"Year",K$1,"Transect",$B12))</f>
        <v/>
      </c>
      <c r="L12" s="17" t="str">
        <f>IF(OR(ISERROR(GETPIVOTDATA("Cover",'Cover PivotTable'!$A$4,"Site",$A12,"Year",L$1,"Transect",$B12)),GETPIVOTDATA("Cover",'Cover PivotTable'!$A$4,"Site",$A12,"Year",L$1)=""), "",GETPIVOTDATA("Cover",'Cover PivotTable'!$A$4,"Site",$A12,"Year",L$1,"Transect",$B12))</f>
        <v/>
      </c>
      <c r="M12" s="17" t="str">
        <f>IF(OR(ISERROR(GETPIVOTDATA("Cover",'Cover PivotTable'!$A$4,"Site",$A12,"Year",M$1,"Transect",$B12)),GETPIVOTDATA("Cover",'Cover PivotTable'!$A$4,"Site",$A12,"Year",M$1)=""), "",GETPIVOTDATA("Cover",'Cover PivotTable'!$A$4,"Site",$A12,"Year",M$1,"Transect",$B12))</f>
        <v/>
      </c>
      <c r="N12" s="17" t="str">
        <f>IF(OR(ISERROR(GETPIVOTDATA("Cover",'Cover PivotTable'!$A$4,"Site",$A12,"Year",N$1,"Transect",$B12)),GETPIVOTDATA("Cover",'Cover PivotTable'!$A$4,"Site",$A12,"Year",N$1)=""), "",GETPIVOTDATA("Cover",'Cover PivotTable'!$A$4,"Site",$A12,"Year",N$1,"Transect",$B12))</f>
        <v/>
      </c>
      <c r="O12" s="17">
        <f>IF(OR(ISERROR(GETPIVOTDATA("Cover",'Cover PivotTable'!$A$4,"Site",$A12,"Year",O$1,"Transect",$B12)),GETPIVOTDATA("Cover",'Cover PivotTable'!$A$4,"Site",$A12,"Year",O$1)=""), "",GETPIVOTDATA("Cover",'Cover PivotTable'!$A$4,"Site",$A12,"Year",O$1,"Transect",$B12))</f>
        <v>17</v>
      </c>
      <c r="P12" s="41">
        <v>28.35820895522388</v>
      </c>
    </row>
    <row r="13" spans="1:16" x14ac:dyDescent="0.35">
      <c r="A13" t="s">
        <v>19</v>
      </c>
      <c r="B13">
        <v>6.2</v>
      </c>
      <c r="C13" s="17">
        <f>IF(OR(ISERROR(GETPIVOTDATA("Cover",'Cover PivotTable'!$A$4,"Site",$A13,"Year",C$1,"Transect",$B13)),GETPIVOTDATA("Cover",'Cover PivotTable'!$A$4,"Site",$A13,"Year",C$1)=""), "",GETPIVOTDATA("Cover",'Cover PivotTable'!$A$4,"Site",$A13,"Year",C$1,"Transect",$B13))</f>
        <v>15.555555555555555</v>
      </c>
      <c r="D13" s="17">
        <f>IF(OR(ISERROR(GETPIVOTDATA("Cover",'Cover PivotTable'!$A$4,"Site",$A13,"Year",D$1,"Transect",$B13)),GETPIVOTDATA("Cover",'Cover PivotTable'!$A$4,"Site",$A13,"Year",D$1)=""), "",GETPIVOTDATA("Cover",'Cover PivotTable'!$A$4,"Site",$A13,"Year",D$1,"Transect",$B13))</f>
        <v>22.962962962962962</v>
      </c>
      <c r="E13" s="17" t="str">
        <f>IF(OR(ISERROR(GETPIVOTDATA("Cover",'Cover PivotTable'!$A$4,"Site",$A13,"Year",E$1,"Transect",$B13)),GETPIVOTDATA("Cover",'Cover PivotTable'!$A$4,"Site",$A13,"Year",E$1)=""), "",GETPIVOTDATA("Cover",'Cover PivotTable'!$A$4,"Site",$A13,"Year",E$1,"Transect",$B13))</f>
        <v/>
      </c>
      <c r="F13" s="17" t="str">
        <f>IF(OR(ISERROR(GETPIVOTDATA("Cover",'Cover PivotTable'!$A$4,"Site",$A13,"Year",F$1,"Transect",$B13)),GETPIVOTDATA("Cover",'Cover PivotTable'!$A$4,"Site",$A13,"Year",F$1)=""), "",GETPIVOTDATA("Cover",'Cover PivotTable'!$A$4,"Site",$A13,"Year",F$1,"Transect",$B13))</f>
        <v/>
      </c>
      <c r="G13" s="17" t="str">
        <f>IF(OR(ISERROR(GETPIVOTDATA("Cover",'Cover PivotTable'!$A$4,"Site",$A13,"Year",G$1,"Transect",$B13)),GETPIVOTDATA("Cover",'Cover PivotTable'!$A$4,"Site",$A13,"Year",G$1)=""), "",GETPIVOTDATA("Cover",'Cover PivotTable'!$A$4,"Site",$A13,"Year",G$1,"Transect",$B13))</f>
        <v/>
      </c>
      <c r="H13" s="17" t="str">
        <f>IF(OR(ISERROR(GETPIVOTDATA("Cover",'Cover PivotTable'!$A$4,"Site",$A13,"Year",H$1,"Transect",$B13)),GETPIVOTDATA("Cover",'Cover PivotTable'!$A$4,"Site",$A13,"Year",H$1)=""), "",GETPIVOTDATA("Cover",'Cover PivotTable'!$A$4,"Site",$A13,"Year",H$1,"Transect",$B13))</f>
        <v/>
      </c>
      <c r="I13" s="17" t="str">
        <f>IF(OR(ISERROR(GETPIVOTDATA("Cover",'Cover PivotTable'!$A$4,"Site",$A13,"Year",I$1,"Transect",$B13)),GETPIVOTDATA("Cover",'Cover PivotTable'!$A$4,"Site",$A13,"Year",I$1)=""), "",GETPIVOTDATA("Cover",'Cover PivotTable'!$A$4,"Site",$A13,"Year",I$1,"Transect",$B13))</f>
        <v/>
      </c>
      <c r="J13" s="17" t="str">
        <f>IF(OR(ISERROR(GETPIVOTDATA("Cover",'Cover PivotTable'!$A$4,"Site",$A13,"Year",J$1,"Transect",$B13)),GETPIVOTDATA("Cover",'Cover PivotTable'!$A$4,"Site",$A13,"Year",J$1)=""), "",GETPIVOTDATA("Cover",'Cover PivotTable'!$A$4,"Site",$A13,"Year",J$1,"Transect",$B13))</f>
        <v/>
      </c>
      <c r="K13" s="17" t="str">
        <f>IF(OR(ISERROR(GETPIVOTDATA("Cover",'Cover PivotTable'!$A$4,"Site",$A13,"Year",K$1,"Transect",$B13)),GETPIVOTDATA("Cover",'Cover PivotTable'!$A$4,"Site",$A13,"Year",K$1)=""), "",GETPIVOTDATA("Cover",'Cover PivotTable'!$A$4,"Site",$A13,"Year",K$1,"Transect",$B13))</f>
        <v/>
      </c>
      <c r="L13" s="17" t="str">
        <f>IF(OR(ISERROR(GETPIVOTDATA("Cover",'Cover PivotTable'!$A$4,"Site",$A13,"Year",L$1,"Transect",$B13)),GETPIVOTDATA("Cover",'Cover PivotTable'!$A$4,"Site",$A13,"Year",L$1)=""), "",GETPIVOTDATA("Cover",'Cover PivotTable'!$A$4,"Site",$A13,"Year",L$1,"Transect",$B13))</f>
        <v/>
      </c>
      <c r="M13" s="17" t="str">
        <f>IF(OR(ISERROR(GETPIVOTDATA("Cover",'Cover PivotTable'!$A$4,"Site",$A13,"Year",M$1,"Transect",$B13)),GETPIVOTDATA("Cover",'Cover PivotTable'!$A$4,"Site",$A13,"Year",M$1)=""), "",GETPIVOTDATA("Cover",'Cover PivotTable'!$A$4,"Site",$A13,"Year",M$1,"Transect",$B13))</f>
        <v/>
      </c>
      <c r="N13" s="17" t="str">
        <f>IF(OR(ISERROR(GETPIVOTDATA("Cover",'Cover PivotTable'!$A$4,"Site",$A13,"Year",N$1,"Transect",$B13)),GETPIVOTDATA("Cover",'Cover PivotTable'!$A$4,"Site",$A13,"Year",N$1)=""), "",GETPIVOTDATA("Cover",'Cover PivotTable'!$A$4,"Site",$A13,"Year",N$1,"Transect",$B13))</f>
        <v/>
      </c>
      <c r="O13" s="17">
        <f>IF(OR(ISERROR(GETPIVOTDATA("Cover",'Cover PivotTable'!$A$4,"Site",$A13,"Year",O$1,"Transect",$B13)),GETPIVOTDATA("Cover",'Cover PivotTable'!$A$4,"Site",$A13,"Year",O$1)=""), "",GETPIVOTDATA("Cover",'Cover PivotTable'!$A$4,"Site",$A13,"Year",O$1,"Transect",$B13))</f>
        <v>31.343283582089555</v>
      </c>
      <c r="P13" s="41">
        <v>12</v>
      </c>
    </row>
    <row r="14" spans="1:16" ht="15" thickBot="1" x14ac:dyDescent="0.4">
      <c r="A14" s="19"/>
      <c r="B14" s="19"/>
      <c r="C14" s="19"/>
      <c r="D14" s="19"/>
      <c r="E14" s="19"/>
      <c r="F14" s="19"/>
      <c r="G14" s="19"/>
      <c r="H14" s="19"/>
      <c r="I14" s="19"/>
      <c r="J14" s="19"/>
      <c r="K14" s="19"/>
      <c r="L14" s="19"/>
      <c r="M14" s="19"/>
      <c r="N14" s="19"/>
      <c r="O14" s="19"/>
      <c r="P14" s="41"/>
    </row>
    <row r="15" spans="1:16" x14ac:dyDescent="0.35">
      <c r="P15" s="41"/>
    </row>
    <row r="16" spans="1:16" x14ac:dyDescent="0.35">
      <c r="A16" t="s">
        <v>274</v>
      </c>
      <c r="C16" s="17">
        <f>IF(SUM(C2:C13)=0, "", AVERAGE(C2:C13))</f>
        <v>8.3302545771508303</v>
      </c>
      <c r="D16" s="17">
        <f>IF(SUM(D2:D13)=0, "", AVERAGE(D2:D13))</f>
        <v>12.379519257553282</v>
      </c>
      <c r="E16" s="17" t="str">
        <f t="shared" ref="E16:O16" si="0">IF(SUM(E2:E13)=0, "", AVERAGE(E2:E13))</f>
        <v/>
      </c>
      <c r="F16" s="17" t="str">
        <f t="shared" si="0"/>
        <v/>
      </c>
      <c r="G16" s="17" t="str">
        <f t="shared" si="0"/>
        <v/>
      </c>
      <c r="H16" s="17" t="str">
        <f t="shared" si="0"/>
        <v/>
      </c>
      <c r="I16" s="17" t="str">
        <f t="shared" si="0"/>
        <v/>
      </c>
      <c r="J16" s="17" t="str">
        <f t="shared" si="0"/>
        <v/>
      </c>
      <c r="K16" s="17" t="str">
        <f t="shared" si="0"/>
        <v/>
      </c>
      <c r="L16" s="17" t="str">
        <f t="shared" si="0"/>
        <v/>
      </c>
      <c r="M16" s="17" t="str">
        <f t="shared" si="0"/>
        <v/>
      </c>
      <c r="N16" s="17" t="str">
        <f t="shared" si="0"/>
        <v/>
      </c>
      <c r="O16" s="17">
        <f t="shared" si="0"/>
        <v>22.710972324662077</v>
      </c>
      <c r="P16" s="42">
        <f>IF(SUM(P2:P13)=0, "", AVERAGE(P2:P13))</f>
        <v>13.069446819809835</v>
      </c>
    </row>
    <row r="17" spans="1:16" x14ac:dyDescent="0.35">
      <c r="A17" t="s">
        <v>275</v>
      </c>
      <c r="C17" s="17">
        <f>IF(SUM(C2:C13)=0, "",STDEV(C2:C13))</f>
        <v>3.8160741166001473</v>
      </c>
      <c r="D17" s="17">
        <f>IF(SUM(D2:D13)=0, "",STDEV(D2:D13))</f>
        <v>6.4465489508083778</v>
      </c>
      <c r="E17" s="17" t="str">
        <f t="shared" ref="E17:O17" si="1">IF(SUM(E2:E13)=0, "",STDEV(E2:E13))</f>
        <v/>
      </c>
      <c r="F17" s="17" t="str">
        <f t="shared" si="1"/>
        <v/>
      </c>
      <c r="G17" s="17" t="str">
        <f t="shared" si="1"/>
        <v/>
      </c>
      <c r="H17" s="17" t="str">
        <f t="shared" si="1"/>
        <v/>
      </c>
      <c r="I17" s="17" t="str">
        <f t="shared" si="1"/>
        <v/>
      </c>
      <c r="J17" s="17" t="str">
        <f t="shared" si="1"/>
        <v/>
      </c>
      <c r="K17" s="17" t="str">
        <f t="shared" si="1"/>
        <v/>
      </c>
      <c r="L17" s="17" t="str">
        <f t="shared" si="1"/>
        <v/>
      </c>
      <c r="M17" s="17" t="str">
        <f t="shared" si="1"/>
        <v/>
      </c>
      <c r="N17" s="17" t="str">
        <f t="shared" si="1"/>
        <v/>
      </c>
      <c r="O17" s="17">
        <f t="shared" si="1"/>
        <v>8.688578756039032</v>
      </c>
      <c r="P17" s="42">
        <f>IF(SUM(P2:P13)=0, "",STDEV(P2:P13))</f>
        <v>6.8062865917984334</v>
      </c>
    </row>
    <row r="18" spans="1:16" x14ac:dyDescent="0.35">
      <c r="A18" t="s">
        <v>276</v>
      </c>
      <c r="C18" s="16">
        <f>IF(SUM(C2:C13)=0,"",_xlfn.CONFIDENCE.T(0.2,C17,COUNT(C2:C13)))</f>
        <v>1.5019626224732419</v>
      </c>
      <c r="D18" s="16">
        <f>IF(SUM(D2:D13)=0,"",_xlfn.CONFIDENCE.T(0.2,D17,COUNT(D2:D13)))</f>
        <v>2.5372870841105879</v>
      </c>
      <c r="E18" s="16" t="str">
        <f t="shared" ref="E18:O18" si="2">IF(SUM(E2:E13)=0,"",_xlfn.CONFIDENCE.T(0.2,E17,COUNT(E2:E13)))</f>
        <v/>
      </c>
      <c r="F18" s="16" t="str">
        <f t="shared" si="2"/>
        <v/>
      </c>
      <c r="G18" s="16" t="str">
        <f t="shared" si="2"/>
        <v/>
      </c>
      <c r="H18" s="16" t="str">
        <f t="shared" si="2"/>
        <v/>
      </c>
      <c r="I18" s="16" t="str">
        <f t="shared" si="2"/>
        <v/>
      </c>
      <c r="J18" s="16" t="str">
        <f t="shared" si="2"/>
        <v/>
      </c>
      <c r="K18" s="16" t="str">
        <f t="shared" si="2"/>
        <v/>
      </c>
      <c r="L18" s="16" t="str">
        <f t="shared" si="2"/>
        <v/>
      </c>
      <c r="M18" s="16" t="str">
        <f t="shared" si="2"/>
        <v/>
      </c>
      <c r="N18" s="16" t="str">
        <f t="shared" si="2"/>
        <v/>
      </c>
      <c r="O18" s="16">
        <f t="shared" si="2"/>
        <v>3.4197240764317853</v>
      </c>
      <c r="P18" s="43">
        <f>IF(SUM(P2:P13)=0,"",_xlfn.CONFIDENCE.T(0.2,P17,COUNT(P2:P13)))</f>
        <v>2.6788756576431014</v>
      </c>
    </row>
    <row r="19" spans="1:16" x14ac:dyDescent="0.35">
      <c r="A19" t="s">
        <v>277</v>
      </c>
      <c r="C19" s="17">
        <f>IF(C18="","",C16+C18)</f>
        <v>9.8322171996240719</v>
      </c>
      <c r="D19" s="17">
        <f>IF(D18="","",D16+D18)</f>
        <v>14.91680634166387</v>
      </c>
      <c r="E19" s="17" t="str">
        <f t="shared" ref="E19:O19" si="3">IF(E18="","",E16+E18)</f>
        <v/>
      </c>
      <c r="F19" s="17" t="str">
        <f t="shared" si="3"/>
        <v/>
      </c>
      <c r="G19" s="17" t="str">
        <f t="shared" si="3"/>
        <v/>
      </c>
      <c r="H19" s="17" t="str">
        <f t="shared" si="3"/>
        <v/>
      </c>
      <c r="I19" s="17" t="str">
        <f t="shared" si="3"/>
        <v/>
      </c>
      <c r="J19" s="17" t="str">
        <f t="shared" si="3"/>
        <v/>
      </c>
      <c r="K19" s="17" t="str">
        <f t="shared" si="3"/>
        <v/>
      </c>
      <c r="L19" s="17" t="str">
        <f t="shared" si="3"/>
        <v/>
      </c>
      <c r="M19" s="17" t="str">
        <f t="shared" si="3"/>
        <v/>
      </c>
      <c r="N19" s="17" t="str">
        <f t="shared" si="3"/>
        <v/>
      </c>
      <c r="O19" s="17">
        <f t="shared" si="3"/>
        <v>26.130696401093861</v>
      </c>
      <c r="P19" s="42">
        <f>IF(P18="","",P16+P18)</f>
        <v>15.748322477452938</v>
      </c>
    </row>
    <row r="20" spans="1:16" x14ac:dyDescent="0.35">
      <c r="P20" s="41"/>
    </row>
    <row r="21" spans="1:16" x14ac:dyDescent="0.35">
      <c r="A21" t="s">
        <v>270</v>
      </c>
      <c r="C21" s="17">
        <f t="shared" ref="C21:P21" si="4">VLOOKUP($A$2, TargetCover, 2, FALSE)*0.9</f>
        <v>15.3</v>
      </c>
      <c r="D21" s="17">
        <f t="shared" si="4"/>
        <v>15.3</v>
      </c>
      <c r="E21" s="17">
        <f t="shared" si="4"/>
        <v>15.3</v>
      </c>
      <c r="F21" s="17">
        <f t="shared" si="4"/>
        <v>15.3</v>
      </c>
      <c r="G21" s="17">
        <f t="shared" si="4"/>
        <v>15.3</v>
      </c>
      <c r="H21" s="17">
        <f t="shared" si="4"/>
        <v>15.3</v>
      </c>
      <c r="I21" s="17">
        <f t="shared" si="4"/>
        <v>15.3</v>
      </c>
      <c r="J21" s="17">
        <f t="shared" si="4"/>
        <v>15.3</v>
      </c>
      <c r="K21" s="17">
        <f t="shared" si="4"/>
        <v>15.3</v>
      </c>
      <c r="L21" s="17">
        <f t="shared" si="4"/>
        <v>15.3</v>
      </c>
      <c r="M21" s="17">
        <f t="shared" si="4"/>
        <v>15.3</v>
      </c>
      <c r="N21" s="17">
        <f t="shared" si="4"/>
        <v>15.3</v>
      </c>
      <c r="O21" s="17">
        <f t="shared" si="4"/>
        <v>15.3</v>
      </c>
      <c r="P21" s="42">
        <f t="shared" si="4"/>
        <v>15.3</v>
      </c>
    </row>
    <row r="22" spans="1:16" x14ac:dyDescent="0.35">
      <c r="A22" t="s">
        <v>283</v>
      </c>
      <c r="C22" s="17">
        <f>IF(C19="","",C19-C21)</f>
        <v>-5.4677828003759288</v>
      </c>
      <c r="D22" s="17">
        <f>IF(D19="","",D19-D21)</f>
        <v>-0.38319365833613084</v>
      </c>
      <c r="E22" s="17" t="str">
        <f t="shared" ref="E22:P22" si="5">IF(E19="","",E19-E21)</f>
        <v/>
      </c>
      <c r="F22" s="17" t="str">
        <f t="shared" si="5"/>
        <v/>
      </c>
      <c r="G22" s="17" t="str">
        <f t="shared" si="5"/>
        <v/>
      </c>
      <c r="H22" s="17" t="str">
        <f t="shared" si="5"/>
        <v/>
      </c>
      <c r="I22" s="17" t="str">
        <f t="shared" si="5"/>
        <v/>
      </c>
      <c r="J22" s="17" t="str">
        <f t="shared" si="5"/>
        <v/>
      </c>
      <c r="K22" s="17" t="str">
        <f t="shared" si="5"/>
        <v/>
      </c>
      <c r="L22" s="17" t="str">
        <f t="shared" si="5"/>
        <v/>
      </c>
      <c r="M22" s="17" t="str">
        <f t="shared" si="5"/>
        <v/>
      </c>
      <c r="N22" s="17" t="str">
        <f t="shared" si="5"/>
        <v/>
      </c>
      <c r="O22" s="17">
        <f t="shared" si="5"/>
        <v>10.83069640109386</v>
      </c>
      <c r="P22" s="42">
        <f t="shared" si="5"/>
        <v>0.44832247745293685</v>
      </c>
    </row>
    <row r="23" spans="1:16" x14ac:dyDescent="0.35">
      <c r="A23" t="s">
        <v>279</v>
      </c>
      <c r="C23" t="b">
        <f>IF(C22="","",C22&gt;=0)</f>
        <v>0</v>
      </c>
      <c r="D23" t="b">
        <f>IF(D22="","",D22&gt;=0)</f>
        <v>0</v>
      </c>
      <c r="E23" t="str">
        <f t="shared" ref="E23:P23" si="6">IF(E22="","",E22&gt;=0)</f>
        <v/>
      </c>
      <c r="F23" t="str">
        <f t="shared" si="6"/>
        <v/>
      </c>
      <c r="G23" t="str">
        <f t="shared" si="6"/>
        <v/>
      </c>
      <c r="H23" t="str">
        <f t="shared" si="6"/>
        <v/>
      </c>
      <c r="I23" t="str">
        <f t="shared" si="6"/>
        <v/>
      </c>
      <c r="J23" t="str">
        <f t="shared" si="6"/>
        <v/>
      </c>
      <c r="K23" t="str">
        <f t="shared" si="6"/>
        <v/>
      </c>
      <c r="L23" t="str">
        <f t="shared" si="6"/>
        <v/>
      </c>
      <c r="M23" t="str">
        <f t="shared" si="6"/>
        <v/>
      </c>
      <c r="N23" t="str">
        <f t="shared" si="6"/>
        <v/>
      </c>
      <c r="O23" t="b">
        <f t="shared" si="6"/>
        <v>1</v>
      </c>
      <c r="P23" s="41" t="b">
        <f t="shared" si="6"/>
        <v>1</v>
      </c>
    </row>
    <row r="24" spans="1:16" x14ac:dyDescent="0.35">
      <c r="A24" s="20"/>
      <c r="B24" s="20"/>
      <c r="C24" s="20"/>
      <c r="D24" s="20"/>
      <c r="E24" s="20"/>
      <c r="F24" s="20"/>
      <c r="G24" s="20"/>
      <c r="H24" s="20"/>
      <c r="I24" s="20"/>
      <c r="J24" s="20"/>
      <c r="K24" s="20"/>
      <c r="L24" s="20"/>
      <c r="M24" s="20"/>
      <c r="N24" s="20"/>
      <c r="O24" s="20"/>
      <c r="P24" s="41"/>
    </row>
    <row r="25" spans="1:16" x14ac:dyDescent="0.35">
      <c r="P25" s="41"/>
    </row>
    <row r="26" spans="1:16" x14ac:dyDescent="0.35">
      <c r="A26" t="s">
        <v>280</v>
      </c>
      <c r="C26">
        <f>IF(GETPIVOTDATA("Helper_SPP",'Species Richness PivotTable'!$A$4,"Site",$A$2,"Year",C$1)="", "", GETPIVOTDATA("Helper_SPP",'Species Richness PivotTable'!$A$4,"Site",$A$2,"Year",C$1))</f>
        <v>4</v>
      </c>
      <c r="D26">
        <f>IF(GETPIVOTDATA("Helper_SPP",'Species Richness PivotTable'!$A$4,"Site",$A$2,"Year",D$1)="", "", GETPIVOTDATA("Helper_SPP",'Species Richness PivotTable'!$A$4,"Site",$A$2,"Year",D$1))</f>
        <v>3</v>
      </c>
      <c r="E26" t="str">
        <f>IF(GETPIVOTDATA("Helper_SPP",'Species Richness PivotTable'!$A$4,"Site",$A$2,"Year",E$1)="", "", GETPIVOTDATA("Helper_SPP",'Species Richness PivotTable'!$A$4,"Site",$A$2,"Year",E$1))</f>
        <v/>
      </c>
      <c r="F26" t="str">
        <f>IF(GETPIVOTDATA("Helper_SPP",'Species Richness PivotTable'!$A$4,"Site",$A$2,"Year",F$1)="", "", GETPIVOTDATA("Helper_SPP",'Species Richness PivotTable'!$A$4,"Site",$A$2,"Year",F$1))</f>
        <v/>
      </c>
      <c r="G26" t="str">
        <f>IF(GETPIVOTDATA("Helper_SPP",'Species Richness PivotTable'!$A$4,"Site",$A$2,"Year",G$1)="", "", GETPIVOTDATA("Helper_SPP",'Species Richness PivotTable'!$A$4,"Site",$A$2,"Year",G$1))</f>
        <v/>
      </c>
      <c r="H26" t="str">
        <f>IF(GETPIVOTDATA("Helper_SPP",'Species Richness PivotTable'!$A$4,"Site",$A$2,"Year",H$1)="", "", GETPIVOTDATA("Helper_SPP",'Species Richness PivotTable'!$A$4,"Site",$A$2,"Year",H$1))</f>
        <v/>
      </c>
      <c r="I26" t="str">
        <f>IF(GETPIVOTDATA("Helper_SPP",'Species Richness PivotTable'!$A$4,"Site",$A$2,"Year",I$1)="", "", GETPIVOTDATA("Helper_SPP",'Species Richness PivotTable'!$A$4,"Site",$A$2,"Year",I$1))</f>
        <v/>
      </c>
      <c r="J26" t="str">
        <f>IF(GETPIVOTDATA("Helper_SPP",'Species Richness PivotTable'!$A$4,"Site",$A$2,"Year",J$1)="", "", GETPIVOTDATA("Helper_SPP",'Species Richness PivotTable'!$A$4,"Site",$A$2,"Year",J$1))</f>
        <v/>
      </c>
      <c r="K26" t="str">
        <f>IF(GETPIVOTDATA("Helper_SPP",'Species Richness PivotTable'!$A$4,"Site",$A$2,"Year",K$1)="", "", GETPIVOTDATA("Helper_SPP",'Species Richness PivotTable'!$A$4,"Site",$A$2,"Year",K$1))</f>
        <v/>
      </c>
      <c r="L26" t="str">
        <f>IF(GETPIVOTDATA("Helper_SPP",'Species Richness PivotTable'!$A$4,"Site",$A$2,"Year",L$1)="", "", GETPIVOTDATA("Helper_SPP",'Species Richness PivotTable'!$A$4,"Site",$A$2,"Year",L$1))</f>
        <v/>
      </c>
      <c r="M26" t="str">
        <f>IF(GETPIVOTDATA("Helper_SPP",'Species Richness PivotTable'!$A$4,"Site",$A$2,"Year",M$1)="", "", GETPIVOTDATA("Helper_SPP",'Species Richness PivotTable'!$A$4,"Site",$A$2,"Year",M$1))</f>
        <v/>
      </c>
      <c r="N26" t="str">
        <f>IF(GETPIVOTDATA("Helper_SPP",'Species Richness PivotTable'!$A$4,"Site",$A$2,"Year",N$1)="", "", GETPIVOTDATA("Helper_SPP",'Species Richness PivotTable'!$A$4,"Site",$A$2,"Year",N$1))</f>
        <v/>
      </c>
      <c r="O26">
        <f>IF(GETPIVOTDATA("Helper_SPP",'Species Richness PivotTable'!$A$4,"Site",$A$2,"Year",O$1)="", "", GETPIVOTDATA("Helper_SPP",'Species Richness PivotTable'!$A$4,"Site",$A$2,"Year",O$1))</f>
        <v>3</v>
      </c>
      <c r="P26" s="41">
        <v>4</v>
      </c>
    </row>
    <row r="27" spans="1:16" x14ac:dyDescent="0.35">
      <c r="A27" t="s">
        <v>281</v>
      </c>
      <c r="C27" s="18">
        <f t="shared" ref="C27:O27" si="7">VLOOKUP($A$2, TargetCover, 3, FALSE)*0.75</f>
        <v>3</v>
      </c>
      <c r="D27" s="18">
        <f t="shared" si="7"/>
        <v>3</v>
      </c>
      <c r="E27" s="18">
        <f t="shared" si="7"/>
        <v>3</v>
      </c>
      <c r="F27" s="18">
        <f t="shared" si="7"/>
        <v>3</v>
      </c>
      <c r="G27" s="18">
        <f t="shared" si="7"/>
        <v>3</v>
      </c>
      <c r="H27" s="18">
        <f t="shared" si="7"/>
        <v>3</v>
      </c>
      <c r="I27" s="18">
        <f t="shared" si="7"/>
        <v>3</v>
      </c>
      <c r="J27" s="18">
        <f t="shared" si="7"/>
        <v>3</v>
      </c>
      <c r="K27" s="18">
        <f t="shared" si="7"/>
        <v>3</v>
      </c>
      <c r="L27" s="18">
        <f t="shared" si="7"/>
        <v>3</v>
      </c>
      <c r="M27" s="18">
        <f t="shared" si="7"/>
        <v>3</v>
      </c>
      <c r="N27" s="18">
        <f t="shared" si="7"/>
        <v>3</v>
      </c>
      <c r="O27" s="18">
        <f t="shared" si="7"/>
        <v>3</v>
      </c>
      <c r="P27" s="41">
        <v>3</v>
      </c>
    </row>
    <row r="28" spans="1:16" x14ac:dyDescent="0.35">
      <c r="A28" t="s">
        <v>282</v>
      </c>
      <c r="C28" t="b">
        <f>IF(C26="","",C26&gt;=C27)</f>
        <v>1</v>
      </c>
      <c r="D28" t="b">
        <f>IF(D26="","",D26&gt;=D27)</f>
        <v>1</v>
      </c>
      <c r="E28" t="str">
        <f t="shared" ref="E28:P28" si="8">IF(E26="","",E26&gt;=E27)</f>
        <v/>
      </c>
      <c r="F28" t="str">
        <f t="shared" si="8"/>
        <v/>
      </c>
      <c r="G28" t="str">
        <f t="shared" si="8"/>
        <v/>
      </c>
      <c r="H28" t="str">
        <f t="shared" si="8"/>
        <v/>
      </c>
      <c r="I28" t="str">
        <f t="shared" si="8"/>
        <v/>
      </c>
      <c r="J28" t="str">
        <f t="shared" si="8"/>
        <v/>
      </c>
      <c r="K28" t="str">
        <f t="shared" si="8"/>
        <v/>
      </c>
      <c r="L28" t="str">
        <f t="shared" si="8"/>
        <v/>
      </c>
      <c r="M28" t="str">
        <f t="shared" si="8"/>
        <v/>
      </c>
      <c r="N28" t="str">
        <f t="shared" si="8"/>
        <v/>
      </c>
      <c r="O28" t="b">
        <f t="shared" si="8"/>
        <v>1</v>
      </c>
      <c r="P28" s="41" t="b">
        <f t="shared" si="8"/>
        <v>1</v>
      </c>
    </row>
    <row r="29" spans="1:16" ht="15" thickBot="1" x14ac:dyDescent="0.4">
      <c r="A29" s="19"/>
      <c r="B29" s="19"/>
      <c r="C29" s="19"/>
      <c r="D29" s="19"/>
      <c r="E29" s="19"/>
      <c r="F29" s="19"/>
      <c r="G29" s="19"/>
      <c r="H29" s="19"/>
      <c r="I29" s="19"/>
      <c r="J29" s="19"/>
      <c r="K29" s="19"/>
      <c r="L29" s="19"/>
      <c r="M29" s="19"/>
      <c r="N29" s="19"/>
      <c r="O29" s="19"/>
      <c r="P29" s="41"/>
    </row>
  </sheetData>
  <conditionalFormatting sqref="C23:O24 P23 C28:P28">
    <cfRule type="cellIs" dxfId="35" priority="1" operator="equal">
      <formula>TRUE</formula>
    </cfRule>
    <cfRule type="cellIs" dxfId="34" priority="2" operator="equal">
      <formula>FALSE</formula>
    </cfRule>
  </conditionalFormatting>
  <pageMargins left="0.7" right="0.7" top="0.75" bottom="0.75" header="0.3" footer="0.3"/>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8"/>
  <dimension ref="A1:P35"/>
  <sheetViews>
    <sheetView workbookViewId="0">
      <pane xSplit="2" ySplit="1" topLeftCell="O2" activePane="bottomRight" state="frozen"/>
      <selection pane="topRight" activeCell="C1" sqref="C1"/>
      <selection pane="bottomLeft" activeCell="A2" sqref="A2"/>
      <selection pane="bottomRight" activeCell="M19" sqref="M19"/>
    </sheetView>
  </sheetViews>
  <sheetFormatPr defaultColWidth="9.08984375" defaultRowHeight="14.5" x14ac:dyDescent="0.35"/>
  <cols>
    <col min="3" max="3" width="9.08984375" customWidth="1"/>
    <col min="15" max="15" width="10.54296875" customWidth="1"/>
    <col min="16" max="16" width="14.54296875" customWidth="1"/>
  </cols>
  <sheetData>
    <row r="1" spans="1:16" x14ac:dyDescent="0.35">
      <c r="A1" t="s">
        <v>7</v>
      </c>
      <c r="B1" t="s">
        <v>0</v>
      </c>
      <c r="C1" s="13">
        <v>1999</v>
      </c>
      <c r="D1" s="13">
        <v>2001</v>
      </c>
      <c r="E1" s="13">
        <v>2002</v>
      </c>
      <c r="F1" s="13">
        <v>2003</v>
      </c>
      <c r="G1" s="13">
        <v>2004</v>
      </c>
      <c r="H1" s="13">
        <v>2005</v>
      </c>
      <c r="I1" s="13">
        <v>2006</v>
      </c>
      <c r="J1" s="13">
        <v>2007</v>
      </c>
      <c r="K1" s="13">
        <v>2010</v>
      </c>
      <c r="L1" s="13">
        <v>2012</v>
      </c>
      <c r="M1" s="13">
        <v>2013</v>
      </c>
      <c r="N1" s="13">
        <v>2016</v>
      </c>
      <c r="O1" s="13">
        <v>2017</v>
      </c>
      <c r="P1" t="s">
        <v>289</v>
      </c>
    </row>
    <row r="2" spans="1:16" x14ac:dyDescent="0.35">
      <c r="A2" t="s">
        <v>35</v>
      </c>
      <c r="B2">
        <v>1.1000000000000001</v>
      </c>
      <c r="C2" t="str">
        <f>IF(OR(ISERROR(GETPIVOTDATA("Cover",'Cover PivotTable'!$A$4,"Site",$A2,"Year",C$1,"Transect",$B2)),GETPIVOTDATA("Cover",'Cover PivotTable'!$A$4,"Site",$A2,"Year",C$1)=""), "",GETPIVOTDATA("Cover",'Cover PivotTable'!$A$4,"Site",$A2,"Year",C$1,"Transect",$B2))</f>
        <v/>
      </c>
      <c r="D2">
        <f>IF(OR(ISERROR(GETPIVOTDATA("Cover",'Cover PivotTable'!$A$4,"Site",$A2,"Year",D$1,"Transect",$B2)),GETPIVOTDATA("Cover",'Cover PivotTable'!$A$4,"Site",$A2,"Year",D$1)=""), "",GETPIVOTDATA("Cover",'Cover PivotTable'!$A$4,"Site",$A2,"Year",D$1,"Transect",$B2))</f>
        <v>0.5</v>
      </c>
      <c r="E2" t="str">
        <f>IF(OR(ISERROR(GETPIVOTDATA("Cover",'Cover PivotTable'!$A$4,"Site",$A2,"Year",E$1,"Transect",$B2)),GETPIVOTDATA("Cover",'Cover PivotTable'!$A$4,"Site",$A2,"Year",E$1)=""), "",GETPIVOTDATA("Cover",'Cover PivotTable'!$A$4,"Site",$A2,"Year",E$1,"Transect",$B2))</f>
        <v/>
      </c>
      <c r="F2" t="str">
        <f>IF(OR(ISERROR(GETPIVOTDATA("Cover",'Cover PivotTable'!$A$4,"Site",$A2,"Year",F$1,"Transect",$B2)),GETPIVOTDATA("Cover",'Cover PivotTable'!$A$4,"Site",$A2,"Year",F$1)=""), "",GETPIVOTDATA("Cover",'Cover PivotTable'!$A$4,"Site",$A2,"Year",F$1,"Transect",$B2))</f>
        <v/>
      </c>
      <c r="G2" t="str">
        <f>IF(OR(ISERROR(GETPIVOTDATA("Cover",'Cover PivotTable'!$A$4,"Site",$A2,"Year",G$1,"Transect",$B2)),GETPIVOTDATA("Cover",'Cover PivotTable'!$A$4,"Site",$A2,"Year",G$1)=""), "",GETPIVOTDATA("Cover",'Cover PivotTable'!$A$4,"Site",$A2,"Year",G$1,"Transect",$B2))</f>
        <v/>
      </c>
      <c r="H2" t="str">
        <f>IF(OR(ISERROR(GETPIVOTDATA("Cover",'Cover PivotTable'!$A$4,"Site",$A2,"Year",H$1,"Transect",$B2)),GETPIVOTDATA("Cover",'Cover PivotTable'!$A$4,"Site",$A2,"Year",H$1)=""), "",GETPIVOTDATA("Cover",'Cover PivotTable'!$A$4,"Site",$A2,"Year",H$1,"Transect",$B2))</f>
        <v/>
      </c>
      <c r="I2" s="17">
        <f>IF(OR(ISERROR(GETPIVOTDATA("Cover",'Cover PivotTable'!$A$4,"Site",$A2,"Year",I$1,"Transect",$B2)),GETPIVOTDATA("Cover",'Cover PivotTable'!$A$4,"Site",$A2,"Year",I$1)=""), "",GETPIVOTDATA("Cover",'Cover PivotTable'!$A$4,"Site",$A2,"Year",I$1,"Transect",$B2))</f>
        <v>7.5</v>
      </c>
      <c r="J2" s="17" t="str">
        <f>IF(OR(ISERROR(GETPIVOTDATA("Cover",'Cover PivotTable'!$A$4,"Site",$A2,"Year",J$1,"Transect",$B2)),GETPIVOTDATA("Cover",'Cover PivotTable'!$A$4,"Site",$A2,"Year",J$1)=""), "",GETPIVOTDATA("Cover",'Cover PivotTable'!$A$4,"Site",$A2,"Year",J$1,"Transect",$B2))</f>
        <v/>
      </c>
      <c r="K2" s="17" t="str">
        <f>IF(OR(ISERROR(GETPIVOTDATA("Cover",'Cover PivotTable'!$A$4,"Site",$A2,"Year",K$1,"Transect",$B2)),GETPIVOTDATA("Cover",'Cover PivotTable'!$A$4,"Site",$A2,"Year",K$1)=""), "",GETPIVOTDATA("Cover",'Cover PivotTable'!$A$4,"Site",$A2,"Year",K$1,"Transect",$B2))</f>
        <v/>
      </c>
      <c r="L2" s="17" t="str">
        <f>IF(OR(ISERROR(GETPIVOTDATA("Cover",'Cover PivotTable'!$A$4,"Site",$A2,"Year",L$1,"Transect",$B2)),GETPIVOTDATA("Cover",'Cover PivotTable'!$A$4,"Site",$A2,"Year",L$1)=""), "",GETPIVOTDATA("Cover",'Cover PivotTable'!$A$4,"Site",$A2,"Year",L$1,"Transect",$B2))</f>
        <v/>
      </c>
      <c r="M2" s="17" t="str">
        <f>IF(OR(ISERROR(GETPIVOTDATA("Cover",'Cover PivotTable'!$A$4,"Site",$A2,"Year",M$1,"Transect",$B2)),GETPIVOTDATA("Cover",'Cover PivotTable'!$A$4,"Site",$A2,"Year",M$1)=""), "",GETPIVOTDATA("Cover",'Cover PivotTable'!$A$4,"Site",$A2,"Year",M$1,"Transect",$B2))</f>
        <v/>
      </c>
      <c r="N2" s="17" t="str">
        <f>IF(OR(ISERROR(GETPIVOTDATA("Cover",'Cover PivotTable'!$A$4,"Site",$A2,"Year",N$1,"Transect",$B2)),GETPIVOTDATA("Cover",'Cover PivotTable'!$A$4,"Site",$A2,"Year",N$1)=""), "",GETPIVOTDATA("Cover",'Cover PivotTable'!$A$4,"Site",$A2,"Year",N$1,"Transect",$B2))</f>
        <v/>
      </c>
      <c r="O2" s="17" t="str">
        <f>IF(OR(ISERROR(GETPIVOTDATA("Cover",'Cover PivotTable'!$A$4,"Site",$A2,"Year",O$1,"Transect",$B2)),GETPIVOTDATA("Cover",'Cover PivotTable'!$A$4,"Site",$A2,"Year",O$1)=""), "",GETPIVOTDATA("Cover",'Cover PivotTable'!$A$4,"Site",$A2,"Year",O$1,"Transect",$B2))</f>
        <v/>
      </c>
      <c r="P2">
        <v>7.5</v>
      </c>
    </row>
    <row r="3" spans="1:16" x14ac:dyDescent="0.35">
      <c r="A3" t="s">
        <v>35</v>
      </c>
      <c r="B3">
        <v>1.2</v>
      </c>
      <c r="C3" t="str">
        <f>IF(OR(ISERROR(GETPIVOTDATA("Cover",'Cover PivotTable'!$A$4,"Site",$A3,"Year",C$1,"Transect",$B3)),GETPIVOTDATA("Cover",'Cover PivotTable'!$A$4,"Site",$A3,"Year",C$1)=""), "",GETPIVOTDATA("Cover",'Cover PivotTable'!$A$4,"Site",$A3,"Year",C$1,"Transect",$B3))</f>
        <v/>
      </c>
      <c r="D3">
        <f>IF(OR(ISERROR(GETPIVOTDATA("Cover",'Cover PivotTable'!$A$4,"Site",$A3,"Year",D$1,"Transect",$B3)),GETPIVOTDATA("Cover",'Cover PivotTable'!$A$4,"Site",$A3,"Year",D$1)=""), "",GETPIVOTDATA("Cover",'Cover PivotTable'!$A$4,"Site",$A3,"Year",D$1,"Transect",$B3))</f>
        <v>0.5</v>
      </c>
      <c r="E3" t="str">
        <f>IF(OR(ISERROR(GETPIVOTDATA("Cover",'Cover PivotTable'!$A$4,"Site",$A3,"Year",E$1,"Transect",$B3)),GETPIVOTDATA("Cover",'Cover PivotTable'!$A$4,"Site",$A3,"Year",E$1)=""), "",GETPIVOTDATA("Cover",'Cover PivotTable'!$A$4,"Site",$A3,"Year",E$1,"Transect",$B3))</f>
        <v/>
      </c>
      <c r="F3" t="str">
        <f>IF(OR(ISERROR(GETPIVOTDATA("Cover",'Cover PivotTable'!$A$4,"Site",$A3,"Year",F$1,"Transect",$B3)),GETPIVOTDATA("Cover",'Cover PivotTable'!$A$4,"Site",$A3,"Year",F$1)=""), "",GETPIVOTDATA("Cover",'Cover PivotTable'!$A$4,"Site",$A3,"Year",F$1,"Transect",$B3))</f>
        <v/>
      </c>
      <c r="G3" t="str">
        <f>IF(OR(ISERROR(GETPIVOTDATA("Cover",'Cover PivotTable'!$A$4,"Site",$A3,"Year",G$1,"Transect",$B3)),GETPIVOTDATA("Cover",'Cover PivotTable'!$A$4,"Site",$A3,"Year",G$1)=""), "",GETPIVOTDATA("Cover",'Cover PivotTable'!$A$4,"Site",$A3,"Year",G$1,"Transect",$B3))</f>
        <v/>
      </c>
      <c r="H3" t="str">
        <f>IF(OR(ISERROR(GETPIVOTDATA("Cover",'Cover PivotTable'!$A$4,"Site",$A3,"Year",H$1,"Transect",$B3)),GETPIVOTDATA("Cover",'Cover PivotTable'!$A$4,"Site",$A3,"Year",H$1)=""), "",GETPIVOTDATA("Cover",'Cover PivotTable'!$A$4,"Site",$A3,"Year",H$1,"Transect",$B3))</f>
        <v/>
      </c>
      <c r="I3" s="17">
        <f>IF(OR(ISERROR(GETPIVOTDATA("Cover",'Cover PivotTable'!$A$4,"Site",$A3,"Year",I$1,"Transect",$B3)),GETPIVOTDATA("Cover",'Cover PivotTable'!$A$4,"Site",$A3,"Year",I$1)=""), "",GETPIVOTDATA("Cover",'Cover PivotTable'!$A$4,"Site",$A3,"Year",I$1,"Transect",$B3))</f>
        <v>5</v>
      </c>
      <c r="J3" s="17" t="str">
        <f>IF(OR(ISERROR(GETPIVOTDATA("Cover",'Cover PivotTable'!$A$4,"Site",$A3,"Year",J$1,"Transect",$B3)),GETPIVOTDATA("Cover",'Cover PivotTable'!$A$4,"Site",$A3,"Year",J$1)=""), "",GETPIVOTDATA("Cover",'Cover PivotTable'!$A$4,"Site",$A3,"Year",J$1,"Transect",$B3))</f>
        <v/>
      </c>
      <c r="K3" s="17" t="str">
        <f>IF(OR(ISERROR(GETPIVOTDATA("Cover",'Cover PivotTable'!$A$4,"Site",$A3,"Year",K$1,"Transect",$B3)),GETPIVOTDATA("Cover",'Cover PivotTable'!$A$4,"Site",$A3,"Year",K$1)=""), "",GETPIVOTDATA("Cover",'Cover PivotTable'!$A$4,"Site",$A3,"Year",K$1,"Transect",$B3))</f>
        <v/>
      </c>
      <c r="L3" s="17" t="str">
        <f>IF(OR(ISERROR(GETPIVOTDATA("Cover",'Cover PivotTable'!$A$4,"Site",$A3,"Year",L$1,"Transect",$B3)),GETPIVOTDATA("Cover",'Cover PivotTable'!$A$4,"Site",$A3,"Year",L$1)=""), "",GETPIVOTDATA("Cover",'Cover PivotTable'!$A$4,"Site",$A3,"Year",L$1,"Transect",$B3))</f>
        <v/>
      </c>
      <c r="M3" s="17" t="str">
        <f>IF(OR(ISERROR(GETPIVOTDATA("Cover",'Cover PivotTable'!$A$4,"Site",$A3,"Year",M$1,"Transect",$B3)),GETPIVOTDATA("Cover",'Cover PivotTable'!$A$4,"Site",$A3,"Year",M$1)=""), "",GETPIVOTDATA("Cover",'Cover PivotTable'!$A$4,"Site",$A3,"Year",M$1,"Transect",$B3))</f>
        <v/>
      </c>
      <c r="N3" s="17" t="str">
        <f>IF(OR(ISERROR(GETPIVOTDATA("Cover",'Cover PivotTable'!$A$4,"Site",$A3,"Year",N$1,"Transect",$B3)),GETPIVOTDATA("Cover",'Cover PivotTable'!$A$4,"Site",$A3,"Year",N$1)=""), "",GETPIVOTDATA("Cover",'Cover PivotTable'!$A$4,"Site",$A3,"Year",N$1,"Transect",$B3))</f>
        <v/>
      </c>
      <c r="O3" s="17" t="str">
        <f>IF(OR(ISERROR(GETPIVOTDATA("Cover",'Cover PivotTable'!$A$4,"Site",$A3,"Year",O$1,"Transect",$B3)),GETPIVOTDATA("Cover",'Cover PivotTable'!$A$4,"Site",$A3,"Year",O$1)=""), "",GETPIVOTDATA("Cover",'Cover PivotTable'!$A$4,"Site",$A3,"Year",O$1,"Transect",$B3))</f>
        <v/>
      </c>
      <c r="P3">
        <v>8.5</v>
      </c>
    </row>
    <row r="4" spans="1:16" x14ac:dyDescent="0.35">
      <c r="A4" t="s">
        <v>35</v>
      </c>
      <c r="B4">
        <v>1.3</v>
      </c>
      <c r="C4" t="str">
        <f>IF(OR(ISERROR(GETPIVOTDATA("Cover",'Cover PivotTable'!$A$4,"Site",$A4,"Year",C$1,"Transect",$B4)),GETPIVOTDATA("Cover",'Cover PivotTable'!$A$4,"Site",$A4,"Year",C$1)=""), "",GETPIVOTDATA("Cover",'Cover PivotTable'!$A$4,"Site",$A4,"Year",C$1,"Transect",$B4))</f>
        <v/>
      </c>
      <c r="D4" s="17">
        <f>IF(OR(ISERROR(GETPIVOTDATA("Cover",'Cover PivotTable'!$A$4,"Site",$A4,"Year",D$1,"Transect",$B4)),GETPIVOTDATA("Cover",'Cover PivotTable'!$A$4,"Site",$A4,"Year",D$1)=""), "",GETPIVOTDATA("Cover",'Cover PivotTable'!$A$4,"Site",$A4,"Year",D$1,"Transect",$B4))</f>
        <v>7.4380165289256208</v>
      </c>
      <c r="E4" t="str">
        <f>IF(OR(ISERROR(GETPIVOTDATA("Cover",'Cover PivotTable'!$A$4,"Site",$A4,"Year",E$1,"Transect",$B4)),GETPIVOTDATA("Cover",'Cover PivotTable'!$A$4,"Site",$A4,"Year",E$1)=""), "",GETPIVOTDATA("Cover",'Cover PivotTable'!$A$4,"Site",$A4,"Year",E$1,"Transect",$B4))</f>
        <v/>
      </c>
      <c r="F4" t="str">
        <f>IF(OR(ISERROR(GETPIVOTDATA("Cover",'Cover PivotTable'!$A$4,"Site",$A4,"Year",F$1,"Transect",$B4)),GETPIVOTDATA("Cover",'Cover PivotTable'!$A$4,"Site",$A4,"Year",F$1)=""), "",GETPIVOTDATA("Cover",'Cover PivotTable'!$A$4,"Site",$A4,"Year",F$1,"Transect",$B4))</f>
        <v/>
      </c>
      <c r="G4" t="str">
        <f>IF(OR(ISERROR(GETPIVOTDATA("Cover",'Cover PivotTable'!$A$4,"Site",$A4,"Year",G$1,"Transect",$B4)),GETPIVOTDATA("Cover",'Cover PivotTable'!$A$4,"Site",$A4,"Year",G$1)=""), "",GETPIVOTDATA("Cover",'Cover PivotTable'!$A$4,"Site",$A4,"Year",G$1,"Transect",$B4))</f>
        <v/>
      </c>
      <c r="H4" t="str">
        <f>IF(OR(ISERROR(GETPIVOTDATA("Cover",'Cover PivotTable'!$A$4,"Site",$A4,"Year",H$1,"Transect",$B4)),GETPIVOTDATA("Cover",'Cover PivotTable'!$A$4,"Site",$A4,"Year",H$1)=""), "",GETPIVOTDATA("Cover",'Cover PivotTable'!$A$4,"Site",$A4,"Year",H$1,"Transect",$B4))</f>
        <v/>
      </c>
      <c r="I4" s="17">
        <f>IF(OR(ISERROR(GETPIVOTDATA("Cover",'Cover PivotTable'!$A$4,"Site",$A4,"Year",I$1,"Transect",$B4)),GETPIVOTDATA("Cover",'Cover PivotTable'!$A$4,"Site",$A4,"Year",I$1)=""), "",GETPIVOTDATA("Cover",'Cover PivotTable'!$A$4,"Site",$A4,"Year",I$1,"Transect",$B4))</f>
        <v>17.21311475409836</v>
      </c>
      <c r="J4" s="17" t="str">
        <f>IF(OR(ISERROR(GETPIVOTDATA("Cover",'Cover PivotTable'!$A$4,"Site",$A4,"Year",J$1,"Transect",$B4)),GETPIVOTDATA("Cover",'Cover PivotTable'!$A$4,"Site",$A4,"Year",J$1)=""), "",GETPIVOTDATA("Cover",'Cover PivotTable'!$A$4,"Site",$A4,"Year",J$1,"Transect",$B4))</f>
        <v/>
      </c>
      <c r="K4" s="17" t="str">
        <f>IF(OR(ISERROR(GETPIVOTDATA("Cover",'Cover PivotTable'!$A$4,"Site",$A4,"Year",K$1,"Transect",$B4)),GETPIVOTDATA("Cover",'Cover PivotTable'!$A$4,"Site",$A4,"Year",K$1)=""), "",GETPIVOTDATA("Cover",'Cover PivotTable'!$A$4,"Site",$A4,"Year",K$1,"Transect",$B4))</f>
        <v/>
      </c>
      <c r="L4" s="17" t="str">
        <f>IF(OR(ISERROR(GETPIVOTDATA("Cover",'Cover PivotTable'!$A$4,"Site",$A4,"Year",L$1,"Transect",$B4)),GETPIVOTDATA("Cover",'Cover PivotTable'!$A$4,"Site",$A4,"Year",L$1)=""), "",GETPIVOTDATA("Cover",'Cover PivotTable'!$A$4,"Site",$A4,"Year",L$1,"Transect",$B4))</f>
        <v/>
      </c>
      <c r="M4" s="17" t="str">
        <f>IF(OR(ISERROR(GETPIVOTDATA("Cover",'Cover PivotTable'!$A$4,"Site",$A4,"Year",M$1,"Transect",$B4)),GETPIVOTDATA("Cover",'Cover PivotTable'!$A$4,"Site",$A4,"Year",M$1)=""), "",GETPIVOTDATA("Cover",'Cover PivotTable'!$A$4,"Site",$A4,"Year",M$1,"Transect",$B4))</f>
        <v/>
      </c>
      <c r="N4" s="17" t="str">
        <f>IF(OR(ISERROR(GETPIVOTDATA("Cover",'Cover PivotTable'!$A$4,"Site",$A4,"Year",N$1,"Transect",$B4)),GETPIVOTDATA("Cover",'Cover PivotTable'!$A$4,"Site",$A4,"Year",N$1)=""), "",GETPIVOTDATA("Cover",'Cover PivotTable'!$A$4,"Site",$A4,"Year",N$1,"Transect",$B4))</f>
        <v/>
      </c>
      <c r="O4" s="17" t="str">
        <f>IF(OR(ISERROR(GETPIVOTDATA("Cover",'Cover PivotTable'!$A$4,"Site",$A4,"Year",O$1,"Transect",$B4)),GETPIVOTDATA("Cover",'Cover PivotTable'!$A$4,"Site",$A4,"Year",O$1)=""), "",GETPIVOTDATA("Cover",'Cover PivotTable'!$A$4,"Site",$A4,"Year",O$1,"Transect",$B4))</f>
        <v/>
      </c>
      <c r="P4">
        <v>3</v>
      </c>
    </row>
    <row r="5" spans="1:16" x14ac:dyDescent="0.35">
      <c r="A5" t="s">
        <v>35</v>
      </c>
      <c r="B5">
        <v>2.1</v>
      </c>
      <c r="C5" t="str">
        <f>IF(OR(ISERROR(GETPIVOTDATA("Cover",'Cover PivotTable'!$A$4,"Site",$A5,"Year",C$1,"Transect",$B5)),GETPIVOTDATA("Cover",'Cover PivotTable'!$A$4,"Site",$A5,"Year",C$1)=""), "",GETPIVOTDATA("Cover",'Cover PivotTable'!$A$4,"Site",$A5,"Year",C$1,"Transect",$B5))</f>
        <v/>
      </c>
      <c r="D5">
        <f>IF(OR(ISERROR(GETPIVOTDATA("Cover",'Cover PivotTable'!$A$4,"Site",$A5,"Year",D$1,"Transect",$B5)),GETPIVOTDATA("Cover",'Cover PivotTable'!$A$4,"Site",$A5,"Year",D$1)=""), "",GETPIVOTDATA("Cover",'Cover PivotTable'!$A$4,"Site",$A5,"Year",D$1,"Transect",$B5))</f>
        <v>2</v>
      </c>
      <c r="E5" t="str">
        <f>IF(OR(ISERROR(GETPIVOTDATA("Cover",'Cover PivotTable'!$A$4,"Site",$A5,"Year",E$1,"Transect",$B5)),GETPIVOTDATA("Cover",'Cover PivotTable'!$A$4,"Site",$A5,"Year",E$1)=""), "",GETPIVOTDATA("Cover",'Cover PivotTable'!$A$4,"Site",$A5,"Year",E$1,"Transect",$B5))</f>
        <v/>
      </c>
      <c r="F5" t="str">
        <f>IF(OR(ISERROR(GETPIVOTDATA("Cover",'Cover PivotTable'!$A$4,"Site",$A5,"Year",F$1,"Transect",$B5)),GETPIVOTDATA("Cover",'Cover PivotTable'!$A$4,"Site",$A5,"Year",F$1)=""), "",GETPIVOTDATA("Cover",'Cover PivotTable'!$A$4,"Site",$A5,"Year",F$1,"Transect",$B5))</f>
        <v/>
      </c>
      <c r="G5" t="str">
        <f>IF(OR(ISERROR(GETPIVOTDATA("Cover",'Cover PivotTable'!$A$4,"Site",$A5,"Year",G$1,"Transect",$B5)),GETPIVOTDATA("Cover",'Cover PivotTable'!$A$4,"Site",$A5,"Year",G$1)=""), "",GETPIVOTDATA("Cover",'Cover PivotTable'!$A$4,"Site",$A5,"Year",G$1,"Transect",$B5))</f>
        <v/>
      </c>
      <c r="H5" t="str">
        <f>IF(OR(ISERROR(GETPIVOTDATA("Cover",'Cover PivotTable'!$A$4,"Site",$A5,"Year",H$1,"Transect",$B5)),GETPIVOTDATA("Cover",'Cover PivotTable'!$A$4,"Site",$A5,"Year",H$1)=""), "",GETPIVOTDATA("Cover",'Cover PivotTable'!$A$4,"Site",$A5,"Year",H$1,"Transect",$B5))</f>
        <v/>
      </c>
      <c r="I5" s="17">
        <f>IF(OR(ISERROR(GETPIVOTDATA("Cover",'Cover PivotTable'!$A$4,"Site",$A5,"Year",I$1,"Transect",$B5)),GETPIVOTDATA("Cover",'Cover PivotTable'!$A$4,"Site",$A5,"Year",I$1)=""), "",GETPIVOTDATA("Cover",'Cover PivotTable'!$A$4,"Site",$A5,"Year",I$1,"Transect",$B5))</f>
        <v>10</v>
      </c>
      <c r="J5" s="17" t="str">
        <f>IF(OR(ISERROR(GETPIVOTDATA("Cover",'Cover PivotTable'!$A$4,"Site",$A5,"Year",J$1,"Transect",$B5)),GETPIVOTDATA("Cover",'Cover PivotTable'!$A$4,"Site",$A5,"Year",J$1)=""), "",GETPIVOTDATA("Cover",'Cover PivotTable'!$A$4,"Site",$A5,"Year",J$1,"Transect",$B5))</f>
        <v/>
      </c>
      <c r="K5" s="17" t="str">
        <f>IF(OR(ISERROR(GETPIVOTDATA("Cover",'Cover PivotTable'!$A$4,"Site",$A5,"Year",K$1,"Transect",$B5)),GETPIVOTDATA("Cover",'Cover PivotTable'!$A$4,"Site",$A5,"Year",K$1)=""), "",GETPIVOTDATA("Cover",'Cover PivotTable'!$A$4,"Site",$A5,"Year",K$1,"Transect",$B5))</f>
        <v/>
      </c>
      <c r="L5" s="17" t="str">
        <f>IF(OR(ISERROR(GETPIVOTDATA("Cover",'Cover PivotTable'!$A$4,"Site",$A5,"Year",L$1,"Transect",$B5)),GETPIVOTDATA("Cover",'Cover PivotTable'!$A$4,"Site",$A5,"Year",L$1)=""), "",GETPIVOTDATA("Cover",'Cover PivotTable'!$A$4,"Site",$A5,"Year",L$1,"Transect",$B5))</f>
        <v/>
      </c>
      <c r="M5" s="17" t="str">
        <f>IF(OR(ISERROR(GETPIVOTDATA("Cover",'Cover PivotTable'!$A$4,"Site",$A5,"Year",M$1,"Transect",$B5)),GETPIVOTDATA("Cover",'Cover PivotTable'!$A$4,"Site",$A5,"Year",M$1)=""), "",GETPIVOTDATA("Cover",'Cover PivotTable'!$A$4,"Site",$A5,"Year",M$1,"Transect",$B5))</f>
        <v/>
      </c>
      <c r="N5" s="17" t="str">
        <f>IF(OR(ISERROR(GETPIVOTDATA("Cover",'Cover PivotTable'!$A$4,"Site",$A5,"Year",N$1,"Transect",$B5)),GETPIVOTDATA("Cover",'Cover PivotTable'!$A$4,"Site",$A5,"Year",N$1)=""), "",GETPIVOTDATA("Cover",'Cover PivotTable'!$A$4,"Site",$A5,"Year",N$1,"Transect",$B5))</f>
        <v/>
      </c>
      <c r="O5" s="17" t="str">
        <f>IF(OR(ISERROR(GETPIVOTDATA("Cover",'Cover PivotTable'!$A$4,"Site",$A5,"Year",O$1,"Transect",$B5)),GETPIVOTDATA("Cover",'Cover PivotTable'!$A$4,"Site",$A5,"Year",O$1)=""), "",GETPIVOTDATA("Cover",'Cover PivotTable'!$A$4,"Site",$A5,"Year",O$1,"Transect",$B5))</f>
        <v/>
      </c>
      <c r="P5">
        <v>6</v>
      </c>
    </row>
    <row r="6" spans="1:16" x14ac:dyDescent="0.35">
      <c r="A6" t="s">
        <v>35</v>
      </c>
      <c r="B6">
        <v>2.2000000000000002</v>
      </c>
      <c r="C6" t="str">
        <f>IF(OR(ISERROR(GETPIVOTDATA("Cover",'Cover PivotTable'!$A$4,"Site",$A6,"Year",C$1,"Transect",$B6)),GETPIVOTDATA("Cover",'Cover PivotTable'!$A$4,"Site",$A6,"Year",C$1)=""), "",GETPIVOTDATA("Cover",'Cover PivotTable'!$A$4,"Site",$A6,"Year",C$1,"Transect",$B6))</f>
        <v/>
      </c>
      <c r="D6">
        <f>IF(OR(ISERROR(GETPIVOTDATA("Cover",'Cover PivotTable'!$A$4,"Site",$A6,"Year",D$1,"Transect",$B6)),GETPIVOTDATA("Cover",'Cover PivotTable'!$A$4,"Site",$A6,"Year",D$1)=""), "",GETPIVOTDATA("Cover",'Cover PivotTable'!$A$4,"Site",$A6,"Year",D$1,"Transect",$B6))</f>
        <v>1.5</v>
      </c>
      <c r="E6" t="str">
        <f>IF(OR(ISERROR(GETPIVOTDATA("Cover",'Cover PivotTable'!$A$4,"Site",$A6,"Year",E$1,"Transect",$B6)),GETPIVOTDATA("Cover",'Cover PivotTable'!$A$4,"Site",$A6,"Year",E$1)=""), "",GETPIVOTDATA("Cover",'Cover PivotTable'!$A$4,"Site",$A6,"Year",E$1,"Transect",$B6))</f>
        <v/>
      </c>
      <c r="F6" t="str">
        <f>IF(OR(ISERROR(GETPIVOTDATA("Cover",'Cover PivotTable'!$A$4,"Site",$A6,"Year",F$1,"Transect",$B6)),GETPIVOTDATA("Cover",'Cover PivotTable'!$A$4,"Site",$A6,"Year",F$1)=""), "",GETPIVOTDATA("Cover",'Cover PivotTable'!$A$4,"Site",$A6,"Year",F$1,"Transect",$B6))</f>
        <v/>
      </c>
      <c r="G6" t="str">
        <f>IF(OR(ISERROR(GETPIVOTDATA("Cover",'Cover PivotTable'!$A$4,"Site",$A6,"Year",G$1,"Transect",$B6)),GETPIVOTDATA("Cover",'Cover PivotTable'!$A$4,"Site",$A6,"Year",G$1)=""), "",GETPIVOTDATA("Cover",'Cover PivotTable'!$A$4,"Site",$A6,"Year",G$1,"Transect",$B6))</f>
        <v/>
      </c>
      <c r="H6" t="str">
        <f>IF(OR(ISERROR(GETPIVOTDATA("Cover",'Cover PivotTable'!$A$4,"Site",$A6,"Year",H$1,"Transect",$B6)),GETPIVOTDATA("Cover",'Cover PivotTable'!$A$4,"Site",$A6,"Year",H$1)=""), "",GETPIVOTDATA("Cover",'Cover PivotTable'!$A$4,"Site",$A6,"Year",H$1,"Transect",$B6))</f>
        <v/>
      </c>
      <c r="I6" s="17">
        <f>IF(OR(ISERROR(GETPIVOTDATA("Cover",'Cover PivotTable'!$A$4,"Site",$A6,"Year",I$1,"Transect",$B6)),GETPIVOTDATA("Cover",'Cover PivotTable'!$A$4,"Site",$A6,"Year",I$1)=""), "",GETPIVOTDATA("Cover",'Cover PivotTable'!$A$4,"Site",$A6,"Year",I$1,"Transect",$B6))</f>
        <v>5.5</v>
      </c>
      <c r="J6" s="17" t="str">
        <f>IF(OR(ISERROR(GETPIVOTDATA("Cover",'Cover PivotTable'!$A$4,"Site",$A6,"Year",J$1,"Transect",$B6)),GETPIVOTDATA("Cover",'Cover PivotTable'!$A$4,"Site",$A6,"Year",J$1)=""), "",GETPIVOTDATA("Cover",'Cover PivotTable'!$A$4,"Site",$A6,"Year",J$1,"Transect",$B6))</f>
        <v/>
      </c>
      <c r="K6" s="17" t="str">
        <f>IF(OR(ISERROR(GETPIVOTDATA("Cover",'Cover PivotTable'!$A$4,"Site",$A6,"Year",K$1,"Transect",$B6)),GETPIVOTDATA("Cover",'Cover PivotTable'!$A$4,"Site",$A6,"Year",K$1)=""), "",GETPIVOTDATA("Cover",'Cover PivotTable'!$A$4,"Site",$A6,"Year",K$1,"Transect",$B6))</f>
        <v/>
      </c>
      <c r="L6" s="17" t="str">
        <f>IF(OR(ISERROR(GETPIVOTDATA("Cover",'Cover PivotTable'!$A$4,"Site",$A6,"Year",L$1,"Transect",$B6)),GETPIVOTDATA("Cover",'Cover PivotTable'!$A$4,"Site",$A6,"Year",L$1)=""), "",GETPIVOTDATA("Cover",'Cover PivotTable'!$A$4,"Site",$A6,"Year",L$1,"Transect",$B6))</f>
        <v/>
      </c>
      <c r="M6" s="17" t="str">
        <f>IF(OR(ISERROR(GETPIVOTDATA("Cover",'Cover PivotTable'!$A$4,"Site",$A6,"Year",M$1,"Transect",$B6)),GETPIVOTDATA("Cover",'Cover PivotTable'!$A$4,"Site",$A6,"Year",M$1)=""), "",GETPIVOTDATA("Cover",'Cover PivotTable'!$A$4,"Site",$A6,"Year",M$1,"Transect",$B6))</f>
        <v/>
      </c>
      <c r="N6" s="17" t="str">
        <f>IF(OR(ISERROR(GETPIVOTDATA("Cover",'Cover PivotTable'!$A$4,"Site",$A6,"Year",N$1,"Transect",$B6)),GETPIVOTDATA("Cover",'Cover PivotTable'!$A$4,"Site",$A6,"Year",N$1)=""), "",GETPIVOTDATA("Cover",'Cover PivotTable'!$A$4,"Site",$A6,"Year",N$1,"Transect",$B6))</f>
        <v/>
      </c>
      <c r="O6" s="17" t="str">
        <f>IF(OR(ISERROR(GETPIVOTDATA("Cover",'Cover PivotTable'!$A$4,"Site",$A6,"Year",O$1,"Transect",$B6)),GETPIVOTDATA("Cover",'Cover PivotTable'!$A$4,"Site",$A6,"Year",O$1)=""), "",GETPIVOTDATA("Cover",'Cover PivotTable'!$A$4,"Site",$A6,"Year",O$1,"Transect",$B6))</f>
        <v/>
      </c>
      <c r="P6">
        <v>4.5</v>
      </c>
    </row>
    <row r="7" spans="1:16" x14ac:dyDescent="0.35">
      <c r="A7" t="s">
        <v>35</v>
      </c>
      <c r="B7">
        <v>2.2999999999999998</v>
      </c>
      <c r="C7" t="str">
        <f>IF(OR(ISERROR(GETPIVOTDATA("Cover",'Cover PivotTable'!$A$4,"Site",$A7,"Year",C$1,"Transect",$B7)),GETPIVOTDATA("Cover",'Cover PivotTable'!$A$4,"Site",$A7,"Year",C$1)=""), "",GETPIVOTDATA("Cover",'Cover PivotTable'!$A$4,"Site",$A7,"Year",C$1,"Transect",$B7))</f>
        <v/>
      </c>
      <c r="D7">
        <f>IF(OR(ISERROR(GETPIVOTDATA("Cover",'Cover PivotTable'!$A$4,"Site",$A7,"Year",D$1,"Transect",$B7)),GETPIVOTDATA("Cover",'Cover PivotTable'!$A$4,"Site",$A7,"Year",D$1)=""), "",GETPIVOTDATA("Cover",'Cover PivotTable'!$A$4,"Site",$A7,"Year",D$1,"Transect",$B7))</f>
        <v>1.5</v>
      </c>
      <c r="E7" t="str">
        <f>IF(OR(ISERROR(GETPIVOTDATA("Cover",'Cover PivotTable'!$A$4,"Site",$A7,"Year",E$1,"Transect",$B7)),GETPIVOTDATA("Cover",'Cover PivotTable'!$A$4,"Site",$A7,"Year",E$1)=""), "",GETPIVOTDATA("Cover",'Cover PivotTable'!$A$4,"Site",$A7,"Year",E$1,"Transect",$B7))</f>
        <v/>
      </c>
      <c r="F7" t="str">
        <f>IF(OR(ISERROR(GETPIVOTDATA("Cover",'Cover PivotTable'!$A$4,"Site",$A7,"Year",F$1,"Transect",$B7)),GETPIVOTDATA("Cover",'Cover PivotTable'!$A$4,"Site",$A7,"Year",F$1)=""), "",GETPIVOTDATA("Cover",'Cover PivotTable'!$A$4,"Site",$A7,"Year",F$1,"Transect",$B7))</f>
        <v/>
      </c>
      <c r="G7" t="str">
        <f>IF(OR(ISERROR(GETPIVOTDATA("Cover",'Cover PivotTable'!$A$4,"Site",$A7,"Year",G$1,"Transect",$B7)),GETPIVOTDATA("Cover",'Cover PivotTable'!$A$4,"Site",$A7,"Year",G$1)=""), "",GETPIVOTDATA("Cover",'Cover PivotTable'!$A$4,"Site",$A7,"Year",G$1,"Transect",$B7))</f>
        <v/>
      </c>
      <c r="H7" t="str">
        <f>IF(OR(ISERROR(GETPIVOTDATA("Cover",'Cover PivotTable'!$A$4,"Site",$A7,"Year",H$1,"Transect",$B7)),GETPIVOTDATA("Cover",'Cover PivotTable'!$A$4,"Site",$A7,"Year",H$1)=""), "",GETPIVOTDATA("Cover",'Cover PivotTable'!$A$4,"Site",$A7,"Year",H$1,"Transect",$B7))</f>
        <v/>
      </c>
      <c r="I7" s="17">
        <f>IF(OR(ISERROR(GETPIVOTDATA("Cover",'Cover PivotTable'!$A$4,"Site",$A7,"Year",I$1,"Transect",$B7)),GETPIVOTDATA("Cover",'Cover PivotTable'!$A$4,"Site",$A7,"Year",I$1)=""), "",GETPIVOTDATA("Cover",'Cover PivotTable'!$A$4,"Site",$A7,"Year",I$1,"Transect",$B7))</f>
        <v>10</v>
      </c>
      <c r="J7" s="17" t="str">
        <f>IF(OR(ISERROR(GETPIVOTDATA("Cover",'Cover PivotTable'!$A$4,"Site",$A7,"Year",J$1,"Transect",$B7)),GETPIVOTDATA("Cover",'Cover PivotTable'!$A$4,"Site",$A7,"Year",J$1)=""), "",GETPIVOTDATA("Cover",'Cover PivotTable'!$A$4,"Site",$A7,"Year",J$1,"Transect",$B7))</f>
        <v/>
      </c>
      <c r="K7" s="17" t="str">
        <f>IF(OR(ISERROR(GETPIVOTDATA("Cover",'Cover PivotTable'!$A$4,"Site",$A7,"Year",K$1,"Transect",$B7)),GETPIVOTDATA("Cover",'Cover PivotTable'!$A$4,"Site",$A7,"Year",K$1)=""), "",GETPIVOTDATA("Cover",'Cover PivotTable'!$A$4,"Site",$A7,"Year",K$1,"Transect",$B7))</f>
        <v/>
      </c>
      <c r="L7" s="17" t="str">
        <f>IF(OR(ISERROR(GETPIVOTDATA("Cover",'Cover PivotTable'!$A$4,"Site",$A7,"Year",L$1,"Transect",$B7)),GETPIVOTDATA("Cover",'Cover PivotTable'!$A$4,"Site",$A7,"Year",L$1)=""), "",GETPIVOTDATA("Cover",'Cover PivotTable'!$A$4,"Site",$A7,"Year",L$1,"Transect",$B7))</f>
        <v/>
      </c>
      <c r="M7" s="17" t="str">
        <f>IF(OR(ISERROR(GETPIVOTDATA("Cover",'Cover PivotTable'!$A$4,"Site",$A7,"Year",M$1,"Transect",$B7)),GETPIVOTDATA("Cover",'Cover PivotTable'!$A$4,"Site",$A7,"Year",M$1)=""), "",GETPIVOTDATA("Cover",'Cover PivotTable'!$A$4,"Site",$A7,"Year",M$1,"Transect",$B7))</f>
        <v/>
      </c>
      <c r="N7" s="17" t="str">
        <f>IF(OR(ISERROR(GETPIVOTDATA("Cover",'Cover PivotTable'!$A$4,"Site",$A7,"Year",N$1,"Transect",$B7)),GETPIVOTDATA("Cover",'Cover PivotTable'!$A$4,"Site",$A7,"Year",N$1)=""), "",GETPIVOTDATA("Cover",'Cover PivotTable'!$A$4,"Site",$A7,"Year",N$1,"Transect",$B7))</f>
        <v/>
      </c>
      <c r="O7" s="17" t="str">
        <f>IF(OR(ISERROR(GETPIVOTDATA("Cover",'Cover PivotTable'!$A$4,"Site",$A7,"Year",O$1,"Transect",$B7)),GETPIVOTDATA("Cover",'Cover PivotTable'!$A$4,"Site",$A7,"Year",O$1)=""), "",GETPIVOTDATA("Cover",'Cover PivotTable'!$A$4,"Site",$A7,"Year",O$1,"Transect",$B7))</f>
        <v/>
      </c>
      <c r="P7">
        <v>9.5</v>
      </c>
    </row>
    <row r="8" spans="1:16" x14ac:dyDescent="0.35">
      <c r="A8" t="s">
        <v>35</v>
      </c>
      <c r="B8">
        <v>2.4</v>
      </c>
      <c r="C8" t="str">
        <f>IF(OR(ISERROR(GETPIVOTDATA("Cover",'Cover PivotTable'!$A$4,"Site",$A8,"Year",C$1,"Transect",$B8)),GETPIVOTDATA("Cover",'Cover PivotTable'!$A$4,"Site",$A8,"Year",C$1)=""), "",GETPIVOTDATA("Cover",'Cover PivotTable'!$A$4,"Site",$A8,"Year",C$1,"Transect",$B8))</f>
        <v/>
      </c>
      <c r="D8" s="17">
        <f>IF(OR(ISERROR(GETPIVOTDATA("Cover",'Cover PivotTable'!$A$4,"Site",$A8,"Year",D$1,"Transect",$B8)),GETPIVOTDATA("Cover",'Cover PivotTable'!$A$4,"Site",$A8,"Year",D$1)=""), "",GETPIVOTDATA("Cover",'Cover PivotTable'!$A$4,"Site",$A8,"Year",D$1,"Transect",$B8))</f>
        <v>1.4084507042253522</v>
      </c>
      <c r="E8" t="str">
        <f>IF(OR(ISERROR(GETPIVOTDATA("Cover",'Cover PivotTable'!$A$4,"Site",$A8,"Year",E$1,"Transect",$B8)),GETPIVOTDATA("Cover",'Cover PivotTable'!$A$4,"Site",$A8,"Year",E$1)=""), "",GETPIVOTDATA("Cover",'Cover PivotTable'!$A$4,"Site",$A8,"Year",E$1,"Transect",$B8))</f>
        <v/>
      </c>
      <c r="F8" t="str">
        <f>IF(OR(ISERROR(GETPIVOTDATA("Cover",'Cover PivotTable'!$A$4,"Site",$A8,"Year",F$1,"Transect",$B8)),GETPIVOTDATA("Cover",'Cover PivotTable'!$A$4,"Site",$A8,"Year",F$1)=""), "",GETPIVOTDATA("Cover",'Cover PivotTable'!$A$4,"Site",$A8,"Year",F$1,"Transect",$B8))</f>
        <v/>
      </c>
      <c r="G8" t="str">
        <f>IF(OR(ISERROR(GETPIVOTDATA("Cover",'Cover PivotTable'!$A$4,"Site",$A8,"Year",G$1,"Transect",$B8)),GETPIVOTDATA("Cover",'Cover PivotTable'!$A$4,"Site",$A8,"Year",G$1)=""), "",GETPIVOTDATA("Cover",'Cover PivotTable'!$A$4,"Site",$A8,"Year",G$1,"Transect",$B8))</f>
        <v/>
      </c>
      <c r="H8" t="str">
        <f>IF(OR(ISERROR(GETPIVOTDATA("Cover",'Cover PivotTable'!$A$4,"Site",$A8,"Year",H$1,"Transect",$B8)),GETPIVOTDATA("Cover",'Cover PivotTable'!$A$4,"Site",$A8,"Year",H$1)=""), "",GETPIVOTDATA("Cover",'Cover PivotTable'!$A$4,"Site",$A8,"Year",H$1,"Transect",$B8))</f>
        <v/>
      </c>
      <c r="I8" s="17">
        <f>IF(OR(ISERROR(GETPIVOTDATA("Cover",'Cover PivotTable'!$A$4,"Site",$A8,"Year",I$1,"Transect",$B8)),GETPIVOTDATA("Cover",'Cover PivotTable'!$A$4,"Site",$A8,"Year",I$1)=""), "",GETPIVOTDATA("Cover",'Cover PivotTable'!$A$4,"Site",$A8,"Year",I$1,"Transect",$B8))</f>
        <v>2.7777777777777777</v>
      </c>
      <c r="J8" s="17" t="str">
        <f>IF(OR(ISERROR(GETPIVOTDATA("Cover",'Cover PivotTable'!$A$4,"Site",$A8,"Year",J$1,"Transect",$B8)),GETPIVOTDATA("Cover",'Cover PivotTable'!$A$4,"Site",$A8,"Year",J$1)=""), "",GETPIVOTDATA("Cover",'Cover PivotTable'!$A$4,"Site",$A8,"Year",J$1,"Transect",$B8))</f>
        <v/>
      </c>
      <c r="K8" s="17" t="str">
        <f>IF(OR(ISERROR(GETPIVOTDATA("Cover",'Cover PivotTable'!$A$4,"Site",$A8,"Year",K$1,"Transect",$B8)),GETPIVOTDATA("Cover",'Cover PivotTable'!$A$4,"Site",$A8,"Year",K$1)=""), "",GETPIVOTDATA("Cover",'Cover PivotTable'!$A$4,"Site",$A8,"Year",K$1,"Transect",$B8))</f>
        <v/>
      </c>
      <c r="L8" s="17" t="str">
        <f>IF(OR(ISERROR(GETPIVOTDATA("Cover",'Cover PivotTable'!$A$4,"Site",$A8,"Year",L$1,"Transect",$B8)),GETPIVOTDATA("Cover",'Cover PivotTable'!$A$4,"Site",$A8,"Year",L$1)=""), "",GETPIVOTDATA("Cover",'Cover PivotTable'!$A$4,"Site",$A8,"Year",L$1,"Transect",$B8))</f>
        <v/>
      </c>
      <c r="M8" s="17" t="str">
        <f>IF(OR(ISERROR(GETPIVOTDATA("Cover",'Cover PivotTable'!$A$4,"Site",$A8,"Year",M$1,"Transect",$B8)),GETPIVOTDATA("Cover",'Cover PivotTable'!$A$4,"Site",$A8,"Year",M$1)=""), "",GETPIVOTDATA("Cover",'Cover PivotTable'!$A$4,"Site",$A8,"Year",M$1,"Transect",$B8))</f>
        <v/>
      </c>
      <c r="N8" s="17" t="str">
        <f>IF(OR(ISERROR(GETPIVOTDATA("Cover",'Cover PivotTable'!$A$4,"Site",$A8,"Year",N$1,"Transect",$B8)),GETPIVOTDATA("Cover",'Cover PivotTable'!$A$4,"Site",$A8,"Year",N$1)=""), "",GETPIVOTDATA("Cover",'Cover PivotTable'!$A$4,"Site",$A8,"Year",N$1,"Transect",$B8))</f>
        <v/>
      </c>
      <c r="O8" s="17" t="str">
        <f>IF(OR(ISERROR(GETPIVOTDATA("Cover",'Cover PivotTable'!$A$4,"Site",$A8,"Year",O$1,"Transect",$B8)),GETPIVOTDATA("Cover",'Cover PivotTable'!$A$4,"Site",$A8,"Year",O$1)=""), "",GETPIVOTDATA("Cover",'Cover PivotTable'!$A$4,"Site",$A8,"Year",O$1,"Transect",$B8))</f>
        <v/>
      </c>
      <c r="P8">
        <v>7.5</v>
      </c>
    </row>
    <row r="9" spans="1:16" x14ac:dyDescent="0.35">
      <c r="A9" t="s">
        <v>35</v>
      </c>
      <c r="B9">
        <v>3.1</v>
      </c>
      <c r="C9" t="str">
        <f>IF(OR(ISERROR(GETPIVOTDATA("Cover",'Cover PivotTable'!$A$4,"Site",$A9,"Year",C$1,"Transect",$B9)),GETPIVOTDATA("Cover",'Cover PivotTable'!$A$4,"Site",$A9,"Year",C$1)=""), "",GETPIVOTDATA("Cover",'Cover PivotTable'!$A$4,"Site",$A9,"Year",C$1,"Transect",$B9))</f>
        <v/>
      </c>
      <c r="D9">
        <f>IF(OR(ISERROR(GETPIVOTDATA("Cover",'Cover PivotTable'!$A$4,"Site",$A9,"Year",D$1,"Transect",$B9)),GETPIVOTDATA("Cover",'Cover PivotTable'!$A$4,"Site",$A9,"Year",D$1)=""), "",GETPIVOTDATA("Cover",'Cover PivotTable'!$A$4,"Site",$A9,"Year",D$1,"Transect",$B9))</f>
        <v>13</v>
      </c>
      <c r="E9" t="str">
        <f>IF(OR(ISERROR(GETPIVOTDATA("Cover",'Cover PivotTable'!$A$4,"Site",$A9,"Year",E$1,"Transect",$B9)),GETPIVOTDATA("Cover",'Cover PivotTable'!$A$4,"Site",$A9,"Year",E$1)=""), "",GETPIVOTDATA("Cover",'Cover PivotTable'!$A$4,"Site",$A9,"Year",E$1,"Transect",$B9))</f>
        <v/>
      </c>
      <c r="F9" t="str">
        <f>IF(OR(ISERROR(GETPIVOTDATA("Cover",'Cover PivotTable'!$A$4,"Site",$A9,"Year",F$1,"Transect",$B9)),GETPIVOTDATA("Cover",'Cover PivotTable'!$A$4,"Site",$A9,"Year",F$1)=""), "",GETPIVOTDATA("Cover",'Cover PivotTable'!$A$4,"Site",$A9,"Year",F$1,"Transect",$B9))</f>
        <v/>
      </c>
      <c r="G9" t="str">
        <f>IF(OR(ISERROR(GETPIVOTDATA("Cover",'Cover PivotTable'!$A$4,"Site",$A9,"Year",G$1,"Transect",$B9)),GETPIVOTDATA("Cover",'Cover PivotTable'!$A$4,"Site",$A9,"Year",G$1)=""), "",GETPIVOTDATA("Cover",'Cover PivotTable'!$A$4,"Site",$A9,"Year",G$1,"Transect",$B9))</f>
        <v/>
      </c>
      <c r="H9" t="str">
        <f>IF(OR(ISERROR(GETPIVOTDATA("Cover",'Cover PivotTable'!$A$4,"Site",$A9,"Year",H$1,"Transect",$B9)),GETPIVOTDATA("Cover",'Cover PivotTable'!$A$4,"Site",$A9,"Year",H$1)=""), "",GETPIVOTDATA("Cover",'Cover PivotTable'!$A$4,"Site",$A9,"Year",H$1,"Transect",$B9))</f>
        <v/>
      </c>
      <c r="I9" s="17">
        <f>IF(OR(ISERROR(GETPIVOTDATA("Cover",'Cover PivotTable'!$A$4,"Site",$A9,"Year",I$1,"Transect",$B9)),GETPIVOTDATA("Cover",'Cover PivotTable'!$A$4,"Site",$A9,"Year",I$1)=""), "",GETPIVOTDATA("Cover",'Cover PivotTable'!$A$4,"Site",$A9,"Year",I$1,"Transect",$B9))</f>
        <v>25</v>
      </c>
      <c r="J9" s="17" t="str">
        <f>IF(OR(ISERROR(GETPIVOTDATA("Cover",'Cover PivotTable'!$A$4,"Site",$A9,"Year",J$1,"Transect",$B9)),GETPIVOTDATA("Cover",'Cover PivotTable'!$A$4,"Site",$A9,"Year",J$1)=""), "",GETPIVOTDATA("Cover",'Cover PivotTable'!$A$4,"Site",$A9,"Year",J$1,"Transect",$B9))</f>
        <v/>
      </c>
      <c r="K9" s="17" t="str">
        <f>IF(OR(ISERROR(GETPIVOTDATA("Cover",'Cover PivotTable'!$A$4,"Site",$A9,"Year",K$1,"Transect",$B9)),GETPIVOTDATA("Cover",'Cover PivotTable'!$A$4,"Site",$A9,"Year",K$1)=""), "",GETPIVOTDATA("Cover",'Cover PivotTable'!$A$4,"Site",$A9,"Year",K$1,"Transect",$B9))</f>
        <v/>
      </c>
      <c r="L9" s="17" t="str">
        <f>IF(OR(ISERROR(GETPIVOTDATA("Cover",'Cover PivotTable'!$A$4,"Site",$A9,"Year",L$1,"Transect",$B9)),GETPIVOTDATA("Cover",'Cover PivotTable'!$A$4,"Site",$A9,"Year",L$1)=""), "",GETPIVOTDATA("Cover",'Cover PivotTable'!$A$4,"Site",$A9,"Year",L$1,"Transect",$B9))</f>
        <v/>
      </c>
      <c r="M9" s="17" t="str">
        <f>IF(OR(ISERROR(GETPIVOTDATA("Cover",'Cover PivotTable'!$A$4,"Site",$A9,"Year",M$1,"Transect",$B9)),GETPIVOTDATA("Cover",'Cover PivotTable'!$A$4,"Site",$A9,"Year",M$1)=""), "",GETPIVOTDATA("Cover",'Cover PivotTable'!$A$4,"Site",$A9,"Year",M$1,"Transect",$B9))</f>
        <v/>
      </c>
      <c r="N9" s="17" t="str">
        <f>IF(OR(ISERROR(GETPIVOTDATA("Cover",'Cover PivotTable'!$A$4,"Site",$A9,"Year",N$1,"Transect",$B9)),GETPIVOTDATA("Cover",'Cover PivotTable'!$A$4,"Site",$A9,"Year",N$1)=""), "",GETPIVOTDATA("Cover",'Cover PivotTable'!$A$4,"Site",$A9,"Year",N$1,"Transect",$B9))</f>
        <v/>
      </c>
      <c r="O9" s="17" t="str">
        <f>IF(OR(ISERROR(GETPIVOTDATA("Cover",'Cover PivotTable'!$A$4,"Site",$A9,"Year",O$1,"Transect",$B9)),GETPIVOTDATA("Cover",'Cover PivotTable'!$A$4,"Site",$A9,"Year",O$1)=""), "",GETPIVOTDATA("Cover",'Cover PivotTable'!$A$4,"Site",$A9,"Year",O$1,"Transect",$B9))</f>
        <v/>
      </c>
      <c r="P9">
        <v>4</v>
      </c>
    </row>
    <row r="10" spans="1:16" x14ac:dyDescent="0.35">
      <c r="A10" t="s">
        <v>35</v>
      </c>
      <c r="B10">
        <v>3.2</v>
      </c>
      <c r="C10" t="str">
        <f>IF(OR(ISERROR(GETPIVOTDATA("Cover",'Cover PivotTable'!$A$4,"Site",$A10,"Year",C$1,"Transect",$B10)),GETPIVOTDATA("Cover",'Cover PivotTable'!$A$4,"Site",$A10,"Year",C$1)=""), "",GETPIVOTDATA("Cover",'Cover PivotTable'!$A$4,"Site",$A10,"Year",C$1,"Transect",$B10))</f>
        <v/>
      </c>
      <c r="D10">
        <f>IF(OR(ISERROR(GETPIVOTDATA("Cover",'Cover PivotTable'!$A$4,"Site",$A10,"Year",D$1,"Transect",$B10)),GETPIVOTDATA("Cover",'Cover PivotTable'!$A$4,"Site",$A10,"Year",D$1)=""), "",GETPIVOTDATA("Cover",'Cover PivotTable'!$A$4,"Site",$A10,"Year",D$1,"Transect",$B10))</f>
        <v>6.5</v>
      </c>
      <c r="E10" t="str">
        <f>IF(OR(ISERROR(GETPIVOTDATA("Cover",'Cover PivotTable'!$A$4,"Site",$A10,"Year",E$1,"Transect",$B10)),GETPIVOTDATA("Cover",'Cover PivotTable'!$A$4,"Site",$A10,"Year",E$1)=""), "",GETPIVOTDATA("Cover",'Cover PivotTable'!$A$4,"Site",$A10,"Year",E$1,"Transect",$B10))</f>
        <v/>
      </c>
      <c r="F10" t="str">
        <f>IF(OR(ISERROR(GETPIVOTDATA("Cover",'Cover PivotTable'!$A$4,"Site",$A10,"Year",F$1,"Transect",$B10)),GETPIVOTDATA("Cover",'Cover PivotTable'!$A$4,"Site",$A10,"Year",F$1)=""), "",GETPIVOTDATA("Cover",'Cover PivotTable'!$A$4,"Site",$A10,"Year",F$1,"Transect",$B10))</f>
        <v/>
      </c>
      <c r="G10" t="str">
        <f>IF(OR(ISERROR(GETPIVOTDATA("Cover",'Cover PivotTable'!$A$4,"Site",$A10,"Year",G$1,"Transect",$B10)),GETPIVOTDATA("Cover",'Cover PivotTable'!$A$4,"Site",$A10,"Year",G$1)=""), "",GETPIVOTDATA("Cover",'Cover PivotTable'!$A$4,"Site",$A10,"Year",G$1,"Transect",$B10))</f>
        <v/>
      </c>
      <c r="H10" t="str">
        <f>IF(OR(ISERROR(GETPIVOTDATA("Cover",'Cover PivotTable'!$A$4,"Site",$A10,"Year",H$1,"Transect",$B10)),GETPIVOTDATA("Cover",'Cover PivotTable'!$A$4,"Site",$A10,"Year",H$1)=""), "",GETPIVOTDATA("Cover",'Cover PivotTable'!$A$4,"Site",$A10,"Year",H$1,"Transect",$B10))</f>
        <v/>
      </c>
      <c r="I10" s="17">
        <f>IF(OR(ISERROR(GETPIVOTDATA("Cover",'Cover PivotTable'!$A$4,"Site",$A10,"Year",I$1,"Transect",$B10)),GETPIVOTDATA("Cover",'Cover PivotTable'!$A$4,"Site",$A10,"Year",I$1)=""), "",GETPIVOTDATA("Cover",'Cover PivotTable'!$A$4,"Site",$A10,"Year",I$1,"Transect",$B10))</f>
        <v>18.5</v>
      </c>
      <c r="J10" s="17" t="str">
        <f>IF(OR(ISERROR(GETPIVOTDATA("Cover",'Cover PivotTable'!$A$4,"Site",$A10,"Year",J$1,"Transect",$B10)),GETPIVOTDATA("Cover",'Cover PivotTable'!$A$4,"Site",$A10,"Year",J$1)=""), "",GETPIVOTDATA("Cover",'Cover PivotTable'!$A$4,"Site",$A10,"Year",J$1,"Transect",$B10))</f>
        <v/>
      </c>
      <c r="K10" s="17" t="str">
        <f>IF(OR(ISERROR(GETPIVOTDATA("Cover",'Cover PivotTable'!$A$4,"Site",$A10,"Year",K$1,"Transect",$B10)),GETPIVOTDATA("Cover",'Cover PivotTable'!$A$4,"Site",$A10,"Year",K$1)=""), "",GETPIVOTDATA("Cover",'Cover PivotTable'!$A$4,"Site",$A10,"Year",K$1,"Transect",$B10))</f>
        <v/>
      </c>
      <c r="L10" s="17" t="str">
        <f>IF(OR(ISERROR(GETPIVOTDATA("Cover",'Cover PivotTable'!$A$4,"Site",$A10,"Year",L$1,"Transect",$B10)),GETPIVOTDATA("Cover",'Cover PivotTable'!$A$4,"Site",$A10,"Year",L$1)=""), "",GETPIVOTDATA("Cover",'Cover PivotTable'!$A$4,"Site",$A10,"Year",L$1,"Transect",$B10))</f>
        <v/>
      </c>
      <c r="M10" s="17" t="str">
        <f>IF(OR(ISERROR(GETPIVOTDATA("Cover",'Cover PivotTable'!$A$4,"Site",$A10,"Year",M$1,"Transect",$B10)),GETPIVOTDATA("Cover",'Cover PivotTable'!$A$4,"Site",$A10,"Year",M$1)=""), "",GETPIVOTDATA("Cover",'Cover PivotTable'!$A$4,"Site",$A10,"Year",M$1,"Transect",$B10))</f>
        <v/>
      </c>
      <c r="N10" s="17" t="str">
        <f>IF(OR(ISERROR(GETPIVOTDATA("Cover",'Cover PivotTable'!$A$4,"Site",$A10,"Year",N$1,"Transect",$B10)),GETPIVOTDATA("Cover",'Cover PivotTable'!$A$4,"Site",$A10,"Year",N$1)=""), "",GETPIVOTDATA("Cover",'Cover PivotTable'!$A$4,"Site",$A10,"Year",N$1,"Transect",$B10))</f>
        <v/>
      </c>
      <c r="O10" s="17" t="str">
        <f>IF(OR(ISERROR(GETPIVOTDATA("Cover",'Cover PivotTable'!$A$4,"Site",$A10,"Year",O$1,"Transect",$B10)),GETPIVOTDATA("Cover",'Cover PivotTable'!$A$4,"Site",$A10,"Year",O$1)=""), "",GETPIVOTDATA("Cover",'Cover PivotTable'!$A$4,"Site",$A10,"Year",O$1,"Transect",$B10))</f>
        <v/>
      </c>
      <c r="P10">
        <v>5</v>
      </c>
    </row>
    <row r="11" spans="1:16" x14ac:dyDescent="0.35">
      <c r="A11" t="s">
        <v>35</v>
      </c>
      <c r="B11">
        <v>3.3</v>
      </c>
      <c r="C11" t="str">
        <f>IF(OR(ISERROR(GETPIVOTDATA("Cover",'Cover PivotTable'!$A$4,"Site",$A11,"Year",C$1,"Transect",$B11)),GETPIVOTDATA("Cover",'Cover PivotTable'!$A$4,"Site",$A11,"Year",C$1)=""), "",GETPIVOTDATA("Cover",'Cover PivotTable'!$A$4,"Site",$A11,"Year",C$1,"Transect",$B11))</f>
        <v/>
      </c>
      <c r="D11">
        <f>IF(OR(ISERROR(GETPIVOTDATA("Cover",'Cover PivotTable'!$A$4,"Site",$A11,"Year",D$1,"Transect",$B11)),GETPIVOTDATA("Cover",'Cover PivotTable'!$A$4,"Site",$A11,"Year",D$1)=""), "",GETPIVOTDATA("Cover",'Cover PivotTable'!$A$4,"Site",$A11,"Year",D$1,"Transect",$B11))</f>
        <v>9.5</v>
      </c>
      <c r="E11" t="str">
        <f>IF(OR(ISERROR(GETPIVOTDATA("Cover",'Cover PivotTable'!$A$4,"Site",$A11,"Year",E$1,"Transect",$B11)),GETPIVOTDATA("Cover",'Cover PivotTable'!$A$4,"Site",$A11,"Year",E$1)=""), "",GETPIVOTDATA("Cover",'Cover PivotTable'!$A$4,"Site",$A11,"Year",E$1,"Transect",$B11))</f>
        <v/>
      </c>
      <c r="F11" t="str">
        <f>IF(OR(ISERROR(GETPIVOTDATA("Cover",'Cover PivotTable'!$A$4,"Site",$A11,"Year",F$1,"Transect",$B11)),GETPIVOTDATA("Cover",'Cover PivotTable'!$A$4,"Site",$A11,"Year",F$1)=""), "",GETPIVOTDATA("Cover",'Cover PivotTable'!$A$4,"Site",$A11,"Year",F$1,"Transect",$B11))</f>
        <v/>
      </c>
      <c r="G11" t="str">
        <f>IF(OR(ISERROR(GETPIVOTDATA("Cover",'Cover PivotTable'!$A$4,"Site",$A11,"Year",G$1,"Transect",$B11)),GETPIVOTDATA("Cover",'Cover PivotTable'!$A$4,"Site",$A11,"Year",G$1)=""), "",GETPIVOTDATA("Cover",'Cover PivotTable'!$A$4,"Site",$A11,"Year",G$1,"Transect",$B11))</f>
        <v/>
      </c>
      <c r="H11" t="str">
        <f>IF(OR(ISERROR(GETPIVOTDATA("Cover",'Cover PivotTable'!$A$4,"Site",$A11,"Year",H$1,"Transect",$B11)),GETPIVOTDATA("Cover",'Cover PivotTable'!$A$4,"Site",$A11,"Year",H$1)=""), "",GETPIVOTDATA("Cover",'Cover PivotTable'!$A$4,"Site",$A11,"Year",H$1,"Transect",$B11))</f>
        <v/>
      </c>
      <c r="I11" s="17">
        <f>IF(OR(ISERROR(GETPIVOTDATA("Cover",'Cover PivotTable'!$A$4,"Site",$A11,"Year",I$1,"Transect",$B11)),GETPIVOTDATA("Cover",'Cover PivotTable'!$A$4,"Site",$A11,"Year",I$1)=""), "",GETPIVOTDATA("Cover",'Cover PivotTable'!$A$4,"Site",$A11,"Year",I$1,"Transect",$B11))</f>
        <v>16</v>
      </c>
      <c r="J11" s="17" t="str">
        <f>IF(OR(ISERROR(GETPIVOTDATA("Cover",'Cover PivotTable'!$A$4,"Site",$A11,"Year",J$1,"Transect",$B11)),GETPIVOTDATA("Cover",'Cover PivotTable'!$A$4,"Site",$A11,"Year",J$1)=""), "",GETPIVOTDATA("Cover",'Cover PivotTable'!$A$4,"Site",$A11,"Year",J$1,"Transect",$B11))</f>
        <v/>
      </c>
      <c r="K11" s="17" t="str">
        <f>IF(OR(ISERROR(GETPIVOTDATA("Cover",'Cover PivotTable'!$A$4,"Site",$A11,"Year",K$1,"Transect",$B11)),GETPIVOTDATA("Cover",'Cover PivotTable'!$A$4,"Site",$A11,"Year",K$1)=""), "",GETPIVOTDATA("Cover",'Cover PivotTable'!$A$4,"Site",$A11,"Year",K$1,"Transect",$B11))</f>
        <v/>
      </c>
      <c r="L11" s="17" t="str">
        <f>IF(OR(ISERROR(GETPIVOTDATA("Cover",'Cover PivotTable'!$A$4,"Site",$A11,"Year",L$1,"Transect",$B11)),GETPIVOTDATA("Cover",'Cover PivotTable'!$A$4,"Site",$A11,"Year",L$1)=""), "",GETPIVOTDATA("Cover",'Cover PivotTable'!$A$4,"Site",$A11,"Year",L$1,"Transect",$B11))</f>
        <v/>
      </c>
      <c r="M11" s="17" t="str">
        <f>IF(OR(ISERROR(GETPIVOTDATA("Cover",'Cover PivotTable'!$A$4,"Site",$A11,"Year",M$1,"Transect",$B11)),GETPIVOTDATA("Cover",'Cover PivotTable'!$A$4,"Site",$A11,"Year",M$1)=""), "",GETPIVOTDATA("Cover",'Cover PivotTable'!$A$4,"Site",$A11,"Year",M$1,"Transect",$B11))</f>
        <v/>
      </c>
      <c r="N11" s="17" t="str">
        <f>IF(OR(ISERROR(GETPIVOTDATA("Cover",'Cover PivotTable'!$A$4,"Site",$A11,"Year",N$1,"Transect",$B11)),GETPIVOTDATA("Cover",'Cover PivotTable'!$A$4,"Site",$A11,"Year",N$1)=""), "",GETPIVOTDATA("Cover",'Cover PivotTable'!$A$4,"Site",$A11,"Year",N$1,"Transect",$B11))</f>
        <v/>
      </c>
      <c r="O11" s="17" t="str">
        <f>IF(OR(ISERROR(GETPIVOTDATA("Cover",'Cover PivotTable'!$A$4,"Site",$A11,"Year",O$1,"Transect",$B11)),GETPIVOTDATA("Cover",'Cover PivotTable'!$A$4,"Site",$A11,"Year",O$1)=""), "",GETPIVOTDATA("Cover",'Cover PivotTable'!$A$4,"Site",$A11,"Year",O$1,"Transect",$B11))</f>
        <v/>
      </c>
      <c r="P11">
        <v>7.5</v>
      </c>
    </row>
    <row r="12" spans="1:16" x14ac:dyDescent="0.35">
      <c r="A12" t="s">
        <v>35</v>
      </c>
      <c r="B12">
        <v>3.4</v>
      </c>
      <c r="C12" t="str">
        <f>IF(OR(ISERROR(GETPIVOTDATA("Cover",'Cover PivotTable'!$A$4,"Site",$A12,"Year",C$1,"Transect",$B12)),GETPIVOTDATA("Cover",'Cover PivotTable'!$A$4,"Site",$A12,"Year",C$1)=""), "",GETPIVOTDATA("Cover",'Cover PivotTable'!$A$4,"Site",$A12,"Year",C$1,"Transect",$B12))</f>
        <v/>
      </c>
      <c r="D12" s="17">
        <f>IF(OR(ISERROR(GETPIVOTDATA("Cover",'Cover PivotTable'!$A$4,"Site",$A12,"Year",D$1,"Transect",$B12)),GETPIVOTDATA("Cover",'Cover PivotTable'!$A$4,"Site",$A12,"Year",D$1)=""), "",GETPIVOTDATA("Cover",'Cover PivotTable'!$A$4,"Site",$A12,"Year",D$1,"Transect",$B12))</f>
        <v>4.3478260869565215</v>
      </c>
      <c r="E12" t="str">
        <f>IF(OR(ISERROR(GETPIVOTDATA("Cover",'Cover PivotTable'!$A$4,"Site",$A12,"Year",E$1,"Transect",$B12)),GETPIVOTDATA("Cover",'Cover PivotTable'!$A$4,"Site",$A12,"Year",E$1)=""), "",GETPIVOTDATA("Cover",'Cover PivotTable'!$A$4,"Site",$A12,"Year",E$1,"Transect",$B12))</f>
        <v/>
      </c>
      <c r="F12" t="str">
        <f>IF(OR(ISERROR(GETPIVOTDATA("Cover",'Cover PivotTable'!$A$4,"Site",$A12,"Year",F$1,"Transect",$B12)),GETPIVOTDATA("Cover",'Cover PivotTable'!$A$4,"Site",$A12,"Year",F$1)=""), "",GETPIVOTDATA("Cover",'Cover PivotTable'!$A$4,"Site",$A12,"Year",F$1,"Transect",$B12))</f>
        <v/>
      </c>
      <c r="G12" t="str">
        <f>IF(OR(ISERROR(GETPIVOTDATA("Cover",'Cover PivotTable'!$A$4,"Site",$A12,"Year",G$1,"Transect",$B12)),GETPIVOTDATA("Cover",'Cover PivotTable'!$A$4,"Site",$A12,"Year",G$1)=""), "",GETPIVOTDATA("Cover",'Cover PivotTable'!$A$4,"Site",$A12,"Year",G$1,"Transect",$B12))</f>
        <v/>
      </c>
      <c r="H12" t="str">
        <f>IF(OR(ISERROR(GETPIVOTDATA("Cover",'Cover PivotTable'!$A$4,"Site",$A12,"Year",H$1,"Transect",$B12)),GETPIVOTDATA("Cover",'Cover PivotTable'!$A$4,"Site",$A12,"Year",H$1)=""), "",GETPIVOTDATA("Cover",'Cover PivotTable'!$A$4,"Site",$A12,"Year",H$1,"Transect",$B12))</f>
        <v/>
      </c>
      <c r="I12" s="17">
        <f>IF(OR(ISERROR(GETPIVOTDATA("Cover",'Cover PivotTable'!$A$4,"Site",$A12,"Year",I$1,"Transect",$B12)),GETPIVOTDATA("Cover",'Cover PivotTable'!$A$4,"Site",$A12,"Year",I$1)=""), "",GETPIVOTDATA("Cover",'Cover PivotTable'!$A$4,"Site",$A12,"Year",I$1,"Transect",$B12))</f>
        <v>17.391304347826086</v>
      </c>
      <c r="J12" s="17" t="str">
        <f>IF(OR(ISERROR(GETPIVOTDATA("Cover",'Cover PivotTable'!$A$4,"Site",$A12,"Year",J$1,"Transect",$B12)),GETPIVOTDATA("Cover",'Cover PivotTable'!$A$4,"Site",$A12,"Year",J$1)=""), "",GETPIVOTDATA("Cover",'Cover PivotTable'!$A$4,"Site",$A12,"Year",J$1,"Transect",$B12))</f>
        <v/>
      </c>
      <c r="K12" s="17" t="str">
        <f>IF(OR(ISERROR(GETPIVOTDATA("Cover",'Cover PivotTable'!$A$4,"Site",$A12,"Year",K$1,"Transect",$B12)),GETPIVOTDATA("Cover",'Cover PivotTable'!$A$4,"Site",$A12,"Year",K$1)=""), "",GETPIVOTDATA("Cover",'Cover PivotTable'!$A$4,"Site",$A12,"Year",K$1,"Transect",$B12))</f>
        <v/>
      </c>
      <c r="L12" s="17" t="str">
        <f>IF(OR(ISERROR(GETPIVOTDATA("Cover",'Cover PivotTable'!$A$4,"Site",$A12,"Year",L$1,"Transect",$B12)),GETPIVOTDATA("Cover",'Cover PivotTable'!$A$4,"Site",$A12,"Year",L$1)=""), "",GETPIVOTDATA("Cover",'Cover PivotTable'!$A$4,"Site",$A12,"Year",L$1,"Transect",$B12))</f>
        <v/>
      </c>
      <c r="M12" s="17" t="str">
        <f>IF(OR(ISERROR(GETPIVOTDATA("Cover",'Cover PivotTable'!$A$4,"Site",$A12,"Year",M$1,"Transect",$B12)),GETPIVOTDATA("Cover",'Cover PivotTable'!$A$4,"Site",$A12,"Year",M$1)=""), "",GETPIVOTDATA("Cover",'Cover PivotTable'!$A$4,"Site",$A12,"Year",M$1,"Transect",$B12))</f>
        <v/>
      </c>
      <c r="N12" s="17" t="str">
        <f>IF(OR(ISERROR(GETPIVOTDATA("Cover",'Cover PivotTable'!$A$4,"Site",$A12,"Year",N$1,"Transect",$B12)),GETPIVOTDATA("Cover",'Cover PivotTable'!$A$4,"Site",$A12,"Year",N$1)=""), "",GETPIVOTDATA("Cover",'Cover PivotTable'!$A$4,"Site",$A12,"Year",N$1,"Transect",$B12))</f>
        <v/>
      </c>
      <c r="O12" s="17" t="str">
        <f>IF(OR(ISERROR(GETPIVOTDATA("Cover",'Cover PivotTable'!$A$4,"Site",$A12,"Year",O$1,"Transect",$B12)),GETPIVOTDATA("Cover",'Cover PivotTable'!$A$4,"Site",$A12,"Year",O$1)=""), "",GETPIVOTDATA("Cover",'Cover PivotTable'!$A$4,"Site",$A12,"Year",O$1,"Transect",$B12))</f>
        <v/>
      </c>
      <c r="P12">
        <v>6.9767441860465116</v>
      </c>
    </row>
    <row r="13" spans="1:16" x14ac:dyDescent="0.35">
      <c r="A13" t="s">
        <v>35</v>
      </c>
      <c r="B13">
        <v>4.0999999999999996</v>
      </c>
      <c r="C13" t="str">
        <f>IF(OR(ISERROR(GETPIVOTDATA("Cover",'Cover PivotTable'!$A$4,"Site",$A13,"Year",C$1,"Transect",$B13)),GETPIVOTDATA("Cover",'Cover PivotTable'!$A$4,"Site",$A13,"Year",C$1)=""), "",GETPIVOTDATA("Cover",'Cover PivotTable'!$A$4,"Site",$A13,"Year",C$1,"Transect",$B13))</f>
        <v/>
      </c>
      <c r="D13">
        <f>IF(OR(ISERROR(GETPIVOTDATA("Cover",'Cover PivotTable'!$A$4,"Site",$A13,"Year",D$1,"Transect",$B13)),GETPIVOTDATA("Cover",'Cover PivotTable'!$A$4,"Site",$A13,"Year",D$1)=""), "",GETPIVOTDATA("Cover",'Cover PivotTable'!$A$4,"Site",$A13,"Year",D$1,"Transect",$B13))</f>
        <v>0</v>
      </c>
      <c r="E13" t="str">
        <f>IF(OR(ISERROR(GETPIVOTDATA("Cover",'Cover PivotTable'!$A$4,"Site",$A13,"Year",E$1,"Transect",$B13)),GETPIVOTDATA("Cover",'Cover PivotTable'!$A$4,"Site",$A13,"Year",E$1)=""), "",GETPIVOTDATA("Cover",'Cover PivotTable'!$A$4,"Site",$A13,"Year",E$1,"Transect",$B13))</f>
        <v/>
      </c>
      <c r="F13" t="str">
        <f>IF(OR(ISERROR(GETPIVOTDATA("Cover",'Cover PivotTable'!$A$4,"Site",$A13,"Year",F$1,"Transect",$B13)),GETPIVOTDATA("Cover",'Cover PivotTable'!$A$4,"Site",$A13,"Year",F$1)=""), "",GETPIVOTDATA("Cover",'Cover PivotTable'!$A$4,"Site",$A13,"Year",F$1,"Transect",$B13))</f>
        <v/>
      </c>
      <c r="G13" t="str">
        <f>IF(OR(ISERROR(GETPIVOTDATA("Cover",'Cover PivotTable'!$A$4,"Site",$A13,"Year",G$1,"Transect",$B13)),GETPIVOTDATA("Cover",'Cover PivotTable'!$A$4,"Site",$A13,"Year",G$1)=""), "",GETPIVOTDATA("Cover",'Cover PivotTable'!$A$4,"Site",$A13,"Year",G$1,"Transect",$B13))</f>
        <v/>
      </c>
      <c r="H13" t="str">
        <f>IF(OR(ISERROR(GETPIVOTDATA("Cover",'Cover PivotTable'!$A$4,"Site",$A13,"Year",H$1,"Transect",$B13)),GETPIVOTDATA("Cover",'Cover PivotTable'!$A$4,"Site",$A13,"Year",H$1)=""), "",GETPIVOTDATA("Cover",'Cover PivotTable'!$A$4,"Site",$A13,"Year",H$1,"Transect",$B13))</f>
        <v/>
      </c>
      <c r="I13" s="17">
        <f>IF(OR(ISERROR(GETPIVOTDATA("Cover",'Cover PivotTable'!$A$4,"Site",$A13,"Year",I$1,"Transect",$B13)),GETPIVOTDATA("Cover",'Cover PivotTable'!$A$4,"Site",$A13,"Year",I$1)=""), "",GETPIVOTDATA("Cover",'Cover PivotTable'!$A$4,"Site",$A13,"Year",I$1,"Transect",$B13))</f>
        <v>18.5</v>
      </c>
      <c r="J13" s="17" t="str">
        <f>IF(OR(ISERROR(GETPIVOTDATA("Cover",'Cover PivotTable'!$A$4,"Site",$A13,"Year",J$1,"Transect",$B13)),GETPIVOTDATA("Cover",'Cover PivotTable'!$A$4,"Site",$A13,"Year",J$1)=""), "",GETPIVOTDATA("Cover",'Cover PivotTable'!$A$4,"Site",$A13,"Year",J$1,"Transect",$B13))</f>
        <v/>
      </c>
      <c r="K13" s="17" t="str">
        <f>IF(OR(ISERROR(GETPIVOTDATA("Cover",'Cover PivotTable'!$A$4,"Site",$A13,"Year",K$1,"Transect",$B13)),GETPIVOTDATA("Cover",'Cover PivotTable'!$A$4,"Site",$A13,"Year",K$1)=""), "",GETPIVOTDATA("Cover",'Cover PivotTable'!$A$4,"Site",$A13,"Year",K$1,"Transect",$B13))</f>
        <v/>
      </c>
      <c r="L13" s="17" t="str">
        <f>IF(OR(ISERROR(GETPIVOTDATA("Cover",'Cover PivotTable'!$A$4,"Site",$A13,"Year",L$1,"Transect",$B13)),GETPIVOTDATA("Cover",'Cover PivotTable'!$A$4,"Site",$A13,"Year",L$1)=""), "",GETPIVOTDATA("Cover",'Cover PivotTable'!$A$4,"Site",$A13,"Year",L$1,"Transect",$B13))</f>
        <v/>
      </c>
      <c r="M13" s="17" t="str">
        <f>IF(OR(ISERROR(GETPIVOTDATA("Cover",'Cover PivotTable'!$A$4,"Site",$A13,"Year",M$1,"Transect",$B13)),GETPIVOTDATA("Cover",'Cover PivotTable'!$A$4,"Site",$A13,"Year",M$1)=""), "",GETPIVOTDATA("Cover",'Cover PivotTable'!$A$4,"Site",$A13,"Year",M$1,"Transect",$B13))</f>
        <v/>
      </c>
      <c r="N13" s="17" t="str">
        <f>IF(OR(ISERROR(GETPIVOTDATA("Cover",'Cover PivotTable'!$A$4,"Site",$A13,"Year",N$1,"Transect",$B13)),GETPIVOTDATA("Cover",'Cover PivotTable'!$A$4,"Site",$A13,"Year",N$1)=""), "",GETPIVOTDATA("Cover",'Cover PivotTable'!$A$4,"Site",$A13,"Year",N$1,"Transect",$B13))</f>
        <v/>
      </c>
      <c r="O13" s="17" t="str">
        <f>IF(OR(ISERROR(GETPIVOTDATA("Cover",'Cover PivotTable'!$A$4,"Site",$A13,"Year",O$1,"Transect",$B13)),GETPIVOTDATA("Cover",'Cover PivotTable'!$A$4,"Site",$A13,"Year",O$1)=""), "",GETPIVOTDATA("Cover",'Cover PivotTable'!$A$4,"Site",$A13,"Year",O$1,"Transect",$B13))</f>
        <v/>
      </c>
      <c r="P13">
        <v>30</v>
      </c>
    </row>
    <row r="14" spans="1:16" x14ac:dyDescent="0.35">
      <c r="A14" t="s">
        <v>35</v>
      </c>
      <c r="B14">
        <v>4.2</v>
      </c>
      <c r="C14" t="str">
        <f>IF(OR(ISERROR(GETPIVOTDATA("Cover",'Cover PivotTable'!$A$4,"Site",$A14,"Year",C$1,"Transect",$B14)),GETPIVOTDATA("Cover",'Cover PivotTable'!$A$4,"Site",$A14,"Year",C$1)=""), "",GETPIVOTDATA("Cover",'Cover PivotTable'!$A$4,"Site",$A14,"Year",C$1,"Transect",$B14))</f>
        <v/>
      </c>
      <c r="D14">
        <f>IF(OR(ISERROR(GETPIVOTDATA("Cover",'Cover PivotTable'!$A$4,"Site",$A14,"Year",D$1,"Transect",$B14)),GETPIVOTDATA("Cover",'Cover PivotTable'!$A$4,"Site",$A14,"Year",D$1)=""), "",GETPIVOTDATA("Cover",'Cover PivotTable'!$A$4,"Site",$A14,"Year",D$1,"Transect",$B14))</f>
        <v>3</v>
      </c>
      <c r="E14" t="str">
        <f>IF(OR(ISERROR(GETPIVOTDATA("Cover",'Cover PivotTable'!$A$4,"Site",$A14,"Year",E$1,"Transect",$B14)),GETPIVOTDATA("Cover",'Cover PivotTable'!$A$4,"Site",$A14,"Year",E$1)=""), "",GETPIVOTDATA("Cover",'Cover PivotTable'!$A$4,"Site",$A14,"Year",E$1,"Transect",$B14))</f>
        <v/>
      </c>
      <c r="F14" t="str">
        <f>IF(OR(ISERROR(GETPIVOTDATA("Cover",'Cover PivotTable'!$A$4,"Site",$A14,"Year",F$1,"Transect",$B14)),GETPIVOTDATA("Cover",'Cover PivotTable'!$A$4,"Site",$A14,"Year",F$1)=""), "",GETPIVOTDATA("Cover",'Cover PivotTable'!$A$4,"Site",$A14,"Year",F$1,"Transect",$B14))</f>
        <v/>
      </c>
      <c r="G14" t="str">
        <f>IF(OR(ISERROR(GETPIVOTDATA("Cover",'Cover PivotTable'!$A$4,"Site",$A14,"Year",G$1,"Transect",$B14)),GETPIVOTDATA("Cover",'Cover PivotTable'!$A$4,"Site",$A14,"Year",G$1)=""), "",GETPIVOTDATA("Cover",'Cover PivotTable'!$A$4,"Site",$A14,"Year",G$1,"Transect",$B14))</f>
        <v/>
      </c>
      <c r="H14" t="str">
        <f>IF(OR(ISERROR(GETPIVOTDATA("Cover",'Cover PivotTable'!$A$4,"Site",$A14,"Year",H$1,"Transect",$B14)),GETPIVOTDATA("Cover",'Cover PivotTable'!$A$4,"Site",$A14,"Year",H$1)=""), "",GETPIVOTDATA("Cover",'Cover PivotTable'!$A$4,"Site",$A14,"Year",H$1,"Transect",$B14))</f>
        <v/>
      </c>
      <c r="I14" s="17">
        <f>IF(OR(ISERROR(GETPIVOTDATA("Cover",'Cover PivotTable'!$A$4,"Site",$A14,"Year",I$1,"Transect",$B14)),GETPIVOTDATA("Cover",'Cover PivotTable'!$A$4,"Site",$A14,"Year",I$1)=""), "",GETPIVOTDATA("Cover",'Cover PivotTable'!$A$4,"Site",$A14,"Year",I$1,"Transect",$B14))</f>
        <v>19</v>
      </c>
      <c r="J14" s="17" t="str">
        <f>IF(OR(ISERROR(GETPIVOTDATA("Cover",'Cover PivotTable'!$A$4,"Site",$A14,"Year",J$1,"Transect",$B14)),GETPIVOTDATA("Cover",'Cover PivotTable'!$A$4,"Site",$A14,"Year",J$1)=""), "",GETPIVOTDATA("Cover",'Cover PivotTable'!$A$4,"Site",$A14,"Year",J$1,"Transect",$B14))</f>
        <v/>
      </c>
      <c r="K14" s="17" t="str">
        <f>IF(OR(ISERROR(GETPIVOTDATA("Cover",'Cover PivotTable'!$A$4,"Site",$A14,"Year",K$1,"Transect",$B14)),GETPIVOTDATA("Cover",'Cover PivotTable'!$A$4,"Site",$A14,"Year",K$1)=""), "",GETPIVOTDATA("Cover",'Cover PivotTable'!$A$4,"Site",$A14,"Year",K$1,"Transect",$B14))</f>
        <v/>
      </c>
      <c r="L14" s="17" t="str">
        <f>IF(OR(ISERROR(GETPIVOTDATA("Cover",'Cover PivotTable'!$A$4,"Site",$A14,"Year",L$1,"Transect",$B14)),GETPIVOTDATA("Cover",'Cover PivotTable'!$A$4,"Site",$A14,"Year",L$1)=""), "",GETPIVOTDATA("Cover",'Cover PivotTable'!$A$4,"Site",$A14,"Year",L$1,"Transect",$B14))</f>
        <v/>
      </c>
      <c r="M14" s="17" t="str">
        <f>IF(OR(ISERROR(GETPIVOTDATA("Cover",'Cover PivotTable'!$A$4,"Site",$A14,"Year",M$1,"Transect",$B14)),GETPIVOTDATA("Cover",'Cover PivotTable'!$A$4,"Site",$A14,"Year",M$1)=""), "",GETPIVOTDATA("Cover",'Cover PivotTable'!$A$4,"Site",$A14,"Year",M$1,"Transect",$B14))</f>
        <v/>
      </c>
      <c r="N14" s="17" t="str">
        <f>IF(OR(ISERROR(GETPIVOTDATA("Cover",'Cover PivotTable'!$A$4,"Site",$A14,"Year",N$1,"Transect",$B14)),GETPIVOTDATA("Cover",'Cover PivotTable'!$A$4,"Site",$A14,"Year",N$1)=""), "",GETPIVOTDATA("Cover",'Cover PivotTable'!$A$4,"Site",$A14,"Year",N$1,"Transect",$B14))</f>
        <v/>
      </c>
      <c r="O14" s="17" t="str">
        <f>IF(OR(ISERROR(GETPIVOTDATA("Cover",'Cover PivotTable'!$A$4,"Site",$A14,"Year",O$1,"Transect",$B14)),GETPIVOTDATA("Cover",'Cover PivotTable'!$A$4,"Site",$A14,"Year",O$1)=""), "",GETPIVOTDATA("Cover",'Cover PivotTable'!$A$4,"Site",$A14,"Year",O$1,"Transect",$B14))</f>
        <v/>
      </c>
      <c r="P14">
        <v>10.5</v>
      </c>
    </row>
    <row r="15" spans="1:16" x14ac:dyDescent="0.35">
      <c r="A15" t="s">
        <v>35</v>
      </c>
      <c r="B15">
        <v>4.3</v>
      </c>
      <c r="C15" t="str">
        <f>IF(OR(ISERROR(GETPIVOTDATA("Cover",'Cover PivotTable'!$A$4,"Site",$A15,"Year",C$1,"Transect",$B15)),GETPIVOTDATA("Cover",'Cover PivotTable'!$A$4,"Site",$A15,"Year",C$1)=""), "",GETPIVOTDATA("Cover",'Cover PivotTable'!$A$4,"Site",$A15,"Year",C$1,"Transect",$B15))</f>
        <v/>
      </c>
      <c r="D15" s="17">
        <f>IF(OR(ISERROR(GETPIVOTDATA("Cover",'Cover PivotTable'!$A$4,"Site",$A15,"Year",D$1,"Transect",$B15)),GETPIVOTDATA("Cover",'Cover PivotTable'!$A$4,"Site",$A15,"Year",D$1)=""), "",GETPIVOTDATA("Cover",'Cover PivotTable'!$A$4,"Site",$A15,"Year",D$1,"Transect",$B15))</f>
        <v>8.2840236686390529</v>
      </c>
      <c r="E15" t="str">
        <f>IF(OR(ISERROR(GETPIVOTDATA("Cover",'Cover PivotTable'!$A$4,"Site",$A15,"Year",E$1,"Transect",$B15)),GETPIVOTDATA("Cover",'Cover PivotTable'!$A$4,"Site",$A15,"Year",E$1)=""), "",GETPIVOTDATA("Cover",'Cover PivotTable'!$A$4,"Site",$A15,"Year",E$1,"Transect",$B15))</f>
        <v/>
      </c>
      <c r="F15" t="str">
        <f>IF(OR(ISERROR(GETPIVOTDATA("Cover",'Cover PivotTable'!$A$4,"Site",$A15,"Year",F$1,"Transect",$B15)),GETPIVOTDATA("Cover",'Cover PivotTable'!$A$4,"Site",$A15,"Year",F$1)=""), "",GETPIVOTDATA("Cover",'Cover PivotTable'!$A$4,"Site",$A15,"Year",F$1,"Transect",$B15))</f>
        <v/>
      </c>
      <c r="G15" t="str">
        <f>IF(OR(ISERROR(GETPIVOTDATA("Cover",'Cover PivotTable'!$A$4,"Site",$A15,"Year",G$1,"Transect",$B15)),GETPIVOTDATA("Cover",'Cover PivotTable'!$A$4,"Site",$A15,"Year",G$1)=""), "",GETPIVOTDATA("Cover",'Cover PivotTable'!$A$4,"Site",$A15,"Year",G$1,"Transect",$B15))</f>
        <v/>
      </c>
      <c r="H15" t="str">
        <f>IF(OR(ISERROR(GETPIVOTDATA("Cover",'Cover PivotTable'!$A$4,"Site",$A15,"Year",H$1,"Transect",$B15)),GETPIVOTDATA("Cover",'Cover PivotTable'!$A$4,"Site",$A15,"Year",H$1)=""), "",GETPIVOTDATA("Cover",'Cover PivotTable'!$A$4,"Site",$A15,"Year",H$1,"Transect",$B15))</f>
        <v/>
      </c>
      <c r="I15" s="17">
        <f>IF(OR(ISERROR(GETPIVOTDATA("Cover",'Cover PivotTable'!$A$4,"Site",$A15,"Year",I$1,"Transect",$B15)),GETPIVOTDATA("Cover",'Cover PivotTable'!$A$4,"Site",$A15,"Year",I$1)=""), "",GETPIVOTDATA("Cover",'Cover PivotTable'!$A$4,"Site",$A15,"Year",I$1,"Transect",$B15))</f>
        <v>15.204678362573098</v>
      </c>
      <c r="J15" s="17" t="str">
        <f>IF(OR(ISERROR(GETPIVOTDATA("Cover",'Cover PivotTable'!$A$4,"Site",$A15,"Year",J$1,"Transect",$B15)),GETPIVOTDATA("Cover",'Cover PivotTable'!$A$4,"Site",$A15,"Year",J$1)=""), "",GETPIVOTDATA("Cover",'Cover PivotTable'!$A$4,"Site",$A15,"Year",J$1,"Transect",$B15))</f>
        <v/>
      </c>
      <c r="K15" s="17" t="str">
        <f>IF(OR(ISERROR(GETPIVOTDATA("Cover",'Cover PivotTable'!$A$4,"Site",$A15,"Year",K$1,"Transect",$B15)),GETPIVOTDATA("Cover",'Cover PivotTable'!$A$4,"Site",$A15,"Year",K$1)=""), "",GETPIVOTDATA("Cover",'Cover PivotTable'!$A$4,"Site",$A15,"Year",K$1,"Transect",$B15))</f>
        <v/>
      </c>
      <c r="L15" s="17" t="str">
        <f>IF(OR(ISERROR(GETPIVOTDATA("Cover",'Cover PivotTable'!$A$4,"Site",$A15,"Year",L$1,"Transect",$B15)),GETPIVOTDATA("Cover",'Cover PivotTable'!$A$4,"Site",$A15,"Year",L$1)=""), "",GETPIVOTDATA("Cover",'Cover PivotTable'!$A$4,"Site",$A15,"Year",L$1,"Transect",$B15))</f>
        <v/>
      </c>
      <c r="M15" s="17" t="str">
        <f>IF(OR(ISERROR(GETPIVOTDATA("Cover",'Cover PivotTable'!$A$4,"Site",$A15,"Year",M$1,"Transect",$B15)),GETPIVOTDATA("Cover",'Cover PivotTable'!$A$4,"Site",$A15,"Year",M$1)=""), "",GETPIVOTDATA("Cover",'Cover PivotTable'!$A$4,"Site",$A15,"Year",M$1,"Transect",$B15))</f>
        <v/>
      </c>
      <c r="N15" s="17" t="str">
        <f>IF(OR(ISERROR(GETPIVOTDATA("Cover",'Cover PivotTable'!$A$4,"Site",$A15,"Year",N$1,"Transect",$B15)),GETPIVOTDATA("Cover",'Cover PivotTable'!$A$4,"Site",$A15,"Year",N$1)=""), "",GETPIVOTDATA("Cover",'Cover PivotTable'!$A$4,"Site",$A15,"Year",N$1,"Transect",$B15))</f>
        <v/>
      </c>
      <c r="O15" s="17" t="str">
        <f>IF(OR(ISERROR(GETPIVOTDATA("Cover",'Cover PivotTable'!$A$4,"Site",$A15,"Year",O$1,"Transect",$B15)),GETPIVOTDATA("Cover",'Cover PivotTable'!$A$4,"Site",$A15,"Year",O$1)=""), "",GETPIVOTDATA("Cover",'Cover PivotTable'!$A$4,"Site",$A15,"Year",O$1,"Transect",$B15))</f>
        <v/>
      </c>
      <c r="P15">
        <v>16</v>
      </c>
    </row>
    <row r="16" spans="1:16" x14ac:dyDescent="0.35">
      <c r="A16" t="s">
        <v>35</v>
      </c>
      <c r="B16">
        <v>5.0999999999999996</v>
      </c>
      <c r="C16" t="str">
        <f>IF(OR(ISERROR(GETPIVOTDATA("Cover",'Cover PivotTable'!$A$4,"Site",$A16,"Year",C$1,"Transect",$B16)),GETPIVOTDATA("Cover",'Cover PivotTable'!$A$4,"Site",$A16,"Year",C$1)=""), "",GETPIVOTDATA("Cover",'Cover PivotTable'!$A$4,"Site",$A16,"Year",C$1,"Transect",$B16))</f>
        <v/>
      </c>
      <c r="D16">
        <f>IF(OR(ISERROR(GETPIVOTDATA("Cover",'Cover PivotTable'!$A$4,"Site",$A16,"Year",D$1,"Transect",$B16)),GETPIVOTDATA("Cover",'Cover PivotTable'!$A$4,"Site",$A16,"Year",D$1)=""), "",GETPIVOTDATA("Cover",'Cover PivotTable'!$A$4,"Site",$A16,"Year",D$1,"Transect",$B16))</f>
        <v>3.5000000000000004</v>
      </c>
      <c r="E16" t="str">
        <f>IF(OR(ISERROR(GETPIVOTDATA("Cover",'Cover PivotTable'!$A$4,"Site",$A16,"Year",E$1,"Transect",$B16)),GETPIVOTDATA("Cover",'Cover PivotTable'!$A$4,"Site",$A16,"Year",E$1)=""), "",GETPIVOTDATA("Cover",'Cover PivotTable'!$A$4,"Site",$A16,"Year",E$1,"Transect",$B16))</f>
        <v/>
      </c>
      <c r="F16" t="str">
        <f>IF(OR(ISERROR(GETPIVOTDATA("Cover",'Cover PivotTable'!$A$4,"Site",$A16,"Year",F$1,"Transect",$B16)),GETPIVOTDATA("Cover",'Cover PivotTable'!$A$4,"Site",$A16,"Year",F$1)=""), "",GETPIVOTDATA("Cover",'Cover PivotTable'!$A$4,"Site",$A16,"Year",F$1,"Transect",$B16))</f>
        <v/>
      </c>
      <c r="G16" t="str">
        <f>IF(OR(ISERROR(GETPIVOTDATA("Cover",'Cover PivotTable'!$A$4,"Site",$A16,"Year",G$1,"Transect",$B16)),GETPIVOTDATA("Cover",'Cover PivotTable'!$A$4,"Site",$A16,"Year",G$1)=""), "",GETPIVOTDATA("Cover",'Cover PivotTable'!$A$4,"Site",$A16,"Year",G$1,"Transect",$B16))</f>
        <v/>
      </c>
      <c r="H16" t="str">
        <f>IF(OR(ISERROR(GETPIVOTDATA("Cover",'Cover PivotTable'!$A$4,"Site",$A16,"Year",H$1,"Transect",$B16)),GETPIVOTDATA("Cover",'Cover PivotTable'!$A$4,"Site",$A16,"Year",H$1)=""), "",GETPIVOTDATA("Cover",'Cover PivotTable'!$A$4,"Site",$A16,"Year",H$1,"Transect",$B16))</f>
        <v/>
      </c>
      <c r="I16" s="17">
        <f>IF(OR(ISERROR(GETPIVOTDATA("Cover",'Cover PivotTable'!$A$4,"Site",$A16,"Year",I$1,"Transect",$B16)),GETPIVOTDATA("Cover",'Cover PivotTable'!$A$4,"Site",$A16,"Year",I$1)=""), "",GETPIVOTDATA("Cover",'Cover PivotTable'!$A$4,"Site",$A16,"Year",I$1,"Transect",$B16))</f>
        <v>28.999999999999996</v>
      </c>
      <c r="J16" s="17" t="str">
        <f>IF(OR(ISERROR(GETPIVOTDATA("Cover",'Cover PivotTable'!$A$4,"Site",$A16,"Year",J$1,"Transect",$B16)),GETPIVOTDATA("Cover",'Cover PivotTable'!$A$4,"Site",$A16,"Year",J$1)=""), "",GETPIVOTDATA("Cover",'Cover PivotTable'!$A$4,"Site",$A16,"Year",J$1,"Transect",$B16))</f>
        <v/>
      </c>
      <c r="K16" s="17" t="str">
        <f>IF(OR(ISERROR(GETPIVOTDATA("Cover",'Cover PivotTable'!$A$4,"Site",$A16,"Year",K$1,"Transect",$B16)),GETPIVOTDATA("Cover",'Cover PivotTable'!$A$4,"Site",$A16,"Year",K$1)=""), "",GETPIVOTDATA("Cover",'Cover PivotTable'!$A$4,"Site",$A16,"Year",K$1,"Transect",$B16))</f>
        <v/>
      </c>
      <c r="L16" s="17" t="str">
        <f>IF(OR(ISERROR(GETPIVOTDATA("Cover",'Cover PivotTable'!$A$4,"Site",$A16,"Year",L$1,"Transect",$B16)),GETPIVOTDATA("Cover",'Cover PivotTable'!$A$4,"Site",$A16,"Year",L$1)=""), "",GETPIVOTDATA("Cover",'Cover PivotTable'!$A$4,"Site",$A16,"Year",L$1,"Transect",$B16))</f>
        <v/>
      </c>
      <c r="M16" s="17" t="str">
        <f>IF(OR(ISERROR(GETPIVOTDATA("Cover",'Cover PivotTable'!$A$4,"Site",$A16,"Year",M$1,"Transect",$B16)),GETPIVOTDATA("Cover",'Cover PivotTable'!$A$4,"Site",$A16,"Year",M$1)=""), "",GETPIVOTDATA("Cover",'Cover PivotTable'!$A$4,"Site",$A16,"Year",M$1,"Transect",$B16))</f>
        <v/>
      </c>
      <c r="N16" s="17" t="str">
        <f>IF(OR(ISERROR(GETPIVOTDATA("Cover",'Cover PivotTable'!$A$4,"Site",$A16,"Year",N$1,"Transect",$B16)),GETPIVOTDATA("Cover",'Cover PivotTable'!$A$4,"Site",$A16,"Year",N$1)=""), "",GETPIVOTDATA("Cover",'Cover PivotTable'!$A$4,"Site",$A16,"Year",N$1,"Transect",$B16))</f>
        <v/>
      </c>
      <c r="O16" s="17" t="str">
        <f>IF(OR(ISERROR(GETPIVOTDATA("Cover",'Cover PivotTable'!$A$4,"Site",$A16,"Year",O$1,"Transect",$B16)),GETPIVOTDATA("Cover",'Cover PivotTable'!$A$4,"Site",$A16,"Year",O$1)=""), "",GETPIVOTDATA("Cover",'Cover PivotTable'!$A$4,"Site",$A16,"Year",O$1,"Transect",$B16))</f>
        <v/>
      </c>
    </row>
    <row r="17" spans="1:16" x14ac:dyDescent="0.35">
      <c r="A17" t="s">
        <v>35</v>
      </c>
      <c r="B17">
        <v>5.2</v>
      </c>
      <c r="C17" t="str">
        <f>IF(OR(ISERROR(GETPIVOTDATA("Cover",'Cover PivotTable'!$A$4,"Site",$A17,"Year",C$1,"Transect",$B17)),GETPIVOTDATA("Cover",'Cover PivotTable'!$A$4,"Site",$A17,"Year",C$1)=""), "",GETPIVOTDATA("Cover",'Cover PivotTable'!$A$4,"Site",$A17,"Year",C$1,"Transect",$B17))</f>
        <v/>
      </c>
      <c r="D17">
        <f>IF(OR(ISERROR(GETPIVOTDATA("Cover",'Cover PivotTable'!$A$4,"Site",$A17,"Year",D$1,"Transect",$B17)),GETPIVOTDATA("Cover",'Cover PivotTable'!$A$4,"Site",$A17,"Year",D$1)=""), "",GETPIVOTDATA("Cover",'Cover PivotTable'!$A$4,"Site",$A17,"Year",D$1,"Transect",$B17))</f>
        <v>7</v>
      </c>
      <c r="E17" t="str">
        <f>IF(OR(ISERROR(GETPIVOTDATA("Cover",'Cover PivotTable'!$A$4,"Site",$A17,"Year",E$1,"Transect",$B17)),GETPIVOTDATA("Cover",'Cover PivotTable'!$A$4,"Site",$A17,"Year",E$1)=""), "",GETPIVOTDATA("Cover",'Cover PivotTable'!$A$4,"Site",$A17,"Year",E$1,"Transect",$B17))</f>
        <v/>
      </c>
      <c r="F17" t="str">
        <f>IF(OR(ISERROR(GETPIVOTDATA("Cover",'Cover PivotTable'!$A$4,"Site",$A17,"Year",F$1,"Transect",$B17)),GETPIVOTDATA("Cover",'Cover PivotTable'!$A$4,"Site",$A17,"Year",F$1)=""), "",GETPIVOTDATA("Cover",'Cover PivotTable'!$A$4,"Site",$A17,"Year",F$1,"Transect",$B17))</f>
        <v/>
      </c>
      <c r="G17" t="str">
        <f>IF(OR(ISERROR(GETPIVOTDATA("Cover",'Cover PivotTable'!$A$4,"Site",$A17,"Year",G$1,"Transect",$B17)),GETPIVOTDATA("Cover",'Cover PivotTable'!$A$4,"Site",$A17,"Year",G$1)=""), "",GETPIVOTDATA("Cover",'Cover PivotTable'!$A$4,"Site",$A17,"Year",G$1,"Transect",$B17))</f>
        <v/>
      </c>
      <c r="H17" t="str">
        <f>IF(OR(ISERROR(GETPIVOTDATA("Cover",'Cover PivotTable'!$A$4,"Site",$A17,"Year",H$1,"Transect",$B17)),GETPIVOTDATA("Cover",'Cover PivotTable'!$A$4,"Site",$A17,"Year",H$1)=""), "",GETPIVOTDATA("Cover",'Cover PivotTable'!$A$4,"Site",$A17,"Year",H$1,"Transect",$B17))</f>
        <v/>
      </c>
      <c r="I17" s="17">
        <f>IF(OR(ISERROR(GETPIVOTDATA("Cover",'Cover PivotTable'!$A$4,"Site",$A17,"Year",I$1,"Transect",$B17)),GETPIVOTDATA("Cover",'Cover PivotTable'!$A$4,"Site",$A17,"Year",I$1)=""), "",GETPIVOTDATA("Cover",'Cover PivotTable'!$A$4,"Site",$A17,"Year",I$1,"Transect",$B17))</f>
        <v>20</v>
      </c>
      <c r="J17" s="17" t="str">
        <f>IF(OR(ISERROR(GETPIVOTDATA("Cover",'Cover PivotTable'!$A$4,"Site",$A17,"Year",J$1,"Transect",$B17)),GETPIVOTDATA("Cover",'Cover PivotTable'!$A$4,"Site",$A17,"Year",J$1)=""), "",GETPIVOTDATA("Cover",'Cover PivotTable'!$A$4,"Site",$A17,"Year",J$1,"Transect",$B17))</f>
        <v/>
      </c>
      <c r="K17" s="17" t="str">
        <f>IF(OR(ISERROR(GETPIVOTDATA("Cover",'Cover PivotTable'!$A$4,"Site",$A17,"Year",K$1,"Transect",$B17)),GETPIVOTDATA("Cover",'Cover PivotTable'!$A$4,"Site",$A17,"Year",K$1)=""), "",GETPIVOTDATA("Cover",'Cover PivotTable'!$A$4,"Site",$A17,"Year",K$1,"Transect",$B17))</f>
        <v/>
      </c>
      <c r="L17" s="17" t="str">
        <f>IF(OR(ISERROR(GETPIVOTDATA("Cover",'Cover PivotTable'!$A$4,"Site",$A17,"Year",L$1,"Transect",$B17)),GETPIVOTDATA("Cover",'Cover PivotTable'!$A$4,"Site",$A17,"Year",L$1)=""), "",GETPIVOTDATA("Cover",'Cover PivotTable'!$A$4,"Site",$A17,"Year",L$1,"Transect",$B17))</f>
        <v/>
      </c>
      <c r="M17" s="17" t="str">
        <f>IF(OR(ISERROR(GETPIVOTDATA("Cover",'Cover PivotTable'!$A$4,"Site",$A17,"Year",M$1,"Transect",$B17)),GETPIVOTDATA("Cover",'Cover PivotTable'!$A$4,"Site",$A17,"Year",M$1)=""), "",GETPIVOTDATA("Cover",'Cover PivotTable'!$A$4,"Site",$A17,"Year",M$1,"Transect",$B17))</f>
        <v/>
      </c>
      <c r="N17" s="17" t="str">
        <f>IF(OR(ISERROR(GETPIVOTDATA("Cover",'Cover PivotTable'!$A$4,"Site",$A17,"Year",N$1,"Transect",$B17)),GETPIVOTDATA("Cover",'Cover PivotTable'!$A$4,"Site",$A17,"Year",N$1)=""), "",GETPIVOTDATA("Cover",'Cover PivotTable'!$A$4,"Site",$A17,"Year",N$1,"Transect",$B17))</f>
        <v/>
      </c>
      <c r="O17" s="17" t="str">
        <f>IF(OR(ISERROR(GETPIVOTDATA("Cover",'Cover PivotTable'!$A$4,"Site",$A17,"Year",O$1,"Transect",$B17)),GETPIVOTDATA("Cover",'Cover PivotTable'!$A$4,"Site",$A17,"Year",O$1)=""), "",GETPIVOTDATA("Cover",'Cover PivotTable'!$A$4,"Site",$A17,"Year",O$1,"Transect",$B17))</f>
        <v/>
      </c>
    </row>
    <row r="18" spans="1:16" x14ac:dyDescent="0.35">
      <c r="A18" t="s">
        <v>35</v>
      </c>
      <c r="B18">
        <v>5.3</v>
      </c>
      <c r="C18" t="str">
        <f>IF(OR(ISERROR(GETPIVOTDATA("Cover",'Cover PivotTable'!$A$4,"Site",$A18,"Year",C$1,"Transect",$B18)),GETPIVOTDATA("Cover",'Cover PivotTable'!$A$4,"Site",$A18,"Year",C$1)=""), "",GETPIVOTDATA("Cover",'Cover PivotTable'!$A$4,"Site",$A18,"Year",C$1,"Transect",$B18))</f>
        <v/>
      </c>
      <c r="D18" s="17">
        <f>IF(OR(ISERROR(GETPIVOTDATA("Cover",'Cover PivotTable'!$A$4,"Site",$A18,"Year",D$1,"Transect",$B18)),GETPIVOTDATA("Cover",'Cover PivotTable'!$A$4,"Site",$A18,"Year",D$1)=""), "",GETPIVOTDATA("Cover",'Cover PivotTable'!$A$4,"Site",$A18,"Year",D$1,"Transect",$B18))</f>
        <v>11.607142857142858</v>
      </c>
      <c r="E18" t="str">
        <f>IF(OR(ISERROR(GETPIVOTDATA("Cover",'Cover PivotTable'!$A$4,"Site",$A18,"Year",E$1,"Transect",$B18)),GETPIVOTDATA("Cover",'Cover PivotTable'!$A$4,"Site",$A18,"Year",E$1)=""), "",GETPIVOTDATA("Cover",'Cover PivotTable'!$A$4,"Site",$A18,"Year",E$1,"Transect",$B18))</f>
        <v/>
      </c>
      <c r="F18" t="str">
        <f>IF(OR(ISERROR(GETPIVOTDATA("Cover",'Cover PivotTable'!$A$4,"Site",$A18,"Year",F$1,"Transect",$B18)),GETPIVOTDATA("Cover",'Cover PivotTable'!$A$4,"Site",$A18,"Year",F$1)=""), "",GETPIVOTDATA("Cover",'Cover PivotTable'!$A$4,"Site",$A18,"Year",F$1,"Transect",$B18))</f>
        <v/>
      </c>
      <c r="G18" t="str">
        <f>IF(OR(ISERROR(GETPIVOTDATA("Cover",'Cover PivotTable'!$A$4,"Site",$A18,"Year",G$1,"Transect",$B18)),GETPIVOTDATA("Cover",'Cover PivotTable'!$A$4,"Site",$A18,"Year",G$1)=""), "",GETPIVOTDATA("Cover",'Cover PivotTable'!$A$4,"Site",$A18,"Year",G$1,"Transect",$B18))</f>
        <v/>
      </c>
      <c r="H18" t="str">
        <f>IF(OR(ISERROR(GETPIVOTDATA("Cover",'Cover PivotTable'!$A$4,"Site",$A18,"Year",H$1,"Transect",$B18)),GETPIVOTDATA("Cover",'Cover PivotTable'!$A$4,"Site",$A18,"Year",H$1)=""), "",GETPIVOTDATA("Cover",'Cover PivotTable'!$A$4,"Site",$A18,"Year",H$1,"Transect",$B18))</f>
        <v/>
      </c>
      <c r="I18" s="17">
        <f>IF(OR(ISERROR(GETPIVOTDATA("Cover",'Cover PivotTable'!$A$4,"Site",$A18,"Year",I$1,"Transect",$B18)),GETPIVOTDATA("Cover",'Cover PivotTable'!$A$4,"Site",$A18,"Year",I$1)=""), "",GETPIVOTDATA("Cover",'Cover PivotTable'!$A$4,"Site",$A18,"Year",I$1,"Transect",$B18))</f>
        <v>25.663716814159294</v>
      </c>
      <c r="J18" s="17" t="str">
        <f>IF(OR(ISERROR(GETPIVOTDATA("Cover",'Cover PivotTable'!$A$4,"Site",$A18,"Year",J$1,"Transect",$B18)),GETPIVOTDATA("Cover",'Cover PivotTable'!$A$4,"Site",$A18,"Year",J$1)=""), "",GETPIVOTDATA("Cover",'Cover PivotTable'!$A$4,"Site",$A18,"Year",J$1,"Transect",$B18))</f>
        <v/>
      </c>
      <c r="K18" s="17" t="str">
        <f>IF(OR(ISERROR(GETPIVOTDATA("Cover",'Cover PivotTable'!$A$4,"Site",$A18,"Year",K$1,"Transect",$B18)),GETPIVOTDATA("Cover",'Cover PivotTable'!$A$4,"Site",$A18,"Year",K$1)=""), "",GETPIVOTDATA("Cover",'Cover PivotTable'!$A$4,"Site",$A18,"Year",K$1,"Transect",$B18))</f>
        <v/>
      </c>
      <c r="L18" s="17" t="str">
        <f>IF(OR(ISERROR(GETPIVOTDATA("Cover",'Cover PivotTable'!$A$4,"Site",$A18,"Year",L$1,"Transect",$B18)),GETPIVOTDATA("Cover",'Cover PivotTable'!$A$4,"Site",$A18,"Year",L$1)=""), "",GETPIVOTDATA("Cover",'Cover PivotTable'!$A$4,"Site",$A18,"Year",L$1,"Transect",$B18))</f>
        <v/>
      </c>
      <c r="M18" s="17" t="str">
        <f>IF(OR(ISERROR(GETPIVOTDATA("Cover",'Cover PivotTable'!$A$4,"Site",$A18,"Year",M$1,"Transect",$B18)),GETPIVOTDATA("Cover",'Cover PivotTable'!$A$4,"Site",$A18,"Year",M$1)=""), "",GETPIVOTDATA("Cover",'Cover PivotTable'!$A$4,"Site",$A18,"Year",M$1,"Transect",$B18))</f>
        <v/>
      </c>
      <c r="N18" s="17" t="str">
        <f>IF(OR(ISERROR(GETPIVOTDATA("Cover",'Cover PivotTable'!$A$4,"Site",$A18,"Year",N$1,"Transect",$B18)),GETPIVOTDATA("Cover",'Cover PivotTable'!$A$4,"Site",$A18,"Year",N$1)=""), "",GETPIVOTDATA("Cover",'Cover PivotTable'!$A$4,"Site",$A18,"Year",N$1,"Transect",$B18))</f>
        <v/>
      </c>
      <c r="O18" s="17" t="str">
        <f>IF(OR(ISERROR(GETPIVOTDATA("Cover",'Cover PivotTable'!$A$4,"Site",$A18,"Year",O$1,"Transect",$B18)),GETPIVOTDATA("Cover",'Cover PivotTable'!$A$4,"Site",$A18,"Year",O$1)=""), "",GETPIVOTDATA("Cover",'Cover PivotTable'!$A$4,"Site",$A18,"Year",O$1,"Transect",$B18))</f>
        <v/>
      </c>
    </row>
    <row r="19" spans="1:16" x14ac:dyDescent="0.35">
      <c r="A19" t="s">
        <v>35</v>
      </c>
      <c r="B19">
        <v>6.1</v>
      </c>
      <c r="C19" t="str">
        <f>IF(OR(ISERROR(GETPIVOTDATA("Cover",'Cover PivotTable'!$A$4,"Site",$A19,"Year",C$1,"Transect",$B19)),GETPIVOTDATA("Cover",'Cover PivotTable'!$A$4,"Site",$A19,"Year",C$1)=""), "",GETPIVOTDATA("Cover",'Cover PivotTable'!$A$4,"Site",$A19,"Year",C$1,"Transect",$B19))</f>
        <v/>
      </c>
      <c r="D19" s="17">
        <f>IF(OR(ISERROR(GETPIVOTDATA("Cover",'Cover PivotTable'!$A$4,"Site",$A19,"Year",D$1,"Transect",$B19)),GETPIVOTDATA("Cover",'Cover PivotTable'!$A$4,"Site",$A19,"Year",D$1)=""), "",GETPIVOTDATA("Cover",'Cover PivotTable'!$A$4,"Site",$A19,"Year",D$1,"Transect",$B19))</f>
        <v>7.7720207253886011</v>
      </c>
      <c r="E19" t="str">
        <f>IF(OR(ISERROR(GETPIVOTDATA("Cover",'Cover PivotTable'!$A$4,"Site",$A19,"Year",E$1,"Transect",$B19)),GETPIVOTDATA("Cover",'Cover PivotTable'!$A$4,"Site",$A19,"Year",E$1)=""), "",GETPIVOTDATA("Cover",'Cover PivotTable'!$A$4,"Site",$A19,"Year",E$1,"Transect",$B19))</f>
        <v/>
      </c>
      <c r="F19" t="str">
        <f>IF(OR(ISERROR(GETPIVOTDATA("Cover",'Cover PivotTable'!$A$4,"Site",$A19,"Year",F$1,"Transect",$B19)),GETPIVOTDATA("Cover",'Cover PivotTable'!$A$4,"Site",$A19,"Year",F$1)=""), "",GETPIVOTDATA("Cover",'Cover PivotTable'!$A$4,"Site",$A19,"Year",F$1,"Transect",$B19))</f>
        <v/>
      </c>
      <c r="G19" t="str">
        <f>IF(OR(ISERROR(GETPIVOTDATA("Cover",'Cover PivotTable'!$A$4,"Site",$A19,"Year",G$1,"Transect",$B19)),GETPIVOTDATA("Cover",'Cover PivotTable'!$A$4,"Site",$A19,"Year",G$1)=""), "",GETPIVOTDATA("Cover",'Cover PivotTable'!$A$4,"Site",$A19,"Year",G$1,"Transect",$B19))</f>
        <v/>
      </c>
      <c r="H19" t="str">
        <f>IF(OR(ISERROR(GETPIVOTDATA("Cover",'Cover PivotTable'!$A$4,"Site",$A19,"Year",H$1,"Transect",$B19)),GETPIVOTDATA("Cover",'Cover PivotTable'!$A$4,"Site",$A19,"Year",H$1)=""), "",GETPIVOTDATA("Cover",'Cover PivotTable'!$A$4,"Site",$A19,"Year",H$1,"Transect",$B19))</f>
        <v/>
      </c>
      <c r="I19" s="17">
        <f>IF(OR(ISERROR(GETPIVOTDATA("Cover",'Cover PivotTable'!$A$4,"Site",$A19,"Year",I$1,"Transect",$B19)),GETPIVOTDATA("Cover",'Cover PivotTable'!$A$4,"Site",$A19,"Year",I$1)=""), "",GETPIVOTDATA("Cover",'Cover PivotTable'!$A$4,"Site",$A19,"Year",I$1,"Transect",$B19))</f>
        <v>35.567010309278352</v>
      </c>
      <c r="J19" s="17" t="str">
        <f>IF(OR(ISERROR(GETPIVOTDATA("Cover",'Cover PivotTable'!$A$4,"Site",$A19,"Year",J$1,"Transect",$B19)),GETPIVOTDATA("Cover",'Cover PivotTable'!$A$4,"Site",$A19,"Year",J$1)=""), "",GETPIVOTDATA("Cover",'Cover PivotTable'!$A$4,"Site",$A19,"Year",J$1,"Transect",$B19))</f>
        <v/>
      </c>
      <c r="K19" s="17" t="str">
        <f>IF(OR(ISERROR(GETPIVOTDATA("Cover",'Cover PivotTable'!$A$4,"Site",$A19,"Year",K$1,"Transect",$B19)),GETPIVOTDATA("Cover",'Cover PivotTable'!$A$4,"Site",$A19,"Year",K$1)=""), "",GETPIVOTDATA("Cover",'Cover PivotTable'!$A$4,"Site",$A19,"Year",K$1,"Transect",$B19))</f>
        <v/>
      </c>
      <c r="L19" s="17" t="str">
        <f>IF(OR(ISERROR(GETPIVOTDATA("Cover",'Cover PivotTable'!$A$4,"Site",$A19,"Year",L$1,"Transect",$B19)),GETPIVOTDATA("Cover",'Cover PivotTable'!$A$4,"Site",$A19,"Year",L$1)=""), "",GETPIVOTDATA("Cover",'Cover PivotTable'!$A$4,"Site",$A19,"Year",L$1,"Transect",$B19))</f>
        <v/>
      </c>
      <c r="M19" s="17" t="str">
        <f>IF(OR(ISERROR(GETPIVOTDATA("Cover",'Cover PivotTable'!$A$4,"Site",$A19,"Year",M$1,"Transect",$B19)),GETPIVOTDATA("Cover",'Cover PivotTable'!$A$4,"Site",$A19,"Year",M$1)=""), "",GETPIVOTDATA("Cover",'Cover PivotTable'!$A$4,"Site",$A19,"Year",M$1,"Transect",$B19))</f>
        <v/>
      </c>
      <c r="N19" s="17" t="str">
        <f>IF(OR(ISERROR(GETPIVOTDATA("Cover",'Cover PivotTable'!$A$4,"Site",$A19,"Year",N$1,"Transect",$B19)),GETPIVOTDATA("Cover",'Cover PivotTable'!$A$4,"Site",$A19,"Year",N$1)=""), "",GETPIVOTDATA("Cover",'Cover PivotTable'!$A$4,"Site",$A19,"Year",N$1,"Transect",$B19))</f>
        <v/>
      </c>
      <c r="O19" s="17" t="str">
        <f>IF(OR(ISERROR(GETPIVOTDATA("Cover",'Cover PivotTable'!$A$4,"Site",$A19,"Year",O$1,"Transect",$B19)),GETPIVOTDATA("Cover",'Cover PivotTable'!$A$4,"Site",$A19,"Year",O$1)=""), "",GETPIVOTDATA("Cover",'Cover PivotTable'!$A$4,"Site",$A19,"Year",O$1,"Transect",$B19))</f>
        <v/>
      </c>
    </row>
    <row r="20" spans="1:16" ht="15" thickBot="1" x14ac:dyDescent="0.4">
      <c r="A20" s="19"/>
      <c r="B20" s="19"/>
      <c r="C20" s="19"/>
      <c r="D20" s="19"/>
      <c r="E20" s="19"/>
      <c r="F20" s="19"/>
      <c r="G20" s="19"/>
      <c r="H20" s="19"/>
      <c r="I20" s="19"/>
      <c r="J20" s="19"/>
      <c r="K20" s="19"/>
      <c r="L20" s="19"/>
      <c r="M20" s="19"/>
      <c r="N20" s="19"/>
      <c r="O20" s="19"/>
    </row>
    <row r="22" spans="1:16" x14ac:dyDescent="0.35">
      <c r="A22" t="s">
        <v>274</v>
      </c>
      <c r="C22" s="17" t="str">
        <f t="shared" ref="C22:I22" si="0">IF(SUM(C2:C19)=0, "", AVERAGE(C2:C19))</f>
        <v/>
      </c>
      <c r="D22" s="17">
        <f t="shared" si="0"/>
        <v>4.9643044761821109</v>
      </c>
      <c r="E22" s="17" t="str">
        <f t="shared" si="0"/>
        <v/>
      </c>
      <c r="F22" s="17" t="str">
        <f t="shared" si="0"/>
        <v/>
      </c>
      <c r="G22" s="17" t="str">
        <f t="shared" si="0"/>
        <v/>
      </c>
      <c r="H22" s="17" t="str">
        <f t="shared" si="0"/>
        <v/>
      </c>
      <c r="I22" s="17">
        <f t="shared" si="0"/>
        <v>16.545422353650721</v>
      </c>
      <c r="J22" s="17" t="str">
        <f t="shared" ref="J22:O22" si="1">IF(SUM(J2:J19)=0, "", AVERAGE(J2:J19))</f>
        <v/>
      </c>
      <c r="K22" s="17" t="str">
        <f t="shared" si="1"/>
        <v/>
      </c>
      <c r="L22" s="17" t="str">
        <f t="shared" si="1"/>
        <v/>
      </c>
      <c r="M22" s="17" t="str">
        <f t="shared" si="1"/>
        <v/>
      </c>
      <c r="N22" s="17" t="str">
        <f t="shared" si="1"/>
        <v/>
      </c>
      <c r="O22" s="17" t="str">
        <f t="shared" si="1"/>
        <v/>
      </c>
      <c r="P22" s="17">
        <f>AVERAGE(P2:P15)</f>
        <v>9.0340531561461805</v>
      </c>
    </row>
    <row r="23" spans="1:16" x14ac:dyDescent="0.35">
      <c r="A23" t="s">
        <v>275</v>
      </c>
      <c r="C23" s="17" t="str">
        <f t="shared" ref="C23:I23" si="2">IF(SUM(C2:C19)=0, "",STDEV(C2:C19))</f>
        <v/>
      </c>
      <c r="D23" s="17">
        <f t="shared" si="2"/>
        <v>4.0374627572672157</v>
      </c>
      <c r="E23" s="17" t="str">
        <f t="shared" si="2"/>
        <v/>
      </c>
      <c r="F23" s="17" t="str">
        <f t="shared" si="2"/>
        <v/>
      </c>
      <c r="G23" s="17" t="str">
        <f t="shared" si="2"/>
        <v/>
      </c>
      <c r="H23" s="17" t="str">
        <f t="shared" si="2"/>
        <v/>
      </c>
      <c r="I23" s="17">
        <f t="shared" si="2"/>
        <v>8.7875836453682208</v>
      </c>
      <c r="J23" s="17" t="str">
        <f t="shared" ref="J23:P23" si="3">IF(SUM(J2:J19)=0, "",STDEV(J2:J19))</f>
        <v/>
      </c>
      <c r="K23" s="17" t="str">
        <f t="shared" si="3"/>
        <v/>
      </c>
      <c r="L23" s="17" t="str">
        <f t="shared" si="3"/>
        <v/>
      </c>
      <c r="M23" s="17" t="str">
        <f t="shared" si="3"/>
        <v/>
      </c>
      <c r="N23" s="17" t="str">
        <f t="shared" si="3"/>
        <v/>
      </c>
      <c r="O23" s="17" t="str">
        <f t="shared" si="3"/>
        <v/>
      </c>
      <c r="P23" s="17">
        <f t="shared" si="3"/>
        <v>6.8490725337561491</v>
      </c>
    </row>
    <row r="24" spans="1:16" x14ac:dyDescent="0.35">
      <c r="A24" t="s">
        <v>276</v>
      </c>
      <c r="C24" s="16" t="str">
        <f t="shared" ref="C24:I24" si="4">IF(SUM(C2:C19)=0,"",_xlfn.CONFIDENCE.T(0.2,C23,COUNT(C2:C19)))</f>
        <v/>
      </c>
      <c r="D24" s="16">
        <f t="shared" si="4"/>
        <v>1.2688959599272789</v>
      </c>
      <c r="E24" s="16" t="str">
        <f t="shared" si="4"/>
        <v/>
      </c>
      <c r="F24" s="16" t="str">
        <f t="shared" si="4"/>
        <v/>
      </c>
      <c r="G24" s="16" t="str">
        <f t="shared" si="4"/>
        <v/>
      </c>
      <c r="H24" s="16" t="str">
        <f t="shared" si="4"/>
        <v/>
      </c>
      <c r="I24" s="16">
        <f t="shared" si="4"/>
        <v>2.7617664992848319</v>
      </c>
      <c r="J24" s="16" t="str">
        <f t="shared" ref="J24:P24" si="5">IF(SUM(J2:J19)=0,"",_xlfn.CONFIDENCE.T(0.2,J23,COUNT(J2:J19)))</f>
        <v/>
      </c>
      <c r="K24" s="16" t="str">
        <f t="shared" si="5"/>
        <v/>
      </c>
      <c r="L24" s="16" t="str">
        <f t="shared" si="5"/>
        <v/>
      </c>
      <c r="M24" s="16" t="str">
        <f t="shared" si="5"/>
        <v/>
      </c>
      <c r="N24" s="16" t="str">
        <f t="shared" si="5"/>
        <v/>
      </c>
      <c r="O24" s="16" t="str">
        <f t="shared" si="5"/>
        <v/>
      </c>
      <c r="P24" s="16">
        <f t="shared" si="5"/>
        <v>2.4714772449603544</v>
      </c>
    </row>
    <row r="25" spans="1:16" x14ac:dyDescent="0.35">
      <c r="A25" t="s">
        <v>277</v>
      </c>
      <c r="C25" s="17" t="str">
        <f>IF(C24="","",C22+C24)</f>
        <v/>
      </c>
      <c r="D25" s="17">
        <f t="shared" ref="D25:I25" si="6">IF(D24="","",D22+D24)</f>
        <v>6.2332004361093896</v>
      </c>
      <c r="E25" s="17" t="str">
        <f t="shared" si="6"/>
        <v/>
      </c>
      <c r="F25" s="17" t="str">
        <f t="shared" si="6"/>
        <v/>
      </c>
      <c r="G25" s="17" t="str">
        <f t="shared" si="6"/>
        <v/>
      </c>
      <c r="H25" s="17" t="str">
        <f t="shared" si="6"/>
        <v/>
      </c>
      <c r="I25" s="17">
        <f t="shared" si="6"/>
        <v>19.307188852935553</v>
      </c>
      <c r="J25" s="17" t="str">
        <f t="shared" ref="J25:P25" si="7">IF(J24="","",J22+J24)</f>
        <v/>
      </c>
      <c r="K25" s="17" t="str">
        <f t="shared" si="7"/>
        <v/>
      </c>
      <c r="L25" s="17" t="str">
        <f t="shared" si="7"/>
        <v/>
      </c>
      <c r="M25" s="17" t="str">
        <f t="shared" si="7"/>
        <v/>
      </c>
      <c r="N25" s="17" t="str">
        <f t="shared" si="7"/>
        <v/>
      </c>
      <c r="O25" s="17" t="str">
        <f t="shared" si="7"/>
        <v/>
      </c>
      <c r="P25" s="17">
        <f t="shared" si="7"/>
        <v>11.505530401106535</v>
      </c>
    </row>
    <row r="27" spans="1:16" x14ac:dyDescent="0.35">
      <c r="A27" t="s">
        <v>270</v>
      </c>
      <c r="C27" s="17">
        <f t="shared" ref="C27:P27" si="8">VLOOKUP($A$2, TargetCover, 2, FALSE)*0.9</f>
        <v>15.3</v>
      </c>
      <c r="D27" s="17">
        <f t="shared" si="8"/>
        <v>15.3</v>
      </c>
      <c r="E27" s="17">
        <f t="shared" si="8"/>
        <v>15.3</v>
      </c>
      <c r="F27" s="17">
        <f t="shared" si="8"/>
        <v>15.3</v>
      </c>
      <c r="G27" s="17">
        <f t="shared" si="8"/>
        <v>15.3</v>
      </c>
      <c r="H27" s="17">
        <f t="shared" si="8"/>
        <v>15.3</v>
      </c>
      <c r="I27" s="17">
        <f t="shared" si="8"/>
        <v>15.3</v>
      </c>
      <c r="J27" s="17">
        <f t="shared" si="8"/>
        <v>15.3</v>
      </c>
      <c r="K27" s="17">
        <f t="shared" si="8"/>
        <v>15.3</v>
      </c>
      <c r="L27" s="17">
        <f t="shared" si="8"/>
        <v>15.3</v>
      </c>
      <c r="M27" s="17">
        <f t="shared" si="8"/>
        <v>15.3</v>
      </c>
      <c r="N27" s="17">
        <f t="shared" si="8"/>
        <v>15.3</v>
      </c>
      <c r="O27" s="17">
        <f t="shared" si="8"/>
        <v>15.3</v>
      </c>
      <c r="P27" s="17">
        <f t="shared" si="8"/>
        <v>15.3</v>
      </c>
    </row>
    <row r="28" spans="1:16" x14ac:dyDescent="0.35">
      <c r="A28" t="s">
        <v>283</v>
      </c>
      <c r="C28" s="17" t="str">
        <f t="shared" ref="C28:I28" si="9">IF(C25="","",C25-C27)</f>
        <v/>
      </c>
      <c r="D28" s="17">
        <f t="shared" si="9"/>
        <v>-9.066799563890612</v>
      </c>
      <c r="E28" s="17" t="str">
        <f t="shared" si="9"/>
        <v/>
      </c>
      <c r="F28" s="17" t="str">
        <f t="shared" si="9"/>
        <v/>
      </c>
      <c r="G28" s="17" t="str">
        <f t="shared" si="9"/>
        <v/>
      </c>
      <c r="H28" s="17" t="str">
        <f t="shared" si="9"/>
        <v/>
      </c>
      <c r="I28" s="17">
        <f t="shared" si="9"/>
        <v>4.0071888529355526</v>
      </c>
      <c r="J28" s="17" t="str">
        <f t="shared" ref="J28:P28" si="10">IF(J25="","",J25-J27)</f>
        <v/>
      </c>
      <c r="K28" s="17" t="str">
        <f t="shared" si="10"/>
        <v/>
      </c>
      <c r="L28" s="17" t="str">
        <f t="shared" si="10"/>
        <v/>
      </c>
      <c r="M28" s="17" t="str">
        <f t="shared" si="10"/>
        <v/>
      </c>
      <c r="N28" s="17" t="str">
        <f t="shared" si="10"/>
        <v/>
      </c>
      <c r="O28" s="17" t="str">
        <f t="shared" si="10"/>
        <v/>
      </c>
      <c r="P28" s="17">
        <f t="shared" si="10"/>
        <v>-3.7944695988934658</v>
      </c>
    </row>
    <row r="29" spans="1:16" x14ac:dyDescent="0.35">
      <c r="A29" t="s">
        <v>279</v>
      </c>
      <c r="C29" t="str">
        <f>IF(C28="","",C28&gt;=0)</f>
        <v/>
      </c>
      <c r="D29" t="b">
        <f t="shared" ref="D29:I29" si="11">IF(D28="","",D28&gt;=0)</f>
        <v>0</v>
      </c>
      <c r="E29" t="str">
        <f t="shared" si="11"/>
        <v/>
      </c>
      <c r="F29" t="str">
        <f t="shared" si="11"/>
        <v/>
      </c>
      <c r="G29" t="str">
        <f t="shared" si="11"/>
        <v/>
      </c>
      <c r="H29" t="str">
        <f t="shared" si="11"/>
        <v/>
      </c>
      <c r="I29" t="b">
        <f t="shared" si="11"/>
        <v>1</v>
      </c>
      <c r="J29" t="str">
        <f t="shared" ref="J29:P29" si="12">IF(J28="","",J28&gt;=0)</f>
        <v/>
      </c>
      <c r="K29" t="str">
        <f t="shared" si="12"/>
        <v/>
      </c>
      <c r="L29" t="str">
        <f t="shared" si="12"/>
        <v/>
      </c>
      <c r="M29" t="str">
        <f t="shared" si="12"/>
        <v/>
      </c>
      <c r="N29" t="str">
        <f t="shared" si="12"/>
        <v/>
      </c>
      <c r="O29" t="str">
        <f t="shared" si="12"/>
        <v/>
      </c>
      <c r="P29" t="b">
        <f t="shared" si="12"/>
        <v>0</v>
      </c>
    </row>
    <row r="30" spans="1:16" x14ac:dyDescent="0.35">
      <c r="A30" s="20"/>
      <c r="B30" s="20"/>
      <c r="C30" s="20"/>
      <c r="D30" s="20"/>
      <c r="E30" s="20"/>
      <c r="F30" s="20"/>
      <c r="G30" s="20"/>
      <c r="H30" s="20"/>
      <c r="I30" s="20"/>
      <c r="J30" s="20"/>
      <c r="K30" s="20"/>
      <c r="L30" s="20"/>
      <c r="M30" s="20"/>
      <c r="N30" s="20"/>
      <c r="O30" s="20"/>
    </row>
    <row r="32" spans="1:16" x14ac:dyDescent="0.35">
      <c r="A32" t="s">
        <v>280</v>
      </c>
      <c r="C32" t="str">
        <f>IF(GETPIVOTDATA("Helper_SPP",'Species Richness PivotTable'!$A$4,"Site",$A$2,"Year",C$1)="", "", GETPIVOTDATA("Helper_SPP",'Species Richness PivotTable'!$A$4,"Site",$A$2,"Year",C$1))</f>
        <v/>
      </c>
      <c r="D32">
        <f>IF(GETPIVOTDATA("Helper_SPP",'Species Richness PivotTable'!$A$4,"Site",$A$2,"Year",D$1)="", "", GETPIVOTDATA("Helper_SPP",'Species Richness PivotTable'!$A$4,"Site",$A$2,"Year",D$1))</f>
        <v>4</v>
      </c>
      <c r="E32" t="str">
        <f>IF(GETPIVOTDATA("Helper_SPP",'Species Richness PivotTable'!$A$4,"Site",$A$2,"Year",E$1)="", "", GETPIVOTDATA("Helper_SPP",'Species Richness PivotTable'!$A$4,"Site",$A$2,"Year",E$1))</f>
        <v/>
      </c>
      <c r="F32" t="str">
        <f>IF(GETPIVOTDATA("Helper_SPP",'Species Richness PivotTable'!$A$4,"Site",$A$2,"Year",F$1)="", "", GETPIVOTDATA("Helper_SPP",'Species Richness PivotTable'!$A$4,"Site",$A$2,"Year",F$1))</f>
        <v/>
      </c>
      <c r="G32" t="str">
        <f>IF(GETPIVOTDATA("Helper_SPP",'Species Richness PivotTable'!$A$4,"Site",$A$2,"Year",G$1)="", "", GETPIVOTDATA("Helper_SPP",'Species Richness PivotTable'!$A$4,"Site",$A$2,"Year",G$1))</f>
        <v/>
      </c>
      <c r="H32" t="str">
        <f>IF(GETPIVOTDATA("Helper_SPP",'Species Richness PivotTable'!$A$4,"Site",$A$2,"Year",H$1)="", "", GETPIVOTDATA("Helper_SPP",'Species Richness PivotTable'!$A$4,"Site",$A$2,"Year",H$1))</f>
        <v/>
      </c>
      <c r="I32">
        <f>IF(GETPIVOTDATA("Helper_SPP",'Species Richness PivotTable'!$A$4,"Site",$A$2,"Year",I$1)="", "", GETPIVOTDATA("Helper_SPP",'Species Richness PivotTable'!$A$4,"Site",$A$2,"Year",I$1))</f>
        <v>4</v>
      </c>
      <c r="J32" t="str">
        <f>IF(GETPIVOTDATA("Helper_SPP",'Species Richness PivotTable'!$A$4,"Site",$A$2,"Year",J$1)="", "", GETPIVOTDATA("Helper_SPP",'Species Richness PivotTable'!$A$4,"Site",$A$2,"Year",J$1))</f>
        <v/>
      </c>
      <c r="K32" t="str">
        <f>IF(GETPIVOTDATA("Helper_SPP",'Species Richness PivotTable'!$A$4,"Site",$A$2,"Year",K$1)="", "", GETPIVOTDATA("Helper_SPP",'Species Richness PivotTable'!$A$4,"Site",$A$2,"Year",K$1))</f>
        <v/>
      </c>
      <c r="L32" t="str">
        <f>IF(GETPIVOTDATA("Helper_SPP",'Species Richness PivotTable'!$A$4,"Site",$A$2,"Year",L$1)="", "", GETPIVOTDATA("Helper_SPP",'Species Richness PivotTable'!$A$4,"Site",$A$2,"Year",L$1))</f>
        <v/>
      </c>
      <c r="M32" t="str">
        <f>IF(GETPIVOTDATA("Helper_SPP",'Species Richness PivotTable'!$A$4,"Site",$A$2,"Year",M$1)="", "", GETPIVOTDATA("Helper_SPP",'Species Richness PivotTable'!$A$4,"Site",$A$2,"Year",M$1))</f>
        <v/>
      </c>
      <c r="N32" t="str">
        <f>IF(GETPIVOTDATA("Helper_SPP",'Species Richness PivotTable'!$A$4,"Site",$A$2,"Year",N$1)="", "", GETPIVOTDATA("Helper_SPP",'Species Richness PivotTable'!$A$4,"Site",$A$2,"Year",N$1))</f>
        <v/>
      </c>
      <c r="O32" t="str">
        <f>IF(GETPIVOTDATA("Helper_SPP",'Species Richness PivotTable'!$A$4,"Site",$A$2,"Year",O$1)="", "", GETPIVOTDATA("Helper_SPP",'Species Richness PivotTable'!$A$4,"Site",$A$2,"Year",O$1))</f>
        <v/>
      </c>
    </row>
    <row r="33" spans="1:15" x14ac:dyDescent="0.35">
      <c r="A33" t="s">
        <v>281</v>
      </c>
      <c r="C33" s="18">
        <f t="shared" ref="C33:O33" si="13">VLOOKUP($A$2, TargetCover, 3, FALSE)*0.75</f>
        <v>3</v>
      </c>
      <c r="D33" s="18">
        <f t="shared" si="13"/>
        <v>3</v>
      </c>
      <c r="E33" s="18">
        <f t="shared" si="13"/>
        <v>3</v>
      </c>
      <c r="F33" s="18">
        <f t="shared" si="13"/>
        <v>3</v>
      </c>
      <c r="G33" s="18">
        <f t="shared" si="13"/>
        <v>3</v>
      </c>
      <c r="H33" s="18">
        <f t="shared" si="13"/>
        <v>3</v>
      </c>
      <c r="I33" s="18">
        <f t="shared" si="13"/>
        <v>3</v>
      </c>
      <c r="J33" s="18">
        <f t="shared" si="13"/>
        <v>3</v>
      </c>
      <c r="K33" s="18">
        <f t="shared" si="13"/>
        <v>3</v>
      </c>
      <c r="L33" s="18">
        <f t="shared" si="13"/>
        <v>3</v>
      </c>
      <c r="M33" s="18">
        <f t="shared" si="13"/>
        <v>3</v>
      </c>
      <c r="N33" s="18">
        <f t="shared" si="13"/>
        <v>3</v>
      </c>
      <c r="O33" s="18">
        <f t="shared" si="13"/>
        <v>3</v>
      </c>
    </row>
    <row r="34" spans="1:15" x14ac:dyDescent="0.35">
      <c r="A34" t="s">
        <v>282</v>
      </c>
      <c r="C34" t="str">
        <f t="shared" ref="C34:I34" si="14">IF(C32="","",C32&gt;=C33)</f>
        <v/>
      </c>
      <c r="D34" t="b">
        <f t="shared" si="14"/>
        <v>1</v>
      </c>
      <c r="E34" t="str">
        <f t="shared" si="14"/>
        <v/>
      </c>
      <c r="F34" t="str">
        <f t="shared" si="14"/>
        <v/>
      </c>
      <c r="G34" t="str">
        <f t="shared" si="14"/>
        <v/>
      </c>
      <c r="H34" t="str">
        <f t="shared" si="14"/>
        <v/>
      </c>
      <c r="I34" t="b">
        <f t="shared" si="14"/>
        <v>1</v>
      </c>
      <c r="J34" t="str">
        <f t="shared" ref="J34:O34" si="15">IF(J32="","",J32&gt;=J33)</f>
        <v/>
      </c>
      <c r="K34" t="str">
        <f t="shared" si="15"/>
        <v/>
      </c>
      <c r="L34" t="str">
        <f t="shared" si="15"/>
        <v/>
      </c>
      <c r="M34" t="str">
        <f t="shared" si="15"/>
        <v/>
      </c>
      <c r="N34" t="str">
        <f t="shared" si="15"/>
        <v/>
      </c>
      <c r="O34" t="str">
        <f t="shared" si="15"/>
        <v/>
      </c>
    </row>
    <row r="35" spans="1:15" ht="15" thickBot="1" x14ac:dyDescent="0.4">
      <c r="A35" s="19"/>
      <c r="B35" s="19"/>
      <c r="C35" s="19"/>
      <c r="D35" s="19"/>
      <c r="E35" s="19"/>
      <c r="F35" s="19"/>
      <c r="G35" s="19"/>
      <c r="H35" s="19"/>
      <c r="I35" s="19"/>
      <c r="J35" s="19"/>
      <c r="K35" s="19"/>
      <c r="L35" s="19"/>
      <c r="M35" s="19"/>
      <c r="N35" s="19"/>
      <c r="O35" s="19"/>
    </row>
  </sheetData>
  <conditionalFormatting sqref="C29:G30 H29:O29 C34:O34">
    <cfRule type="cellIs" dxfId="33" priority="3" operator="equal">
      <formula>TRUE</formula>
    </cfRule>
    <cfRule type="cellIs" dxfId="32" priority="4" operator="equal">
      <formula>FALSE</formula>
    </cfRule>
  </conditionalFormatting>
  <conditionalFormatting sqref="P29">
    <cfRule type="cellIs" dxfId="31" priority="1" operator="equal">
      <formula>TRUE</formula>
    </cfRule>
    <cfRule type="cellIs" dxfId="30" priority="2" operator="equal">
      <formula>FALSE</formula>
    </cfRule>
  </conditionalFormatting>
  <pageMargins left="0.7" right="0.7" top="0.75" bottom="0.75" header="0.3" footer="0.3"/>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9"/>
  <dimension ref="A1:P26"/>
  <sheetViews>
    <sheetView workbookViewId="0">
      <pane xSplit="2" ySplit="1" topLeftCell="D2" activePane="bottomRight" state="frozen"/>
      <selection pane="topRight" activeCell="C1" sqref="C1"/>
      <selection pane="bottomLeft" activeCell="A2" sqref="A2"/>
      <selection pane="bottomRight" activeCell="P25" sqref="P25"/>
    </sheetView>
  </sheetViews>
  <sheetFormatPr defaultColWidth="9.08984375" defaultRowHeight="14.5" x14ac:dyDescent="0.35"/>
  <cols>
    <col min="3" max="3" width="9.08984375" customWidth="1"/>
  </cols>
  <sheetData>
    <row r="1" spans="1:16" ht="15" thickBot="1" x14ac:dyDescent="0.4">
      <c r="A1" t="s">
        <v>7</v>
      </c>
      <c r="B1" t="s">
        <v>0</v>
      </c>
      <c r="C1" s="13">
        <v>1999</v>
      </c>
      <c r="D1" s="13">
        <v>2001</v>
      </c>
      <c r="E1" s="13">
        <v>2002</v>
      </c>
      <c r="F1" s="13">
        <v>2003</v>
      </c>
      <c r="G1" s="13">
        <v>2004</v>
      </c>
      <c r="H1" s="13">
        <v>2005</v>
      </c>
      <c r="I1" s="13">
        <v>2006</v>
      </c>
      <c r="J1" s="13">
        <v>2007</v>
      </c>
      <c r="K1" s="13">
        <v>2010</v>
      </c>
      <c r="L1" s="13">
        <v>2012</v>
      </c>
      <c r="M1" s="13">
        <v>2013</v>
      </c>
      <c r="N1" s="13">
        <v>2016</v>
      </c>
      <c r="O1" s="13">
        <v>2017</v>
      </c>
      <c r="P1">
        <v>2018</v>
      </c>
    </row>
    <row r="2" spans="1:16" x14ac:dyDescent="0.35">
      <c r="A2" t="s">
        <v>99</v>
      </c>
      <c r="B2">
        <v>1.1000000000000001</v>
      </c>
      <c r="C2" t="str">
        <f>IF(OR(ISERROR(GETPIVOTDATA("Cover",'Cover PivotTable'!$A$4,"Site",$A2,"Year",C$1,"Transect",$B2)),GETPIVOTDATA("Cover",'Cover PivotTable'!$A$4,"Site",$A2,"Year",C$1)=""), "",GETPIVOTDATA("Cover",'Cover PivotTable'!$A$4,"Site",$A2,"Year",C$1,"Transect",$B2))</f>
        <v/>
      </c>
      <c r="D2">
        <f>IF(OR(ISERROR(GETPIVOTDATA("Cover",'Cover PivotTable'!$A$4,"Site",$A2,"Year",D$1,"Transect",$B2)),GETPIVOTDATA("Cover",'Cover PivotTable'!$A$4,"Site",$A2,"Year",D$1)=""), "",GETPIVOTDATA("Cover",'Cover PivotTable'!$A$4,"Site",$A2,"Year",D$1,"Transect",$B2))</f>
        <v>2</v>
      </c>
      <c r="E2" t="str">
        <f>IF(OR(ISERROR(GETPIVOTDATA("Cover",'Cover PivotTable'!$A$4,"Site",$A2,"Year",E$1,"Transect",$B2)),GETPIVOTDATA("Cover",'Cover PivotTable'!$A$4,"Site",$A2,"Year",E$1)=""), "",GETPIVOTDATA("Cover",'Cover PivotTable'!$A$4,"Site",$A2,"Year",E$1,"Transect",$B2))</f>
        <v/>
      </c>
      <c r="F2" t="str">
        <f>IF(OR(ISERROR(GETPIVOTDATA("Cover",'Cover PivotTable'!$A$4,"Site",$A2,"Year",F$1,"Transect",$B2)),GETPIVOTDATA("Cover",'Cover PivotTable'!$A$4,"Site",$A2,"Year",F$1)=""), "",GETPIVOTDATA("Cover",'Cover PivotTable'!$A$4,"Site",$A2,"Year",F$1,"Transect",$B2))</f>
        <v/>
      </c>
      <c r="G2" t="str">
        <f>IF(OR(ISERROR(GETPIVOTDATA("Cover",'Cover PivotTable'!$A$4,"Site",$A2,"Year",G$1,"Transect",$B2)),GETPIVOTDATA("Cover",'Cover PivotTable'!$A$4,"Site",$A2,"Year",G$1)=""), "",GETPIVOTDATA("Cover",'Cover PivotTable'!$A$4,"Site",$A2,"Year",G$1,"Transect",$B2))</f>
        <v/>
      </c>
      <c r="H2" t="str">
        <f>IF(OR(ISERROR(GETPIVOTDATA("Cover",'Cover PivotTable'!$A$4,"Site",$A2,"Year",H$1,"Transect",$B2)),GETPIVOTDATA("Cover",'Cover PivotTable'!$A$4,"Site",$A2,"Year",H$1)=""), "",GETPIVOTDATA("Cover",'Cover PivotTable'!$A$4,"Site",$A2,"Year",H$1,"Transect",$B2))</f>
        <v/>
      </c>
      <c r="I2">
        <f>IF(OR(ISERROR(GETPIVOTDATA("Cover",'Cover PivotTable'!$A$4,"Site",$A2,"Year",I$1,"Transect",$B2)),GETPIVOTDATA("Cover",'Cover PivotTable'!$A$4,"Site",$A2,"Year",I$1)=""), "",GETPIVOTDATA("Cover",'Cover PivotTable'!$A$4,"Site",$A2,"Year",I$1,"Transect",$B2))</f>
        <v>9.5</v>
      </c>
      <c r="J2" t="str">
        <f>IF(OR(ISERROR(GETPIVOTDATA("Cover",'Cover PivotTable'!$A$4,"Site",$A2,"Year",J$1,"Transect",$B2)),GETPIVOTDATA("Cover",'Cover PivotTable'!$A$4,"Site",$A2,"Year",J$1)=""), "",GETPIVOTDATA("Cover",'Cover PivotTable'!$A$4,"Site",$A2,"Year",J$1,"Transect",$B2))</f>
        <v/>
      </c>
      <c r="K2" t="str">
        <f>IF(OR(ISERROR(GETPIVOTDATA("Cover",'Cover PivotTable'!$A$4,"Site",$A2,"Year",K$1,"Transect",$B2)),GETPIVOTDATA("Cover",'Cover PivotTable'!$A$4,"Site",$A2,"Year",K$1)=""), "",GETPIVOTDATA("Cover",'Cover PivotTable'!$A$4,"Site",$A2,"Year",K$1,"Transect",$B2))</f>
        <v/>
      </c>
      <c r="L2">
        <f>IF(OR(ISERROR(GETPIVOTDATA("Cover",'Cover PivotTable'!$A$4,"Site",$A2,"Year",L$1,"Transect",$B2)),GETPIVOTDATA("Cover",'Cover PivotTable'!$A$4,"Site",$A2,"Year",L$1)=""), "",GETPIVOTDATA("Cover",'Cover PivotTable'!$A$4,"Site",$A2,"Year",L$1,"Transect",$B2))</f>
        <v>10</v>
      </c>
      <c r="M2" t="str">
        <f>IF(OR(ISERROR(GETPIVOTDATA("Cover",'Cover PivotTable'!$A$4,"Site",$A2,"Year",M$1,"Transect",$B2)),GETPIVOTDATA("Cover",'Cover PivotTable'!$A$4,"Site",$A2,"Year",M$1)=""), "",GETPIVOTDATA("Cover",'Cover PivotTable'!$A$4,"Site",$A2,"Year",M$1,"Transect",$B2))</f>
        <v/>
      </c>
      <c r="N2" t="str">
        <f>IF(OR(ISERROR(GETPIVOTDATA("Cover",'Cover PivotTable'!$A$4,"Site",$A2,"Year",N$1,"Transect",$B2)),GETPIVOTDATA("Cover",'Cover PivotTable'!$A$4,"Site",$A2,"Year",N$1)=""), "",GETPIVOTDATA("Cover",'Cover PivotTable'!$A$4,"Site",$A2,"Year",N$1,"Transect",$B2))</f>
        <v/>
      </c>
      <c r="O2" t="str">
        <f>IF(OR(ISERROR(GETPIVOTDATA("Cover",'Cover PivotTable'!$A$4,"Site",$A2,"Year",O$1,"Transect",$B2)),GETPIVOTDATA("Cover",'Cover PivotTable'!$A$4,"Site",$A2,"Year",O$1)=""), "",GETPIVOTDATA("Cover",'Cover PivotTable'!$A$4,"Site",$A2,"Year",O$1,"Transect",$B2))</f>
        <v/>
      </c>
      <c r="P2" s="38">
        <v>5</v>
      </c>
    </row>
    <row r="3" spans="1:16" x14ac:dyDescent="0.35">
      <c r="A3" t="s">
        <v>99</v>
      </c>
      <c r="B3">
        <v>1.2</v>
      </c>
      <c r="C3" t="str">
        <f>IF(OR(ISERROR(GETPIVOTDATA("Cover",'Cover PivotTable'!$A$4,"Site",$A3,"Year",C$1,"Transect",$B3)),GETPIVOTDATA("Cover",'Cover PivotTable'!$A$4,"Site",$A3,"Year",C$1)=""), "",GETPIVOTDATA("Cover",'Cover PivotTable'!$A$4,"Site",$A3,"Year",C$1,"Transect",$B3))</f>
        <v/>
      </c>
      <c r="D3">
        <f>IF(OR(ISERROR(GETPIVOTDATA("Cover",'Cover PivotTable'!$A$4,"Site",$A3,"Year",D$1,"Transect",$B3)),GETPIVOTDATA("Cover",'Cover PivotTable'!$A$4,"Site",$A3,"Year",D$1)=""), "",GETPIVOTDATA("Cover",'Cover PivotTable'!$A$4,"Site",$A3,"Year",D$1,"Transect",$B3))</f>
        <v>0.5</v>
      </c>
      <c r="E3" t="str">
        <f>IF(OR(ISERROR(GETPIVOTDATA("Cover",'Cover PivotTable'!$A$4,"Site",$A3,"Year",E$1,"Transect",$B3)),GETPIVOTDATA("Cover",'Cover PivotTable'!$A$4,"Site",$A3,"Year",E$1)=""), "",GETPIVOTDATA("Cover",'Cover PivotTable'!$A$4,"Site",$A3,"Year",E$1,"Transect",$B3))</f>
        <v/>
      </c>
      <c r="F3" t="str">
        <f>IF(OR(ISERROR(GETPIVOTDATA("Cover",'Cover PivotTable'!$A$4,"Site",$A3,"Year",F$1,"Transect",$B3)),GETPIVOTDATA("Cover",'Cover PivotTable'!$A$4,"Site",$A3,"Year",F$1)=""), "",GETPIVOTDATA("Cover",'Cover PivotTable'!$A$4,"Site",$A3,"Year",F$1,"Transect",$B3))</f>
        <v/>
      </c>
      <c r="G3" t="str">
        <f>IF(OR(ISERROR(GETPIVOTDATA("Cover",'Cover PivotTable'!$A$4,"Site",$A3,"Year",G$1,"Transect",$B3)),GETPIVOTDATA("Cover",'Cover PivotTable'!$A$4,"Site",$A3,"Year",G$1)=""), "",GETPIVOTDATA("Cover",'Cover PivotTable'!$A$4,"Site",$A3,"Year",G$1,"Transect",$B3))</f>
        <v/>
      </c>
      <c r="H3" t="str">
        <f>IF(OR(ISERROR(GETPIVOTDATA("Cover",'Cover PivotTable'!$A$4,"Site",$A3,"Year",H$1,"Transect",$B3)),GETPIVOTDATA("Cover",'Cover PivotTable'!$A$4,"Site",$A3,"Year",H$1)=""), "",GETPIVOTDATA("Cover",'Cover PivotTable'!$A$4,"Site",$A3,"Year",H$1,"Transect",$B3))</f>
        <v/>
      </c>
      <c r="I3">
        <f>IF(OR(ISERROR(GETPIVOTDATA("Cover",'Cover PivotTable'!$A$4,"Site",$A3,"Year",I$1,"Transect",$B3)),GETPIVOTDATA("Cover",'Cover PivotTable'!$A$4,"Site",$A3,"Year",I$1)=""), "",GETPIVOTDATA("Cover",'Cover PivotTable'!$A$4,"Site",$A3,"Year",I$1,"Transect",$B3))</f>
        <v>6.5</v>
      </c>
      <c r="J3" t="str">
        <f>IF(OR(ISERROR(GETPIVOTDATA("Cover",'Cover PivotTable'!$A$4,"Site",$A3,"Year",J$1,"Transect",$B3)),GETPIVOTDATA("Cover",'Cover PivotTable'!$A$4,"Site",$A3,"Year",J$1)=""), "",GETPIVOTDATA("Cover",'Cover PivotTable'!$A$4,"Site",$A3,"Year",J$1,"Transect",$B3))</f>
        <v/>
      </c>
      <c r="K3" t="str">
        <f>IF(OR(ISERROR(GETPIVOTDATA("Cover",'Cover PivotTable'!$A$4,"Site",$A3,"Year",K$1,"Transect",$B3)),GETPIVOTDATA("Cover",'Cover PivotTable'!$A$4,"Site",$A3,"Year",K$1)=""), "",GETPIVOTDATA("Cover",'Cover PivotTable'!$A$4,"Site",$A3,"Year",K$1,"Transect",$B3))</f>
        <v/>
      </c>
      <c r="L3">
        <f>IF(OR(ISERROR(GETPIVOTDATA("Cover",'Cover PivotTable'!$A$4,"Site",$A3,"Year",L$1,"Transect",$B3)),GETPIVOTDATA("Cover",'Cover PivotTable'!$A$4,"Site",$A3,"Year",L$1)=""), "",GETPIVOTDATA("Cover",'Cover PivotTable'!$A$4,"Site",$A3,"Year",L$1,"Transect",$B3))</f>
        <v>8.5</v>
      </c>
      <c r="M3" t="str">
        <f>IF(OR(ISERROR(GETPIVOTDATA("Cover",'Cover PivotTable'!$A$4,"Site",$A3,"Year",M$1,"Transect",$B3)),GETPIVOTDATA("Cover",'Cover PivotTable'!$A$4,"Site",$A3,"Year",M$1)=""), "",GETPIVOTDATA("Cover",'Cover PivotTable'!$A$4,"Site",$A3,"Year",M$1,"Transect",$B3))</f>
        <v/>
      </c>
      <c r="N3" t="str">
        <f>IF(OR(ISERROR(GETPIVOTDATA("Cover",'Cover PivotTable'!$A$4,"Site",$A3,"Year",N$1,"Transect",$B3)),GETPIVOTDATA("Cover",'Cover PivotTable'!$A$4,"Site",$A3,"Year",N$1)=""), "",GETPIVOTDATA("Cover",'Cover PivotTable'!$A$4,"Site",$A3,"Year",N$1,"Transect",$B3))</f>
        <v/>
      </c>
      <c r="O3" t="str">
        <f>IF(OR(ISERROR(GETPIVOTDATA("Cover",'Cover PivotTable'!$A$4,"Site",$A3,"Year",O$1,"Transect",$B3)),GETPIVOTDATA("Cover",'Cover PivotTable'!$A$4,"Site",$A3,"Year",O$1)=""), "",GETPIVOTDATA("Cover",'Cover PivotTable'!$A$4,"Site",$A3,"Year",O$1,"Transect",$B3))</f>
        <v/>
      </c>
      <c r="P3" s="39">
        <v>9</v>
      </c>
    </row>
    <row r="4" spans="1:16" x14ac:dyDescent="0.35">
      <c r="A4" t="s">
        <v>99</v>
      </c>
      <c r="B4">
        <v>1.3</v>
      </c>
      <c r="C4" t="str">
        <f>IF(OR(ISERROR(GETPIVOTDATA("Cover",'Cover PivotTable'!$A$4,"Site",$A4,"Year",C$1,"Transect",$B4)),GETPIVOTDATA("Cover",'Cover PivotTable'!$A$4,"Site",$A4,"Year",C$1)=""), "",GETPIVOTDATA("Cover",'Cover PivotTable'!$A$4,"Site",$A4,"Year",C$1,"Transect",$B4))</f>
        <v/>
      </c>
      <c r="D4" s="17">
        <f>IF(OR(ISERROR(GETPIVOTDATA("Cover",'Cover PivotTable'!$A$4,"Site",$A4,"Year",D$1,"Transect",$B4)),GETPIVOTDATA("Cover",'Cover PivotTable'!$A$4,"Site",$A4,"Year",D$1)=""), "",GETPIVOTDATA("Cover",'Cover PivotTable'!$A$4,"Site",$A4,"Year",D$1,"Transect",$B4))</f>
        <v>1.4492753623188406</v>
      </c>
      <c r="E4" s="17" t="str">
        <f>IF(OR(ISERROR(GETPIVOTDATA("Cover",'Cover PivotTable'!$A$4,"Site",$A4,"Year",E$1,"Transect",$B4)),GETPIVOTDATA("Cover",'Cover PivotTable'!$A$4,"Site",$A4,"Year",E$1)=""), "",GETPIVOTDATA("Cover",'Cover PivotTable'!$A$4,"Site",$A4,"Year",E$1,"Transect",$B4))</f>
        <v/>
      </c>
      <c r="F4" s="17" t="str">
        <f>IF(OR(ISERROR(GETPIVOTDATA("Cover",'Cover PivotTable'!$A$4,"Site",$A4,"Year",F$1,"Transect",$B4)),GETPIVOTDATA("Cover",'Cover PivotTable'!$A$4,"Site",$A4,"Year",F$1)=""), "",GETPIVOTDATA("Cover",'Cover PivotTable'!$A$4,"Site",$A4,"Year",F$1,"Transect",$B4))</f>
        <v/>
      </c>
      <c r="G4" s="17" t="str">
        <f>IF(OR(ISERROR(GETPIVOTDATA("Cover",'Cover PivotTable'!$A$4,"Site",$A4,"Year",G$1,"Transect",$B4)),GETPIVOTDATA("Cover",'Cover PivotTable'!$A$4,"Site",$A4,"Year",G$1)=""), "",GETPIVOTDATA("Cover",'Cover PivotTable'!$A$4,"Site",$A4,"Year",G$1,"Transect",$B4))</f>
        <v/>
      </c>
      <c r="H4" s="17" t="str">
        <f>IF(OR(ISERROR(GETPIVOTDATA("Cover",'Cover PivotTable'!$A$4,"Site",$A4,"Year",H$1,"Transect",$B4)),GETPIVOTDATA("Cover",'Cover PivotTable'!$A$4,"Site",$A4,"Year",H$1)=""), "",GETPIVOTDATA("Cover",'Cover PivotTable'!$A$4,"Site",$A4,"Year",H$1,"Transect",$B4))</f>
        <v/>
      </c>
      <c r="I4" s="17">
        <f>IF(OR(ISERROR(GETPIVOTDATA("Cover",'Cover PivotTable'!$A$4,"Site",$A4,"Year",I$1,"Transect",$B4)),GETPIVOTDATA("Cover",'Cover PivotTable'!$A$4,"Site",$A4,"Year",I$1)=""), "",GETPIVOTDATA("Cover",'Cover PivotTable'!$A$4,"Site",$A4,"Year",I$1,"Transect",$B4))</f>
        <v>4.3478260869565215</v>
      </c>
      <c r="J4" s="17" t="str">
        <f>IF(OR(ISERROR(GETPIVOTDATA("Cover",'Cover PivotTable'!$A$4,"Site",$A4,"Year",J$1,"Transect",$B4)),GETPIVOTDATA("Cover",'Cover PivotTable'!$A$4,"Site",$A4,"Year",J$1)=""), "",GETPIVOTDATA("Cover",'Cover PivotTable'!$A$4,"Site",$A4,"Year",J$1,"Transect",$B4))</f>
        <v/>
      </c>
      <c r="K4" s="17" t="str">
        <f>IF(OR(ISERROR(GETPIVOTDATA("Cover",'Cover PivotTable'!$A$4,"Site",$A4,"Year",K$1,"Transect",$B4)),GETPIVOTDATA("Cover",'Cover PivotTable'!$A$4,"Site",$A4,"Year",K$1)=""), "",GETPIVOTDATA("Cover",'Cover PivotTable'!$A$4,"Site",$A4,"Year",K$1,"Transect",$B4))</f>
        <v/>
      </c>
      <c r="L4" s="17">
        <f>IF(OR(ISERROR(GETPIVOTDATA("Cover",'Cover PivotTable'!$A$4,"Site",$A4,"Year",L$1,"Transect",$B4)),GETPIVOTDATA("Cover",'Cover PivotTable'!$A$4,"Site",$A4,"Year",L$1)=""), "",GETPIVOTDATA("Cover",'Cover PivotTable'!$A$4,"Site",$A4,"Year",L$1,"Transect",$B4))</f>
        <v>7.2463768115942031</v>
      </c>
      <c r="M4" t="str">
        <f>IF(OR(ISERROR(GETPIVOTDATA("Cover",'Cover PivotTable'!$A$4,"Site",$A4,"Year",M$1,"Transect",$B4)),GETPIVOTDATA("Cover",'Cover PivotTable'!$A$4,"Site",$A4,"Year",M$1)=""), "",GETPIVOTDATA("Cover",'Cover PivotTable'!$A$4,"Site",$A4,"Year",M$1,"Transect",$B4))</f>
        <v/>
      </c>
      <c r="N4" t="str">
        <f>IF(OR(ISERROR(GETPIVOTDATA("Cover",'Cover PivotTable'!$A$4,"Site",$A4,"Year",N$1,"Transect",$B4)),GETPIVOTDATA("Cover",'Cover PivotTable'!$A$4,"Site",$A4,"Year",N$1)=""), "",GETPIVOTDATA("Cover",'Cover PivotTable'!$A$4,"Site",$A4,"Year",N$1,"Transect",$B4))</f>
        <v/>
      </c>
      <c r="O4" t="str">
        <f>IF(OR(ISERROR(GETPIVOTDATA("Cover",'Cover PivotTable'!$A$4,"Site",$A4,"Year",O$1,"Transect",$B4)),GETPIVOTDATA("Cover",'Cover PivotTable'!$A$4,"Site",$A4,"Year",O$1)=""), "",GETPIVOTDATA("Cover",'Cover PivotTable'!$A$4,"Site",$A4,"Year",O$1,"Transect",$B4))</f>
        <v/>
      </c>
      <c r="P4" s="39">
        <v>8.5</v>
      </c>
    </row>
    <row r="5" spans="1:16" x14ac:dyDescent="0.35">
      <c r="A5" t="s">
        <v>99</v>
      </c>
      <c r="B5">
        <v>2.1</v>
      </c>
      <c r="C5" t="str">
        <f>IF(OR(ISERROR(GETPIVOTDATA("Cover",'Cover PivotTable'!$A$4,"Site",$A5,"Year",C$1,"Transect",$B5)),GETPIVOTDATA("Cover",'Cover PivotTable'!$A$4,"Site",$A5,"Year",C$1)=""), "",GETPIVOTDATA("Cover",'Cover PivotTable'!$A$4,"Site",$A5,"Year",C$1,"Transect",$B5))</f>
        <v/>
      </c>
      <c r="D5">
        <f>IF(OR(ISERROR(GETPIVOTDATA("Cover",'Cover PivotTable'!$A$4,"Site",$A5,"Year",D$1,"Transect",$B5)),GETPIVOTDATA("Cover",'Cover PivotTable'!$A$4,"Site",$A5,"Year",D$1)=""), "",GETPIVOTDATA("Cover",'Cover PivotTable'!$A$4,"Site",$A5,"Year",D$1,"Transect",$B5))</f>
        <v>4.5</v>
      </c>
      <c r="E5" t="str">
        <f>IF(OR(ISERROR(GETPIVOTDATA("Cover",'Cover PivotTable'!$A$4,"Site",$A5,"Year",E$1,"Transect",$B5)),GETPIVOTDATA("Cover",'Cover PivotTable'!$A$4,"Site",$A5,"Year",E$1)=""), "",GETPIVOTDATA("Cover",'Cover PivotTable'!$A$4,"Site",$A5,"Year",E$1,"Transect",$B5))</f>
        <v/>
      </c>
      <c r="F5" t="str">
        <f>IF(OR(ISERROR(GETPIVOTDATA("Cover",'Cover PivotTable'!$A$4,"Site",$A5,"Year",F$1,"Transect",$B5)),GETPIVOTDATA("Cover",'Cover PivotTable'!$A$4,"Site",$A5,"Year",F$1)=""), "",GETPIVOTDATA("Cover",'Cover PivotTable'!$A$4,"Site",$A5,"Year",F$1,"Transect",$B5))</f>
        <v/>
      </c>
      <c r="G5" t="str">
        <f>IF(OR(ISERROR(GETPIVOTDATA("Cover",'Cover PivotTable'!$A$4,"Site",$A5,"Year",G$1,"Transect",$B5)),GETPIVOTDATA("Cover",'Cover PivotTable'!$A$4,"Site",$A5,"Year",G$1)=""), "",GETPIVOTDATA("Cover",'Cover PivotTable'!$A$4,"Site",$A5,"Year",G$1,"Transect",$B5))</f>
        <v/>
      </c>
      <c r="H5" t="str">
        <f>IF(OR(ISERROR(GETPIVOTDATA("Cover",'Cover PivotTable'!$A$4,"Site",$A5,"Year",H$1,"Transect",$B5)),GETPIVOTDATA("Cover",'Cover PivotTable'!$A$4,"Site",$A5,"Year",H$1)=""), "",GETPIVOTDATA("Cover",'Cover PivotTable'!$A$4,"Site",$A5,"Year",H$1,"Transect",$B5))</f>
        <v/>
      </c>
      <c r="I5">
        <f>IF(OR(ISERROR(GETPIVOTDATA("Cover",'Cover PivotTable'!$A$4,"Site",$A5,"Year",I$1,"Transect",$B5)),GETPIVOTDATA("Cover",'Cover PivotTable'!$A$4,"Site",$A5,"Year",I$1)=""), "",GETPIVOTDATA("Cover",'Cover PivotTable'!$A$4,"Site",$A5,"Year",I$1,"Transect",$B5))</f>
        <v>18</v>
      </c>
      <c r="J5" t="str">
        <f>IF(OR(ISERROR(GETPIVOTDATA("Cover",'Cover PivotTable'!$A$4,"Site",$A5,"Year",J$1,"Transect",$B5)),GETPIVOTDATA("Cover",'Cover PivotTable'!$A$4,"Site",$A5,"Year",J$1)=""), "",GETPIVOTDATA("Cover",'Cover PivotTable'!$A$4,"Site",$A5,"Year",J$1,"Transect",$B5))</f>
        <v/>
      </c>
      <c r="K5" t="str">
        <f>IF(OR(ISERROR(GETPIVOTDATA("Cover",'Cover PivotTable'!$A$4,"Site",$A5,"Year",K$1,"Transect",$B5)),GETPIVOTDATA("Cover",'Cover PivotTable'!$A$4,"Site",$A5,"Year",K$1)=""), "",GETPIVOTDATA("Cover",'Cover PivotTable'!$A$4,"Site",$A5,"Year",K$1,"Transect",$B5))</f>
        <v/>
      </c>
      <c r="L5">
        <f>IF(OR(ISERROR(GETPIVOTDATA("Cover",'Cover PivotTable'!$A$4,"Site",$A5,"Year",L$1,"Transect",$B5)),GETPIVOTDATA("Cover",'Cover PivotTable'!$A$4,"Site",$A5,"Year",L$1)=""), "",GETPIVOTDATA("Cover",'Cover PivotTable'!$A$4,"Site",$A5,"Year",L$1,"Transect",$B5))</f>
        <v>25.5</v>
      </c>
      <c r="M5" t="str">
        <f>IF(OR(ISERROR(GETPIVOTDATA("Cover",'Cover PivotTable'!$A$4,"Site",$A5,"Year",M$1,"Transect",$B5)),GETPIVOTDATA("Cover",'Cover PivotTable'!$A$4,"Site",$A5,"Year",M$1)=""), "",GETPIVOTDATA("Cover",'Cover PivotTable'!$A$4,"Site",$A5,"Year",M$1,"Transect",$B5))</f>
        <v/>
      </c>
      <c r="N5" t="str">
        <f>IF(OR(ISERROR(GETPIVOTDATA("Cover",'Cover PivotTable'!$A$4,"Site",$A5,"Year",N$1,"Transect",$B5)),GETPIVOTDATA("Cover",'Cover PivotTable'!$A$4,"Site",$A5,"Year",N$1)=""), "",GETPIVOTDATA("Cover",'Cover PivotTable'!$A$4,"Site",$A5,"Year",N$1,"Transect",$B5))</f>
        <v/>
      </c>
      <c r="O5" t="str">
        <f>IF(OR(ISERROR(GETPIVOTDATA("Cover",'Cover PivotTable'!$A$4,"Site",$A5,"Year",O$1,"Transect",$B5)),GETPIVOTDATA("Cover",'Cover PivotTable'!$A$4,"Site",$A5,"Year",O$1)=""), "",GETPIVOTDATA("Cover",'Cover PivotTable'!$A$4,"Site",$A5,"Year",O$1,"Transect",$B5))</f>
        <v/>
      </c>
      <c r="P5" s="39">
        <v>3</v>
      </c>
    </row>
    <row r="6" spans="1:16" x14ac:dyDescent="0.35">
      <c r="A6" t="s">
        <v>99</v>
      </c>
      <c r="B6">
        <v>2.2000000000000002</v>
      </c>
      <c r="C6" t="str">
        <f>IF(OR(ISERROR(GETPIVOTDATA("Cover",'Cover PivotTable'!$A$4,"Site",$A6,"Year",C$1,"Transect",$B6)),GETPIVOTDATA("Cover",'Cover PivotTable'!$A$4,"Site",$A6,"Year",C$1)=""), "",GETPIVOTDATA("Cover",'Cover PivotTable'!$A$4,"Site",$A6,"Year",C$1,"Transect",$B6))</f>
        <v/>
      </c>
      <c r="D6">
        <f>IF(OR(ISERROR(GETPIVOTDATA("Cover",'Cover PivotTable'!$A$4,"Site",$A6,"Year",D$1,"Transect",$B6)),GETPIVOTDATA("Cover",'Cover PivotTable'!$A$4,"Site",$A6,"Year",D$1)=""), "",GETPIVOTDATA("Cover",'Cover PivotTable'!$A$4,"Site",$A6,"Year",D$1,"Transect",$B6))</f>
        <v>1</v>
      </c>
      <c r="E6" t="str">
        <f>IF(OR(ISERROR(GETPIVOTDATA("Cover",'Cover PivotTable'!$A$4,"Site",$A6,"Year",E$1,"Transect",$B6)),GETPIVOTDATA("Cover",'Cover PivotTable'!$A$4,"Site",$A6,"Year",E$1)=""), "",GETPIVOTDATA("Cover",'Cover PivotTable'!$A$4,"Site",$A6,"Year",E$1,"Transect",$B6))</f>
        <v/>
      </c>
      <c r="F6" t="str">
        <f>IF(OR(ISERROR(GETPIVOTDATA("Cover",'Cover PivotTable'!$A$4,"Site",$A6,"Year",F$1,"Transect",$B6)),GETPIVOTDATA("Cover",'Cover PivotTable'!$A$4,"Site",$A6,"Year",F$1)=""), "",GETPIVOTDATA("Cover",'Cover PivotTable'!$A$4,"Site",$A6,"Year",F$1,"Transect",$B6))</f>
        <v/>
      </c>
      <c r="G6" t="str">
        <f>IF(OR(ISERROR(GETPIVOTDATA("Cover",'Cover PivotTable'!$A$4,"Site",$A6,"Year",G$1,"Transect",$B6)),GETPIVOTDATA("Cover",'Cover PivotTable'!$A$4,"Site",$A6,"Year",G$1)=""), "",GETPIVOTDATA("Cover",'Cover PivotTable'!$A$4,"Site",$A6,"Year",G$1,"Transect",$B6))</f>
        <v/>
      </c>
      <c r="H6" t="str">
        <f>IF(OR(ISERROR(GETPIVOTDATA("Cover",'Cover PivotTable'!$A$4,"Site",$A6,"Year",H$1,"Transect",$B6)),GETPIVOTDATA("Cover",'Cover PivotTable'!$A$4,"Site",$A6,"Year",H$1)=""), "",GETPIVOTDATA("Cover",'Cover PivotTable'!$A$4,"Site",$A6,"Year",H$1,"Transect",$B6))</f>
        <v/>
      </c>
      <c r="I6">
        <f>IF(OR(ISERROR(GETPIVOTDATA("Cover",'Cover PivotTable'!$A$4,"Site",$A6,"Year",I$1,"Transect",$B6)),GETPIVOTDATA("Cover",'Cover PivotTable'!$A$4,"Site",$A6,"Year",I$1)=""), "",GETPIVOTDATA("Cover",'Cover PivotTable'!$A$4,"Site",$A6,"Year",I$1,"Transect",$B6))</f>
        <v>14.5</v>
      </c>
      <c r="J6" t="str">
        <f>IF(OR(ISERROR(GETPIVOTDATA("Cover",'Cover PivotTable'!$A$4,"Site",$A6,"Year",J$1,"Transect",$B6)),GETPIVOTDATA("Cover",'Cover PivotTable'!$A$4,"Site",$A6,"Year",J$1)=""), "",GETPIVOTDATA("Cover",'Cover PivotTable'!$A$4,"Site",$A6,"Year",J$1,"Transect",$B6))</f>
        <v/>
      </c>
      <c r="K6" t="str">
        <f>IF(OR(ISERROR(GETPIVOTDATA("Cover",'Cover PivotTable'!$A$4,"Site",$A6,"Year",K$1,"Transect",$B6)),GETPIVOTDATA("Cover",'Cover PivotTable'!$A$4,"Site",$A6,"Year",K$1)=""), "",GETPIVOTDATA("Cover",'Cover PivotTable'!$A$4,"Site",$A6,"Year",K$1,"Transect",$B6))</f>
        <v/>
      </c>
      <c r="L6">
        <f>IF(OR(ISERROR(GETPIVOTDATA("Cover",'Cover PivotTable'!$A$4,"Site",$A6,"Year",L$1,"Transect",$B6)),GETPIVOTDATA("Cover",'Cover PivotTable'!$A$4,"Site",$A6,"Year",L$1)=""), "",GETPIVOTDATA("Cover",'Cover PivotTable'!$A$4,"Site",$A6,"Year",L$1,"Transect",$B6))</f>
        <v>21.5</v>
      </c>
      <c r="M6" t="str">
        <f>IF(OR(ISERROR(GETPIVOTDATA("Cover",'Cover PivotTable'!$A$4,"Site",$A6,"Year",M$1,"Transect",$B6)),GETPIVOTDATA("Cover",'Cover PivotTable'!$A$4,"Site",$A6,"Year",M$1)=""), "",GETPIVOTDATA("Cover",'Cover PivotTable'!$A$4,"Site",$A6,"Year",M$1,"Transect",$B6))</f>
        <v/>
      </c>
      <c r="N6" t="str">
        <f>IF(OR(ISERROR(GETPIVOTDATA("Cover",'Cover PivotTable'!$A$4,"Site",$A6,"Year",N$1,"Transect",$B6)),GETPIVOTDATA("Cover",'Cover PivotTable'!$A$4,"Site",$A6,"Year",N$1)=""), "",GETPIVOTDATA("Cover",'Cover PivotTable'!$A$4,"Site",$A6,"Year",N$1,"Transect",$B6))</f>
        <v/>
      </c>
      <c r="O6" t="str">
        <f>IF(OR(ISERROR(GETPIVOTDATA("Cover",'Cover PivotTable'!$A$4,"Site",$A6,"Year",O$1,"Transect",$B6)),GETPIVOTDATA("Cover",'Cover PivotTable'!$A$4,"Site",$A6,"Year",O$1)=""), "",GETPIVOTDATA("Cover",'Cover PivotTable'!$A$4,"Site",$A6,"Year",O$1,"Transect",$B6))</f>
        <v/>
      </c>
      <c r="P6" s="39">
        <v>8.5</v>
      </c>
    </row>
    <row r="7" spans="1:16" x14ac:dyDescent="0.35">
      <c r="A7" t="s">
        <v>99</v>
      </c>
      <c r="B7">
        <v>2.2999999999999998</v>
      </c>
      <c r="C7" t="str">
        <f>IF(OR(ISERROR(GETPIVOTDATA("Cover",'Cover PivotTable'!$A$4,"Site",$A7,"Year",C$1,"Transect",$B7)),GETPIVOTDATA("Cover",'Cover PivotTable'!$A$4,"Site",$A7,"Year",C$1)=""), "",GETPIVOTDATA("Cover",'Cover PivotTable'!$A$4,"Site",$A7,"Year",C$1,"Transect",$B7))</f>
        <v/>
      </c>
      <c r="D7">
        <f>IF(OR(ISERROR(GETPIVOTDATA("Cover",'Cover PivotTable'!$A$4,"Site",$A7,"Year",D$1,"Transect",$B7)),GETPIVOTDATA("Cover",'Cover PivotTable'!$A$4,"Site",$A7,"Year",D$1)=""), "",GETPIVOTDATA("Cover",'Cover PivotTable'!$A$4,"Site",$A7,"Year",D$1,"Transect",$B7))</f>
        <v>0</v>
      </c>
      <c r="E7" t="str">
        <f>IF(OR(ISERROR(GETPIVOTDATA("Cover",'Cover PivotTable'!$A$4,"Site",$A7,"Year",E$1,"Transect",$B7)),GETPIVOTDATA("Cover",'Cover PivotTable'!$A$4,"Site",$A7,"Year",E$1)=""), "",GETPIVOTDATA("Cover",'Cover PivotTable'!$A$4,"Site",$A7,"Year",E$1,"Transect",$B7))</f>
        <v/>
      </c>
      <c r="F7" t="str">
        <f>IF(OR(ISERROR(GETPIVOTDATA("Cover",'Cover PivotTable'!$A$4,"Site",$A7,"Year",F$1,"Transect",$B7)),GETPIVOTDATA("Cover",'Cover PivotTable'!$A$4,"Site",$A7,"Year",F$1)=""), "",GETPIVOTDATA("Cover",'Cover PivotTable'!$A$4,"Site",$A7,"Year",F$1,"Transect",$B7))</f>
        <v/>
      </c>
      <c r="G7" t="str">
        <f>IF(OR(ISERROR(GETPIVOTDATA("Cover",'Cover PivotTable'!$A$4,"Site",$A7,"Year",G$1,"Transect",$B7)),GETPIVOTDATA("Cover",'Cover PivotTable'!$A$4,"Site",$A7,"Year",G$1)=""), "",GETPIVOTDATA("Cover",'Cover PivotTable'!$A$4,"Site",$A7,"Year",G$1,"Transect",$B7))</f>
        <v/>
      </c>
      <c r="H7" t="str">
        <f>IF(OR(ISERROR(GETPIVOTDATA("Cover",'Cover PivotTable'!$A$4,"Site",$A7,"Year",H$1,"Transect",$B7)),GETPIVOTDATA("Cover",'Cover PivotTable'!$A$4,"Site",$A7,"Year",H$1)=""), "",GETPIVOTDATA("Cover",'Cover PivotTable'!$A$4,"Site",$A7,"Year",H$1,"Transect",$B7))</f>
        <v/>
      </c>
      <c r="I7">
        <f>IF(OR(ISERROR(GETPIVOTDATA("Cover",'Cover PivotTable'!$A$4,"Site",$A7,"Year",I$1,"Transect",$B7)),GETPIVOTDATA("Cover",'Cover PivotTable'!$A$4,"Site",$A7,"Year",I$1)=""), "",GETPIVOTDATA("Cover",'Cover PivotTable'!$A$4,"Site",$A7,"Year",I$1,"Transect",$B7))</f>
        <v>7.5</v>
      </c>
      <c r="J7" t="str">
        <f>IF(OR(ISERROR(GETPIVOTDATA("Cover",'Cover PivotTable'!$A$4,"Site",$A7,"Year",J$1,"Transect",$B7)),GETPIVOTDATA("Cover",'Cover PivotTable'!$A$4,"Site",$A7,"Year",J$1)=""), "",GETPIVOTDATA("Cover",'Cover PivotTable'!$A$4,"Site",$A7,"Year",J$1,"Transect",$B7))</f>
        <v/>
      </c>
      <c r="K7" t="str">
        <f>IF(OR(ISERROR(GETPIVOTDATA("Cover",'Cover PivotTable'!$A$4,"Site",$A7,"Year",K$1,"Transect",$B7)),GETPIVOTDATA("Cover",'Cover PivotTable'!$A$4,"Site",$A7,"Year",K$1)=""), "",GETPIVOTDATA("Cover",'Cover PivotTable'!$A$4,"Site",$A7,"Year",K$1,"Transect",$B7))</f>
        <v/>
      </c>
      <c r="L7">
        <f>IF(OR(ISERROR(GETPIVOTDATA("Cover",'Cover PivotTable'!$A$4,"Site",$A7,"Year",L$1,"Transect",$B7)),GETPIVOTDATA("Cover",'Cover PivotTable'!$A$4,"Site",$A7,"Year",L$1)=""), "",GETPIVOTDATA("Cover",'Cover PivotTable'!$A$4,"Site",$A7,"Year",L$1,"Transect",$B7))</f>
        <v>11.5</v>
      </c>
      <c r="M7" t="str">
        <f>IF(OR(ISERROR(GETPIVOTDATA("Cover",'Cover PivotTable'!$A$4,"Site",$A7,"Year",M$1,"Transect",$B7)),GETPIVOTDATA("Cover",'Cover PivotTable'!$A$4,"Site",$A7,"Year",M$1)=""), "",GETPIVOTDATA("Cover",'Cover PivotTable'!$A$4,"Site",$A7,"Year",M$1,"Transect",$B7))</f>
        <v/>
      </c>
      <c r="N7" t="str">
        <f>IF(OR(ISERROR(GETPIVOTDATA("Cover",'Cover PivotTable'!$A$4,"Site",$A7,"Year",N$1,"Transect",$B7)),GETPIVOTDATA("Cover",'Cover PivotTable'!$A$4,"Site",$A7,"Year",N$1)=""), "",GETPIVOTDATA("Cover",'Cover PivotTable'!$A$4,"Site",$A7,"Year",N$1,"Transect",$B7))</f>
        <v/>
      </c>
      <c r="O7" t="str">
        <f>IF(OR(ISERROR(GETPIVOTDATA("Cover",'Cover PivotTable'!$A$4,"Site",$A7,"Year",O$1,"Transect",$B7)),GETPIVOTDATA("Cover",'Cover PivotTable'!$A$4,"Site",$A7,"Year",O$1)=""), "",GETPIVOTDATA("Cover",'Cover PivotTable'!$A$4,"Site",$A7,"Year",O$1,"Transect",$B7))</f>
        <v/>
      </c>
      <c r="P7" s="39">
        <v>3.5000000000000004</v>
      </c>
    </row>
    <row r="8" spans="1:16" x14ac:dyDescent="0.35">
      <c r="A8" t="s">
        <v>99</v>
      </c>
      <c r="B8">
        <v>2.4</v>
      </c>
      <c r="C8" t="str">
        <f>IF(OR(ISERROR(GETPIVOTDATA("Cover",'Cover PivotTable'!$A$4,"Site",$A8,"Year",C$1,"Transect",$B8)),GETPIVOTDATA("Cover",'Cover PivotTable'!$A$4,"Site",$A8,"Year",C$1)=""), "",GETPIVOTDATA("Cover",'Cover PivotTable'!$A$4,"Site",$A8,"Year",C$1,"Transect",$B8))</f>
        <v/>
      </c>
      <c r="D8">
        <f>IF(OR(ISERROR(GETPIVOTDATA("Cover",'Cover PivotTable'!$A$4,"Site",$A8,"Year",D$1,"Transect",$B8)),GETPIVOTDATA("Cover",'Cover PivotTable'!$A$4,"Site",$A8,"Year",D$1)=""), "",GETPIVOTDATA("Cover",'Cover PivotTable'!$A$4,"Site",$A8,"Year",D$1,"Transect",$B8))</f>
        <v>6.5</v>
      </c>
      <c r="E8" t="str">
        <f>IF(OR(ISERROR(GETPIVOTDATA("Cover",'Cover PivotTable'!$A$4,"Site",$A8,"Year",E$1,"Transect",$B8)),GETPIVOTDATA("Cover",'Cover PivotTable'!$A$4,"Site",$A8,"Year",E$1)=""), "",GETPIVOTDATA("Cover",'Cover PivotTable'!$A$4,"Site",$A8,"Year",E$1,"Transect",$B8))</f>
        <v/>
      </c>
      <c r="F8" t="str">
        <f>IF(OR(ISERROR(GETPIVOTDATA("Cover",'Cover PivotTable'!$A$4,"Site",$A8,"Year",F$1,"Transect",$B8)),GETPIVOTDATA("Cover",'Cover PivotTable'!$A$4,"Site",$A8,"Year",F$1)=""), "",GETPIVOTDATA("Cover",'Cover PivotTable'!$A$4,"Site",$A8,"Year",F$1,"Transect",$B8))</f>
        <v/>
      </c>
      <c r="G8" t="str">
        <f>IF(OR(ISERROR(GETPIVOTDATA("Cover",'Cover PivotTable'!$A$4,"Site",$A8,"Year",G$1,"Transect",$B8)),GETPIVOTDATA("Cover",'Cover PivotTable'!$A$4,"Site",$A8,"Year",G$1)=""), "",GETPIVOTDATA("Cover",'Cover PivotTable'!$A$4,"Site",$A8,"Year",G$1,"Transect",$B8))</f>
        <v/>
      </c>
      <c r="H8" t="str">
        <f>IF(OR(ISERROR(GETPIVOTDATA("Cover",'Cover PivotTable'!$A$4,"Site",$A8,"Year",H$1,"Transect",$B8)),GETPIVOTDATA("Cover",'Cover PivotTable'!$A$4,"Site",$A8,"Year",H$1)=""), "",GETPIVOTDATA("Cover",'Cover PivotTable'!$A$4,"Site",$A8,"Year",H$1,"Transect",$B8))</f>
        <v/>
      </c>
      <c r="I8">
        <f>IF(OR(ISERROR(GETPIVOTDATA("Cover",'Cover PivotTable'!$A$4,"Site",$A8,"Year",I$1,"Transect",$B8)),GETPIVOTDATA("Cover",'Cover PivotTable'!$A$4,"Site",$A8,"Year",I$1)=""), "",GETPIVOTDATA("Cover",'Cover PivotTable'!$A$4,"Site",$A8,"Year",I$1,"Transect",$B8))</f>
        <v>9.5</v>
      </c>
      <c r="J8" t="str">
        <f>IF(OR(ISERROR(GETPIVOTDATA("Cover",'Cover PivotTable'!$A$4,"Site",$A8,"Year",J$1,"Transect",$B8)),GETPIVOTDATA("Cover",'Cover PivotTable'!$A$4,"Site",$A8,"Year",J$1)=""), "",GETPIVOTDATA("Cover",'Cover PivotTable'!$A$4,"Site",$A8,"Year",J$1,"Transect",$B8))</f>
        <v/>
      </c>
      <c r="K8" t="str">
        <f>IF(OR(ISERROR(GETPIVOTDATA("Cover",'Cover PivotTable'!$A$4,"Site",$A8,"Year",K$1,"Transect",$B8)),GETPIVOTDATA("Cover",'Cover PivotTable'!$A$4,"Site",$A8,"Year",K$1)=""), "",GETPIVOTDATA("Cover",'Cover PivotTable'!$A$4,"Site",$A8,"Year",K$1,"Transect",$B8))</f>
        <v/>
      </c>
      <c r="L8">
        <f>IF(OR(ISERROR(GETPIVOTDATA("Cover",'Cover PivotTable'!$A$4,"Site",$A8,"Year",L$1,"Transect",$B8)),GETPIVOTDATA("Cover",'Cover PivotTable'!$A$4,"Site",$A8,"Year",L$1)=""), "",GETPIVOTDATA("Cover",'Cover PivotTable'!$A$4,"Site",$A8,"Year",L$1,"Transect",$B8))</f>
        <v>11.5</v>
      </c>
      <c r="M8" t="str">
        <f>IF(OR(ISERROR(GETPIVOTDATA("Cover",'Cover PivotTable'!$A$4,"Site",$A8,"Year",M$1,"Transect",$B8)),GETPIVOTDATA("Cover",'Cover PivotTable'!$A$4,"Site",$A8,"Year",M$1)=""), "",GETPIVOTDATA("Cover",'Cover PivotTable'!$A$4,"Site",$A8,"Year",M$1,"Transect",$B8))</f>
        <v/>
      </c>
      <c r="N8" t="str">
        <f>IF(OR(ISERROR(GETPIVOTDATA("Cover",'Cover PivotTable'!$A$4,"Site",$A8,"Year",N$1,"Transect",$B8)),GETPIVOTDATA("Cover",'Cover PivotTable'!$A$4,"Site",$A8,"Year",N$1)=""), "",GETPIVOTDATA("Cover",'Cover PivotTable'!$A$4,"Site",$A8,"Year",N$1,"Transect",$B8))</f>
        <v/>
      </c>
      <c r="O8" t="str">
        <f>IF(OR(ISERROR(GETPIVOTDATA("Cover",'Cover PivotTable'!$A$4,"Site",$A8,"Year",O$1,"Transect",$B8)),GETPIVOTDATA("Cover",'Cover PivotTable'!$A$4,"Site",$A8,"Year",O$1)=""), "",GETPIVOTDATA("Cover",'Cover PivotTable'!$A$4,"Site",$A8,"Year",O$1,"Transect",$B8))</f>
        <v/>
      </c>
      <c r="P8" s="39">
        <v>14.000000000000002</v>
      </c>
    </row>
    <row r="9" spans="1:16" x14ac:dyDescent="0.35">
      <c r="A9" t="s">
        <v>99</v>
      </c>
      <c r="B9">
        <v>3.1</v>
      </c>
      <c r="C9" t="str">
        <f>IF(OR(ISERROR(GETPIVOTDATA("Cover",'Cover PivotTable'!$A$4,"Site",$A9,"Year",C$1,"Transect",$B9)),GETPIVOTDATA("Cover",'Cover PivotTable'!$A$4,"Site",$A9,"Year",C$1)=""), "",GETPIVOTDATA("Cover",'Cover PivotTable'!$A$4,"Site",$A9,"Year",C$1,"Transect",$B9))</f>
        <v/>
      </c>
      <c r="D9">
        <f>IF(OR(ISERROR(GETPIVOTDATA("Cover",'Cover PivotTable'!$A$4,"Site",$A9,"Year",D$1,"Transect",$B9)),GETPIVOTDATA("Cover",'Cover PivotTable'!$A$4,"Site",$A9,"Year",D$1)=""), "",GETPIVOTDATA("Cover",'Cover PivotTable'!$A$4,"Site",$A9,"Year",D$1,"Transect",$B9))</f>
        <v>18</v>
      </c>
      <c r="E9" t="str">
        <f>IF(OR(ISERROR(GETPIVOTDATA("Cover",'Cover PivotTable'!$A$4,"Site",$A9,"Year",E$1,"Transect",$B9)),GETPIVOTDATA("Cover",'Cover PivotTable'!$A$4,"Site",$A9,"Year",E$1)=""), "",GETPIVOTDATA("Cover",'Cover PivotTable'!$A$4,"Site",$A9,"Year",E$1,"Transect",$B9))</f>
        <v/>
      </c>
      <c r="F9" t="str">
        <f>IF(OR(ISERROR(GETPIVOTDATA("Cover",'Cover PivotTable'!$A$4,"Site",$A9,"Year",F$1,"Transect",$B9)),GETPIVOTDATA("Cover",'Cover PivotTable'!$A$4,"Site",$A9,"Year",F$1)=""), "",GETPIVOTDATA("Cover",'Cover PivotTable'!$A$4,"Site",$A9,"Year",F$1,"Transect",$B9))</f>
        <v/>
      </c>
      <c r="G9" t="str">
        <f>IF(OR(ISERROR(GETPIVOTDATA("Cover",'Cover PivotTable'!$A$4,"Site",$A9,"Year",G$1,"Transect",$B9)),GETPIVOTDATA("Cover",'Cover PivotTable'!$A$4,"Site",$A9,"Year",G$1)=""), "",GETPIVOTDATA("Cover",'Cover PivotTable'!$A$4,"Site",$A9,"Year",G$1,"Transect",$B9))</f>
        <v/>
      </c>
      <c r="H9" t="str">
        <f>IF(OR(ISERROR(GETPIVOTDATA("Cover",'Cover PivotTable'!$A$4,"Site",$A9,"Year",H$1,"Transect",$B9)),GETPIVOTDATA("Cover",'Cover PivotTable'!$A$4,"Site",$A9,"Year",H$1)=""), "",GETPIVOTDATA("Cover",'Cover PivotTable'!$A$4,"Site",$A9,"Year",H$1,"Transect",$B9))</f>
        <v/>
      </c>
      <c r="I9">
        <f>IF(OR(ISERROR(GETPIVOTDATA("Cover",'Cover PivotTable'!$A$4,"Site",$A9,"Year",I$1,"Transect",$B9)),GETPIVOTDATA("Cover",'Cover PivotTable'!$A$4,"Site",$A9,"Year",I$1)=""), "",GETPIVOTDATA("Cover",'Cover PivotTable'!$A$4,"Site",$A9,"Year",I$1,"Transect",$B9))</f>
        <v>51.5</v>
      </c>
      <c r="J9" t="str">
        <f>IF(OR(ISERROR(GETPIVOTDATA("Cover",'Cover PivotTable'!$A$4,"Site",$A9,"Year",J$1,"Transect",$B9)),GETPIVOTDATA("Cover",'Cover PivotTable'!$A$4,"Site",$A9,"Year",J$1)=""), "",GETPIVOTDATA("Cover",'Cover PivotTable'!$A$4,"Site",$A9,"Year",J$1,"Transect",$B9))</f>
        <v/>
      </c>
      <c r="K9" t="str">
        <f>IF(OR(ISERROR(GETPIVOTDATA("Cover",'Cover PivotTable'!$A$4,"Site",$A9,"Year",K$1,"Transect",$B9)),GETPIVOTDATA("Cover",'Cover PivotTable'!$A$4,"Site",$A9,"Year",K$1)=""), "",GETPIVOTDATA("Cover",'Cover PivotTable'!$A$4,"Site",$A9,"Year",K$1,"Transect",$B9))</f>
        <v/>
      </c>
      <c r="L9">
        <f>IF(OR(ISERROR(GETPIVOTDATA("Cover",'Cover PivotTable'!$A$4,"Site",$A9,"Year",L$1,"Transect",$B9)),GETPIVOTDATA("Cover",'Cover PivotTable'!$A$4,"Site",$A9,"Year",L$1)=""), "",GETPIVOTDATA("Cover",'Cover PivotTable'!$A$4,"Site",$A9,"Year",L$1,"Transect",$B9))</f>
        <v>40</v>
      </c>
      <c r="M9" t="str">
        <f>IF(OR(ISERROR(GETPIVOTDATA("Cover",'Cover PivotTable'!$A$4,"Site",$A9,"Year",M$1,"Transect",$B9)),GETPIVOTDATA("Cover",'Cover PivotTable'!$A$4,"Site",$A9,"Year",M$1)=""), "",GETPIVOTDATA("Cover",'Cover PivotTable'!$A$4,"Site",$A9,"Year",M$1,"Transect",$B9))</f>
        <v/>
      </c>
      <c r="N9" t="str">
        <f>IF(OR(ISERROR(GETPIVOTDATA("Cover",'Cover PivotTable'!$A$4,"Site",$A9,"Year",N$1,"Transect",$B9)),GETPIVOTDATA("Cover",'Cover PivotTable'!$A$4,"Site",$A9,"Year",N$1)=""), "",GETPIVOTDATA("Cover",'Cover PivotTable'!$A$4,"Site",$A9,"Year",N$1,"Transect",$B9))</f>
        <v/>
      </c>
      <c r="O9" t="str">
        <f>IF(OR(ISERROR(GETPIVOTDATA("Cover",'Cover PivotTable'!$A$4,"Site",$A9,"Year",O$1,"Transect",$B9)),GETPIVOTDATA("Cover",'Cover PivotTable'!$A$4,"Site",$A9,"Year",O$1)=""), "",GETPIVOTDATA("Cover",'Cover PivotTable'!$A$4,"Site",$A9,"Year",O$1,"Transect",$B9))</f>
        <v/>
      </c>
      <c r="P9" s="39">
        <v>4.5226130653266337</v>
      </c>
    </row>
    <row r="10" spans="1:16" x14ac:dyDescent="0.35">
      <c r="A10" t="s">
        <v>99</v>
      </c>
      <c r="B10">
        <v>3.2</v>
      </c>
      <c r="C10" t="str">
        <f>IF(OR(ISERROR(GETPIVOTDATA("Cover",'Cover PivotTable'!$A$4,"Site",$A10,"Year",C$1,"Transect",$B10)),GETPIVOTDATA("Cover",'Cover PivotTable'!$A$4,"Site",$A10,"Year",C$1)=""), "",GETPIVOTDATA("Cover",'Cover PivotTable'!$A$4,"Site",$A10,"Year",C$1,"Transect",$B10))</f>
        <v/>
      </c>
      <c r="D10">
        <f>IF(OR(ISERROR(GETPIVOTDATA("Cover",'Cover PivotTable'!$A$4,"Site",$A10,"Year",D$1,"Transect",$B10)),GETPIVOTDATA("Cover",'Cover PivotTable'!$A$4,"Site",$A10,"Year",D$1)=""), "",GETPIVOTDATA("Cover",'Cover PivotTable'!$A$4,"Site",$A10,"Year",D$1,"Transect",$B10))</f>
        <v>2</v>
      </c>
      <c r="E10" t="str">
        <f>IF(OR(ISERROR(GETPIVOTDATA("Cover",'Cover PivotTable'!$A$4,"Site",$A10,"Year",E$1,"Transect",$B10)),GETPIVOTDATA("Cover",'Cover PivotTable'!$A$4,"Site",$A10,"Year",E$1)=""), "",GETPIVOTDATA("Cover",'Cover PivotTable'!$A$4,"Site",$A10,"Year",E$1,"Transect",$B10))</f>
        <v/>
      </c>
      <c r="F10" t="str">
        <f>IF(OR(ISERROR(GETPIVOTDATA("Cover",'Cover PivotTable'!$A$4,"Site",$A10,"Year",F$1,"Transect",$B10)),GETPIVOTDATA("Cover",'Cover PivotTable'!$A$4,"Site",$A10,"Year",F$1)=""), "",GETPIVOTDATA("Cover",'Cover PivotTable'!$A$4,"Site",$A10,"Year",F$1,"Transect",$B10))</f>
        <v/>
      </c>
      <c r="G10" t="str">
        <f>IF(OR(ISERROR(GETPIVOTDATA("Cover",'Cover PivotTable'!$A$4,"Site",$A10,"Year",G$1,"Transect",$B10)),GETPIVOTDATA("Cover",'Cover PivotTable'!$A$4,"Site",$A10,"Year",G$1)=""), "",GETPIVOTDATA("Cover",'Cover PivotTable'!$A$4,"Site",$A10,"Year",G$1,"Transect",$B10))</f>
        <v/>
      </c>
      <c r="H10" t="str">
        <f>IF(OR(ISERROR(GETPIVOTDATA("Cover",'Cover PivotTable'!$A$4,"Site",$A10,"Year",H$1,"Transect",$B10)),GETPIVOTDATA("Cover",'Cover PivotTable'!$A$4,"Site",$A10,"Year",H$1)=""), "",GETPIVOTDATA("Cover",'Cover PivotTable'!$A$4,"Site",$A10,"Year",H$1,"Transect",$B10))</f>
        <v/>
      </c>
      <c r="I10">
        <f>IF(OR(ISERROR(GETPIVOTDATA("Cover",'Cover PivotTable'!$A$4,"Site",$A10,"Year",I$1,"Transect",$B10)),GETPIVOTDATA("Cover",'Cover PivotTable'!$A$4,"Site",$A10,"Year",I$1)=""), "",GETPIVOTDATA("Cover",'Cover PivotTable'!$A$4,"Site",$A10,"Year",I$1,"Transect",$B10))</f>
        <v>0</v>
      </c>
      <c r="J10" t="str">
        <f>IF(OR(ISERROR(GETPIVOTDATA("Cover",'Cover PivotTable'!$A$4,"Site",$A10,"Year",J$1,"Transect",$B10)),GETPIVOTDATA("Cover",'Cover PivotTable'!$A$4,"Site",$A10,"Year",J$1)=""), "",GETPIVOTDATA("Cover",'Cover PivotTable'!$A$4,"Site",$A10,"Year",J$1,"Transect",$B10))</f>
        <v/>
      </c>
      <c r="K10" t="str">
        <f>IF(OR(ISERROR(GETPIVOTDATA("Cover",'Cover PivotTable'!$A$4,"Site",$A10,"Year",K$1,"Transect",$B10)),GETPIVOTDATA("Cover",'Cover PivotTable'!$A$4,"Site",$A10,"Year",K$1)=""), "",GETPIVOTDATA("Cover",'Cover PivotTable'!$A$4,"Site",$A10,"Year",K$1,"Transect",$B10))</f>
        <v/>
      </c>
      <c r="L10">
        <f>IF(OR(ISERROR(GETPIVOTDATA("Cover",'Cover PivotTable'!$A$4,"Site",$A10,"Year",L$1,"Transect",$B10)),GETPIVOTDATA("Cover",'Cover PivotTable'!$A$4,"Site",$A10,"Year",L$1)=""), "",GETPIVOTDATA("Cover",'Cover PivotTable'!$A$4,"Site",$A10,"Year",L$1,"Transect",$B10))</f>
        <v>2.5</v>
      </c>
      <c r="M10" t="str">
        <f>IF(OR(ISERROR(GETPIVOTDATA("Cover",'Cover PivotTable'!$A$4,"Site",$A10,"Year",M$1,"Transect",$B10)),GETPIVOTDATA("Cover",'Cover PivotTable'!$A$4,"Site",$A10,"Year",M$1)=""), "",GETPIVOTDATA("Cover",'Cover PivotTable'!$A$4,"Site",$A10,"Year",M$1,"Transect",$B10))</f>
        <v/>
      </c>
      <c r="N10" t="str">
        <f>IF(OR(ISERROR(GETPIVOTDATA("Cover",'Cover PivotTable'!$A$4,"Site",$A10,"Year",N$1,"Transect",$B10)),GETPIVOTDATA("Cover",'Cover PivotTable'!$A$4,"Site",$A10,"Year",N$1)=""), "",GETPIVOTDATA("Cover",'Cover PivotTable'!$A$4,"Site",$A10,"Year",N$1,"Transect",$B10))</f>
        <v/>
      </c>
      <c r="O10" t="str">
        <f>IF(OR(ISERROR(GETPIVOTDATA("Cover",'Cover PivotTable'!$A$4,"Site",$A10,"Year",O$1,"Transect",$B10)),GETPIVOTDATA("Cover",'Cover PivotTable'!$A$4,"Site",$A10,"Year",O$1)=""), "",GETPIVOTDATA("Cover",'Cover PivotTable'!$A$4,"Site",$A10,"Year",O$1,"Transect",$B10))</f>
        <v/>
      </c>
      <c r="P10" s="39">
        <v>12.5</v>
      </c>
    </row>
    <row r="11" spans="1:16" ht="15" thickBot="1" x14ac:dyDescent="0.4">
      <c r="A11" s="19"/>
      <c r="B11" s="19"/>
      <c r="C11" s="19"/>
      <c r="D11" s="19"/>
      <c r="E11" s="19"/>
      <c r="F11" s="19"/>
      <c r="G11" s="19"/>
      <c r="H11" s="19"/>
      <c r="I11" s="19"/>
      <c r="J11" s="19"/>
      <c r="K11" s="19"/>
      <c r="L11" s="19"/>
      <c r="M11" s="19"/>
      <c r="N11" s="19"/>
      <c r="O11" s="19"/>
      <c r="P11" s="39">
        <v>4</v>
      </c>
    </row>
    <row r="12" spans="1:16" ht="15" thickBot="1" x14ac:dyDescent="0.4">
      <c r="P12" s="40">
        <v>8</v>
      </c>
    </row>
    <row r="13" spans="1:16" x14ac:dyDescent="0.35">
      <c r="A13" t="s">
        <v>274</v>
      </c>
      <c r="C13" s="17" t="str">
        <f>IF(SUM(C2:C10)=0, "", AVERAGE(C2:C10))</f>
        <v/>
      </c>
      <c r="D13" s="17">
        <f>IF(SUM(D2:D10)=0, "", AVERAGE(D2:D10))</f>
        <v>3.9943639291465383</v>
      </c>
      <c r="E13" s="17" t="str">
        <f t="shared" ref="E13:O13" si="0">IF(SUM(E2:E10)=0, "", AVERAGE(E2:E10))</f>
        <v/>
      </c>
      <c r="F13" s="17" t="str">
        <f t="shared" si="0"/>
        <v/>
      </c>
      <c r="G13" s="17" t="str">
        <f t="shared" si="0"/>
        <v/>
      </c>
      <c r="H13" s="17" t="str">
        <f t="shared" si="0"/>
        <v/>
      </c>
      <c r="I13" s="17">
        <f t="shared" si="0"/>
        <v>13.483091787439614</v>
      </c>
      <c r="J13" s="17" t="str">
        <f t="shared" si="0"/>
        <v/>
      </c>
      <c r="K13" s="17" t="str">
        <f t="shared" si="0"/>
        <v/>
      </c>
      <c r="L13" s="17">
        <f t="shared" si="0"/>
        <v>15.360708534621576</v>
      </c>
      <c r="M13" s="17" t="str">
        <f t="shared" si="0"/>
        <v/>
      </c>
      <c r="N13" s="17" t="str">
        <f t="shared" si="0"/>
        <v/>
      </c>
      <c r="O13" s="17" t="str">
        <f t="shared" si="0"/>
        <v/>
      </c>
      <c r="P13" s="17">
        <f>AVERAGE(P2:P12)</f>
        <v>7.3202375513933298</v>
      </c>
    </row>
    <row r="14" spans="1:16" x14ac:dyDescent="0.35">
      <c r="A14" t="s">
        <v>275</v>
      </c>
      <c r="C14" s="17" t="str">
        <f>IF(SUM(C2:C10)=0, "",STDEV(C2:C10))</f>
        <v/>
      </c>
      <c r="D14" s="17">
        <f>IF(SUM(D2:D10)=0, "",STDEV(D2:D10))</f>
        <v>5.6375516659453071</v>
      </c>
      <c r="E14" s="17" t="str">
        <f t="shared" ref="E14:O14" si="1">IF(SUM(E2:E10)=0, "",STDEV(E2:E10))</f>
        <v/>
      </c>
      <c r="F14" s="17" t="str">
        <f t="shared" si="1"/>
        <v/>
      </c>
      <c r="G14" s="17" t="str">
        <f t="shared" si="1"/>
        <v/>
      </c>
      <c r="H14" s="17" t="str">
        <f t="shared" si="1"/>
        <v/>
      </c>
      <c r="I14" s="17">
        <f t="shared" si="1"/>
        <v>15.199752112887094</v>
      </c>
      <c r="J14" s="17" t="str">
        <f t="shared" si="1"/>
        <v/>
      </c>
      <c r="K14" s="17" t="str">
        <f t="shared" si="1"/>
        <v/>
      </c>
      <c r="L14" s="17">
        <f t="shared" si="1"/>
        <v>11.642850148939289</v>
      </c>
      <c r="M14" s="17" t="str">
        <f t="shared" si="1"/>
        <v/>
      </c>
      <c r="N14" s="17" t="str">
        <f t="shared" si="1"/>
        <v/>
      </c>
      <c r="O14" s="17" t="str">
        <f t="shared" si="1"/>
        <v/>
      </c>
      <c r="P14" s="17">
        <f>IF(SUM(P2:P10)=0, "",STDEV(P2:P10))</f>
        <v>3.9170882027546545</v>
      </c>
    </row>
    <row r="15" spans="1:16" x14ac:dyDescent="0.35">
      <c r="A15" t="s">
        <v>276</v>
      </c>
      <c r="C15" s="16" t="str">
        <f>IF(SUM(C2:C10)=0,"",_xlfn.CONFIDENCE.T(0.2,C14,COUNT(C2:C10)))</f>
        <v/>
      </c>
      <c r="D15" s="16">
        <f>IF(SUM(D2:D10)=0,"",_xlfn.CONFIDENCE.T(0.2,D14,COUNT(D2:D10)))</f>
        <v>2.6248728254881444</v>
      </c>
      <c r="E15" s="16" t="str">
        <f t="shared" ref="E15:O15" si="2">IF(SUM(E2:E10)=0,"",_xlfn.CONFIDENCE.T(0.2,E14,COUNT(E2:E10)))</f>
        <v/>
      </c>
      <c r="F15" s="16" t="str">
        <f t="shared" si="2"/>
        <v/>
      </c>
      <c r="G15" s="16" t="str">
        <f t="shared" si="2"/>
        <v/>
      </c>
      <c r="H15" s="16" t="str">
        <f t="shared" si="2"/>
        <v/>
      </c>
      <c r="I15" s="16">
        <f t="shared" si="2"/>
        <v>7.0770821518641149</v>
      </c>
      <c r="J15" s="16" t="str">
        <f t="shared" si="2"/>
        <v/>
      </c>
      <c r="K15" s="16" t="str">
        <f t="shared" si="2"/>
        <v/>
      </c>
      <c r="L15" s="16">
        <f t="shared" si="2"/>
        <v>5.4209704456973435</v>
      </c>
      <c r="M15" s="16" t="str">
        <f t="shared" si="2"/>
        <v/>
      </c>
      <c r="N15" s="16" t="str">
        <f t="shared" si="2"/>
        <v/>
      </c>
      <c r="O15" s="16" t="str">
        <f t="shared" si="2"/>
        <v/>
      </c>
      <c r="P15" s="16">
        <f>IF(SUM(P2:P10)=0,"",_xlfn.CONFIDENCE.T(0.2,P14,COUNT(P2:P10)))</f>
        <v>1.8238162570749266</v>
      </c>
    </row>
    <row r="16" spans="1:16" x14ac:dyDescent="0.35">
      <c r="A16" t="s">
        <v>277</v>
      </c>
      <c r="C16" s="17" t="str">
        <f>IF(C15="","",C13+C15)</f>
        <v/>
      </c>
      <c r="D16" s="17">
        <f>IF(D15="","",D13+D15)</f>
        <v>6.6192367546346826</v>
      </c>
      <c r="E16" s="17" t="str">
        <f t="shared" ref="E16:O16" si="3">IF(E15="","",E13+E15)</f>
        <v/>
      </c>
      <c r="F16" s="17" t="str">
        <f t="shared" si="3"/>
        <v/>
      </c>
      <c r="G16" s="17" t="str">
        <f t="shared" si="3"/>
        <v/>
      </c>
      <c r="H16" s="17" t="str">
        <f t="shared" si="3"/>
        <v/>
      </c>
      <c r="I16" s="17">
        <f t="shared" si="3"/>
        <v>20.560173939303731</v>
      </c>
      <c r="J16" s="17" t="str">
        <f t="shared" si="3"/>
        <v/>
      </c>
      <c r="K16" s="17" t="str">
        <f t="shared" si="3"/>
        <v/>
      </c>
      <c r="L16" s="17">
        <f t="shared" si="3"/>
        <v>20.781678980318919</v>
      </c>
      <c r="M16" s="17" t="str">
        <f t="shared" si="3"/>
        <v/>
      </c>
      <c r="N16" s="17" t="str">
        <f t="shared" si="3"/>
        <v/>
      </c>
      <c r="O16" s="17" t="str">
        <f t="shared" si="3"/>
        <v/>
      </c>
      <c r="P16" s="17">
        <f>IF(P15="","",P13+P15)</f>
        <v>9.1440538084682572</v>
      </c>
    </row>
    <row r="18" spans="1:16" x14ac:dyDescent="0.35">
      <c r="A18" t="s">
        <v>270</v>
      </c>
      <c r="C18" s="17">
        <f t="shared" ref="C18:P18" si="4">VLOOKUP($A$2, TargetCover, 2, FALSE)*0.9</f>
        <v>15.3</v>
      </c>
      <c r="D18" s="17">
        <f t="shared" si="4"/>
        <v>15.3</v>
      </c>
      <c r="E18" s="17">
        <f t="shared" si="4"/>
        <v>15.3</v>
      </c>
      <c r="F18" s="17">
        <f t="shared" si="4"/>
        <v>15.3</v>
      </c>
      <c r="G18" s="17">
        <f t="shared" si="4"/>
        <v>15.3</v>
      </c>
      <c r="H18" s="17">
        <f t="shared" si="4"/>
        <v>15.3</v>
      </c>
      <c r="I18" s="17">
        <f t="shared" si="4"/>
        <v>15.3</v>
      </c>
      <c r="J18" s="17">
        <f t="shared" si="4"/>
        <v>15.3</v>
      </c>
      <c r="K18" s="17">
        <f t="shared" si="4"/>
        <v>15.3</v>
      </c>
      <c r="L18" s="17">
        <f t="shared" si="4"/>
        <v>15.3</v>
      </c>
      <c r="M18" s="17">
        <f t="shared" si="4"/>
        <v>15.3</v>
      </c>
      <c r="N18" s="17">
        <f t="shared" si="4"/>
        <v>15.3</v>
      </c>
      <c r="O18" s="17">
        <f t="shared" si="4"/>
        <v>15.3</v>
      </c>
      <c r="P18" s="17">
        <f t="shared" si="4"/>
        <v>15.3</v>
      </c>
    </row>
    <row r="19" spans="1:16" x14ac:dyDescent="0.35">
      <c r="A19" t="s">
        <v>283</v>
      </c>
      <c r="C19" s="17" t="str">
        <f>IF(C16="","",C16-C18)</f>
        <v/>
      </c>
      <c r="D19" s="17">
        <f>IF(D16="","",D16-D18)</f>
        <v>-8.6807632453653181</v>
      </c>
      <c r="E19" s="17" t="str">
        <f t="shared" ref="E19:O19" si="5">IF(E16="","",E16-E18)</f>
        <v/>
      </c>
      <c r="F19" s="17" t="str">
        <f t="shared" si="5"/>
        <v/>
      </c>
      <c r="G19" s="17" t="str">
        <f t="shared" si="5"/>
        <v/>
      </c>
      <c r="H19" s="17" t="str">
        <f t="shared" si="5"/>
        <v/>
      </c>
      <c r="I19" s="17">
        <f t="shared" si="5"/>
        <v>5.2601739393037299</v>
      </c>
      <c r="J19" s="17" t="str">
        <f t="shared" si="5"/>
        <v/>
      </c>
      <c r="K19" s="17" t="str">
        <f t="shared" si="5"/>
        <v/>
      </c>
      <c r="L19" s="17">
        <f t="shared" si="5"/>
        <v>5.4816789803189181</v>
      </c>
      <c r="M19" s="17" t="str">
        <f t="shared" si="5"/>
        <v/>
      </c>
      <c r="N19" s="17" t="str">
        <f t="shared" si="5"/>
        <v/>
      </c>
      <c r="O19" s="17" t="str">
        <f t="shared" si="5"/>
        <v/>
      </c>
      <c r="P19" s="17">
        <f>IF(P16="","",P16-P18)</f>
        <v>-6.1559461915317435</v>
      </c>
    </row>
    <row r="20" spans="1:16" x14ac:dyDescent="0.35">
      <c r="A20" t="s">
        <v>279</v>
      </c>
      <c r="C20" t="str">
        <f>IF(C19="","",C19&gt;=0)</f>
        <v/>
      </c>
      <c r="D20" t="b">
        <f>IF(D19="","",D19&gt;=0)</f>
        <v>0</v>
      </c>
      <c r="E20" t="str">
        <f t="shared" ref="E20:O20" si="6">IF(E19="","",E19&gt;=0)</f>
        <v/>
      </c>
      <c r="F20" t="str">
        <f t="shared" si="6"/>
        <v/>
      </c>
      <c r="G20" t="str">
        <f t="shared" si="6"/>
        <v/>
      </c>
      <c r="H20" t="str">
        <f t="shared" si="6"/>
        <v/>
      </c>
      <c r="I20" t="b">
        <f t="shared" si="6"/>
        <v>1</v>
      </c>
      <c r="J20" t="str">
        <f t="shared" si="6"/>
        <v/>
      </c>
      <c r="K20" t="str">
        <f t="shared" si="6"/>
        <v/>
      </c>
      <c r="L20" t="b">
        <f t="shared" si="6"/>
        <v>1</v>
      </c>
      <c r="M20" t="str">
        <f t="shared" si="6"/>
        <v/>
      </c>
      <c r="N20" t="str">
        <f t="shared" si="6"/>
        <v/>
      </c>
      <c r="O20" t="str">
        <f t="shared" si="6"/>
        <v/>
      </c>
      <c r="P20" t="b">
        <f>IF(P19="","",P19&gt;=0)</f>
        <v>0</v>
      </c>
    </row>
    <row r="21" spans="1:16" x14ac:dyDescent="0.35">
      <c r="A21" s="20"/>
      <c r="B21" s="20"/>
      <c r="C21" s="20"/>
      <c r="D21" s="20"/>
      <c r="E21" s="20"/>
      <c r="F21" s="20"/>
      <c r="G21" s="20"/>
      <c r="H21" s="20"/>
      <c r="I21" s="20"/>
      <c r="J21" s="20"/>
      <c r="K21" s="20"/>
      <c r="L21" s="20"/>
      <c r="M21" s="20"/>
      <c r="N21" s="20"/>
      <c r="O21" s="20"/>
      <c r="P21" s="20"/>
    </row>
    <row r="23" spans="1:16" x14ac:dyDescent="0.35">
      <c r="A23" t="s">
        <v>280</v>
      </c>
      <c r="C23" t="str">
        <f>IF(GETPIVOTDATA("Helper_SPP",'Species Richness PivotTable'!$A$4,"Site",$A$2,"Year",C$1)="", "", GETPIVOTDATA("Helper_SPP",'Species Richness PivotTable'!$A$4,"Site",$A$2,"Year",C$1))</f>
        <v/>
      </c>
      <c r="D23">
        <f>IF(GETPIVOTDATA("Helper_SPP",'Species Richness PivotTable'!$A$4,"Site",$A$2,"Year",D$1)="", "", GETPIVOTDATA("Helper_SPP",'Species Richness PivotTable'!$A$4,"Site",$A$2,"Year",D$1))</f>
        <v>4</v>
      </c>
      <c r="E23" t="str">
        <f>IF(GETPIVOTDATA("Helper_SPP",'Species Richness PivotTable'!$A$4,"Site",$A$2,"Year",E$1)="", "", GETPIVOTDATA("Helper_SPP",'Species Richness PivotTable'!$A$4,"Site",$A$2,"Year",E$1))</f>
        <v/>
      </c>
      <c r="F23" t="str">
        <f>IF(GETPIVOTDATA("Helper_SPP",'Species Richness PivotTable'!$A$4,"Site",$A$2,"Year",F$1)="", "", GETPIVOTDATA("Helper_SPP",'Species Richness PivotTable'!$A$4,"Site",$A$2,"Year",F$1))</f>
        <v/>
      </c>
      <c r="G23" t="str">
        <f>IF(GETPIVOTDATA("Helper_SPP",'Species Richness PivotTable'!$A$4,"Site",$A$2,"Year",G$1)="", "", GETPIVOTDATA("Helper_SPP",'Species Richness PivotTable'!$A$4,"Site",$A$2,"Year",G$1))</f>
        <v/>
      </c>
      <c r="H23" t="str">
        <f>IF(GETPIVOTDATA("Helper_SPP",'Species Richness PivotTable'!$A$4,"Site",$A$2,"Year",H$1)="", "", GETPIVOTDATA("Helper_SPP",'Species Richness PivotTable'!$A$4,"Site",$A$2,"Year",H$1))</f>
        <v/>
      </c>
      <c r="I23">
        <f>IF(GETPIVOTDATA("Helper_SPP",'Species Richness PivotTable'!$A$4,"Site",$A$2,"Year",I$1)="", "", GETPIVOTDATA("Helper_SPP",'Species Richness PivotTable'!$A$4,"Site",$A$2,"Year",I$1))</f>
        <v>6</v>
      </c>
      <c r="J23" t="str">
        <f>IF(GETPIVOTDATA("Helper_SPP",'Species Richness PivotTable'!$A$4,"Site",$A$2,"Year",J$1)="", "", GETPIVOTDATA("Helper_SPP",'Species Richness PivotTable'!$A$4,"Site",$A$2,"Year",J$1))</f>
        <v/>
      </c>
      <c r="K23" t="str">
        <f>IF(GETPIVOTDATA("Helper_SPP",'Species Richness PivotTable'!$A$4,"Site",$A$2,"Year",K$1)="", "", GETPIVOTDATA("Helper_SPP",'Species Richness PivotTable'!$A$4,"Site",$A$2,"Year",K$1))</f>
        <v/>
      </c>
      <c r="L23">
        <f>IF(GETPIVOTDATA("Helper_SPP",'Species Richness PivotTable'!$A$4,"Site",$A$2,"Year",L$1)="", "", GETPIVOTDATA("Helper_SPP",'Species Richness PivotTable'!$A$4,"Site",$A$2,"Year",L$1))</f>
        <v>5</v>
      </c>
      <c r="M23" t="str">
        <f>IF(GETPIVOTDATA("Helper_SPP",'Species Richness PivotTable'!$A$4,"Site",$A$2,"Year",M$1)="", "", GETPIVOTDATA("Helper_SPP",'Species Richness PivotTable'!$A$4,"Site",$A$2,"Year",M$1))</f>
        <v/>
      </c>
      <c r="N23" t="str">
        <f>IF(GETPIVOTDATA("Helper_SPP",'Species Richness PivotTable'!$A$4,"Site",$A$2,"Year",N$1)="", "", GETPIVOTDATA("Helper_SPP",'Species Richness PivotTable'!$A$4,"Site",$A$2,"Year",N$1))</f>
        <v/>
      </c>
      <c r="O23" t="str">
        <f>IF(GETPIVOTDATA("Helper_SPP",'Species Richness PivotTable'!$A$4,"Site",$A$2,"Year",O$1)="", "", GETPIVOTDATA("Helper_SPP",'Species Richness PivotTable'!$A$4,"Site",$A$2,"Year",O$1))</f>
        <v/>
      </c>
      <c r="P23">
        <v>4</v>
      </c>
    </row>
    <row r="24" spans="1:16" x14ac:dyDescent="0.35">
      <c r="A24" t="s">
        <v>281</v>
      </c>
      <c r="C24" s="18">
        <f t="shared" ref="C24:P24" si="7">VLOOKUP($A$2, TargetCover, 3, FALSE)*0.75</f>
        <v>3</v>
      </c>
      <c r="D24" s="18">
        <f t="shared" si="7"/>
        <v>3</v>
      </c>
      <c r="E24" s="18">
        <f t="shared" si="7"/>
        <v>3</v>
      </c>
      <c r="F24" s="18">
        <f t="shared" si="7"/>
        <v>3</v>
      </c>
      <c r="G24" s="18">
        <f t="shared" si="7"/>
        <v>3</v>
      </c>
      <c r="H24" s="18">
        <f t="shared" si="7"/>
        <v>3</v>
      </c>
      <c r="I24" s="18">
        <f t="shared" si="7"/>
        <v>3</v>
      </c>
      <c r="J24" s="18">
        <f t="shared" si="7"/>
        <v>3</v>
      </c>
      <c r="K24" s="18">
        <f t="shared" si="7"/>
        <v>3</v>
      </c>
      <c r="L24" s="18">
        <f t="shared" si="7"/>
        <v>3</v>
      </c>
      <c r="M24" s="18">
        <f t="shared" si="7"/>
        <v>3</v>
      </c>
      <c r="N24" s="18">
        <f t="shared" si="7"/>
        <v>3</v>
      </c>
      <c r="O24" s="18">
        <f t="shared" si="7"/>
        <v>3</v>
      </c>
      <c r="P24" s="18">
        <f t="shared" si="7"/>
        <v>3</v>
      </c>
    </row>
    <row r="25" spans="1:16" x14ac:dyDescent="0.35">
      <c r="A25" t="s">
        <v>282</v>
      </c>
      <c r="C25" t="str">
        <f>IF(C23="","",C23&gt;=C24)</f>
        <v/>
      </c>
      <c r="D25" t="b">
        <f>IF(D23="","",D23&gt;=D24)</f>
        <v>1</v>
      </c>
      <c r="E25" t="str">
        <f t="shared" ref="E25:O25" si="8">IF(E23="","",E23&gt;=E24)</f>
        <v/>
      </c>
      <c r="F25" t="str">
        <f t="shared" si="8"/>
        <v/>
      </c>
      <c r="G25" t="str">
        <f t="shared" si="8"/>
        <v/>
      </c>
      <c r="H25" t="str">
        <f t="shared" si="8"/>
        <v/>
      </c>
      <c r="I25" t="b">
        <f t="shared" si="8"/>
        <v>1</v>
      </c>
      <c r="J25" t="str">
        <f t="shared" si="8"/>
        <v/>
      </c>
      <c r="K25" t="str">
        <f t="shared" si="8"/>
        <v/>
      </c>
      <c r="L25" t="b">
        <f t="shared" si="8"/>
        <v>1</v>
      </c>
      <c r="M25" t="str">
        <f t="shared" si="8"/>
        <v/>
      </c>
      <c r="N25" t="str">
        <f t="shared" si="8"/>
        <v/>
      </c>
      <c r="O25" t="str">
        <f t="shared" si="8"/>
        <v/>
      </c>
      <c r="P25" t="b">
        <f>IF(P23="","",P23&gt;=P24)</f>
        <v>1</v>
      </c>
    </row>
    <row r="26" spans="1:16" ht="15" thickBot="1" x14ac:dyDescent="0.4">
      <c r="A26" s="19"/>
      <c r="B26" s="19"/>
      <c r="C26" s="19"/>
      <c r="D26" s="19"/>
      <c r="E26" s="19"/>
      <c r="F26" s="19"/>
      <c r="G26" s="19"/>
      <c r="H26" s="19"/>
      <c r="I26" s="19"/>
      <c r="J26" s="19"/>
      <c r="K26" s="19"/>
      <c r="L26" s="19"/>
      <c r="M26" s="19"/>
      <c r="N26" s="19"/>
      <c r="O26" s="19"/>
    </row>
  </sheetData>
  <conditionalFormatting sqref="C20:O21 C25:O25">
    <cfRule type="cellIs" dxfId="29" priority="3" operator="equal">
      <formula>TRUE</formula>
    </cfRule>
    <cfRule type="cellIs" dxfId="28" priority="4" operator="equal">
      <formula>FALSE</formula>
    </cfRule>
  </conditionalFormatting>
  <conditionalFormatting sqref="P20:P21 P25">
    <cfRule type="cellIs" dxfId="27" priority="1" operator="equal">
      <formula>TRUE</formula>
    </cfRule>
    <cfRule type="cellIs" dxfId="26" priority="2" operator="equal">
      <formula>FALSE</formula>
    </cfRule>
  </conditionalFormatting>
  <pageMargins left="0.7" right="0.7" top="0.75" bottom="0.75" header="0.3" footer="0.3"/>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10"/>
  <dimension ref="A1:O39"/>
  <sheetViews>
    <sheetView workbookViewId="0">
      <pane xSplit="2" ySplit="1" topLeftCell="C11" activePane="bottomRight" state="frozen"/>
      <selection pane="topRight" activeCell="C1" sqref="C1"/>
      <selection pane="bottomLeft" activeCell="A2" sqref="A2"/>
      <selection pane="bottomRight" activeCell="J28" sqref="J28"/>
    </sheetView>
  </sheetViews>
  <sheetFormatPr defaultColWidth="9.08984375" defaultRowHeight="14.5" x14ac:dyDescent="0.35"/>
  <cols>
    <col min="3" max="3" width="9.08984375" customWidth="1"/>
  </cols>
  <sheetData>
    <row r="1" spans="1:15" x14ac:dyDescent="0.35">
      <c r="A1" t="s">
        <v>7</v>
      </c>
      <c r="B1" t="s">
        <v>0</v>
      </c>
      <c r="C1" s="13">
        <v>1999</v>
      </c>
      <c r="D1" s="13">
        <v>2001</v>
      </c>
      <c r="E1" s="13">
        <v>2002</v>
      </c>
      <c r="F1" s="13">
        <v>2003</v>
      </c>
      <c r="G1" s="13">
        <v>2004</v>
      </c>
      <c r="H1" s="13">
        <v>2005</v>
      </c>
      <c r="I1" s="13">
        <v>2006</v>
      </c>
      <c r="J1" s="13">
        <v>2007</v>
      </c>
      <c r="K1" s="13">
        <v>2010</v>
      </c>
      <c r="L1" s="13">
        <v>2012</v>
      </c>
      <c r="M1" s="13">
        <v>2013</v>
      </c>
      <c r="N1" s="13">
        <v>2016</v>
      </c>
      <c r="O1" s="13">
        <v>2017</v>
      </c>
    </row>
    <row r="2" spans="1:15" x14ac:dyDescent="0.35">
      <c r="A2" t="s">
        <v>105</v>
      </c>
      <c r="B2">
        <v>1.1000000000000001</v>
      </c>
      <c r="C2" t="str">
        <f>IF(OR(ISERROR(GETPIVOTDATA("Cover",'Cover PivotTable'!$A$4,"Site",$A2,"Year",C$1,"Transect",$B2)),GETPIVOTDATA("Cover",'Cover PivotTable'!$A$4,"Site",$A2,"Year",C$1)=""), "",GETPIVOTDATA("Cover",'Cover PivotTable'!$A$4,"Site",$A2,"Year",C$1,"Transect",$B2))</f>
        <v/>
      </c>
      <c r="D2">
        <f>IF(OR(ISERROR(GETPIVOTDATA("Cover",'Cover PivotTable'!$A$4,"Site",$A2,"Year",D$1,"Transect",$B2)),GETPIVOTDATA("Cover",'Cover PivotTable'!$A$4,"Site",$A2,"Year",D$1)=""), "",GETPIVOTDATA("Cover",'Cover PivotTable'!$A$4,"Site",$A2,"Year",D$1,"Transect",$B2))</f>
        <v>0</v>
      </c>
      <c r="E2" t="str">
        <f>IF(OR(ISERROR(GETPIVOTDATA("Cover",'Cover PivotTable'!$A$4,"Site",$A2,"Year",E$1,"Transect",$B2)),GETPIVOTDATA("Cover",'Cover PivotTable'!$A$4,"Site",$A2,"Year",E$1)=""), "",GETPIVOTDATA("Cover",'Cover PivotTable'!$A$4,"Site",$A2,"Year",E$1,"Transect",$B2))</f>
        <v/>
      </c>
      <c r="F2" t="str">
        <f>IF(OR(ISERROR(GETPIVOTDATA("Cover",'Cover PivotTable'!$A$4,"Site",$A2,"Year",F$1,"Transect",$B2)),GETPIVOTDATA("Cover",'Cover PivotTable'!$A$4,"Site",$A2,"Year",F$1)=""), "",GETPIVOTDATA("Cover",'Cover PivotTable'!$A$4,"Site",$A2,"Year",F$1,"Transect",$B2))</f>
        <v/>
      </c>
      <c r="G2" t="str">
        <f>IF(OR(ISERROR(GETPIVOTDATA("Cover",'Cover PivotTable'!$A$4,"Site",$A2,"Year",G$1,"Transect",$B2)),GETPIVOTDATA("Cover",'Cover PivotTable'!$A$4,"Site",$A2,"Year",G$1)=""), "",GETPIVOTDATA("Cover",'Cover PivotTable'!$A$4,"Site",$A2,"Year",G$1,"Transect",$B2))</f>
        <v/>
      </c>
      <c r="H2" t="str">
        <f>IF(OR(ISERROR(GETPIVOTDATA("Cover",'Cover PivotTable'!$A$4,"Site",$A2,"Year",H$1,"Transect",$B2)),GETPIVOTDATA("Cover",'Cover PivotTable'!$A$4,"Site",$A2,"Year",H$1)=""), "",GETPIVOTDATA("Cover",'Cover PivotTable'!$A$4,"Site",$A2,"Year",H$1,"Transect",$B2))</f>
        <v/>
      </c>
      <c r="I2">
        <f>IF(OR(ISERROR(GETPIVOTDATA("Cover",'Cover PivotTable'!$A$4,"Site",$A2,"Year",I$1,"Transect",$B2)),GETPIVOTDATA("Cover",'Cover PivotTable'!$A$4,"Site",$A2,"Year",I$1)=""), "",GETPIVOTDATA("Cover",'Cover PivotTable'!$A$4,"Site",$A2,"Year",I$1,"Transect",$B2))</f>
        <v>10</v>
      </c>
      <c r="J2" t="str">
        <f>IF(OR(ISERROR(GETPIVOTDATA("Cover",'Cover PivotTable'!$A$4,"Site",$A2,"Year",J$1,"Transect",$B2)),GETPIVOTDATA("Cover",'Cover PivotTable'!$A$4,"Site",$A2,"Year",J$1)=""), "",GETPIVOTDATA("Cover",'Cover PivotTable'!$A$4,"Site",$A2,"Year",J$1,"Transect",$B2))</f>
        <v/>
      </c>
      <c r="K2" t="str">
        <f>IF(OR(ISERROR(GETPIVOTDATA("Cover",'Cover PivotTable'!$A$4,"Site",$A2,"Year",K$1,"Transect",$B2)),GETPIVOTDATA("Cover",'Cover PivotTable'!$A$4,"Site",$A2,"Year",K$1)=""), "",GETPIVOTDATA("Cover",'Cover PivotTable'!$A$4,"Site",$A2,"Year",K$1,"Transect",$B2))</f>
        <v/>
      </c>
      <c r="L2" s="17">
        <f>IF(OR(ISERROR(GETPIVOTDATA("Cover",'Cover PivotTable'!$A$4,"Site",$A2,"Year",L$1,"Transect",$B2)),GETPIVOTDATA("Cover",'Cover PivotTable'!$A$4,"Site",$A2,"Year",L$1)=""), "",GETPIVOTDATA("Cover",'Cover PivotTable'!$A$4,"Site",$A2,"Year",L$1,"Transect",$B2))</f>
        <v>11.616161616161616</v>
      </c>
      <c r="M2" t="str">
        <f>IF(OR(ISERROR(GETPIVOTDATA("Cover",'Cover PivotTable'!$A$4,"Site",$A2,"Year",M$1,"Transect",$B2)),GETPIVOTDATA("Cover",'Cover PivotTable'!$A$4,"Site",$A2,"Year",M$1)=""), "",GETPIVOTDATA("Cover",'Cover PivotTable'!$A$4,"Site",$A2,"Year",M$1,"Transect",$B2))</f>
        <v/>
      </c>
      <c r="N2">
        <f>IF(OR(ISERROR(GETPIVOTDATA("Cover",'Cover PivotTable'!$A$4,"Site",$A2,"Year",N$1,"Transect",$B2)),GETPIVOTDATA("Cover",'Cover PivotTable'!$A$4,"Site",$A2,"Year",N$1)=""), "",GETPIVOTDATA("Cover",'Cover PivotTable'!$A$4,"Site",$A2,"Year",N$1,"Transect",$B2))</f>
        <v>16</v>
      </c>
      <c r="O2">
        <f>IF(OR(ISERROR(GETPIVOTDATA("Cover",'Cover PivotTable'!$A$4,"Site",$A2,"Year",O$1,"Transect",$B2)),GETPIVOTDATA("Cover",'Cover PivotTable'!$A$4,"Site",$A2,"Year",O$1)=""), "",GETPIVOTDATA("Cover",'Cover PivotTable'!$A$4,"Site",$A2,"Year",O$1,"Transect",$B2))</f>
        <v>23</v>
      </c>
    </row>
    <row r="3" spans="1:15" x14ac:dyDescent="0.35">
      <c r="A3" t="s">
        <v>105</v>
      </c>
      <c r="B3">
        <v>1.2</v>
      </c>
      <c r="C3" t="str">
        <f>IF(OR(ISERROR(GETPIVOTDATA("Cover",'Cover PivotTable'!$A$4,"Site",$A3,"Year",C$1,"Transect",$B3)),GETPIVOTDATA("Cover",'Cover PivotTable'!$A$4,"Site",$A3,"Year",C$1)=""), "",GETPIVOTDATA("Cover",'Cover PivotTable'!$A$4,"Site",$A3,"Year",C$1,"Transect",$B3))</f>
        <v/>
      </c>
      <c r="D3">
        <f>IF(OR(ISERROR(GETPIVOTDATA("Cover",'Cover PivotTable'!$A$4,"Site",$A3,"Year",D$1,"Transect",$B3)),GETPIVOTDATA("Cover",'Cover PivotTable'!$A$4,"Site",$A3,"Year",D$1)=""), "",GETPIVOTDATA("Cover",'Cover PivotTable'!$A$4,"Site",$A3,"Year",D$1,"Transect",$B3))</f>
        <v>0</v>
      </c>
      <c r="E3" t="str">
        <f>IF(OR(ISERROR(GETPIVOTDATA("Cover",'Cover PivotTable'!$A$4,"Site",$A3,"Year",E$1,"Transect",$B3)),GETPIVOTDATA("Cover",'Cover PivotTable'!$A$4,"Site",$A3,"Year",E$1)=""), "",GETPIVOTDATA("Cover",'Cover PivotTable'!$A$4,"Site",$A3,"Year",E$1,"Transect",$B3))</f>
        <v/>
      </c>
      <c r="F3" t="str">
        <f>IF(OR(ISERROR(GETPIVOTDATA("Cover",'Cover PivotTable'!$A$4,"Site",$A3,"Year",F$1,"Transect",$B3)),GETPIVOTDATA("Cover",'Cover PivotTable'!$A$4,"Site",$A3,"Year",F$1)=""), "",GETPIVOTDATA("Cover",'Cover PivotTable'!$A$4,"Site",$A3,"Year",F$1,"Transect",$B3))</f>
        <v/>
      </c>
      <c r="G3" t="str">
        <f>IF(OR(ISERROR(GETPIVOTDATA("Cover",'Cover PivotTable'!$A$4,"Site",$A3,"Year",G$1,"Transect",$B3)),GETPIVOTDATA("Cover",'Cover PivotTable'!$A$4,"Site",$A3,"Year",G$1)=""), "",GETPIVOTDATA("Cover",'Cover PivotTable'!$A$4,"Site",$A3,"Year",G$1,"Transect",$B3))</f>
        <v/>
      </c>
      <c r="H3" t="str">
        <f>IF(OR(ISERROR(GETPIVOTDATA("Cover",'Cover PivotTable'!$A$4,"Site",$A3,"Year",H$1,"Transect",$B3)),GETPIVOTDATA("Cover",'Cover PivotTable'!$A$4,"Site",$A3,"Year",H$1)=""), "",GETPIVOTDATA("Cover",'Cover PivotTable'!$A$4,"Site",$A3,"Year",H$1,"Transect",$B3))</f>
        <v/>
      </c>
      <c r="I3">
        <f>IF(OR(ISERROR(GETPIVOTDATA("Cover",'Cover PivotTable'!$A$4,"Site",$A3,"Year",I$1,"Transect",$B3)),GETPIVOTDATA("Cover",'Cover PivotTable'!$A$4,"Site",$A3,"Year",I$1)=""), "",GETPIVOTDATA("Cover",'Cover PivotTable'!$A$4,"Site",$A3,"Year",I$1,"Transect",$B3))</f>
        <v>1.5</v>
      </c>
      <c r="J3" t="str">
        <f>IF(OR(ISERROR(GETPIVOTDATA("Cover",'Cover PivotTable'!$A$4,"Site",$A3,"Year",J$1,"Transect",$B3)),GETPIVOTDATA("Cover",'Cover PivotTable'!$A$4,"Site",$A3,"Year",J$1)=""), "",GETPIVOTDATA("Cover",'Cover PivotTable'!$A$4,"Site",$A3,"Year",J$1,"Transect",$B3))</f>
        <v/>
      </c>
      <c r="K3" t="str">
        <f>IF(OR(ISERROR(GETPIVOTDATA("Cover",'Cover PivotTable'!$A$4,"Site",$A3,"Year",K$1,"Transect",$B3)),GETPIVOTDATA("Cover",'Cover PivotTable'!$A$4,"Site",$A3,"Year",K$1)=""), "",GETPIVOTDATA("Cover",'Cover PivotTable'!$A$4,"Site",$A3,"Year",K$1,"Transect",$B3))</f>
        <v/>
      </c>
      <c r="L3" s="17">
        <f>IF(OR(ISERROR(GETPIVOTDATA("Cover",'Cover PivotTable'!$A$4,"Site",$A3,"Year",L$1,"Transect",$B3)),GETPIVOTDATA("Cover",'Cover PivotTable'!$A$4,"Site",$A3,"Year",L$1)=""), "",GETPIVOTDATA("Cover",'Cover PivotTable'!$A$4,"Site",$A3,"Year",L$1,"Transect",$B3))</f>
        <v>1.0101010101010102</v>
      </c>
      <c r="M3" t="str">
        <f>IF(OR(ISERROR(GETPIVOTDATA("Cover",'Cover PivotTable'!$A$4,"Site",$A3,"Year",M$1,"Transect",$B3)),GETPIVOTDATA("Cover",'Cover PivotTable'!$A$4,"Site",$A3,"Year",M$1)=""), "",GETPIVOTDATA("Cover",'Cover PivotTable'!$A$4,"Site",$A3,"Year",M$1,"Transect",$B3))</f>
        <v/>
      </c>
      <c r="N3">
        <f>IF(OR(ISERROR(GETPIVOTDATA("Cover",'Cover PivotTable'!$A$4,"Site",$A3,"Year",N$1,"Transect",$B3)),GETPIVOTDATA("Cover",'Cover PivotTable'!$A$4,"Site",$A3,"Year",N$1)=""), "",GETPIVOTDATA("Cover",'Cover PivotTable'!$A$4,"Site",$A3,"Year",N$1,"Transect",$B3))</f>
        <v>0.5</v>
      </c>
      <c r="O3">
        <f>IF(OR(ISERROR(GETPIVOTDATA("Cover",'Cover PivotTable'!$A$4,"Site",$A3,"Year",O$1,"Transect",$B3)),GETPIVOTDATA("Cover",'Cover PivotTable'!$A$4,"Site",$A3,"Year",O$1)=""), "",GETPIVOTDATA("Cover",'Cover PivotTable'!$A$4,"Site",$A3,"Year",O$1,"Transect",$B3))</f>
        <v>4.5</v>
      </c>
    </row>
    <row r="4" spans="1:15" x14ac:dyDescent="0.35">
      <c r="A4" t="s">
        <v>105</v>
      </c>
      <c r="B4">
        <v>1.3</v>
      </c>
      <c r="C4" t="str">
        <f>IF(OR(ISERROR(GETPIVOTDATA("Cover",'Cover PivotTable'!$A$4,"Site",$A4,"Year",C$1,"Transect",$B4)),GETPIVOTDATA("Cover",'Cover PivotTable'!$A$4,"Site",$A4,"Year",C$1)=""), "",GETPIVOTDATA("Cover",'Cover PivotTable'!$A$4,"Site",$A4,"Year",C$1,"Transect",$B4))</f>
        <v/>
      </c>
      <c r="D4">
        <f>IF(OR(ISERROR(GETPIVOTDATA("Cover",'Cover PivotTable'!$A$4,"Site",$A4,"Year",D$1,"Transect",$B4)),GETPIVOTDATA("Cover",'Cover PivotTable'!$A$4,"Site",$A4,"Year",D$1)=""), "",GETPIVOTDATA("Cover",'Cover PivotTable'!$A$4,"Site",$A4,"Year",D$1,"Transect",$B4))</f>
        <v>0</v>
      </c>
      <c r="E4" t="str">
        <f>IF(OR(ISERROR(GETPIVOTDATA("Cover",'Cover PivotTable'!$A$4,"Site",$A4,"Year",E$1,"Transect",$B4)),GETPIVOTDATA("Cover",'Cover PivotTable'!$A$4,"Site",$A4,"Year",E$1)=""), "",GETPIVOTDATA("Cover",'Cover PivotTable'!$A$4,"Site",$A4,"Year",E$1,"Transect",$B4))</f>
        <v/>
      </c>
      <c r="F4" t="str">
        <f>IF(OR(ISERROR(GETPIVOTDATA("Cover",'Cover PivotTable'!$A$4,"Site",$A4,"Year",F$1,"Transect",$B4)),GETPIVOTDATA("Cover",'Cover PivotTable'!$A$4,"Site",$A4,"Year",F$1)=""), "",GETPIVOTDATA("Cover",'Cover PivotTable'!$A$4,"Site",$A4,"Year",F$1,"Transect",$B4))</f>
        <v/>
      </c>
      <c r="G4" t="str">
        <f>IF(OR(ISERROR(GETPIVOTDATA("Cover",'Cover PivotTable'!$A$4,"Site",$A4,"Year",G$1,"Transect",$B4)),GETPIVOTDATA("Cover",'Cover PivotTable'!$A$4,"Site",$A4,"Year",G$1)=""), "",GETPIVOTDATA("Cover",'Cover PivotTable'!$A$4,"Site",$A4,"Year",G$1,"Transect",$B4))</f>
        <v/>
      </c>
      <c r="H4" t="str">
        <f>IF(OR(ISERROR(GETPIVOTDATA("Cover",'Cover PivotTable'!$A$4,"Site",$A4,"Year",H$1,"Transect",$B4)),GETPIVOTDATA("Cover",'Cover PivotTable'!$A$4,"Site",$A4,"Year",H$1)=""), "",GETPIVOTDATA("Cover",'Cover PivotTable'!$A$4,"Site",$A4,"Year",H$1,"Transect",$B4))</f>
        <v/>
      </c>
      <c r="I4">
        <f>IF(OR(ISERROR(GETPIVOTDATA("Cover",'Cover PivotTable'!$A$4,"Site",$A4,"Year",I$1,"Transect",$B4)),GETPIVOTDATA("Cover",'Cover PivotTable'!$A$4,"Site",$A4,"Year",I$1)=""), "",GETPIVOTDATA("Cover",'Cover PivotTable'!$A$4,"Site",$A4,"Year",I$1,"Transect",$B4))</f>
        <v>4</v>
      </c>
      <c r="J4" t="str">
        <f>IF(OR(ISERROR(GETPIVOTDATA("Cover",'Cover PivotTable'!$A$4,"Site",$A4,"Year",J$1,"Transect",$B4)),GETPIVOTDATA("Cover",'Cover PivotTable'!$A$4,"Site",$A4,"Year",J$1)=""), "",GETPIVOTDATA("Cover",'Cover PivotTable'!$A$4,"Site",$A4,"Year",J$1,"Transect",$B4))</f>
        <v/>
      </c>
      <c r="K4" t="str">
        <f>IF(OR(ISERROR(GETPIVOTDATA("Cover",'Cover PivotTable'!$A$4,"Site",$A4,"Year",K$1,"Transect",$B4)),GETPIVOTDATA("Cover",'Cover PivotTable'!$A$4,"Site",$A4,"Year",K$1)=""), "",GETPIVOTDATA("Cover",'Cover PivotTable'!$A$4,"Site",$A4,"Year",K$1,"Transect",$B4))</f>
        <v/>
      </c>
      <c r="L4" s="17">
        <f>IF(OR(ISERROR(GETPIVOTDATA("Cover",'Cover PivotTable'!$A$4,"Site",$A4,"Year",L$1,"Transect",$B4)),GETPIVOTDATA("Cover",'Cover PivotTable'!$A$4,"Site",$A4,"Year",L$1)=""), "",GETPIVOTDATA("Cover",'Cover PivotTable'!$A$4,"Site",$A4,"Year",L$1,"Transect",$B4))</f>
        <v>3.0303030303030303</v>
      </c>
      <c r="M4" t="str">
        <f>IF(OR(ISERROR(GETPIVOTDATA("Cover",'Cover PivotTable'!$A$4,"Site",$A4,"Year",M$1,"Transect",$B4)),GETPIVOTDATA("Cover",'Cover PivotTable'!$A$4,"Site",$A4,"Year",M$1)=""), "",GETPIVOTDATA("Cover",'Cover PivotTable'!$A$4,"Site",$A4,"Year",M$1,"Transect",$B4))</f>
        <v/>
      </c>
      <c r="N4">
        <f>IF(OR(ISERROR(GETPIVOTDATA("Cover",'Cover PivotTable'!$A$4,"Site",$A4,"Year",N$1,"Transect",$B4)),GETPIVOTDATA("Cover",'Cover PivotTable'!$A$4,"Site",$A4,"Year",N$1)=""), "",GETPIVOTDATA("Cover",'Cover PivotTable'!$A$4,"Site",$A4,"Year",N$1,"Transect",$B4))</f>
        <v>4.5</v>
      </c>
      <c r="O4">
        <f>IF(OR(ISERROR(GETPIVOTDATA("Cover",'Cover PivotTable'!$A$4,"Site",$A4,"Year",O$1,"Transect",$B4)),GETPIVOTDATA("Cover",'Cover PivotTable'!$A$4,"Site",$A4,"Year",O$1)=""), "",GETPIVOTDATA("Cover",'Cover PivotTable'!$A$4,"Site",$A4,"Year",O$1,"Transect",$B4))</f>
        <v>2.5</v>
      </c>
    </row>
    <row r="5" spans="1:15" x14ac:dyDescent="0.35">
      <c r="A5" t="s">
        <v>105</v>
      </c>
      <c r="B5">
        <v>1.4</v>
      </c>
    </row>
    <row r="6" spans="1:15" x14ac:dyDescent="0.35">
      <c r="A6" t="s">
        <v>105</v>
      </c>
      <c r="B6">
        <v>1.5</v>
      </c>
      <c r="C6" t="str">
        <f>IF(OR(ISERROR(GETPIVOTDATA("Cover",'Cover PivotTable'!$A$4,"Site",$A6,"Year",C$1,"Transect",$B6)),GETPIVOTDATA("Cover",'Cover PivotTable'!$A$4,"Site",$A6,"Year",C$1)=""), "",GETPIVOTDATA("Cover",'Cover PivotTable'!$A$4,"Site",$A6,"Year",C$1,"Transect",$B6))</f>
        <v/>
      </c>
      <c r="D6">
        <f>IF(OR(ISERROR(GETPIVOTDATA("Cover",'Cover PivotTable'!$A$4,"Site",$A6,"Year",D$1,"Transect",$B6)),GETPIVOTDATA("Cover",'Cover PivotTable'!$A$4,"Site",$A6,"Year",D$1)=""), "",GETPIVOTDATA("Cover",'Cover PivotTable'!$A$4,"Site",$A6,"Year",D$1,"Transect",$B6))</f>
        <v>0</v>
      </c>
      <c r="E6" t="str">
        <f>IF(OR(ISERROR(GETPIVOTDATA("Cover",'Cover PivotTable'!$A$4,"Site",$A6,"Year",E$1,"Transect",$B6)),GETPIVOTDATA("Cover",'Cover PivotTable'!$A$4,"Site",$A6,"Year",E$1)=""), "",GETPIVOTDATA("Cover",'Cover PivotTable'!$A$4,"Site",$A6,"Year",E$1,"Transect",$B6))</f>
        <v/>
      </c>
      <c r="F6" t="str">
        <f>IF(OR(ISERROR(GETPIVOTDATA("Cover",'Cover PivotTable'!$A$4,"Site",$A6,"Year",F$1,"Transect",$B6)),GETPIVOTDATA("Cover",'Cover PivotTable'!$A$4,"Site",$A6,"Year",F$1)=""), "",GETPIVOTDATA("Cover",'Cover PivotTable'!$A$4,"Site",$A6,"Year",F$1,"Transect",$B6))</f>
        <v/>
      </c>
      <c r="G6" t="str">
        <f>IF(OR(ISERROR(GETPIVOTDATA("Cover",'Cover PivotTable'!$A$4,"Site",$A6,"Year",G$1,"Transect",$B6)),GETPIVOTDATA("Cover",'Cover PivotTable'!$A$4,"Site",$A6,"Year",G$1)=""), "",GETPIVOTDATA("Cover",'Cover PivotTable'!$A$4,"Site",$A6,"Year",G$1,"Transect",$B6))</f>
        <v/>
      </c>
      <c r="H6" t="str">
        <f>IF(OR(ISERROR(GETPIVOTDATA("Cover",'Cover PivotTable'!$A$4,"Site",$A6,"Year",H$1,"Transect",$B6)),GETPIVOTDATA("Cover",'Cover PivotTable'!$A$4,"Site",$A6,"Year",H$1)=""), "",GETPIVOTDATA("Cover",'Cover PivotTable'!$A$4,"Site",$A6,"Year",H$1,"Transect",$B6))</f>
        <v/>
      </c>
      <c r="I6">
        <f>IF(OR(ISERROR(GETPIVOTDATA("Cover",'Cover PivotTable'!$A$4,"Site",$A6,"Year",I$1,"Transect",$B6)),GETPIVOTDATA("Cover",'Cover PivotTable'!$A$4,"Site",$A6,"Year",I$1)=""), "",GETPIVOTDATA("Cover",'Cover PivotTable'!$A$4,"Site",$A6,"Year",I$1,"Transect",$B6))</f>
        <v>1.5</v>
      </c>
      <c r="J6" t="str">
        <f>IF(OR(ISERROR(GETPIVOTDATA("Cover",'Cover PivotTable'!$A$4,"Site",$A6,"Year",J$1,"Transect",$B6)),GETPIVOTDATA("Cover",'Cover PivotTable'!$A$4,"Site",$A6,"Year",J$1)=""), "",GETPIVOTDATA("Cover",'Cover PivotTable'!$A$4,"Site",$A6,"Year",J$1,"Transect",$B6))</f>
        <v/>
      </c>
      <c r="K6" t="str">
        <f>IF(OR(ISERROR(GETPIVOTDATA("Cover",'Cover PivotTable'!$A$4,"Site",$A6,"Year",K$1,"Transect",$B6)),GETPIVOTDATA("Cover",'Cover PivotTable'!$A$4,"Site",$A6,"Year",K$1)=""), "",GETPIVOTDATA("Cover",'Cover PivotTable'!$A$4,"Site",$A6,"Year",K$1,"Transect",$B6))</f>
        <v/>
      </c>
      <c r="L6" s="17">
        <f>IF(OR(ISERROR(GETPIVOTDATA("Cover",'Cover PivotTable'!$A$4,"Site",$A6,"Year",L$1,"Transect",$B6)),GETPIVOTDATA("Cover",'Cover PivotTable'!$A$4,"Site",$A6,"Year",L$1)=""), "",GETPIVOTDATA("Cover",'Cover PivotTable'!$A$4,"Site",$A6,"Year",L$1,"Transect",$B6))</f>
        <v>1.5151515151515151</v>
      </c>
      <c r="M6" t="str">
        <f>IF(OR(ISERROR(GETPIVOTDATA("Cover",'Cover PivotTable'!$A$4,"Site",$A6,"Year",M$1,"Transect",$B6)),GETPIVOTDATA("Cover",'Cover PivotTable'!$A$4,"Site",$A6,"Year",M$1)=""), "",GETPIVOTDATA("Cover",'Cover PivotTable'!$A$4,"Site",$A6,"Year",M$1,"Transect",$B6))</f>
        <v/>
      </c>
      <c r="N6">
        <f>IF(OR(ISERROR(GETPIVOTDATA("Cover",'Cover PivotTable'!$A$4,"Site",$A6,"Year",N$1,"Transect",$B6)),GETPIVOTDATA("Cover",'Cover PivotTable'!$A$4,"Site",$A6,"Year",N$1)=""), "",GETPIVOTDATA("Cover",'Cover PivotTable'!$A$4,"Site",$A6,"Year",N$1,"Transect",$B6))</f>
        <v>1</v>
      </c>
      <c r="O6">
        <f>IF(OR(ISERROR(GETPIVOTDATA("Cover",'Cover PivotTable'!$A$4,"Site",$A6,"Year",O$1,"Transect",$B6)),GETPIVOTDATA("Cover",'Cover PivotTable'!$A$4,"Site",$A6,"Year",O$1)=""), "",GETPIVOTDATA("Cover",'Cover PivotTable'!$A$4,"Site",$A6,"Year",O$1,"Transect",$B6))</f>
        <v>3</v>
      </c>
    </row>
    <row r="7" spans="1:15" x14ac:dyDescent="0.35">
      <c r="A7" t="s">
        <v>105</v>
      </c>
      <c r="B7">
        <v>1.6</v>
      </c>
      <c r="C7" t="str">
        <f>IF(OR(ISERROR(GETPIVOTDATA("Cover",'Cover PivotTable'!$A$4,"Site",$A7,"Year",C$1,"Transect",$B7)),GETPIVOTDATA("Cover",'Cover PivotTable'!$A$4,"Site",$A7,"Year",C$1)=""), "",GETPIVOTDATA("Cover",'Cover PivotTable'!$A$4,"Site",$A7,"Year",C$1,"Transect",$B7))</f>
        <v/>
      </c>
      <c r="D7">
        <f>IF(OR(ISERROR(GETPIVOTDATA("Cover",'Cover PivotTable'!$A$4,"Site",$A7,"Year",D$1,"Transect",$B7)),GETPIVOTDATA("Cover",'Cover PivotTable'!$A$4,"Site",$A7,"Year",D$1)=""), "",GETPIVOTDATA("Cover",'Cover PivotTable'!$A$4,"Site",$A7,"Year",D$1,"Transect",$B7))</f>
        <v>0</v>
      </c>
      <c r="E7" t="str">
        <f>IF(OR(ISERROR(GETPIVOTDATA("Cover",'Cover PivotTable'!$A$4,"Site",$A7,"Year",E$1,"Transect",$B7)),GETPIVOTDATA("Cover",'Cover PivotTable'!$A$4,"Site",$A7,"Year",E$1)=""), "",GETPIVOTDATA("Cover",'Cover PivotTable'!$A$4,"Site",$A7,"Year",E$1,"Transect",$B7))</f>
        <v/>
      </c>
      <c r="F7" t="str">
        <f>IF(OR(ISERROR(GETPIVOTDATA("Cover",'Cover PivotTable'!$A$4,"Site",$A7,"Year",F$1,"Transect",$B7)),GETPIVOTDATA("Cover",'Cover PivotTable'!$A$4,"Site",$A7,"Year",F$1)=""), "",GETPIVOTDATA("Cover",'Cover PivotTable'!$A$4,"Site",$A7,"Year",F$1,"Transect",$B7))</f>
        <v/>
      </c>
      <c r="G7" t="str">
        <f>IF(OR(ISERROR(GETPIVOTDATA("Cover",'Cover PivotTable'!$A$4,"Site",$A7,"Year",G$1,"Transect",$B7)),GETPIVOTDATA("Cover",'Cover PivotTable'!$A$4,"Site",$A7,"Year",G$1)=""), "",GETPIVOTDATA("Cover",'Cover PivotTable'!$A$4,"Site",$A7,"Year",G$1,"Transect",$B7))</f>
        <v/>
      </c>
      <c r="H7" t="str">
        <f>IF(OR(ISERROR(GETPIVOTDATA("Cover",'Cover PivotTable'!$A$4,"Site",$A7,"Year",H$1,"Transect",$B7)),GETPIVOTDATA("Cover",'Cover PivotTable'!$A$4,"Site",$A7,"Year",H$1)=""), "",GETPIVOTDATA("Cover",'Cover PivotTable'!$A$4,"Site",$A7,"Year",H$1,"Transect",$B7))</f>
        <v/>
      </c>
      <c r="I7" s="17">
        <f>IF(OR(ISERROR(GETPIVOTDATA("Cover",'Cover PivotTable'!$A$4,"Site",$A7,"Year",I$1,"Transect",$B7)),GETPIVOTDATA("Cover",'Cover PivotTable'!$A$4,"Site",$A7,"Year",I$1)=""), "",GETPIVOTDATA("Cover",'Cover PivotTable'!$A$4,"Site",$A7,"Year",I$1,"Transect",$B7))</f>
        <v>6.8965517241379306</v>
      </c>
      <c r="J7" t="str">
        <f>IF(OR(ISERROR(GETPIVOTDATA("Cover",'Cover PivotTable'!$A$4,"Site",$A7,"Year",J$1,"Transect",$B7)),GETPIVOTDATA("Cover",'Cover PivotTable'!$A$4,"Site",$A7,"Year",J$1)=""), "",GETPIVOTDATA("Cover",'Cover PivotTable'!$A$4,"Site",$A7,"Year",J$1,"Transect",$B7))</f>
        <v/>
      </c>
      <c r="K7" t="str">
        <f>IF(OR(ISERROR(GETPIVOTDATA("Cover",'Cover PivotTable'!$A$4,"Site",$A7,"Year",K$1,"Transect",$B7)),GETPIVOTDATA("Cover",'Cover PivotTable'!$A$4,"Site",$A7,"Year",K$1)=""), "",GETPIVOTDATA("Cover",'Cover PivotTable'!$A$4,"Site",$A7,"Year",K$1,"Transect",$B7))</f>
        <v/>
      </c>
      <c r="L7" s="17">
        <f>IF(OR(ISERROR(GETPIVOTDATA("Cover",'Cover PivotTable'!$A$4,"Site",$A7,"Year",L$1,"Transect",$B7)),GETPIVOTDATA("Cover",'Cover PivotTable'!$A$4,"Site",$A7,"Year",L$1)=""), "",GETPIVOTDATA("Cover",'Cover PivotTable'!$A$4,"Site",$A7,"Year",L$1,"Transect",$B7))</f>
        <v>3.5087719298245612</v>
      </c>
      <c r="M7" t="str">
        <f>IF(OR(ISERROR(GETPIVOTDATA("Cover",'Cover PivotTable'!$A$4,"Site",$A7,"Year",M$1,"Transect",$B7)),GETPIVOTDATA("Cover",'Cover PivotTable'!$A$4,"Site",$A7,"Year",M$1)=""), "",GETPIVOTDATA("Cover",'Cover PivotTable'!$A$4,"Site",$A7,"Year",M$1,"Transect",$B7))</f>
        <v/>
      </c>
      <c r="N7" s="17">
        <f>IF(OR(ISERROR(GETPIVOTDATA("Cover",'Cover PivotTable'!$A$4,"Site",$A7,"Year",N$1,"Transect",$B7)),GETPIVOTDATA("Cover",'Cover PivotTable'!$A$4,"Site",$A7,"Year",N$1)=""), "",GETPIVOTDATA("Cover",'Cover PivotTable'!$A$4,"Site",$A7,"Year",N$1,"Transect",$B7))</f>
        <v>5.8479532163742682</v>
      </c>
      <c r="O7" s="17">
        <f>IF(OR(ISERROR(GETPIVOTDATA("Cover",'Cover PivotTable'!$A$4,"Site",$A7,"Year",O$1,"Transect",$B7)),GETPIVOTDATA("Cover",'Cover PivotTable'!$A$4,"Site",$A7,"Year",O$1)=""), "",GETPIVOTDATA("Cover",'Cover PivotTable'!$A$4,"Site",$A7,"Year",O$1,"Transect",$B7))</f>
        <v>3.5714285714285712</v>
      </c>
    </row>
    <row r="8" spans="1:15" x14ac:dyDescent="0.35">
      <c r="A8" t="s">
        <v>105</v>
      </c>
      <c r="B8">
        <v>2.1</v>
      </c>
      <c r="C8" t="str">
        <f>IF(OR(ISERROR(GETPIVOTDATA("Cover",'Cover PivotTable'!$A$4,"Site",$A8,"Year",C$1,"Transect",$B8)),GETPIVOTDATA("Cover",'Cover PivotTable'!$A$4,"Site",$A8,"Year",C$1)=""), "",GETPIVOTDATA("Cover",'Cover PivotTable'!$A$4,"Site",$A8,"Year",C$1,"Transect",$B8))</f>
        <v/>
      </c>
      <c r="D8">
        <f>IF(OR(ISERROR(GETPIVOTDATA("Cover",'Cover PivotTable'!$A$4,"Site",$A8,"Year",D$1,"Transect",$B8)),GETPIVOTDATA("Cover",'Cover PivotTable'!$A$4,"Site",$A8,"Year",D$1)=""), "",GETPIVOTDATA("Cover",'Cover PivotTable'!$A$4,"Site",$A8,"Year",D$1,"Transect",$B8))</f>
        <v>0</v>
      </c>
      <c r="E8" t="str">
        <f>IF(OR(ISERROR(GETPIVOTDATA("Cover",'Cover PivotTable'!$A$4,"Site",$A8,"Year",E$1,"Transect",$B8)),GETPIVOTDATA("Cover",'Cover PivotTable'!$A$4,"Site",$A8,"Year",E$1)=""), "",GETPIVOTDATA("Cover",'Cover PivotTable'!$A$4,"Site",$A8,"Year",E$1,"Transect",$B8))</f>
        <v/>
      </c>
      <c r="F8" t="str">
        <f>IF(OR(ISERROR(GETPIVOTDATA("Cover",'Cover PivotTable'!$A$4,"Site",$A8,"Year",F$1,"Transect",$B8)),GETPIVOTDATA("Cover",'Cover PivotTable'!$A$4,"Site",$A8,"Year",F$1)=""), "",GETPIVOTDATA("Cover",'Cover PivotTable'!$A$4,"Site",$A8,"Year",F$1,"Transect",$B8))</f>
        <v/>
      </c>
      <c r="G8" t="str">
        <f>IF(OR(ISERROR(GETPIVOTDATA("Cover",'Cover PivotTable'!$A$4,"Site",$A8,"Year",G$1,"Transect",$B8)),GETPIVOTDATA("Cover",'Cover PivotTable'!$A$4,"Site",$A8,"Year",G$1)=""), "",GETPIVOTDATA("Cover",'Cover PivotTable'!$A$4,"Site",$A8,"Year",G$1,"Transect",$B8))</f>
        <v/>
      </c>
      <c r="H8" t="str">
        <f>IF(OR(ISERROR(GETPIVOTDATA("Cover",'Cover PivotTable'!$A$4,"Site",$A8,"Year",H$1,"Transect",$B8)),GETPIVOTDATA("Cover",'Cover PivotTable'!$A$4,"Site",$A8,"Year",H$1)=""), "",GETPIVOTDATA("Cover",'Cover PivotTable'!$A$4,"Site",$A8,"Year",H$1,"Transect",$B8))</f>
        <v/>
      </c>
      <c r="I8" s="17">
        <f>IF(OR(ISERROR(GETPIVOTDATA("Cover",'Cover PivotTable'!$A$4,"Site",$A8,"Year",I$1,"Transect",$B8)),GETPIVOTDATA("Cover",'Cover PivotTable'!$A$4,"Site",$A8,"Year",I$1)=""), "",GETPIVOTDATA("Cover",'Cover PivotTable'!$A$4,"Site",$A8,"Year",I$1,"Transect",$B8))</f>
        <v>10.256410256410255</v>
      </c>
      <c r="J8" t="str">
        <f>IF(OR(ISERROR(GETPIVOTDATA("Cover",'Cover PivotTable'!$A$4,"Site",$A8,"Year",J$1,"Transect",$B8)),GETPIVOTDATA("Cover",'Cover PivotTable'!$A$4,"Site",$A8,"Year",J$1)=""), "",GETPIVOTDATA("Cover",'Cover PivotTable'!$A$4,"Site",$A8,"Year",J$1,"Transect",$B8))</f>
        <v/>
      </c>
      <c r="K8" t="str">
        <f>IF(OR(ISERROR(GETPIVOTDATA("Cover",'Cover PivotTable'!$A$4,"Site",$A8,"Year",K$1,"Transect",$B8)),GETPIVOTDATA("Cover",'Cover PivotTable'!$A$4,"Site",$A8,"Year",K$1)=""), "",GETPIVOTDATA("Cover",'Cover PivotTable'!$A$4,"Site",$A8,"Year",K$1,"Transect",$B8))</f>
        <v/>
      </c>
      <c r="L8" s="17">
        <f>IF(OR(ISERROR(GETPIVOTDATA("Cover",'Cover PivotTable'!$A$4,"Site",$A8,"Year",L$1,"Transect",$B8)),GETPIVOTDATA("Cover",'Cover PivotTable'!$A$4,"Site",$A8,"Year",L$1)=""), "",GETPIVOTDATA("Cover",'Cover PivotTable'!$A$4,"Site",$A8,"Year",L$1,"Transect",$B8))</f>
        <v>5.5555555555555554</v>
      </c>
      <c r="M8" t="str">
        <f>IF(OR(ISERROR(GETPIVOTDATA("Cover",'Cover PivotTable'!$A$4,"Site",$A8,"Year",M$1,"Transect",$B8)),GETPIVOTDATA("Cover",'Cover PivotTable'!$A$4,"Site",$A8,"Year",M$1)=""), "",GETPIVOTDATA("Cover",'Cover PivotTable'!$A$4,"Site",$A8,"Year",M$1,"Transect",$B8))</f>
        <v/>
      </c>
      <c r="N8">
        <f>IF(OR(ISERROR(GETPIVOTDATA("Cover",'Cover PivotTable'!$A$4,"Site",$A8,"Year",N$1,"Transect",$B8)),GETPIVOTDATA("Cover",'Cover PivotTable'!$A$4,"Site",$A8,"Year",N$1)=""), "",GETPIVOTDATA("Cover",'Cover PivotTable'!$A$4,"Site",$A8,"Year",N$1,"Transect",$B8))</f>
        <v>4.5</v>
      </c>
      <c r="O8">
        <f>IF(OR(ISERROR(GETPIVOTDATA("Cover",'Cover PivotTable'!$A$4,"Site",$A8,"Year",O$1,"Transect",$B8)),GETPIVOTDATA("Cover",'Cover PivotTable'!$A$4,"Site",$A8,"Year",O$1)=""), "",GETPIVOTDATA("Cover",'Cover PivotTable'!$A$4,"Site",$A8,"Year",O$1,"Transect",$B8))</f>
        <v>13</v>
      </c>
    </row>
    <row r="9" spans="1:15" x14ac:dyDescent="0.35">
      <c r="A9" t="s">
        <v>105</v>
      </c>
      <c r="B9">
        <v>2.2000000000000002</v>
      </c>
      <c r="C9" t="str">
        <f>IF(OR(ISERROR(GETPIVOTDATA("Cover",'Cover PivotTable'!$A$4,"Site",$A9,"Year",C$1,"Transect",$B9)),GETPIVOTDATA("Cover",'Cover PivotTable'!$A$4,"Site",$A9,"Year",C$1)=""), "",GETPIVOTDATA("Cover",'Cover PivotTable'!$A$4,"Site",$A9,"Year",C$1,"Transect",$B9))</f>
        <v/>
      </c>
      <c r="D9">
        <f>IF(OR(ISERROR(GETPIVOTDATA("Cover",'Cover PivotTable'!$A$4,"Site",$A9,"Year",D$1,"Transect",$B9)),GETPIVOTDATA("Cover",'Cover PivotTable'!$A$4,"Site",$A9,"Year",D$1)=""), "",GETPIVOTDATA("Cover",'Cover PivotTable'!$A$4,"Site",$A9,"Year",D$1,"Transect",$B9))</f>
        <v>0</v>
      </c>
      <c r="E9" t="str">
        <f>IF(OR(ISERROR(GETPIVOTDATA("Cover",'Cover PivotTable'!$A$4,"Site",$A9,"Year",E$1,"Transect",$B9)),GETPIVOTDATA("Cover",'Cover PivotTable'!$A$4,"Site",$A9,"Year",E$1)=""), "",GETPIVOTDATA("Cover",'Cover PivotTable'!$A$4,"Site",$A9,"Year",E$1,"Transect",$B9))</f>
        <v/>
      </c>
      <c r="F9" t="str">
        <f>IF(OR(ISERROR(GETPIVOTDATA("Cover",'Cover PivotTable'!$A$4,"Site",$A9,"Year",F$1,"Transect",$B9)),GETPIVOTDATA("Cover",'Cover PivotTable'!$A$4,"Site",$A9,"Year",F$1)=""), "",GETPIVOTDATA("Cover",'Cover PivotTable'!$A$4,"Site",$A9,"Year",F$1,"Transect",$B9))</f>
        <v/>
      </c>
      <c r="G9" t="str">
        <f>IF(OR(ISERROR(GETPIVOTDATA("Cover",'Cover PivotTable'!$A$4,"Site",$A9,"Year",G$1,"Transect",$B9)),GETPIVOTDATA("Cover",'Cover PivotTable'!$A$4,"Site",$A9,"Year",G$1)=""), "",GETPIVOTDATA("Cover",'Cover PivotTable'!$A$4,"Site",$A9,"Year",G$1,"Transect",$B9))</f>
        <v/>
      </c>
      <c r="H9" t="str">
        <f>IF(OR(ISERROR(GETPIVOTDATA("Cover",'Cover PivotTable'!$A$4,"Site",$A9,"Year",H$1,"Transect",$B9)),GETPIVOTDATA("Cover",'Cover PivotTable'!$A$4,"Site",$A9,"Year",H$1)=""), "",GETPIVOTDATA("Cover",'Cover PivotTable'!$A$4,"Site",$A9,"Year",H$1,"Transect",$B9))</f>
        <v/>
      </c>
      <c r="I9">
        <f>IF(OR(ISERROR(GETPIVOTDATA("Cover",'Cover PivotTable'!$A$4,"Site",$A9,"Year",I$1,"Transect",$B9)),GETPIVOTDATA("Cover",'Cover PivotTable'!$A$4,"Site",$A9,"Year",I$1)=""), "",GETPIVOTDATA("Cover",'Cover PivotTable'!$A$4,"Site",$A9,"Year",I$1,"Transect",$B9))</f>
        <v>7</v>
      </c>
      <c r="J9" t="str">
        <f>IF(OR(ISERROR(GETPIVOTDATA("Cover",'Cover PivotTable'!$A$4,"Site",$A9,"Year",J$1,"Transect",$B9)),GETPIVOTDATA("Cover",'Cover PivotTable'!$A$4,"Site",$A9,"Year",J$1)=""), "",GETPIVOTDATA("Cover",'Cover PivotTable'!$A$4,"Site",$A9,"Year",J$1,"Transect",$B9))</f>
        <v/>
      </c>
      <c r="K9" t="str">
        <f>IF(OR(ISERROR(GETPIVOTDATA("Cover",'Cover PivotTable'!$A$4,"Site",$A9,"Year",K$1,"Transect",$B9)),GETPIVOTDATA("Cover",'Cover PivotTable'!$A$4,"Site",$A9,"Year",K$1)=""), "",GETPIVOTDATA("Cover",'Cover PivotTable'!$A$4,"Site",$A9,"Year",K$1,"Transect",$B9))</f>
        <v/>
      </c>
      <c r="L9" s="17">
        <f>IF(OR(ISERROR(GETPIVOTDATA("Cover",'Cover PivotTable'!$A$4,"Site",$A9,"Year",L$1,"Transect",$B9)),GETPIVOTDATA("Cover",'Cover PivotTable'!$A$4,"Site",$A9,"Year",L$1)=""), "",GETPIVOTDATA("Cover",'Cover PivotTable'!$A$4,"Site",$A9,"Year",L$1,"Transect",$B9))</f>
        <v>2.0202020202020203</v>
      </c>
      <c r="M9" t="str">
        <f>IF(OR(ISERROR(GETPIVOTDATA("Cover",'Cover PivotTable'!$A$4,"Site",$A9,"Year",M$1,"Transect",$B9)),GETPIVOTDATA("Cover",'Cover PivotTable'!$A$4,"Site",$A9,"Year",M$1)=""), "",GETPIVOTDATA("Cover",'Cover PivotTable'!$A$4,"Site",$A9,"Year",M$1,"Transect",$B9))</f>
        <v/>
      </c>
      <c r="N9">
        <f>IF(OR(ISERROR(GETPIVOTDATA("Cover",'Cover PivotTable'!$A$4,"Site",$A9,"Year",N$1,"Transect",$B9)),GETPIVOTDATA("Cover",'Cover PivotTable'!$A$4,"Site",$A9,"Year",N$1)=""), "",GETPIVOTDATA("Cover",'Cover PivotTable'!$A$4,"Site",$A9,"Year",N$1,"Transect",$B9))</f>
        <v>0.5</v>
      </c>
      <c r="O9">
        <f>IF(OR(ISERROR(GETPIVOTDATA("Cover",'Cover PivotTable'!$A$4,"Site",$A9,"Year",O$1,"Transect",$B9)),GETPIVOTDATA("Cover",'Cover PivotTable'!$A$4,"Site",$A9,"Year",O$1)=""), "",GETPIVOTDATA("Cover",'Cover PivotTable'!$A$4,"Site",$A9,"Year",O$1,"Transect",$B9))</f>
        <v>5.5</v>
      </c>
    </row>
    <row r="10" spans="1:15" x14ac:dyDescent="0.35">
      <c r="A10" t="s">
        <v>105</v>
      </c>
      <c r="B10">
        <v>2.2999999999999998</v>
      </c>
      <c r="C10" t="str">
        <f>IF(OR(ISERROR(GETPIVOTDATA("Cover",'Cover PivotTable'!$A$4,"Site",$A10,"Year",C$1,"Transect",$B10)),GETPIVOTDATA("Cover",'Cover PivotTable'!$A$4,"Site",$A10,"Year",C$1)=""), "",GETPIVOTDATA("Cover",'Cover PivotTable'!$A$4,"Site",$A10,"Year",C$1,"Transect",$B10))</f>
        <v/>
      </c>
      <c r="D10">
        <f>IF(OR(ISERROR(GETPIVOTDATA("Cover",'Cover PivotTable'!$A$4,"Site",$A10,"Year",D$1,"Transect",$B10)),GETPIVOTDATA("Cover",'Cover PivotTable'!$A$4,"Site",$A10,"Year",D$1)=""), "",GETPIVOTDATA("Cover",'Cover PivotTable'!$A$4,"Site",$A10,"Year",D$1,"Transect",$B10))</f>
        <v>0</v>
      </c>
      <c r="E10" t="str">
        <f>IF(OR(ISERROR(GETPIVOTDATA("Cover",'Cover PivotTable'!$A$4,"Site",$A10,"Year",E$1,"Transect",$B10)),GETPIVOTDATA("Cover",'Cover PivotTable'!$A$4,"Site",$A10,"Year",E$1)=""), "",GETPIVOTDATA("Cover",'Cover PivotTable'!$A$4,"Site",$A10,"Year",E$1,"Transect",$B10))</f>
        <v/>
      </c>
      <c r="F10" t="str">
        <f>IF(OR(ISERROR(GETPIVOTDATA("Cover",'Cover PivotTable'!$A$4,"Site",$A10,"Year",F$1,"Transect",$B10)),GETPIVOTDATA("Cover",'Cover PivotTable'!$A$4,"Site",$A10,"Year",F$1)=""), "",GETPIVOTDATA("Cover",'Cover PivotTable'!$A$4,"Site",$A10,"Year",F$1,"Transect",$B10))</f>
        <v/>
      </c>
      <c r="G10" t="str">
        <f>IF(OR(ISERROR(GETPIVOTDATA("Cover",'Cover PivotTable'!$A$4,"Site",$A10,"Year",G$1,"Transect",$B10)),GETPIVOTDATA("Cover",'Cover PivotTable'!$A$4,"Site",$A10,"Year",G$1)=""), "",GETPIVOTDATA("Cover",'Cover PivotTable'!$A$4,"Site",$A10,"Year",G$1,"Transect",$B10))</f>
        <v/>
      </c>
      <c r="H10" t="str">
        <f>IF(OR(ISERROR(GETPIVOTDATA("Cover",'Cover PivotTable'!$A$4,"Site",$A10,"Year",H$1,"Transect",$B10)),GETPIVOTDATA("Cover",'Cover PivotTable'!$A$4,"Site",$A10,"Year",H$1)=""), "",GETPIVOTDATA("Cover",'Cover PivotTable'!$A$4,"Site",$A10,"Year",H$1,"Transect",$B10))</f>
        <v/>
      </c>
      <c r="I10">
        <f>IF(OR(ISERROR(GETPIVOTDATA("Cover",'Cover PivotTable'!$A$4,"Site",$A10,"Year",I$1,"Transect",$B10)),GETPIVOTDATA("Cover",'Cover PivotTable'!$A$4,"Site",$A10,"Year",I$1)=""), "",GETPIVOTDATA("Cover",'Cover PivotTable'!$A$4,"Site",$A10,"Year",I$1,"Transect",$B10))</f>
        <v>1</v>
      </c>
      <c r="J10" t="str">
        <f>IF(OR(ISERROR(GETPIVOTDATA("Cover",'Cover PivotTable'!$A$4,"Site",$A10,"Year",J$1,"Transect",$B10)),GETPIVOTDATA("Cover",'Cover PivotTable'!$A$4,"Site",$A10,"Year",J$1)=""), "",GETPIVOTDATA("Cover",'Cover PivotTable'!$A$4,"Site",$A10,"Year",J$1,"Transect",$B10))</f>
        <v/>
      </c>
      <c r="K10" t="str">
        <f>IF(OR(ISERROR(GETPIVOTDATA("Cover",'Cover PivotTable'!$A$4,"Site",$A10,"Year",K$1,"Transect",$B10)),GETPIVOTDATA("Cover",'Cover PivotTable'!$A$4,"Site",$A10,"Year",K$1)=""), "",GETPIVOTDATA("Cover",'Cover PivotTable'!$A$4,"Site",$A10,"Year",K$1,"Transect",$B10))</f>
        <v/>
      </c>
      <c r="L10">
        <f>IF(OR(ISERROR(GETPIVOTDATA("Cover",'Cover PivotTable'!$A$4,"Site",$A10,"Year",L$1,"Transect",$B10)),GETPIVOTDATA("Cover",'Cover PivotTable'!$A$4,"Site",$A10,"Year",L$1)=""), "",GETPIVOTDATA("Cover",'Cover PivotTable'!$A$4,"Site",$A10,"Year",L$1,"Transect",$B10))</f>
        <v>1.5</v>
      </c>
      <c r="M10" t="str">
        <f>IF(OR(ISERROR(GETPIVOTDATA("Cover",'Cover PivotTable'!$A$4,"Site",$A10,"Year",M$1,"Transect",$B10)),GETPIVOTDATA("Cover",'Cover PivotTable'!$A$4,"Site",$A10,"Year",M$1)=""), "",GETPIVOTDATA("Cover",'Cover PivotTable'!$A$4,"Site",$A10,"Year",M$1,"Transect",$B10))</f>
        <v/>
      </c>
      <c r="N10">
        <f>IF(OR(ISERROR(GETPIVOTDATA("Cover",'Cover PivotTable'!$A$4,"Site",$A10,"Year",N$1,"Transect",$B10)),GETPIVOTDATA("Cover",'Cover PivotTable'!$A$4,"Site",$A10,"Year",N$1)=""), "",GETPIVOTDATA("Cover",'Cover PivotTable'!$A$4,"Site",$A10,"Year",N$1,"Transect",$B10))</f>
        <v>2.5</v>
      </c>
      <c r="O10">
        <f>IF(OR(ISERROR(GETPIVOTDATA("Cover",'Cover PivotTable'!$A$4,"Site",$A10,"Year",O$1,"Transect",$B10)),GETPIVOTDATA("Cover",'Cover PivotTable'!$A$4,"Site",$A10,"Year",O$1)=""), "",GETPIVOTDATA("Cover",'Cover PivotTable'!$A$4,"Site",$A10,"Year",O$1,"Transect",$B10))</f>
        <v>4</v>
      </c>
    </row>
    <row r="11" spans="1:15" x14ac:dyDescent="0.35">
      <c r="A11" t="s">
        <v>105</v>
      </c>
      <c r="B11">
        <v>2.5</v>
      </c>
      <c r="C11" t="str">
        <f>IF(OR(ISERROR(GETPIVOTDATA("Cover",'Cover PivotTable'!$A$4,"Site",$A11,"Year",C$1,"Transect",$B11)),GETPIVOTDATA("Cover",'Cover PivotTable'!$A$4,"Site",$A11,"Year",C$1)=""), "",GETPIVOTDATA("Cover",'Cover PivotTable'!$A$4,"Site",$A11,"Year",C$1,"Transect",$B11))</f>
        <v/>
      </c>
      <c r="D11">
        <f>IF(OR(ISERROR(GETPIVOTDATA("Cover",'Cover PivotTable'!$A$4,"Site",$A11,"Year",D$1,"Transect",$B11)),GETPIVOTDATA("Cover",'Cover PivotTable'!$A$4,"Site",$A11,"Year",D$1)=""), "",GETPIVOTDATA("Cover",'Cover PivotTable'!$A$4,"Site",$A11,"Year",D$1,"Transect",$B11))</f>
        <v>0</v>
      </c>
      <c r="E11" t="str">
        <f>IF(OR(ISERROR(GETPIVOTDATA("Cover",'Cover PivotTable'!$A$4,"Site",$A11,"Year",E$1,"Transect",$B11)),GETPIVOTDATA("Cover",'Cover PivotTable'!$A$4,"Site",$A11,"Year",E$1)=""), "",GETPIVOTDATA("Cover",'Cover PivotTable'!$A$4,"Site",$A11,"Year",E$1,"Transect",$B11))</f>
        <v/>
      </c>
      <c r="F11" t="str">
        <f>IF(OR(ISERROR(GETPIVOTDATA("Cover",'Cover PivotTable'!$A$4,"Site",$A11,"Year",F$1,"Transect",$B11)),GETPIVOTDATA("Cover",'Cover PivotTable'!$A$4,"Site",$A11,"Year",F$1)=""), "",GETPIVOTDATA("Cover",'Cover PivotTable'!$A$4,"Site",$A11,"Year",F$1,"Transect",$B11))</f>
        <v/>
      </c>
      <c r="G11" t="str">
        <f>IF(OR(ISERROR(GETPIVOTDATA("Cover",'Cover PivotTable'!$A$4,"Site",$A11,"Year",G$1,"Transect",$B11)),GETPIVOTDATA("Cover",'Cover PivotTable'!$A$4,"Site",$A11,"Year",G$1)=""), "",GETPIVOTDATA("Cover",'Cover PivotTable'!$A$4,"Site",$A11,"Year",G$1,"Transect",$B11))</f>
        <v/>
      </c>
      <c r="H11" t="str">
        <f>IF(OR(ISERROR(GETPIVOTDATA("Cover",'Cover PivotTable'!$A$4,"Site",$A11,"Year",H$1,"Transect",$B11)),GETPIVOTDATA("Cover",'Cover PivotTable'!$A$4,"Site",$A11,"Year",H$1)=""), "",GETPIVOTDATA("Cover",'Cover PivotTable'!$A$4,"Site",$A11,"Year",H$1,"Transect",$B11))</f>
        <v/>
      </c>
      <c r="I11">
        <f>IF(OR(ISERROR(GETPIVOTDATA("Cover",'Cover PivotTable'!$A$4,"Site",$A11,"Year",I$1,"Transect",$B11)),GETPIVOTDATA("Cover",'Cover PivotTable'!$A$4,"Site",$A11,"Year",I$1)=""), "",GETPIVOTDATA("Cover",'Cover PivotTable'!$A$4,"Site",$A11,"Year",I$1,"Transect",$B11))</f>
        <v>0</v>
      </c>
      <c r="J11" t="str">
        <f>IF(OR(ISERROR(GETPIVOTDATA("Cover",'Cover PivotTable'!$A$4,"Site",$A11,"Year",J$1,"Transect",$B11)),GETPIVOTDATA("Cover",'Cover PivotTable'!$A$4,"Site",$A11,"Year",J$1)=""), "",GETPIVOTDATA("Cover",'Cover PivotTable'!$A$4,"Site",$A11,"Year",J$1,"Transect",$B11))</f>
        <v/>
      </c>
      <c r="K11" t="str">
        <f>IF(OR(ISERROR(GETPIVOTDATA("Cover",'Cover PivotTable'!$A$4,"Site",$A11,"Year",K$1,"Transect",$B11)),GETPIVOTDATA("Cover",'Cover PivotTable'!$A$4,"Site",$A11,"Year",K$1)=""), "",GETPIVOTDATA("Cover",'Cover PivotTable'!$A$4,"Site",$A11,"Year",K$1,"Transect",$B11))</f>
        <v/>
      </c>
      <c r="L11" s="17">
        <f>IF(OR(ISERROR(GETPIVOTDATA("Cover",'Cover PivotTable'!$A$4,"Site",$A11,"Year",L$1,"Transect",$B11)),GETPIVOTDATA("Cover",'Cover PivotTable'!$A$4,"Site",$A11,"Year",L$1)=""), "",GETPIVOTDATA("Cover",'Cover PivotTable'!$A$4,"Site",$A11,"Year",L$1,"Transect",$B11))</f>
        <v>2.0202020202020203</v>
      </c>
      <c r="M11" t="str">
        <f>IF(OR(ISERROR(GETPIVOTDATA("Cover",'Cover PivotTable'!$A$4,"Site",$A11,"Year",M$1,"Transect",$B11)),GETPIVOTDATA("Cover",'Cover PivotTable'!$A$4,"Site",$A11,"Year",M$1)=""), "",GETPIVOTDATA("Cover",'Cover PivotTable'!$A$4,"Site",$A11,"Year",M$1,"Transect",$B11))</f>
        <v/>
      </c>
      <c r="N11">
        <f>IF(OR(ISERROR(GETPIVOTDATA("Cover",'Cover PivotTable'!$A$4,"Site",$A11,"Year",N$1,"Transect",$B11)),GETPIVOTDATA("Cover",'Cover PivotTable'!$A$4,"Site",$A11,"Year",N$1)=""), "",GETPIVOTDATA("Cover",'Cover PivotTable'!$A$4,"Site",$A11,"Year",N$1,"Transect",$B11))</f>
        <v>0</v>
      </c>
      <c r="O11">
        <f>IF(OR(ISERROR(GETPIVOTDATA("Cover",'Cover PivotTable'!$A$4,"Site",$A11,"Year",O$1,"Transect",$B11)),GETPIVOTDATA("Cover",'Cover PivotTable'!$A$4,"Site",$A11,"Year",O$1)=""), "",GETPIVOTDATA("Cover",'Cover PivotTable'!$A$4,"Site",$A11,"Year",O$1,"Transect",$B11))</f>
        <v>3</v>
      </c>
    </row>
    <row r="12" spans="1:15" x14ac:dyDescent="0.35">
      <c r="A12" t="s">
        <v>105</v>
      </c>
      <c r="B12">
        <v>2.6</v>
      </c>
      <c r="C12" t="str">
        <f>IF(OR(ISERROR(GETPIVOTDATA("Cover",'Cover PivotTable'!$A$4,"Site",$A12,"Year",C$1,"Transect",$B12)),GETPIVOTDATA("Cover",'Cover PivotTable'!$A$4,"Site",$A12,"Year",C$1)=""), "",GETPIVOTDATA("Cover",'Cover PivotTable'!$A$4,"Site",$A12,"Year",C$1,"Transect",$B12))</f>
        <v/>
      </c>
      <c r="D12">
        <f>IF(OR(ISERROR(GETPIVOTDATA("Cover",'Cover PivotTable'!$A$4,"Site",$A12,"Year",D$1,"Transect",$B12)),GETPIVOTDATA("Cover",'Cover PivotTable'!$A$4,"Site",$A12,"Year",D$1)=""), "",GETPIVOTDATA("Cover",'Cover PivotTable'!$A$4,"Site",$A12,"Year",D$1,"Transect",$B12))</f>
        <v>0</v>
      </c>
      <c r="E12" t="str">
        <f>IF(OR(ISERROR(GETPIVOTDATA("Cover",'Cover PivotTable'!$A$4,"Site",$A12,"Year",E$1,"Transect",$B12)),GETPIVOTDATA("Cover",'Cover PivotTable'!$A$4,"Site",$A12,"Year",E$1)=""), "",GETPIVOTDATA("Cover",'Cover PivotTable'!$A$4,"Site",$A12,"Year",E$1,"Transect",$B12))</f>
        <v/>
      </c>
      <c r="F12" t="str">
        <f>IF(OR(ISERROR(GETPIVOTDATA("Cover",'Cover PivotTable'!$A$4,"Site",$A12,"Year",F$1,"Transect",$B12)),GETPIVOTDATA("Cover",'Cover PivotTable'!$A$4,"Site",$A12,"Year",F$1)=""), "",GETPIVOTDATA("Cover",'Cover PivotTable'!$A$4,"Site",$A12,"Year",F$1,"Transect",$B12))</f>
        <v/>
      </c>
      <c r="G12" t="str">
        <f>IF(OR(ISERROR(GETPIVOTDATA("Cover",'Cover PivotTable'!$A$4,"Site",$A12,"Year",G$1,"Transect",$B12)),GETPIVOTDATA("Cover",'Cover PivotTable'!$A$4,"Site",$A12,"Year",G$1)=""), "",GETPIVOTDATA("Cover",'Cover PivotTable'!$A$4,"Site",$A12,"Year",G$1,"Transect",$B12))</f>
        <v/>
      </c>
      <c r="H12" t="str">
        <f>IF(OR(ISERROR(GETPIVOTDATA("Cover",'Cover PivotTable'!$A$4,"Site",$A12,"Year",H$1,"Transect",$B12)),GETPIVOTDATA("Cover",'Cover PivotTable'!$A$4,"Site",$A12,"Year",H$1)=""), "",GETPIVOTDATA("Cover",'Cover PivotTable'!$A$4,"Site",$A12,"Year",H$1,"Transect",$B12))</f>
        <v/>
      </c>
      <c r="I12">
        <f>IF(OR(ISERROR(GETPIVOTDATA("Cover",'Cover PivotTable'!$A$4,"Site",$A12,"Year",I$1,"Transect",$B12)),GETPIVOTDATA("Cover",'Cover PivotTable'!$A$4,"Site",$A12,"Year",I$1)=""), "",GETPIVOTDATA("Cover",'Cover PivotTable'!$A$4,"Site",$A12,"Year",I$1,"Transect",$B12))</f>
        <v>1.5</v>
      </c>
      <c r="J12" t="str">
        <f>IF(OR(ISERROR(GETPIVOTDATA("Cover",'Cover PivotTable'!$A$4,"Site",$A12,"Year",J$1,"Transect",$B12)),GETPIVOTDATA("Cover",'Cover PivotTable'!$A$4,"Site",$A12,"Year",J$1)=""), "",GETPIVOTDATA("Cover",'Cover PivotTable'!$A$4,"Site",$A12,"Year",J$1,"Transect",$B12))</f>
        <v/>
      </c>
      <c r="K12" t="str">
        <f>IF(OR(ISERROR(GETPIVOTDATA("Cover",'Cover PivotTable'!$A$4,"Site",$A12,"Year",K$1,"Transect",$B12)),GETPIVOTDATA("Cover",'Cover PivotTable'!$A$4,"Site",$A12,"Year",K$1)=""), "",GETPIVOTDATA("Cover",'Cover PivotTable'!$A$4,"Site",$A12,"Year",K$1,"Transect",$B12))</f>
        <v/>
      </c>
      <c r="L12" s="17">
        <f>IF(OR(ISERROR(GETPIVOTDATA("Cover",'Cover PivotTable'!$A$4,"Site",$A12,"Year",L$1,"Transect",$B12)),GETPIVOTDATA("Cover",'Cover PivotTable'!$A$4,"Site",$A12,"Year",L$1)=""), "",GETPIVOTDATA("Cover",'Cover PivotTable'!$A$4,"Site",$A12,"Year",L$1,"Transect",$B12))</f>
        <v>3.5353535353535355</v>
      </c>
      <c r="M12" t="str">
        <f>IF(OR(ISERROR(GETPIVOTDATA("Cover",'Cover PivotTable'!$A$4,"Site",$A12,"Year",M$1,"Transect",$B12)),GETPIVOTDATA("Cover",'Cover PivotTable'!$A$4,"Site",$A12,"Year",M$1)=""), "",GETPIVOTDATA("Cover",'Cover PivotTable'!$A$4,"Site",$A12,"Year",M$1,"Transect",$B12))</f>
        <v/>
      </c>
      <c r="N12">
        <f>IF(OR(ISERROR(GETPIVOTDATA("Cover",'Cover PivotTable'!$A$4,"Site",$A12,"Year",N$1,"Transect",$B12)),GETPIVOTDATA("Cover",'Cover PivotTable'!$A$4,"Site",$A12,"Year",N$1)=""), "",GETPIVOTDATA("Cover",'Cover PivotTable'!$A$4,"Site",$A12,"Year",N$1,"Transect",$B12))</f>
        <v>7.0000000000000009</v>
      </c>
      <c r="O12">
        <f>IF(OR(ISERROR(GETPIVOTDATA("Cover",'Cover PivotTable'!$A$4,"Site",$A12,"Year",O$1,"Transect",$B12)),GETPIVOTDATA("Cover",'Cover PivotTable'!$A$4,"Site",$A12,"Year",O$1)=""), "",GETPIVOTDATA("Cover",'Cover PivotTable'!$A$4,"Site",$A12,"Year",O$1,"Transect",$B12))</f>
        <v>5.5</v>
      </c>
    </row>
    <row r="13" spans="1:15" x14ac:dyDescent="0.35">
      <c r="A13" t="s">
        <v>105</v>
      </c>
      <c r="B13">
        <v>2.7</v>
      </c>
      <c r="C13" t="str">
        <f>IF(OR(ISERROR(GETPIVOTDATA("Cover",'Cover PivotTable'!$A$4,"Site",$A13,"Year",C$1,"Transect",$B13)),GETPIVOTDATA("Cover",'Cover PivotTable'!$A$4,"Site",$A13,"Year",C$1)=""), "",GETPIVOTDATA("Cover",'Cover PivotTable'!$A$4,"Site",$A13,"Year",C$1,"Transect",$B13))</f>
        <v/>
      </c>
      <c r="D13">
        <f>IF(OR(ISERROR(GETPIVOTDATA("Cover",'Cover PivotTable'!$A$4,"Site",$A13,"Year",D$1,"Transect",$B13)),GETPIVOTDATA("Cover",'Cover PivotTable'!$A$4,"Site",$A13,"Year",D$1)=""), "",GETPIVOTDATA("Cover",'Cover PivotTable'!$A$4,"Site",$A13,"Year",D$1,"Transect",$B13))</f>
        <v>0</v>
      </c>
      <c r="E13" t="str">
        <f>IF(OR(ISERROR(GETPIVOTDATA("Cover",'Cover PivotTable'!$A$4,"Site",$A13,"Year",E$1,"Transect",$B13)),GETPIVOTDATA("Cover",'Cover PivotTable'!$A$4,"Site",$A13,"Year",E$1)=""), "",GETPIVOTDATA("Cover",'Cover PivotTable'!$A$4,"Site",$A13,"Year",E$1,"Transect",$B13))</f>
        <v/>
      </c>
      <c r="F13" t="str">
        <f>IF(OR(ISERROR(GETPIVOTDATA("Cover",'Cover PivotTable'!$A$4,"Site",$A13,"Year",F$1,"Transect",$B13)),GETPIVOTDATA("Cover",'Cover PivotTable'!$A$4,"Site",$A13,"Year",F$1)=""), "",GETPIVOTDATA("Cover",'Cover PivotTable'!$A$4,"Site",$A13,"Year",F$1,"Transect",$B13))</f>
        <v/>
      </c>
      <c r="G13" t="str">
        <f>IF(OR(ISERROR(GETPIVOTDATA("Cover",'Cover PivotTable'!$A$4,"Site",$A13,"Year",G$1,"Transect",$B13)),GETPIVOTDATA("Cover",'Cover PivotTable'!$A$4,"Site",$A13,"Year",G$1)=""), "",GETPIVOTDATA("Cover",'Cover PivotTable'!$A$4,"Site",$A13,"Year",G$1,"Transect",$B13))</f>
        <v/>
      </c>
      <c r="H13" t="str">
        <f>IF(OR(ISERROR(GETPIVOTDATA("Cover",'Cover PivotTable'!$A$4,"Site",$A13,"Year",H$1,"Transect",$B13)),GETPIVOTDATA("Cover",'Cover PivotTable'!$A$4,"Site",$A13,"Year",H$1)=""), "",GETPIVOTDATA("Cover",'Cover PivotTable'!$A$4,"Site",$A13,"Year",H$1,"Transect",$B13))</f>
        <v/>
      </c>
      <c r="I13">
        <f>IF(OR(ISERROR(GETPIVOTDATA("Cover",'Cover PivotTable'!$A$4,"Site",$A13,"Year",I$1,"Transect",$B13)),GETPIVOTDATA("Cover",'Cover PivotTable'!$A$4,"Site",$A13,"Year",I$1)=""), "",GETPIVOTDATA("Cover",'Cover PivotTable'!$A$4,"Site",$A13,"Year",I$1,"Transect",$B13))</f>
        <v>5</v>
      </c>
      <c r="J13" t="str">
        <f>IF(OR(ISERROR(GETPIVOTDATA("Cover",'Cover PivotTable'!$A$4,"Site",$A13,"Year",J$1,"Transect",$B13)),GETPIVOTDATA("Cover",'Cover PivotTable'!$A$4,"Site",$A13,"Year",J$1)=""), "",GETPIVOTDATA("Cover",'Cover PivotTable'!$A$4,"Site",$A13,"Year",J$1,"Transect",$B13))</f>
        <v/>
      </c>
      <c r="K13" t="str">
        <f>IF(OR(ISERROR(GETPIVOTDATA("Cover",'Cover PivotTable'!$A$4,"Site",$A13,"Year",K$1,"Transect",$B13)),GETPIVOTDATA("Cover",'Cover PivotTable'!$A$4,"Site",$A13,"Year",K$1)=""), "",GETPIVOTDATA("Cover",'Cover PivotTable'!$A$4,"Site",$A13,"Year",K$1,"Transect",$B13))</f>
        <v/>
      </c>
      <c r="L13" s="17">
        <f>IF(OR(ISERROR(GETPIVOTDATA("Cover",'Cover PivotTable'!$A$4,"Site",$A13,"Year",L$1,"Transect",$B13)),GETPIVOTDATA("Cover",'Cover PivotTable'!$A$4,"Site",$A13,"Year",L$1)=""), "",GETPIVOTDATA("Cover",'Cover PivotTable'!$A$4,"Site",$A13,"Year",L$1,"Transect",$B13))</f>
        <v>9.0909090909090917</v>
      </c>
      <c r="M13" t="str">
        <f>IF(OR(ISERROR(GETPIVOTDATA("Cover",'Cover PivotTable'!$A$4,"Site",$A13,"Year",M$1,"Transect",$B13)),GETPIVOTDATA("Cover",'Cover PivotTable'!$A$4,"Site",$A13,"Year",M$1)=""), "",GETPIVOTDATA("Cover",'Cover PivotTable'!$A$4,"Site",$A13,"Year",M$1,"Transect",$B13))</f>
        <v/>
      </c>
      <c r="N13" s="17">
        <f>IF(OR(ISERROR(GETPIVOTDATA("Cover",'Cover PivotTable'!$A$4,"Site",$A13,"Year",N$1,"Transect",$B13)),GETPIVOTDATA("Cover",'Cover PivotTable'!$A$4,"Site",$A13,"Year",N$1)=""), "",GETPIVOTDATA("Cover",'Cover PivotTable'!$A$4,"Site",$A13,"Year",N$1,"Transect",$B13))</f>
        <v>14.285714285714285</v>
      </c>
      <c r="O13" s="17">
        <f>IF(OR(ISERROR(GETPIVOTDATA("Cover",'Cover PivotTable'!$A$4,"Site",$A13,"Year",O$1,"Transect",$B13)),GETPIVOTDATA("Cover",'Cover PivotTable'!$A$4,"Site",$A13,"Year",O$1)=""), "",GETPIVOTDATA("Cover",'Cover PivotTable'!$A$4,"Site",$A13,"Year",O$1,"Transect",$B13))</f>
        <v>1.3333333333333335</v>
      </c>
    </row>
    <row r="14" spans="1:15" x14ac:dyDescent="0.35">
      <c r="A14" t="s">
        <v>105</v>
      </c>
      <c r="B14">
        <v>3.1</v>
      </c>
      <c r="C14" t="str">
        <f>IF(OR(ISERROR(GETPIVOTDATA("Cover",'Cover PivotTable'!$A$4,"Site",$A14,"Year",C$1,"Transect",$B14)),GETPIVOTDATA("Cover",'Cover PivotTable'!$A$4,"Site",$A14,"Year",C$1)=""), "",GETPIVOTDATA("Cover",'Cover PivotTable'!$A$4,"Site",$A14,"Year",C$1,"Transect",$B14))</f>
        <v/>
      </c>
      <c r="D14">
        <f>IF(OR(ISERROR(GETPIVOTDATA("Cover",'Cover PivotTable'!$A$4,"Site",$A14,"Year",D$1,"Transect",$B14)),GETPIVOTDATA("Cover",'Cover PivotTable'!$A$4,"Site",$A14,"Year",D$1)=""), "",GETPIVOTDATA("Cover",'Cover PivotTable'!$A$4,"Site",$A14,"Year",D$1,"Transect",$B14))</f>
        <v>0.5</v>
      </c>
      <c r="E14" t="str">
        <f>IF(OR(ISERROR(GETPIVOTDATA("Cover",'Cover PivotTable'!$A$4,"Site",$A14,"Year",E$1,"Transect",$B14)),GETPIVOTDATA("Cover",'Cover PivotTable'!$A$4,"Site",$A14,"Year",E$1)=""), "",GETPIVOTDATA("Cover",'Cover PivotTable'!$A$4,"Site",$A14,"Year",E$1,"Transect",$B14))</f>
        <v/>
      </c>
      <c r="F14" t="str">
        <f>IF(OR(ISERROR(GETPIVOTDATA("Cover",'Cover PivotTable'!$A$4,"Site",$A14,"Year",F$1,"Transect",$B14)),GETPIVOTDATA("Cover",'Cover PivotTable'!$A$4,"Site",$A14,"Year",F$1)=""), "",GETPIVOTDATA("Cover",'Cover PivotTable'!$A$4,"Site",$A14,"Year",F$1,"Transect",$B14))</f>
        <v/>
      </c>
      <c r="G14" t="str">
        <f>IF(OR(ISERROR(GETPIVOTDATA("Cover",'Cover PivotTable'!$A$4,"Site",$A14,"Year",G$1,"Transect",$B14)),GETPIVOTDATA("Cover",'Cover PivotTable'!$A$4,"Site",$A14,"Year",G$1)=""), "",GETPIVOTDATA("Cover",'Cover PivotTable'!$A$4,"Site",$A14,"Year",G$1,"Transect",$B14))</f>
        <v/>
      </c>
      <c r="H14" t="str">
        <f>IF(OR(ISERROR(GETPIVOTDATA("Cover",'Cover PivotTable'!$A$4,"Site",$A14,"Year",H$1,"Transect",$B14)),GETPIVOTDATA("Cover",'Cover PivotTable'!$A$4,"Site",$A14,"Year",H$1)=""), "",GETPIVOTDATA("Cover",'Cover PivotTable'!$A$4,"Site",$A14,"Year",H$1,"Transect",$B14))</f>
        <v/>
      </c>
      <c r="I14">
        <f>IF(OR(ISERROR(GETPIVOTDATA("Cover",'Cover PivotTable'!$A$4,"Site",$A14,"Year",I$1,"Transect",$B14)),GETPIVOTDATA("Cover",'Cover PivotTable'!$A$4,"Site",$A14,"Year",I$1)=""), "",GETPIVOTDATA("Cover",'Cover PivotTable'!$A$4,"Site",$A14,"Year",I$1,"Transect",$B14))</f>
        <v>3</v>
      </c>
      <c r="J14" t="str">
        <f>IF(OR(ISERROR(GETPIVOTDATA("Cover",'Cover PivotTable'!$A$4,"Site",$A14,"Year",J$1,"Transect",$B14)),GETPIVOTDATA("Cover",'Cover PivotTable'!$A$4,"Site",$A14,"Year",J$1)=""), "",GETPIVOTDATA("Cover",'Cover PivotTable'!$A$4,"Site",$A14,"Year",J$1,"Transect",$B14))</f>
        <v/>
      </c>
      <c r="K14" t="str">
        <f>IF(OR(ISERROR(GETPIVOTDATA("Cover",'Cover PivotTable'!$A$4,"Site",$A14,"Year",K$1,"Transect",$B14)),GETPIVOTDATA("Cover",'Cover PivotTable'!$A$4,"Site",$A14,"Year",K$1)=""), "",GETPIVOTDATA("Cover",'Cover PivotTable'!$A$4,"Site",$A14,"Year",K$1,"Transect",$B14))</f>
        <v/>
      </c>
      <c r="L14">
        <f>IF(OR(ISERROR(GETPIVOTDATA("Cover",'Cover PivotTable'!$A$4,"Site",$A14,"Year",L$1,"Transect",$B14)),GETPIVOTDATA("Cover",'Cover PivotTable'!$A$4,"Site",$A14,"Year",L$1)=""), "",GETPIVOTDATA("Cover",'Cover PivotTable'!$A$4,"Site",$A14,"Year",L$1,"Transect",$B14))</f>
        <v>6</v>
      </c>
      <c r="M14" t="str">
        <f>IF(OR(ISERROR(GETPIVOTDATA("Cover",'Cover PivotTable'!$A$4,"Site",$A14,"Year",M$1,"Transect",$B14)),GETPIVOTDATA("Cover",'Cover PivotTable'!$A$4,"Site",$A14,"Year",M$1)=""), "",GETPIVOTDATA("Cover",'Cover PivotTable'!$A$4,"Site",$A14,"Year",M$1,"Transect",$B14))</f>
        <v/>
      </c>
      <c r="N14">
        <f>IF(OR(ISERROR(GETPIVOTDATA("Cover",'Cover PivotTable'!$A$4,"Site",$A14,"Year",N$1,"Transect",$B14)),GETPIVOTDATA("Cover",'Cover PivotTable'!$A$4,"Site",$A14,"Year",N$1)=""), "",GETPIVOTDATA("Cover",'Cover PivotTable'!$A$4,"Site",$A14,"Year",N$1,"Transect",$B14))</f>
        <v>20.5</v>
      </c>
      <c r="O14">
        <f>IF(OR(ISERROR(GETPIVOTDATA("Cover",'Cover PivotTable'!$A$4,"Site",$A14,"Year",O$1,"Transect",$B14)),GETPIVOTDATA("Cover",'Cover PivotTable'!$A$4,"Site",$A14,"Year",O$1)=""), "",GETPIVOTDATA("Cover",'Cover PivotTable'!$A$4,"Site",$A14,"Year",O$1,"Transect",$B14))</f>
        <v>28</v>
      </c>
    </row>
    <row r="15" spans="1:15" x14ac:dyDescent="0.35">
      <c r="A15" t="s">
        <v>105</v>
      </c>
      <c r="B15">
        <v>3.2</v>
      </c>
      <c r="C15" t="str">
        <f>IF(OR(ISERROR(GETPIVOTDATA("Cover",'Cover PivotTable'!$A$4,"Site",$A15,"Year",C$1,"Transect",$B15)),GETPIVOTDATA("Cover",'Cover PivotTable'!$A$4,"Site",$A15,"Year",C$1)=""), "",GETPIVOTDATA("Cover",'Cover PivotTable'!$A$4,"Site",$A15,"Year",C$1,"Transect",$B15))</f>
        <v/>
      </c>
      <c r="D15">
        <f>IF(OR(ISERROR(GETPIVOTDATA("Cover",'Cover PivotTable'!$A$4,"Site",$A15,"Year",D$1,"Transect",$B15)),GETPIVOTDATA("Cover",'Cover PivotTable'!$A$4,"Site",$A15,"Year",D$1)=""), "",GETPIVOTDATA("Cover",'Cover PivotTable'!$A$4,"Site",$A15,"Year",D$1,"Transect",$B15))</f>
        <v>6.5</v>
      </c>
      <c r="E15" t="str">
        <f>IF(OR(ISERROR(GETPIVOTDATA("Cover",'Cover PivotTable'!$A$4,"Site",$A15,"Year",E$1,"Transect",$B15)),GETPIVOTDATA("Cover",'Cover PivotTable'!$A$4,"Site",$A15,"Year",E$1)=""), "",GETPIVOTDATA("Cover",'Cover PivotTable'!$A$4,"Site",$A15,"Year",E$1,"Transect",$B15))</f>
        <v/>
      </c>
      <c r="F15" t="str">
        <f>IF(OR(ISERROR(GETPIVOTDATA("Cover",'Cover PivotTable'!$A$4,"Site",$A15,"Year",F$1,"Transect",$B15)),GETPIVOTDATA("Cover",'Cover PivotTable'!$A$4,"Site",$A15,"Year",F$1)=""), "",GETPIVOTDATA("Cover",'Cover PivotTable'!$A$4,"Site",$A15,"Year",F$1,"Transect",$B15))</f>
        <v/>
      </c>
      <c r="G15" t="str">
        <f>IF(OR(ISERROR(GETPIVOTDATA("Cover",'Cover PivotTable'!$A$4,"Site",$A15,"Year",G$1,"Transect",$B15)),GETPIVOTDATA("Cover",'Cover PivotTable'!$A$4,"Site",$A15,"Year",G$1)=""), "",GETPIVOTDATA("Cover",'Cover PivotTable'!$A$4,"Site",$A15,"Year",G$1,"Transect",$B15))</f>
        <v/>
      </c>
      <c r="H15" t="str">
        <f>IF(OR(ISERROR(GETPIVOTDATA("Cover",'Cover PivotTable'!$A$4,"Site",$A15,"Year",H$1,"Transect",$B15)),GETPIVOTDATA("Cover",'Cover PivotTable'!$A$4,"Site",$A15,"Year",H$1)=""), "",GETPIVOTDATA("Cover",'Cover PivotTable'!$A$4,"Site",$A15,"Year",H$1,"Transect",$B15))</f>
        <v/>
      </c>
      <c r="I15">
        <f>IF(OR(ISERROR(GETPIVOTDATA("Cover",'Cover PivotTable'!$A$4,"Site",$A15,"Year",I$1,"Transect",$B15)),GETPIVOTDATA("Cover",'Cover PivotTable'!$A$4,"Site",$A15,"Year",I$1)=""), "",GETPIVOTDATA("Cover",'Cover PivotTable'!$A$4,"Site",$A15,"Year",I$1,"Transect",$B15))</f>
        <v>8.5</v>
      </c>
      <c r="J15" t="str">
        <f>IF(OR(ISERROR(GETPIVOTDATA("Cover",'Cover PivotTable'!$A$4,"Site",$A15,"Year",J$1,"Transect",$B15)),GETPIVOTDATA("Cover",'Cover PivotTable'!$A$4,"Site",$A15,"Year",J$1)=""), "",GETPIVOTDATA("Cover",'Cover PivotTable'!$A$4,"Site",$A15,"Year",J$1,"Transect",$B15))</f>
        <v/>
      </c>
      <c r="K15" t="str">
        <f>IF(OR(ISERROR(GETPIVOTDATA("Cover",'Cover PivotTable'!$A$4,"Site",$A15,"Year",K$1,"Transect",$B15)),GETPIVOTDATA("Cover",'Cover PivotTable'!$A$4,"Site",$A15,"Year",K$1)=""), "",GETPIVOTDATA("Cover",'Cover PivotTable'!$A$4,"Site",$A15,"Year",K$1,"Transect",$B15))</f>
        <v/>
      </c>
      <c r="L15">
        <f>IF(OR(ISERROR(GETPIVOTDATA("Cover",'Cover PivotTable'!$A$4,"Site",$A15,"Year",L$1,"Transect",$B15)),GETPIVOTDATA("Cover",'Cover PivotTable'!$A$4,"Site",$A15,"Year",L$1)=""), "",GETPIVOTDATA("Cover",'Cover PivotTable'!$A$4,"Site",$A15,"Year",L$1,"Transect",$B15))</f>
        <v>10</v>
      </c>
      <c r="M15" t="str">
        <f>IF(OR(ISERROR(GETPIVOTDATA("Cover",'Cover PivotTable'!$A$4,"Site",$A15,"Year",M$1,"Transect",$B15)),GETPIVOTDATA("Cover",'Cover PivotTable'!$A$4,"Site",$A15,"Year",M$1)=""), "",GETPIVOTDATA("Cover",'Cover PivotTable'!$A$4,"Site",$A15,"Year",M$1,"Transect",$B15))</f>
        <v/>
      </c>
      <c r="N15">
        <f>IF(OR(ISERROR(GETPIVOTDATA("Cover",'Cover PivotTable'!$A$4,"Site",$A15,"Year",N$1,"Transect",$B15)),GETPIVOTDATA("Cover",'Cover PivotTable'!$A$4,"Site",$A15,"Year",N$1)=""), "",GETPIVOTDATA("Cover",'Cover PivotTable'!$A$4,"Site",$A15,"Year",N$1,"Transect",$B15))</f>
        <v>11.5</v>
      </c>
      <c r="O15">
        <f>IF(OR(ISERROR(GETPIVOTDATA("Cover",'Cover PivotTable'!$A$4,"Site",$A15,"Year",O$1,"Transect",$B15)),GETPIVOTDATA("Cover",'Cover PivotTable'!$A$4,"Site",$A15,"Year",O$1)=""), "",GETPIVOTDATA("Cover",'Cover PivotTable'!$A$4,"Site",$A15,"Year",O$1,"Transect",$B15))</f>
        <v>13</v>
      </c>
    </row>
    <row r="16" spans="1:15" x14ac:dyDescent="0.35">
      <c r="A16" t="s">
        <v>105</v>
      </c>
      <c r="B16">
        <v>3.3</v>
      </c>
      <c r="C16" t="str">
        <f>IF(OR(ISERROR(GETPIVOTDATA("Cover",'Cover PivotTable'!$A$4,"Site",$A16,"Year",C$1,"Transect",$B16)),GETPIVOTDATA("Cover",'Cover PivotTable'!$A$4,"Site",$A16,"Year",C$1)=""), "",GETPIVOTDATA("Cover",'Cover PivotTable'!$A$4,"Site",$A16,"Year",C$1,"Transect",$B16))</f>
        <v/>
      </c>
      <c r="D16">
        <f>IF(OR(ISERROR(GETPIVOTDATA("Cover",'Cover PivotTable'!$A$4,"Site",$A16,"Year",D$1,"Transect",$B16)),GETPIVOTDATA("Cover",'Cover PivotTable'!$A$4,"Site",$A16,"Year",D$1)=""), "",GETPIVOTDATA("Cover",'Cover PivotTable'!$A$4,"Site",$A16,"Year",D$1,"Transect",$B16))</f>
        <v>0.5</v>
      </c>
      <c r="E16" t="str">
        <f>IF(OR(ISERROR(GETPIVOTDATA("Cover",'Cover PivotTable'!$A$4,"Site",$A16,"Year",E$1,"Transect",$B16)),GETPIVOTDATA("Cover",'Cover PivotTable'!$A$4,"Site",$A16,"Year",E$1)=""), "",GETPIVOTDATA("Cover",'Cover PivotTable'!$A$4,"Site",$A16,"Year",E$1,"Transect",$B16))</f>
        <v/>
      </c>
      <c r="F16" t="str">
        <f>IF(OR(ISERROR(GETPIVOTDATA("Cover",'Cover PivotTable'!$A$4,"Site",$A16,"Year",F$1,"Transect",$B16)),GETPIVOTDATA("Cover",'Cover PivotTable'!$A$4,"Site",$A16,"Year",F$1)=""), "",GETPIVOTDATA("Cover",'Cover PivotTable'!$A$4,"Site",$A16,"Year",F$1,"Transect",$B16))</f>
        <v/>
      </c>
      <c r="G16" t="str">
        <f>IF(OR(ISERROR(GETPIVOTDATA("Cover",'Cover PivotTable'!$A$4,"Site",$A16,"Year",G$1,"Transect",$B16)),GETPIVOTDATA("Cover",'Cover PivotTable'!$A$4,"Site",$A16,"Year",G$1)=""), "",GETPIVOTDATA("Cover",'Cover PivotTable'!$A$4,"Site",$A16,"Year",G$1,"Transect",$B16))</f>
        <v/>
      </c>
      <c r="H16" t="str">
        <f>IF(OR(ISERROR(GETPIVOTDATA("Cover",'Cover PivotTable'!$A$4,"Site",$A16,"Year",H$1,"Transect",$B16)),GETPIVOTDATA("Cover",'Cover PivotTable'!$A$4,"Site",$A16,"Year",H$1)=""), "",GETPIVOTDATA("Cover",'Cover PivotTable'!$A$4,"Site",$A16,"Year",H$1,"Transect",$B16))</f>
        <v/>
      </c>
      <c r="I16">
        <f>IF(OR(ISERROR(GETPIVOTDATA("Cover",'Cover PivotTable'!$A$4,"Site",$A16,"Year",I$1,"Transect",$B16)),GETPIVOTDATA("Cover",'Cover PivotTable'!$A$4,"Site",$A16,"Year",I$1)=""), "",GETPIVOTDATA("Cover",'Cover PivotTable'!$A$4,"Site",$A16,"Year",I$1,"Transect",$B16))</f>
        <v>4</v>
      </c>
      <c r="J16" t="str">
        <f>IF(OR(ISERROR(GETPIVOTDATA("Cover",'Cover PivotTable'!$A$4,"Site",$A16,"Year",J$1,"Transect",$B16)),GETPIVOTDATA("Cover",'Cover PivotTable'!$A$4,"Site",$A16,"Year",J$1)=""), "",GETPIVOTDATA("Cover",'Cover PivotTable'!$A$4,"Site",$A16,"Year",J$1,"Transect",$B16))</f>
        <v/>
      </c>
      <c r="K16" t="str">
        <f>IF(OR(ISERROR(GETPIVOTDATA("Cover",'Cover PivotTable'!$A$4,"Site",$A16,"Year",K$1,"Transect",$B16)),GETPIVOTDATA("Cover",'Cover PivotTable'!$A$4,"Site",$A16,"Year",K$1)=""), "",GETPIVOTDATA("Cover",'Cover PivotTable'!$A$4,"Site",$A16,"Year",K$1,"Transect",$B16))</f>
        <v/>
      </c>
      <c r="L16">
        <f>IF(OR(ISERROR(GETPIVOTDATA("Cover",'Cover PivotTable'!$A$4,"Site",$A16,"Year",L$1,"Transect",$B16)),GETPIVOTDATA("Cover",'Cover PivotTable'!$A$4,"Site",$A16,"Year",L$1)=""), "",GETPIVOTDATA("Cover",'Cover PivotTable'!$A$4,"Site",$A16,"Year",L$1,"Transect",$B16))</f>
        <v>2</v>
      </c>
      <c r="M16" t="str">
        <f>IF(OR(ISERROR(GETPIVOTDATA("Cover",'Cover PivotTable'!$A$4,"Site",$A16,"Year",M$1,"Transect",$B16)),GETPIVOTDATA("Cover",'Cover PivotTable'!$A$4,"Site",$A16,"Year",M$1)=""), "",GETPIVOTDATA("Cover",'Cover PivotTable'!$A$4,"Site",$A16,"Year",M$1,"Transect",$B16))</f>
        <v/>
      </c>
      <c r="N16">
        <f>IF(OR(ISERROR(GETPIVOTDATA("Cover",'Cover PivotTable'!$A$4,"Site",$A16,"Year",N$1,"Transect",$B16)),GETPIVOTDATA("Cover",'Cover PivotTable'!$A$4,"Site",$A16,"Year",N$1)=""), "",GETPIVOTDATA("Cover",'Cover PivotTable'!$A$4,"Site",$A16,"Year",N$1,"Transect",$B16))</f>
        <v>3</v>
      </c>
      <c r="O16">
        <f>IF(OR(ISERROR(GETPIVOTDATA("Cover",'Cover PivotTable'!$A$4,"Site",$A16,"Year",O$1,"Transect",$B16)),GETPIVOTDATA("Cover",'Cover PivotTable'!$A$4,"Site",$A16,"Year",O$1)=""), "",GETPIVOTDATA("Cover",'Cover PivotTable'!$A$4,"Site",$A16,"Year",O$1,"Transect",$B16))</f>
        <v>3</v>
      </c>
    </row>
    <row r="17" spans="1:15" x14ac:dyDescent="0.35">
      <c r="A17" t="s">
        <v>105</v>
      </c>
      <c r="B17">
        <v>3.4</v>
      </c>
      <c r="C17" t="str">
        <f>IF(OR(ISERROR(GETPIVOTDATA("Cover",'Cover PivotTable'!$A$4,"Site",$A17,"Year",C$1,"Transect",$B17)),GETPIVOTDATA("Cover",'Cover PivotTable'!$A$4,"Site",$A17,"Year",C$1)=""), "",GETPIVOTDATA("Cover",'Cover PivotTable'!$A$4,"Site",$A17,"Year",C$1,"Transect",$B17))</f>
        <v/>
      </c>
      <c r="D17">
        <f>IF(OR(ISERROR(GETPIVOTDATA("Cover",'Cover PivotTable'!$A$4,"Site",$A17,"Year",D$1,"Transect",$B17)),GETPIVOTDATA("Cover",'Cover PivotTable'!$A$4,"Site",$A17,"Year",D$1)=""), "",GETPIVOTDATA("Cover",'Cover PivotTable'!$A$4,"Site",$A17,"Year",D$1,"Transect",$B17))</f>
        <v>9</v>
      </c>
      <c r="E17" t="str">
        <f>IF(OR(ISERROR(GETPIVOTDATA("Cover",'Cover PivotTable'!$A$4,"Site",$A17,"Year",E$1,"Transect",$B17)),GETPIVOTDATA("Cover",'Cover PivotTable'!$A$4,"Site",$A17,"Year",E$1)=""), "",GETPIVOTDATA("Cover",'Cover PivotTable'!$A$4,"Site",$A17,"Year",E$1,"Transect",$B17))</f>
        <v/>
      </c>
      <c r="F17" t="str">
        <f>IF(OR(ISERROR(GETPIVOTDATA("Cover",'Cover PivotTable'!$A$4,"Site",$A17,"Year",F$1,"Transect",$B17)),GETPIVOTDATA("Cover",'Cover PivotTable'!$A$4,"Site",$A17,"Year",F$1)=""), "",GETPIVOTDATA("Cover",'Cover PivotTable'!$A$4,"Site",$A17,"Year",F$1,"Transect",$B17))</f>
        <v/>
      </c>
      <c r="G17" t="str">
        <f>IF(OR(ISERROR(GETPIVOTDATA("Cover",'Cover PivotTable'!$A$4,"Site",$A17,"Year",G$1,"Transect",$B17)),GETPIVOTDATA("Cover",'Cover PivotTable'!$A$4,"Site",$A17,"Year",G$1)=""), "",GETPIVOTDATA("Cover",'Cover PivotTable'!$A$4,"Site",$A17,"Year",G$1,"Transect",$B17))</f>
        <v/>
      </c>
      <c r="H17" t="str">
        <f>IF(OR(ISERROR(GETPIVOTDATA("Cover",'Cover PivotTable'!$A$4,"Site",$A17,"Year",H$1,"Transect",$B17)),GETPIVOTDATA("Cover",'Cover PivotTable'!$A$4,"Site",$A17,"Year",H$1)=""), "",GETPIVOTDATA("Cover",'Cover PivotTable'!$A$4,"Site",$A17,"Year",H$1,"Transect",$B17))</f>
        <v/>
      </c>
      <c r="I17">
        <f>IF(OR(ISERROR(GETPIVOTDATA("Cover",'Cover PivotTable'!$A$4,"Site",$A17,"Year",I$1,"Transect",$B17)),GETPIVOTDATA("Cover",'Cover PivotTable'!$A$4,"Site",$A17,"Year",I$1)=""), "",GETPIVOTDATA("Cover",'Cover PivotTable'!$A$4,"Site",$A17,"Year",I$1,"Transect",$B17))</f>
        <v>9</v>
      </c>
      <c r="J17" t="str">
        <f>IF(OR(ISERROR(GETPIVOTDATA("Cover",'Cover PivotTable'!$A$4,"Site",$A17,"Year",J$1,"Transect",$B17)),GETPIVOTDATA("Cover",'Cover PivotTable'!$A$4,"Site",$A17,"Year",J$1)=""), "",GETPIVOTDATA("Cover",'Cover PivotTable'!$A$4,"Site",$A17,"Year",J$1,"Transect",$B17))</f>
        <v/>
      </c>
      <c r="K17" t="str">
        <f>IF(OR(ISERROR(GETPIVOTDATA("Cover",'Cover PivotTable'!$A$4,"Site",$A17,"Year",K$1,"Transect",$B17)),GETPIVOTDATA("Cover",'Cover PivotTable'!$A$4,"Site",$A17,"Year",K$1)=""), "",GETPIVOTDATA("Cover",'Cover PivotTable'!$A$4,"Site",$A17,"Year",K$1,"Transect",$B17))</f>
        <v/>
      </c>
      <c r="L17">
        <f>IF(OR(ISERROR(GETPIVOTDATA("Cover",'Cover PivotTable'!$A$4,"Site",$A17,"Year",L$1,"Transect",$B17)),GETPIVOTDATA("Cover",'Cover PivotTable'!$A$4,"Site",$A17,"Year",L$1)=""), "",GETPIVOTDATA("Cover",'Cover PivotTable'!$A$4,"Site",$A17,"Year",L$1,"Transect",$B17))</f>
        <v>10</v>
      </c>
      <c r="M17" t="str">
        <f>IF(OR(ISERROR(GETPIVOTDATA("Cover",'Cover PivotTable'!$A$4,"Site",$A17,"Year",M$1,"Transect",$B17)),GETPIVOTDATA("Cover",'Cover PivotTable'!$A$4,"Site",$A17,"Year",M$1)=""), "",GETPIVOTDATA("Cover",'Cover PivotTable'!$A$4,"Site",$A17,"Year",M$1,"Transect",$B17))</f>
        <v/>
      </c>
      <c r="N17">
        <f>IF(OR(ISERROR(GETPIVOTDATA("Cover",'Cover PivotTable'!$A$4,"Site",$A17,"Year",N$1,"Transect",$B17)),GETPIVOTDATA("Cover",'Cover PivotTable'!$A$4,"Site",$A17,"Year",N$1)=""), "",GETPIVOTDATA("Cover",'Cover PivotTable'!$A$4,"Site",$A17,"Year",N$1,"Transect",$B17))</f>
        <v>5</v>
      </c>
      <c r="O17">
        <f>IF(OR(ISERROR(GETPIVOTDATA("Cover",'Cover PivotTable'!$A$4,"Site",$A17,"Year",O$1,"Transect",$B17)),GETPIVOTDATA("Cover",'Cover PivotTable'!$A$4,"Site",$A17,"Year",O$1)=""), "",GETPIVOTDATA("Cover",'Cover PivotTable'!$A$4,"Site",$A17,"Year",O$1,"Transect",$B17))</f>
        <v>4.5</v>
      </c>
    </row>
    <row r="18" spans="1:15" x14ac:dyDescent="0.35">
      <c r="A18" t="s">
        <v>105</v>
      </c>
      <c r="B18">
        <v>3.5</v>
      </c>
      <c r="C18" t="str">
        <f>IF(OR(ISERROR(GETPIVOTDATA("Cover",'Cover PivotTable'!$A$4,"Site",$A18,"Year",C$1,"Transect",$B18)),GETPIVOTDATA("Cover",'Cover PivotTable'!$A$4,"Site",$A18,"Year",C$1)=""), "",GETPIVOTDATA("Cover",'Cover PivotTable'!$A$4,"Site",$A18,"Year",C$1,"Transect",$B18))</f>
        <v/>
      </c>
      <c r="D18">
        <f>IF(OR(ISERROR(GETPIVOTDATA("Cover",'Cover PivotTable'!$A$4,"Site",$A18,"Year",D$1,"Transect",$B18)),GETPIVOTDATA("Cover",'Cover PivotTable'!$A$4,"Site",$A18,"Year",D$1)=""), "",GETPIVOTDATA("Cover",'Cover PivotTable'!$A$4,"Site",$A18,"Year",D$1,"Transect",$B18))</f>
        <v>2</v>
      </c>
      <c r="E18" t="str">
        <f>IF(OR(ISERROR(GETPIVOTDATA("Cover",'Cover PivotTable'!$A$4,"Site",$A18,"Year",E$1,"Transect",$B18)),GETPIVOTDATA("Cover",'Cover PivotTable'!$A$4,"Site",$A18,"Year",E$1)=""), "",GETPIVOTDATA("Cover",'Cover PivotTable'!$A$4,"Site",$A18,"Year",E$1,"Transect",$B18))</f>
        <v/>
      </c>
      <c r="F18" t="str">
        <f>IF(OR(ISERROR(GETPIVOTDATA("Cover",'Cover PivotTable'!$A$4,"Site",$A18,"Year",F$1,"Transect",$B18)),GETPIVOTDATA("Cover",'Cover PivotTable'!$A$4,"Site",$A18,"Year",F$1)=""), "",GETPIVOTDATA("Cover",'Cover PivotTable'!$A$4,"Site",$A18,"Year",F$1,"Transect",$B18))</f>
        <v/>
      </c>
      <c r="G18" t="str">
        <f>IF(OR(ISERROR(GETPIVOTDATA("Cover",'Cover PivotTable'!$A$4,"Site",$A18,"Year",G$1,"Transect",$B18)),GETPIVOTDATA("Cover",'Cover PivotTable'!$A$4,"Site",$A18,"Year",G$1)=""), "",GETPIVOTDATA("Cover",'Cover PivotTable'!$A$4,"Site",$A18,"Year",G$1,"Transect",$B18))</f>
        <v/>
      </c>
      <c r="H18" t="str">
        <f>IF(OR(ISERROR(GETPIVOTDATA("Cover",'Cover PivotTable'!$A$4,"Site",$A18,"Year",H$1,"Transect",$B18)),GETPIVOTDATA("Cover",'Cover PivotTable'!$A$4,"Site",$A18,"Year",H$1)=""), "",GETPIVOTDATA("Cover",'Cover PivotTable'!$A$4,"Site",$A18,"Year",H$1,"Transect",$B18))</f>
        <v/>
      </c>
      <c r="I18">
        <f>IF(OR(ISERROR(GETPIVOTDATA("Cover",'Cover PivotTable'!$A$4,"Site",$A18,"Year",I$1,"Transect",$B18)),GETPIVOTDATA("Cover",'Cover PivotTable'!$A$4,"Site",$A18,"Year",I$1)=""), "",GETPIVOTDATA("Cover",'Cover PivotTable'!$A$4,"Site",$A18,"Year",I$1,"Transect",$B18))</f>
        <v>3.5000000000000004</v>
      </c>
      <c r="J18" t="str">
        <f>IF(OR(ISERROR(GETPIVOTDATA("Cover",'Cover PivotTable'!$A$4,"Site",$A18,"Year",J$1,"Transect",$B18)),GETPIVOTDATA("Cover",'Cover PivotTable'!$A$4,"Site",$A18,"Year",J$1)=""), "",GETPIVOTDATA("Cover",'Cover PivotTable'!$A$4,"Site",$A18,"Year",J$1,"Transect",$B18))</f>
        <v/>
      </c>
      <c r="K18" t="str">
        <f>IF(OR(ISERROR(GETPIVOTDATA("Cover",'Cover PivotTable'!$A$4,"Site",$A18,"Year",K$1,"Transect",$B18)),GETPIVOTDATA("Cover",'Cover PivotTable'!$A$4,"Site",$A18,"Year",K$1)=""), "",GETPIVOTDATA("Cover",'Cover PivotTable'!$A$4,"Site",$A18,"Year",K$1,"Transect",$B18))</f>
        <v/>
      </c>
      <c r="L18">
        <f>IF(OR(ISERROR(GETPIVOTDATA("Cover",'Cover PivotTable'!$A$4,"Site",$A18,"Year",L$1,"Transect",$B18)),GETPIVOTDATA("Cover",'Cover PivotTable'!$A$4,"Site",$A18,"Year",L$1)=""), "",GETPIVOTDATA("Cover",'Cover PivotTable'!$A$4,"Site",$A18,"Year",L$1,"Transect",$B18))</f>
        <v>4.5</v>
      </c>
      <c r="M18" t="str">
        <f>IF(OR(ISERROR(GETPIVOTDATA("Cover",'Cover PivotTable'!$A$4,"Site",$A18,"Year",M$1,"Transect",$B18)),GETPIVOTDATA("Cover",'Cover PivotTable'!$A$4,"Site",$A18,"Year",M$1)=""), "",GETPIVOTDATA("Cover",'Cover PivotTable'!$A$4,"Site",$A18,"Year",M$1,"Transect",$B18))</f>
        <v/>
      </c>
      <c r="N18">
        <f>IF(OR(ISERROR(GETPIVOTDATA("Cover",'Cover PivotTable'!$A$4,"Site",$A18,"Year",N$1,"Transect",$B18)),GETPIVOTDATA("Cover",'Cover PivotTable'!$A$4,"Site",$A18,"Year",N$1)=""), "",GETPIVOTDATA("Cover",'Cover PivotTable'!$A$4,"Site",$A18,"Year",N$1,"Transect",$B18))</f>
        <v>2</v>
      </c>
      <c r="O18">
        <f>IF(OR(ISERROR(GETPIVOTDATA("Cover",'Cover PivotTable'!$A$4,"Site",$A18,"Year",O$1,"Transect",$B18)),GETPIVOTDATA("Cover",'Cover PivotTable'!$A$4,"Site",$A18,"Year",O$1)=""), "",GETPIVOTDATA("Cover",'Cover PivotTable'!$A$4,"Site",$A18,"Year",O$1,"Transect",$B18))</f>
        <v>2</v>
      </c>
    </row>
    <row r="19" spans="1:15" x14ac:dyDescent="0.35">
      <c r="A19" t="s">
        <v>105</v>
      </c>
      <c r="B19">
        <v>3.6</v>
      </c>
      <c r="C19" t="str">
        <f>IF(OR(ISERROR(GETPIVOTDATA("Cover",'Cover PivotTable'!$A$4,"Site",$A19,"Year",C$1,"Transect",$B19)),GETPIVOTDATA("Cover",'Cover PivotTable'!$A$4,"Site",$A19,"Year",C$1)=""), "",GETPIVOTDATA("Cover",'Cover PivotTable'!$A$4,"Site",$A19,"Year",C$1,"Transect",$B19))</f>
        <v/>
      </c>
      <c r="D19">
        <f>IF(OR(ISERROR(GETPIVOTDATA("Cover",'Cover PivotTable'!$A$4,"Site",$A19,"Year",D$1,"Transect",$B19)),GETPIVOTDATA("Cover",'Cover PivotTable'!$A$4,"Site",$A19,"Year",D$1)=""), "",GETPIVOTDATA("Cover",'Cover PivotTable'!$A$4,"Site",$A19,"Year",D$1,"Transect",$B19))</f>
        <v>5.5</v>
      </c>
      <c r="E19" t="str">
        <f>IF(OR(ISERROR(GETPIVOTDATA("Cover",'Cover PivotTable'!$A$4,"Site",$A19,"Year",E$1,"Transect",$B19)),GETPIVOTDATA("Cover",'Cover PivotTable'!$A$4,"Site",$A19,"Year",E$1)=""), "",GETPIVOTDATA("Cover",'Cover PivotTable'!$A$4,"Site",$A19,"Year",E$1,"Transect",$B19))</f>
        <v/>
      </c>
      <c r="F19" t="str">
        <f>IF(OR(ISERROR(GETPIVOTDATA("Cover",'Cover PivotTable'!$A$4,"Site",$A19,"Year",F$1,"Transect",$B19)),GETPIVOTDATA("Cover",'Cover PivotTable'!$A$4,"Site",$A19,"Year",F$1)=""), "",GETPIVOTDATA("Cover",'Cover PivotTable'!$A$4,"Site",$A19,"Year",F$1,"Transect",$B19))</f>
        <v/>
      </c>
      <c r="G19" t="str">
        <f>IF(OR(ISERROR(GETPIVOTDATA("Cover",'Cover PivotTable'!$A$4,"Site",$A19,"Year",G$1,"Transect",$B19)),GETPIVOTDATA("Cover",'Cover PivotTable'!$A$4,"Site",$A19,"Year",G$1)=""), "",GETPIVOTDATA("Cover",'Cover PivotTable'!$A$4,"Site",$A19,"Year",G$1,"Transect",$B19))</f>
        <v/>
      </c>
      <c r="H19" t="str">
        <f>IF(OR(ISERROR(GETPIVOTDATA("Cover",'Cover PivotTable'!$A$4,"Site",$A19,"Year",H$1,"Transect",$B19)),GETPIVOTDATA("Cover",'Cover PivotTable'!$A$4,"Site",$A19,"Year",H$1)=""), "",GETPIVOTDATA("Cover",'Cover PivotTable'!$A$4,"Site",$A19,"Year",H$1,"Transect",$B19))</f>
        <v/>
      </c>
      <c r="I19">
        <f>IF(OR(ISERROR(GETPIVOTDATA("Cover",'Cover PivotTable'!$A$4,"Site",$A19,"Year",I$1,"Transect",$B19)),GETPIVOTDATA("Cover",'Cover PivotTable'!$A$4,"Site",$A19,"Year",I$1)=""), "",GETPIVOTDATA("Cover",'Cover PivotTable'!$A$4,"Site",$A19,"Year",I$1,"Transect",$B19))</f>
        <v>10.5</v>
      </c>
      <c r="J19" t="str">
        <f>IF(OR(ISERROR(GETPIVOTDATA("Cover",'Cover PivotTable'!$A$4,"Site",$A19,"Year",J$1,"Transect",$B19)),GETPIVOTDATA("Cover",'Cover PivotTable'!$A$4,"Site",$A19,"Year",J$1)=""), "",GETPIVOTDATA("Cover",'Cover PivotTable'!$A$4,"Site",$A19,"Year",J$1,"Transect",$B19))</f>
        <v/>
      </c>
      <c r="K19" t="str">
        <f>IF(OR(ISERROR(GETPIVOTDATA("Cover",'Cover PivotTable'!$A$4,"Site",$A19,"Year",K$1,"Transect",$B19)),GETPIVOTDATA("Cover",'Cover PivotTable'!$A$4,"Site",$A19,"Year",K$1)=""), "",GETPIVOTDATA("Cover",'Cover PivotTable'!$A$4,"Site",$A19,"Year",K$1,"Transect",$B19))</f>
        <v/>
      </c>
      <c r="L19">
        <f>IF(OR(ISERROR(GETPIVOTDATA("Cover",'Cover PivotTable'!$A$4,"Site",$A19,"Year",L$1,"Transect",$B19)),GETPIVOTDATA("Cover",'Cover PivotTable'!$A$4,"Site",$A19,"Year",L$1)=""), "",GETPIVOTDATA("Cover",'Cover PivotTable'!$A$4,"Site",$A19,"Year",L$1,"Transect",$B19))</f>
        <v>7.0000000000000009</v>
      </c>
      <c r="M19" t="str">
        <f>IF(OR(ISERROR(GETPIVOTDATA("Cover",'Cover PivotTable'!$A$4,"Site",$A19,"Year",M$1,"Transect",$B19)),GETPIVOTDATA("Cover",'Cover PivotTable'!$A$4,"Site",$A19,"Year",M$1)=""), "",GETPIVOTDATA("Cover",'Cover PivotTable'!$A$4,"Site",$A19,"Year",M$1,"Transect",$B19))</f>
        <v/>
      </c>
      <c r="N19">
        <f>IF(OR(ISERROR(GETPIVOTDATA("Cover",'Cover PivotTable'!$A$4,"Site",$A19,"Year",N$1,"Transect",$B19)),GETPIVOTDATA("Cover",'Cover PivotTable'!$A$4,"Site",$A19,"Year",N$1)=""), "",GETPIVOTDATA("Cover",'Cover PivotTable'!$A$4,"Site",$A19,"Year",N$1,"Transect",$B19))</f>
        <v>3.5000000000000004</v>
      </c>
      <c r="O19">
        <f>IF(OR(ISERROR(GETPIVOTDATA("Cover",'Cover PivotTable'!$A$4,"Site",$A19,"Year",O$1,"Transect",$B19)),GETPIVOTDATA("Cover",'Cover PivotTable'!$A$4,"Site",$A19,"Year",O$1)=""), "",GETPIVOTDATA("Cover",'Cover PivotTable'!$A$4,"Site",$A19,"Year",O$1,"Transect",$B19))</f>
        <v>6</v>
      </c>
    </row>
    <row r="20" spans="1:15" x14ac:dyDescent="0.35">
      <c r="A20" t="s">
        <v>105</v>
      </c>
      <c r="B20">
        <v>3.7</v>
      </c>
      <c r="C20" t="str">
        <f>IF(OR(ISERROR(GETPIVOTDATA("Cover",'Cover PivotTable'!$A$4,"Site",$A20,"Year",C$1,"Transect",$B20)),GETPIVOTDATA("Cover",'Cover PivotTable'!$A$4,"Site",$A20,"Year",C$1)=""), "",GETPIVOTDATA("Cover",'Cover PivotTable'!$A$4,"Site",$A20,"Year",C$1,"Transect",$B20))</f>
        <v/>
      </c>
      <c r="D20" s="17">
        <f>IF(OR(ISERROR(GETPIVOTDATA("Cover",'Cover PivotTable'!$A$4,"Site",$A20,"Year",D$1,"Transect",$B20)),GETPIVOTDATA("Cover",'Cover PivotTable'!$A$4,"Site",$A20,"Year",D$1)=""), "",GETPIVOTDATA("Cover",'Cover PivotTable'!$A$4,"Site",$A20,"Year",D$1,"Transect",$B20))</f>
        <v>13.043478260869565</v>
      </c>
      <c r="E20" t="str">
        <f>IF(OR(ISERROR(GETPIVOTDATA("Cover",'Cover PivotTable'!$A$4,"Site",$A20,"Year",E$1,"Transect",$B20)),GETPIVOTDATA("Cover",'Cover PivotTable'!$A$4,"Site",$A20,"Year",E$1)=""), "",GETPIVOTDATA("Cover",'Cover PivotTable'!$A$4,"Site",$A20,"Year",E$1,"Transect",$B20))</f>
        <v/>
      </c>
      <c r="F20" t="str">
        <f>IF(OR(ISERROR(GETPIVOTDATA("Cover",'Cover PivotTable'!$A$4,"Site",$A20,"Year",F$1,"Transect",$B20)),GETPIVOTDATA("Cover",'Cover PivotTable'!$A$4,"Site",$A20,"Year",F$1)=""), "",GETPIVOTDATA("Cover",'Cover PivotTable'!$A$4,"Site",$A20,"Year",F$1,"Transect",$B20))</f>
        <v/>
      </c>
      <c r="G20" t="str">
        <f>IF(OR(ISERROR(GETPIVOTDATA("Cover",'Cover PivotTable'!$A$4,"Site",$A20,"Year",G$1,"Transect",$B20)),GETPIVOTDATA("Cover",'Cover PivotTable'!$A$4,"Site",$A20,"Year",G$1)=""), "",GETPIVOTDATA("Cover",'Cover PivotTable'!$A$4,"Site",$A20,"Year",G$1,"Transect",$B20))</f>
        <v/>
      </c>
      <c r="H20" t="str">
        <f>IF(OR(ISERROR(GETPIVOTDATA("Cover",'Cover PivotTable'!$A$4,"Site",$A20,"Year",H$1,"Transect",$B20)),GETPIVOTDATA("Cover",'Cover PivotTable'!$A$4,"Site",$A20,"Year",H$1)=""), "",GETPIVOTDATA("Cover",'Cover PivotTable'!$A$4,"Site",$A20,"Year",H$1,"Transect",$B20))</f>
        <v/>
      </c>
      <c r="I20" s="17">
        <f>IF(OR(ISERROR(GETPIVOTDATA("Cover",'Cover PivotTable'!$A$4,"Site",$A20,"Year",I$1,"Transect",$B20)),GETPIVOTDATA("Cover",'Cover PivotTable'!$A$4,"Site",$A20,"Year",I$1)=""), "",GETPIVOTDATA("Cover",'Cover PivotTable'!$A$4,"Site",$A20,"Year",I$1,"Transect",$B20))</f>
        <v>23.404255319148938</v>
      </c>
      <c r="J20" t="str">
        <f>IF(OR(ISERROR(GETPIVOTDATA("Cover",'Cover PivotTable'!$A$4,"Site",$A20,"Year",J$1,"Transect",$B20)),GETPIVOTDATA("Cover",'Cover PivotTable'!$A$4,"Site",$A20,"Year",J$1)=""), "",GETPIVOTDATA("Cover",'Cover PivotTable'!$A$4,"Site",$A20,"Year",J$1,"Transect",$B20))</f>
        <v/>
      </c>
      <c r="K20" t="str">
        <f>IF(OR(ISERROR(GETPIVOTDATA("Cover",'Cover PivotTable'!$A$4,"Site",$A20,"Year",K$1,"Transect",$B20)),GETPIVOTDATA("Cover",'Cover PivotTable'!$A$4,"Site",$A20,"Year",K$1)=""), "",GETPIVOTDATA("Cover",'Cover PivotTable'!$A$4,"Site",$A20,"Year",K$1,"Transect",$B20))</f>
        <v/>
      </c>
      <c r="L20" s="17">
        <f>IF(OR(ISERROR(GETPIVOTDATA("Cover",'Cover PivotTable'!$A$4,"Site",$A20,"Year",L$1,"Transect",$B20)),GETPIVOTDATA("Cover",'Cover PivotTable'!$A$4,"Site",$A20,"Year",L$1)=""), "",GETPIVOTDATA("Cover",'Cover PivotTable'!$A$4,"Site",$A20,"Year",L$1,"Transect",$B20))</f>
        <v>23.404255319148938</v>
      </c>
      <c r="M20" t="str">
        <f>IF(OR(ISERROR(GETPIVOTDATA("Cover",'Cover PivotTable'!$A$4,"Site",$A20,"Year",M$1,"Transect",$B20)),GETPIVOTDATA("Cover",'Cover PivotTable'!$A$4,"Site",$A20,"Year",M$1)=""), "",GETPIVOTDATA("Cover",'Cover PivotTable'!$A$4,"Site",$A20,"Year",M$1,"Transect",$B20))</f>
        <v/>
      </c>
      <c r="N20" s="17">
        <f>IF(OR(ISERROR(GETPIVOTDATA("Cover",'Cover PivotTable'!$A$4,"Site",$A20,"Year",N$1,"Transect",$B20)),GETPIVOTDATA("Cover",'Cover PivotTable'!$A$4,"Site",$A20,"Year",N$1)=""), "",GETPIVOTDATA("Cover",'Cover PivotTable'!$A$4,"Site",$A20,"Year",N$1,"Transect",$B20))</f>
        <v>8.5106382978723403</v>
      </c>
      <c r="O20" s="17">
        <f>IF(OR(ISERROR(GETPIVOTDATA("Cover",'Cover PivotTable'!$A$4,"Site",$A20,"Year",O$1,"Transect",$B20)),GETPIVOTDATA("Cover",'Cover PivotTable'!$A$4,"Site",$A20,"Year",O$1)=""), "",GETPIVOTDATA("Cover",'Cover PivotTable'!$A$4,"Site",$A20,"Year",O$1,"Transect",$B20))</f>
        <v>23.404255319148938</v>
      </c>
    </row>
    <row r="21" spans="1:15" x14ac:dyDescent="0.35">
      <c r="A21" t="s">
        <v>105</v>
      </c>
      <c r="B21">
        <v>4.0999999999999996</v>
      </c>
      <c r="C21" t="str">
        <f>IF(OR(ISERROR(GETPIVOTDATA("Cover",'Cover PivotTable'!$A$4,"Site",$A21,"Year",C$1,"Transect",$B21)),GETPIVOTDATA("Cover",'Cover PivotTable'!$A$4,"Site",$A21,"Year",C$1)=""), "",GETPIVOTDATA("Cover",'Cover PivotTable'!$A$4,"Site",$A21,"Year",C$1,"Transect",$B21))</f>
        <v/>
      </c>
      <c r="D21">
        <f>IF(OR(ISERROR(GETPIVOTDATA("Cover",'Cover PivotTable'!$A$4,"Site",$A21,"Year",D$1,"Transect",$B21)),GETPIVOTDATA("Cover",'Cover PivotTable'!$A$4,"Site",$A21,"Year",D$1)=""), "",GETPIVOTDATA("Cover",'Cover PivotTable'!$A$4,"Site",$A21,"Year",D$1,"Transect",$B21))</f>
        <v>4.5</v>
      </c>
      <c r="E21" t="str">
        <f>IF(OR(ISERROR(GETPIVOTDATA("Cover",'Cover PivotTable'!$A$4,"Site",$A21,"Year",E$1,"Transect",$B21)),GETPIVOTDATA("Cover",'Cover PivotTable'!$A$4,"Site",$A21,"Year",E$1)=""), "",GETPIVOTDATA("Cover",'Cover PivotTable'!$A$4,"Site",$A21,"Year",E$1,"Transect",$B21))</f>
        <v/>
      </c>
      <c r="F21" t="str">
        <f>IF(OR(ISERROR(GETPIVOTDATA("Cover",'Cover PivotTable'!$A$4,"Site",$A21,"Year",F$1,"Transect",$B21)),GETPIVOTDATA("Cover",'Cover PivotTable'!$A$4,"Site",$A21,"Year",F$1)=""), "",GETPIVOTDATA("Cover",'Cover PivotTable'!$A$4,"Site",$A21,"Year",F$1,"Transect",$B21))</f>
        <v/>
      </c>
      <c r="G21" t="str">
        <f>IF(OR(ISERROR(GETPIVOTDATA("Cover",'Cover PivotTable'!$A$4,"Site",$A21,"Year",G$1,"Transect",$B21)),GETPIVOTDATA("Cover",'Cover PivotTable'!$A$4,"Site",$A21,"Year",G$1)=""), "",GETPIVOTDATA("Cover",'Cover PivotTable'!$A$4,"Site",$A21,"Year",G$1,"Transect",$B21))</f>
        <v/>
      </c>
      <c r="H21" t="str">
        <f>IF(OR(ISERROR(GETPIVOTDATA("Cover",'Cover PivotTable'!$A$4,"Site",$A21,"Year",H$1,"Transect",$B21)),GETPIVOTDATA("Cover",'Cover PivotTable'!$A$4,"Site",$A21,"Year",H$1)=""), "",GETPIVOTDATA("Cover",'Cover PivotTable'!$A$4,"Site",$A21,"Year",H$1,"Transect",$B21))</f>
        <v/>
      </c>
      <c r="I21">
        <f>IF(OR(ISERROR(GETPIVOTDATA("Cover",'Cover PivotTable'!$A$4,"Site",$A21,"Year",I$1,"Transect",$B21)),GETPIVOTDATA("Cover",'Cover PivotTable'!$A$4,"Site",$A21,"Year",I$1)=""), "",GETPIVOTDATA("Cover",'Cover PivotTable'!$A$4,"Site",$A21,"Year",I$1,"Transect",$B21))</f>
        <v>3</v>
      </c>
      <c r="J21" t="str">
        <f>IF(OR(ISERROR(GETPIVOTDATA("Cover",'Cover PivotTable'!$A$4,"Site",$A21,"Year",J$1,"Transect",$B21)),GETPIVOTDATA("Cover",'Cover PivotTable'!$A$4,"Site",$A21,"Year",J$1)=""), "",GETPIVOTDATA("Cover",'Cover PivotTable'!$A$4,"Site",$A21,"Year",J$1,"Transect",$B21))</f>
        <v/>
      </c>
      <c r="K21" t="str">
        <f>IF(OR(ISERROR(GETPIVOTDATA("Cover",'Cover PivotTable'!$A$4,"Site",$A21,"Year",K$1,"Transect",$B21)),GETPIVOTDATA("Cover",'Cover PivotTable'!$A$4,"Site",$A21,"Year",K$1)=""), "",GETPIVOTDATA("Cover",'Cover PivotTable'!$A$4,"Site",$A21,"Year",K$1,"Transect",$B21))</f>
        <v/>
      </c>
      <c r="L21">
        <f>IF(OR(ISERROR(GETPIVOTDATA("Cover",'Cover PivotTable'!$A$4,"Site",$A21,"Year",L$1,"Transect",$B21)),GETPIVOTDATA("Cover",'Cover PivotTable'!$A$4,"Site",$A21,"Year",L$1)=""), "",GETPIVOTDATA("Cover",'Cover PivotTable'!$A$4,"Site",$A21,"Year",L$1,"Transect",$B21))</f>
        <v>3</v>
      </c>
      <c r="M21" t="str">
        <f>IF(OR(ISERROR(GETPIVOTDATA("Cover",'Cover PivotTable'!$A$4,"Site",$A21,"Year",M$1,"Transect",$B21)),GETPIVOTDATA("Cover",'Cover PivotTable'!$A$4,"Site",$A21,"Year",M$1)=""), "",GETPIVOTDATA("Cover",'Cover PivotTable'!$A$4,"Site",$A21,"Year",M$1,"Transect",$B21))</f>
        <v/>
      </c>
      <c r="N21">
        <f>IF(OR(ISERROR(GETPIVOTDATA("Cover",'Cover PivotTable'!$A$4,"Site",$A21,"Year",N$1,"Transect",$B21)),GETPIVOTDATA("Cover",'Cover PivotTable'!$A$4,"Site",$A21,"Year",N$1)=""), "",GETPIVOTDATA("Cover",'Cover PivotTable'!$A$4,"Site",$A21,"Year",N$1,"Transect",$B21))</f>
        <v>5.5</v>
      </c>
      <c r="O21">
        <f>IF(OR(ISERROR(GETPIVOTDATA("Cover",'Cover PivotTable'!$A$4,"Site",$A21,"Year",O$1,"Transect",$B21)),GETPIVOTDATA("Cover",'Cover PivotTable'!$A$4,"Site",$A21,"Year",O$1)=""), "",GETPIVOTDATA("Cover",'Cover PivotTable'!$A$4,"Site",$A21,"Year",O$1,"Transect",$B21))</f>
        <v>6.5</v>
      </c>
    </row>
    <row r="22" spans="1:15" x14ac:dyDescent="0.35">
      <c r="A22" t="s">
        <v>105</v>
      </c>
      <c r="B22">
        <v>4.2</v>
      </c>
      <c r="C22" t="str">
        <f>IF(OR(ISERROR(GETPIVOTDATA("Cover",'Cover PivotTable'!$A$4,"Site",$A22,"Year",C$1,"Transect",$B22)),GETPIVOTDATA("Cover",'Cover PivotTable'!$A$4,"Site",$A22,"Year",C$1)=""), "",GETPIVOTDATA("Cover",'Cover PivotTable'!$A$4,"Site",$A22,"Year",C$1,"Transect",$B22))</f>
        <v/>
      </c>
      <c r="D22">
        <f>IF(OR(ISERROR(GETPIVOTDATA("Cover",'Cover PivotTable'!$A$4,"Site",$A22,"Year",D$1,"Transect",$B22)),GETPIVOTDATA("Cover",'Cover PivotTable'!$A$4,"Site",$A22,"Year",D$1)=""), "",GETPIVOTDATA("Cover",'Cover PivotTable'!$A$4,"Site",$A22,"Year",D$1,"Transect",$B22))</f>
        <v>0</v>
      </c>
      <c r="E22" t="str">
        <f>IF(OR(ISERROR(GETPIVOTDATA("Cover",'Cover PivotTable'!$A$4,"Site",$A22,"Year",E$1,"Transect",$B22)),GETPIVOTDATA("Cover",'Cover PivotTable'!$A$4,"Site",$A22,"Year",E$1)=""), "",GETPIVOTDATA("Cover",'Cover PivotTable'!$A$4,"Site",$A22,"Year",E$1,"Transect",$B22))</f>
        <v/>
      </c>
      <c r="F22" t="str">
        <f>IF(OR(ISERROR(GETPIVOTDATA("Cover",'Cover PivotTable'!$A$4,"Site",$A22,"Year",F$1,"Transect",$B22)),GETPIVOTDATA("Cover",'Cover PivotTable'!$A$4,"Site",$A22,"Year",F$1)=""), "",GETPIVOTDATA("Cover",'Cover PivotTable'!$A$4,"Site",$A22,"Year",F$1,"Transect",$B22))</f>
        <v/>
      </c>
      <c r="G22" t="str">
        <f>IF(OR(ISERROR(GETPIVOTDATA("Cover",'Cover PivotTable'!$A$4,"Site",$A22,"Year",G$1,"Transect",$B22)),GETPIVOTDATA("Cover",'Cover PivotTable'!$A$4,"Site",$A22,"Year",G$1)=""), "",GETPIVOTDATA("Cover",'Cover PivotTable'!$A$4,"Site",$A22,"Year",G$1,"Transect",$B22))</f>
        <v/>
      </c>
      <c r="H22" t="str">
        <f>IF(OR(ISERROR(GETPIVOTDATA("Cover",'Cover PivotTable'!$A$4,"Site",$A22,"Year",H$1,"Transect",$B22)),GETPIVOTDATA("Cover",'Cover PivotTable'!$A$4,"Site",$A22,"Year",H$1)=""), "",GETPIVOTDATA("Cover",'Cover PivotTable'!$A$4,"Site",$A22,"Year",H$1,"Transect",$B22))</f>
        <v/>
      </c>
      <c r="I22" s="17">
        <f>IF(OR(ISERROR(GETPIVOTDATA("Cover",'Cover PivotTable'!$A$4,"Site",$A22,"Year",I$1,"Transect",$B22)),GETPIVOTDATA("Cover",'Cover PivotTable'!$A$4,"Site",$A22,"Year",I$1)=""), "",GETPIVOTDATA("Cover",'Cover PivotTable'!$A$4,"Site",$A22,"Year",I$1,"Transect",$B22))</f>
        <v>3.3707865168539324</v>
      </c>
      <c r="J22" t="str">
        <f>IF(OR(ISERROR(GETPIVOTDATA("Cover",'Cover PivotTable'!$A$4,"Site",$A22,"Year",J$1,"Transect",$B22)),GETPIVOTDATA("Cover",'Cover PivotTable'!$A$4,"Site",$A22,"Year",J$1)=""), "",GETPIVOTDATA("Cover",'Cover PivotTable'!$A$4,"Site",$A22,"Year",J$1,"Transect",$B22))</f>
        <v/>
      </c>
      <c r="K22" t="str">
        <f>IF(OR(ISERROR(GETPIVOTDATA("Cover",'Cover PivotTable'!$A$4,"Site",$A22,"Year",K$1,"Transect",$B22)),GETPIVOTDATA("Cover",'Cover PivotTable'!$A$4,"Site",$A22,"Year",K$1)=""), "",GETPIVOTDATA("Cover",'Cover PivotTable'!$A$4,"Site",$A22,"Year",K$1,"Transect",$B22))</f>
        <v/>
      </c>
      <c r="L22" s="17">
        <f>IF(OR(ISERROR(GETPIVOTDATA("Cover",'Cover PivotTable'!$A$4,"Site",$A22,"Year",L$1,"Transect",$B22)),GETPIVOTDATA("Cover",'Cover PivotTable'!$A$4,"Site",$A22,"Year",L$1)=""), "",GETPIVOTDATA("Cover",'Cover PivotTable'!$A$4,"Site",$A22,"Year",L$1,"Transect",$B22))</f>
        <v>22.727272727272727</v>
      </c>
      <c r="M22" t="str">
        <f>IF(OR(ISERROR(GETPIVOTDATA("Cover",'Cover PivotTable'!$A$4,"Site",$A22,"Year",M$1,"Transect",$B22)),GETPIVOTDATA("Cover",'Cover PivotTable'!$A$4,"Site",$A22,"Year",M$1)=""), "",GETPIVOTDATA("Cover",'Cover PivotTable'!$A$4,"Site",$A22,"Year",M$1,"Transect",$B22))</f>
        <v/>
      </c>
      <c r="N22">
        <f>IF(OR(ISERROR(GETPIVOTDATA("Cover",'Cover PivotTable'!$A$4,"Site",$A22,"Year",N$1,"Transect",$B22)),GETPIVOTDATA("Cover",'Cover PivotTable'!$A$4,"Site",$A22,"Year",N$1)=""), "",GETPIVOTDATA("Cover",'Cover PivotTable'!$A$4,"Site",$A22,"Year",N$1,"Transect",$B22))</f>
        <v>11</v>
      </c>
      <c r="O22" s="17">
        <f>IF(OR(ISERROR(GETPIVOTDATA("Cover",'Cover PivotTable'!$A$4,"Site",$A22,"Year",O$1,"Transect",$B22)),GETPIVOTDATA("Cover",'Cover PivotTable'!$A$4,"Site",$A22,"Year",O$1)=""), "",GETPIVOTDATA("Cover",'Cover PivotTable'!$A$4,"Site",$A22,"Year",O$1,"Transect",$B22))</f>
        <v>29.545454545454547</v>
      </c>
    </row>
    <row r="23" spans="1:15" x14ac:dyDescent="0.35">
      <c r="A23" t="s">
        <v>105</v>
      </c>
      <c r="B23">
        <v>5.0999999999999996</v>
      </c>
      <c r="C23" t="str">
        <f>IF(OR(ISERROR(GETPIVOTDATA("Cover",'Cover PivotTable'!$A$4,"Site",$A23,"Year",C$1,"Transect",$B23)),GETPIVOTDATA("Cover",'Cover PivotTable'!$A$4,"Site",$A23,"Year",C$1)=""), "",GETPIVOTDATA("Cover",'Cover PivotTable'!$A$4,"Site",$A23,"Year",C$1,"Transect",$B23))</f>
        <v/>
      </c>
      <c r="D23">
        <f>IF(OR(ISERROR(GETPIVOTDATA("Cover",'Cover PivotTable'!$A$4,"Site",$A23,"Year",D$1,"Transect",$B23)),GETPIVOTDATA("Cover",'Cover PivotTable'!$A$4,"Site",$A23,"Year",D$1)=""), "",GETPIVOTDATA("Cover",'Cover PivotTable'!$A$4,"Site",$A23,"Year",D$1,"Transect",$B23))</f>
        <v>17.5</v>
      </c>
      <c r="E23" t="str">
        <f>IF(OR(ISERROR(GETPIVOTDATA("Cover",'Cover PivotTable'!$A$4,"Site",$A23,"Year",E$1,"Transect",$B23)),GETPIVOTDATA("Cover",'Cover PivotTable'!$A$4,"Site",$A23,"Year",E$1)=""), "",GETPIVOTDATA("Cover",'Cover PivotTable'!$A$4,"Site",$A23,"Year",E$1,"Transect",$B23))</f>
        <v/>
      </c>
      <c r="F23" t="str">
        <f>IF(OR(ISERROR(GETPIVOTDATA("Cover",'Cover PivotTable'!$A$4,"Site",$A23,"Year",F$1,"Transect",$B23)),GETPIVOTDATA("Cover",'Cover PivotTable'!$A$4,"Site",$A23,"Year",F$1)=""), "",GETPIVOTDATA("Cover",'Cover PivotTable'!$A$4,"Site",$A23,"Year",F$1,"Transect",$B23))</f>
        <v/>
      </c>
      <c r="G23" t="str">
        <f>IF(OR(ISERROR(GETPIVOTDATA("Cover",'Cover PivotTable'!$A$4,"Site",$A23,"Year",G$1,"Transect",$B23)),GETPIVOTDATA("Cover",'Cover PivotTable'!$A$4,"Site",$A23,"Year",G$1)=""), "",GETPIVOTDATA("Cover",'Cover PivotTable'!$A$4,"Site",$A23,"Year",G$1,"Transect",$B23))</f>
        <v/>
      </c>
      <c r="H23" t="str">
        <f>IF(OR(ISERROR(GETPIVOTDATA("Cover",'Cover PivotTable'!$A$4,"Site",$A23,"Year",H$1,"Transect",$B23)),GETPIVOTDATA("Cover",'Cover PivotTable'!$A$4,"Site",$A23,"Year",H$1)=""), "",GETPIVOTDATA("Cover",'Cover PivotTable'!$A$4,"Site",$A23,"Year",H$1,"Transect",$B23))</f>
        <v/>
      </c>
      <c r="I23" s="17">
        <f>IF(OR(ISERROR(GETPIVOTDATA("Cover",'Cover PivotTable'!$A$4,"Site",$A23,"Year",I$1,"Transect",$B23)),GETPIVOTDATA("Cover",'Cover PivotTable'!$A$4,"Site",$A23,"Year",I$1)=""), "",GETPIVOTDATA("Cover",'Cover PivotTable'!$A$4,"Site",$A23,"Year",I$1,"Transect",$B23))</f>
        <v>40.243902439024389</v>
      </c>
      <c r="J23" t="str">
        <f>IF(OR(ISERROR(GETPIVOTDATA("Cover",'Cover PivotTable'!$A$4,"Site",$A23,"Year",J$1,"Transect",$B23)),GETPIVOTDATA("Cover",'Cover PivotTable'!$A$4,"Site",$A23,"Year",J$1)=""), "",GETPIVOTDATA("Cover",'Cover PivotTable'!$A$4,"Site",$A23,"Year",J$1,"Transect",$B23))</f>
        <v/>
      </c>
      <c r="K23" t="str">
        <f>IF(OR(ISERROR(GETPIVOTDATA("Cover",'Cover PivotTable'!$A$4,"Site",$A23,"Year",K$1,"Transect",$B23)),GETPIVOTDATA("Cover",'Cover PivotTable'!$A$4,"Site",$A23,"Year",K$1)=""), "",GETPIVOTDATA("Cover",'Cover PivotTable'!$A$4,"Site",$A23,"Year",K$1,"Transect",$B23))</f>
        <v/>
      </c>
      <c r="L23" s="17">
        <f>IF(OR(ISERROR(GETPIVOTDATA("Cover",'Cover PivotTable'!$A$4,"Site",$A23,"Year",L$1,"Transect",$B23)),GETPIVOTDATA("Cover",'Cover PivotTable'!$A$4,"Site",$A23,"Year",L$1)=""), "",GETPIVOTDATA("Cover",'Cover PivotTable'!$A$4,"Site",$A23,"Year",L$1,"Transect",$B23))</f>
        <v>37.804878048780488</v>
      </c>
      <c r="M23" t="str">
        <f>IF(OR(ISERROR(GETPIVOTDATA("Cover",'Cover PivotTable'!$A$4,"Site",$A23,"Year",M$1,"Transect",$B23)),GETPIVOTDATA("Cover",'Cover PivotTable'!$A$4,"Site",$A23,"Year",M$1)=""), "",GETPIVOTDATA("Cover",'Cover PivotTable'!$A$4,"Site",$A23,"Year",M$1,"Transect",$B23))</f>
        <v/>
      </c>
      <c r="N23" s="17">
        <f>IF(OR(ISERROR(GETPIVOTDATA("Cover",'Cover PivotTable'!$A$4,"Site",$A23,"Year",N$1,"Transect",$B23)),GETPIVOTDATA("Cover",'Cover PivotTable'!$A$4,"Site",$A23,"Year",N$1)=""), "",GETPIVOTDATA("Cover",'Cover PivotTable'!$A$4,"Site",$A23,"Year",N$1,"Transect",$B23))</f>
        <v>27.439024390243901</v>
      </c>
      <c r="O23">
        <f>IF(OR(ISERROR(GETPIVOTDATA("Cover",'Cover PivotTable'!$A$4,"Site",$A23,"Year",O$1,"Transect",$B23)),GETPIVOTDATA("Cover",'Cover PivotTable'!$A$4,"Site",$A23,"Year",O$1)=""), "",GETPIVOTDATA("Cover",'Cover PivotTable'!$A$4,"Site",$A23,"Year",O$1,"Transect",$B23))</f>
        <v>28.5</v>
      </c>
    </row>
    <row r="24" spans="1:15" ht="15" thickBot="1" x14ac:dyDescent="0.4">
      <c r="A24" s="19"/>
      <c r="B24" s="19"/>
      <c r="C24" s="19"/>
      <c r="D24" s="19"/>
      <c r="E24" s="19"/>
      <c r="F24" s="19"/>
      <c r="G24" s="19"/>
      <c r="H24" s="19"/>
      <c r="I24" s="19"/>
      <c r="J24" s="19"/>
      <c r="K24" s="19"/>
      <c r="L24" s="19"/>
      <c r="M24" s="19"/>
      <c r="N24" s="19"/>
      <c r="O24" s="19"/>
    </row>
    <row r="26" spans="1:15" x14ac:dyDescent="0.35">
      <c r="A26" t="s">
        <v>274</v>
      </c>
      <c r="C26" s="17" t="str">
        <f>IF(SUM(C2:C23)=0, "", AVERAGE(C2:C23))</f>
        <v/>
      </c>
      <c r="D26" s="17">
        <f>IF(SUM(D2:D23)=0, "", AVERAGE(D2:D23))</f>
        <v>2.8115942028985508</v>
      </c>
      <c r="E26" s="17" t="str">
        <f t="shared" ref="E26:O26" si="0">IF(SUM(E2:E23)=0, "", AVERAGE(E2:E23))</f>
        <v/>
      </c>
      <c r="F26" s="17" t="str">
        <f t="shared" si="0"/>
        <v/>
      </c>
      <c r="G26" s="17" t="str">
        <f t="shared" si="0"/>
        <v/>
      </c>
      <c r="H26" s="17" t="str">
        <f t="shared" si="0"/>
        <v/>
      </c>
      <c r="I26" s="17">
        <f t="shared" si="0"/>
        <v>7.4843764883607351</v>
      </c>
      <c r="J26" s="17" t="str">
        <f t="shared" si="0"/>
        <v/>
      </c>
      <c r="K26" s="17" t="str">
        <f t="shared" si="0"/>
        <v/>
      </c>
      <c r="L26" s="17">
        <f t="shared" si="0"/>
        <v>8.1351960675698152</v>
      </c>
      <c r="M26" s="17" t="str">
        <f t="shared" si="0"/>
        <v/>
      </c>
      <c r="N26" s="17">
        <f t="shared" si="0"/>
        <v>7.3611109614383228</v>
      </c>
      <c r="O26" s="17">
        <f t="shared" si="0"/>
        <v>10.159736750922161</v>
      </c>
    </row>
    <row r="27" spans="1:15" x14ac:dyDescent="0.35">
      <c r="A27" t="s">
        <v>275</v>
      </c>
      <c r="C27" s="17" t="str">
        <f>IF(SUM(C2:C23)=0, "",STDEV(C2:C23))</f>
        <v/>
      </c>
      <c r="D27" s="17">
        <f>IF(SUM(D2:D23)=0, "",STDEV(D2:D23))</f>
        <v>4.9428029696951787</v>
      </c>
      <c r="E27" s="17" t="str">
        <f t="shared" ref="E27:O27" si="1">IF(SUM(E2:E23)=0, "",STDEV(E2:E23))</f>
        <v/>
      </c>
      <c r="F27" s="17" t="str">
        <f t="shared" si="1"/>
        <v/>
      </c>
      <c r="G27" s="17" t="str">
        <f t="shared" si="1"/>
        <v/>
      </c>
      <c r="H27" s="17" t="str">
        <f t="shared" si="1"/>
        <v/>
      </c>
      <c r="I27" s="17">
        <f t="shared" si="1"/>
        <v>9.1176085393300088</v>
      </c>
      <c r="J27" s="17" t="str">
        <f t="shared" si="1"/>
        <v/>
      </c>
      <c r="K27" s="17" t="str">
        <f t="shared" si="1"/>
        <v/>
      </c>
      <c r="L27" s="17">
        <f t="shared" si="1"/>
        <v>9.2685019802450253</v>
      </c>
      <c r="M27" s="17" t="str">
        <f t="shared" si="1"/>
        <v/>
      </c>
      <c r="N27" s="17">
        <f t="shared" si="1"/>
        <v>7.1866409639024624</v>
      </c>
      <c r="O27" s="17">
        <f t="shared" si="1"/>
        <v>9.907953026107915</v>
      </c>
    </row>
    <row r="28" spans="1:15" x14ac:dyDescent="0.35">
      <c r="A28" t="s">
        <v>276</v>
      </c>
      <c r="C28" s="16" t="str">
        <f>IF(SUM(C2:C23)=0,"",_xlfn.CONFIDENCE.T(0.2,C27,COUNT(C2:C23)))</f>
        <v/>
      </c>
      <c r="D28" s="16">
        <f>IF(SUM(D2:D23)=0,"",_xlfn.CONFIDENCE.T(0.2,D27,COUNT(D2:D23)))</f>
        <v>1.4295231368582386</v>
      </c>
      <c r="E28" s="16" t="str">
        <f t="shared" ref="E28:O28" si="2">IF(SUM(E2:E23)=0,"",_xlfn.CONFIDENCE.T(0.2,E27,COUNT(E2:E23)))</f>
        <v/>
      </c>
      <c r="F28" s="16" t="str">
        <f t="shared" si="2"/>
        <v/>
      </c>
      <c r="G28" s="16" t="str">
        <f t="shared" si="2"/>
        <v/>
      </c>
      <c r="H28" s="16" t="str">
        <f t="shared" si="2"/>
        <v/>
      </c>
      <c r="I28" s="16">
        <f t="shared" si="2"/>
        <v>2.6369314010087459</v>
      </c>
      <c r="J28" s="16" t="str">
        <f t="shared" si="2"/>
        <v/>
      </c>
      <c r="K28" s="16" t="str">
        <f t="shared" si="2"/>
        <v/>
      </c>
      <c r="L28" s="16">
        <f t="shared" si="2"/>
        <v>2.6805717537217069</v>
      </c>
      <c r="M28" s="16" t="str">
        <f t="shared" si="2"/>
        <v/>
      </c>
      <c r="N28" s="16">
        <f t="shared" si="2"/>
        <v>2.0784703734256529</v>
      </c>
      <c r="O28" s="16">
        <f t="shared" si="2"/>
        <v>2.8655093428899781</v>
      </c>
    </row>
    <row r="29" spans="1:15" x14ac:dyDescent="0.35">
      <c r="A29" t="s">
        <v>277</v>
      </c>
      <c r="C29" s="17" t="str">
        <f>IF(C28="","",C26+C28)</f>
        <v/>
      </c>
      <c r="D29" s="17">
        <f>IF(D28="","",D26+D28)</f>
        <v>4.241117339756789</v>
      </c>
      <c r="E29" s="17" t="str">
        <f t="shared" ref="E29:O29" si="3">IF(E28="","",E26+E28)</f>
        <v/>
      </c>
      <c r="F29" s="17" t="str">
        <f t="shared" si="3"/>
        <v/>
      </c>
      <c r="G29" s="17" t="str">
        <f t="shared" si="3"/>
        <v/>
      </c>
      <c r="H29" s="17" t="str">
        <f t="shared" si="3"/>
        <v/>
      </c>
      <c r="I29" s="17">
        <f t="shared" si="3"/>
        <v>10.121307889369481</v>
      </c>
      <c r="J29" s="17" t="str">
        <f t="shared" si="3"/>
        <v/>
      </c>
      <c r="K29" s="17" t="str">
        <f t="shared" si="3"/>
        <v/>
      </c>
      <c r="L29" s="17">
        <f t="shared" si="3"/>
        <v>10.815767821291523</v>
      </c>
      <c r="M29" s="17" t="str">
        <f t="shared" si="3"/>
        <v/>
      </c>
      <c r="N29" s="17">
        <f t="shared" si="3"/>
        <v>9.4395813348639752</v>
      </c>
      <c r="O29" s="17">
        <f t="shared" si="3"/>
        <v>13.025246093812139</v>
      </c>
    </row>
    <row r="31" spans="1:15" x14ac:dyDescent="0.35">
      <c r="A31" t="s">
        <v>270</v>
      </c>
      <c r="C31" s="17">
        <f t="shared" ref="C31:O31" si="4">VLOOKUP($A$2, TargetCover, 2, FALSE)*0.9</f>
        <v>15.3</v>
      </c>
      <c r="D31" s="17">
        <f t="shared" si="4"/>
        <v>15.3</v>
      </c>
      <c r="E31" s="17">
        <f t="shared" si="4"/>
        <v>15.3</v>
      </c>
      <c r="F31" s="17">
        <f t="shared" si="4"/>
        <v>15.3</v>
      </c>
      <c r="G31" s="17">
        <f t="shared" si="4"/>
        <v>15.3</v>
      </c>
      <c r="H31" s="17">
        <f t="shared" si="4"/>
        <v>15.3</v>
      </c>
      <c r="I31" s="17">
        <f t="shared" si="4"/>
        <v>15.3</v>
      </c>
      <c r="J31" s="17">
        <f t="shared" si="4"/>
        <v>15.3</v>
      </c>
      <c r="K31" s="17">
        <f t="shared" si="4"/>
        <v>15.3</v>
      </c>
      <c r="L31" s="17">
        <f t="shared" si="4"/>
        <v>15.3</v>
      </c>
      <c r="M31" s="17">
        <f t="shared" si="4"/>
        <v>15.3</v>
      </c>
      <c r="N31" s="17">
        <f t="shared" si="4"/>
        <v>15.3</v>
      </c>
      <c r="O31" s="17">
        <f t="shared" si="4"/>
        <v>15.3</v>
      </c>
    </row>
    <row r="32" spans="1:15" x14ac:dyDescent="0.35">
      <c r="A32" t="s">
        <v>283</v>
      </c>
      <c r="C32" s="17" t="str">
        <f>IF(C29="","",C29-C31)</f>
        <v/>
      </c>
      <c r="D32" s="17">
        <f>IF(D29="","",D29-D31)</f>
        <v>-11.058882660243212</v>
      </c>
      <c r="E32" s="17" t="str">
        <f t="shared" ref="E32:O32" si="5">IF(E29="","",E29-E31)</f>
        <v/>
      </c>
      <c r="F32" s="17" t="str">
        <f t="shared" si="5"/>
        <v/>
      </c>
      <c r="G32" s="17" t="str">
        <f t="shared" si="5"/>
        <v/>
      </c>
      <c r="H32" s="17" t="str">
        <f t="shared" si="5"/>
        <v/>
      </c>
      <c r="I32" s="17">
        <f t="shared" si="5"/>
        <v>-5.1786921106305197</v>
      </c>
      <c r="J32" s="17" t="str">
        <f t="shared" si="5"/>
        <v/>
      </c>
      <c r="K32" s="17" t="str">
        <f t="shared" si="5"/>
        <v/>
      </c>
      <c r="L32" s="17">
        <f t="shared" si="5"/>
        <v>-4.4842321787084778</v>
      </c>
      <c r="M32" s="17" t="str">
        <f t="shared" si="5"/>
        <v/>
      </c>
      <c r="N32" s="17">
        <f t="shared" si="5"/>
        <v>-5.8604186651360255</v>
      </c>
      <c r="O32" s="17">
        <f t="shared" si="5"/>
        <v>-2.2747539061878612</v>
      </c>
    </row>
    <row r="33" spans="1:15" x14ac:dyDescent="0.35">
      <c r="A33" t="s">
        <v>279</v>
      </c>
      <c r="C33" t="str">
        <f>IF(C32="","",C32&gt;=0)</f>
        <v/>
      </c>
      <c r="D33" t="b">
        <f>IF(D32="","",D32&gt;=0)</f>
        <v>0</v>
      </c>
      <c r="E33" t="str">
        <f t="shared" ref="E33:O33" si="6">IF(E32="","",E32&gt;=0)</f>
        <v/>
      </c>
      <c r="F33" t="str">
        <f t="shared" si="6"/>
        <v/>
      </c>
      <c r="G33" t="str">
        <f t="shared" si="6"/>
        <v/>
      </c>
      <c r="H33" t="str">
        <f t="shared" si="6"/>
        <v/>
      </c>
      <c r="I33" t="b">
        <f t="shared" si="6"/>
        <v>0</v>
      </c>
      <c r="J33" t="str">
        <f t="shared" si="6"/>
        <v/>
      </c>
      <c r="K33" t="str">
        <f t="shared" si="6"/>
        <v/>
      </c>
      <c r="L33" t="b">
        <f t="shared" si="6"/>
        <v>0</v>
      </c>
      <c r="M33" t="str">
        <f t="shared" si="6"/>
        <v/>
      </c>
      <c r="N33" t="b">
        <f t="shared" si="6"/>
        <v>0</v>
      </c>
      <c r="O33" t="b">
        <f t="shared" si="6"/>
        <v>0</v>
      </c>
    </row>
    <row r="34" spans="1:15" x14ac:dyDescent="0.35">
      <c r="A34" s="20"/>
      <c r="B34" s="20"/>
      <c r="C34" s="20"/>
      <c r="D34" s="20"/>
      <c r="E34" s="20"/>
      <c r="F34" s="20"/>
      <c r="G34" s="20"/>
      <c r="H34" s="20"/>
      <c r="I34" s="20"/>
      <c r="J34" s="20"/>
      <c r="K34" s="20"/>
      <c r="L34" s="20"/>
      <c r="M34" s="20"/>
      <c r="N34" s="20"/>
      <c r="O34" s="20"/>
    </row>
    <row r="36" spans="1:15" x14ac:dyDescent="0.35">
      <c r="A36" t="s">
        <v>280</v>
      </c>
      <c r="C36" t="str">
        <f>IF(GETPIVOTDATA("Helper_SPP",'Species Richness PivotTable'!$A$4,"Site",$A$2,"Year",C$1)="", "", GETPIVOTDATA("Helper_SPP",'Species Richness PivotTable'!$A$4,"Site",$A$2,"Year",C$1))</f>
        <v/>
      </c>
      <c r="D36">
        <f>IF(GETPIVOTDATA("Helper_SPP",'Species Richness PivotTable'!$A$4,"Site",$A$2,"Year",D$1)="", "", GETPIVOTDATA("Helper_SPP",'Species Richness PivotTable'!$A$4,"Site",$A$2,"Year",D$1))</f>
        <v>4</v>
      </c>
      <c r="E36" t="str">
        <f>IF(GETPIVOTDATA("Helper_SPP",'Species Richness PivotTable'!$A$4,"Site",$A$2,"Year",E$1)="", "", GETPIVOTDATA("Helper_SPP",'Species Richness PivotTable'!$A$4,"Site",$A$2,"Year",E$1))</f>
        <v/>
      </c>
      <c r="F36" t="str">
        <f>IF(GETPIVOTDATA("Helper_SPP",'Species Richness PivotTable'!$A$4,"Site",$A$2,"Year",F$1)="", "", GETPIVOTDATA("Helper_SPP",'Species Richness PivotTable'!$A$4,"Site",$A$2,"Year",F$1))</f>
        <v/>
      </c>
      <c r="G36" t="str">
        <f>IF(GETPIVOTDATA("Helper_SPP",'Species Richness PivotTable'!$A$4,"Site",$A$2,"Year",G$1)="", "", GETPIVOTDATA("Helper_SPP",'Species Richness PivotTable'!$A$4,"Site",$A$2,"Year",G$1))</f>
        <v/>
      </c>
      <c r="H36" t="str">
        <f>IF(GETPIVOTDATA("Helper_SPP",'Species Richness PivotTable'!$A$4,"Site",$A$2,"Year",H$1)="", "", GETPIVOTDATA("Helper_SPP",'Species Richness PivotTable'!$A$4,"Site",$A$2,"Year",H$1))</f>
        <v/>
      </c>
      <c r="I36">
        <f>IF(GETPIVOTDATA("Helper_SPP",'Species Richness PivotTable'!$A$4,"Site",$A$2,"Year",I$1)="", "", GETPIVOTDATA("Helper_SPP",'Species Richness PivotTable'!$A$4,"Site",$A$2,"Year",I$1))</f>
        <v>7</v>
      </c>
      <c r="J36" t="str">
        <f>IF(GETPIVOTDATA("Helper_SPP",'Species Richness PivotTable'!$A$4,"Site",$A$2,"Year",J$1)="", "", GETPIVOTDATA("Helper_SPP",'Species Richness PivotTable'!$A$4,"Site",$A$2,"Year",J$1))</f>
        <v/>
      </c>
      <c r="K36" t="str">
        <f>IF(GETPIVOTDATA("Helper_SPP",'Species Richness PivotTable'!$A$4,"Site",$A$2,"Year",K$1)="", "", GETPIVOTDATA("Helper_SPP",'Species Richness PivotTable'!$A$4,"Site",$A$2,"Year",K$1))</f>
        <v/>
      </c>
      <c r="L36">
        <f>IF(GETPIVOTDATA("Helper_SPP",'Species Richness PivotTable'!$A$4,"Site",$A$2,"Year",L$1)="", "", GETPIVOTDATA("Helper_SPP",'Species Richness PivotTable'!$A$4,"Site",$A$2,"Year",L$1))</f>
        <v>7</v>
      </c>
      <c r="M36" t="str">
        <f>IF(GETPIVOTDATA("Helper_SPP",'Species Richness PivotTable'!$A$4,"Site",$A$2,"Year",M$1)="", "", GETPIVOTDATA("Helper_SPP",'Species Richness PivotTable'!$A$4,"Site",$A$2,"Year",M$1))</f>
        <v/>
      </c>
      <c r="N36">
        <f>IF(GETPIVOTDATA("Helper_SPP",'Species Richness PivotTable'!$A$4,"Site",$A$2,"Year",N$1)="", "", GETPIVOTDATA("Helper_SPP",'Species Richness PivotTable'!$A$4,"Site",$A$2,"Year",N$1))</f>
        <v>7</v>
      </c>
      <c r="O36">
        <f>IF(GETPIVOTDATA("Helper_SPP",'Species Richness PivotTable'!$A$4,"Site",$A$2,"Year",O$1)="", "", GETPIVOTDATA("Helper_SPP",'Species Richness PivotTable'!$A$4,"Site",$A$2,"Year",O$1))</f>
        <v>6</v>
      </c>
    </row>
    <row r="37" spans="1:15" x14ac:dyDescent="0.35">
      <c r="A37" t="s">
        <v>281</v>
      </c>
      <c r="C37" s="18">
        <f t="shared" ref="C37:O37" si="7">VLOOKUP($A$2, TargetCover, 3, FALSE)*0.75</f>
        <v>3</v>
      </c>
      <c r="D37" s="18">
        <f t="shared" si="7"/>
        <v>3</v>
      </c>
      <c r="E37" s="18">
        <f t="shared" si="7"/>
        <v>3</v>
      </c>
      <c r="F37" s="18">
        <f t="shared" si="7"/>
        <v>3</v>
      </c>
      <c r="G37" s="18">
        <f t="shared" si="7"/>
        <v>3</v>
      </c>
      <c r="H37" s="18">
        <f t="shared" si="7"/>
        <v>3</v>
      </c>
      <c r="I37" s="18">
        <f t="shared" si="7"/>
        <v>3</v>
      </c>
      <c r="J37" s="18">
        <f t="shared" si="7"/>
        <v>3</v>
      </c>
      <c r="K37" s="18">
        <f t="shared" si="7"/>
        <v>3</v>
      </c>
      <c r="L37" s="18">
        <f t="shared" si="7"/>
        <v>3</v>
      </c>
      <c r="M37" s="18">
        <f t="shared" si="7"/>
        <v>3</v>
      </c>
      <c r="N37" s="18">
        <f t="shared" si="7"/>
        <v>3</v>
      </c>
      <c r="O37" s="18">
        <f t="shared" si="7"/>
        <v>3</v>
      </c>
    </row>
    <row r="38" spans="1:15" x14ac:dyDescent="0.35">
      <c r="A38" t="s">
        <v>282</v>
      </c>
      <c r="C38" t="str">
        <f>IF(C36="","",C36&gt;=C37)</f>
        <v/>
      </c>
      <c r="D38" t="b">
        <f>IF(D36="","",D36&gt;=D37)</f>
        <v>1</v>
      </c>
      <c r="E38" t="str">
        <f t="shared" ref="E38:O38" si="8">IF(E36="","",E36&gt;=E37)</f>
        <v/>
      </c>
      <c r="F38" t="str">
        <f t="shared" si="8"/>
        <v/>
      </c>
      <c r="G38" t="str">
        <f t="shared" si="8"/>
        <v/>
      </c>
      <c r="H38" t="str">
        <f t="shared" si="8"/>
        <v/>
      </c>
      <c r="I38" t="b">
        <f t="shared" si="8"/>
        <v>1</v>
      </c>
      <c r="J38" t="str">
        <f t="shared" si="8"/>
        <v/>
      </c>
      <c r="K38" t="str">
        <f t="shared" si="8"/>
        <v/>
      </c>
      <c r="L38" t="b">
        <f t="shared" si="8"/>
        <v>1</v>
      </c>
      <c r="M38" t="str">
        <f t="shared" si="8"/>
        <v/>
      </c>
      <c r="N38" t="b">
        <f t="shared" si="8"/>
        <v>1</v>
      </c>
      <c r="O38" t="b">
        <f t="shared" si="8"/>
        <v>1</v>
      </c>
    </row>
    <row r="39" spans="1:15" ht="15" thickBot="1" x14ac:dyDescent="0.4">
      <c r="A39" s="19"/>
      <c r="B39" s="19"/>
      <c r="C39" s="19"/>
      <c r="D39" s="19"/>
      <c r="E39" s="19"/>
      <c r="F39" s="19"/>
      <c r="G39" s="19"/>
      <c r="H39" s="19"/>
      <c r="I39" s="19"/>
      <c r="J39" s="19"/>
      <c r="K39" s="19"/>
      <c r="L39" s="19"/>
      <c r="M39" s="19"/>
      <c r="N39" s="19"/>
      <c r="O39" s="19"/>
    </row>
  </sheetData>
  <conditionalFormatting sqref="C33:O34 C38:O38">
    <cfRule type="cellIs" dxfId="25" priority="1" operator="equal">
      <formula>TRUE</formula>
    </cfRule>
    <cfRule type="cellIs" dxfId="24" priority="2" operator="equal">
      <formula>FALSE</formula>
    </cfRule>
  </conditionalFormatting>
  <pageMargins left="0.7" right="0.7" top="0.75" bottom="0.75" header="0.3" footer="0.3"/>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12"/>
  <dimension ref="A1:O40"/>
  <sheetViews>
    <sheetView workbookViewId="0">
      <pane xSplit="2" ySplit="1" topLeftCell="C20" activePane="bottomRight" state="frozen"/>
      <selection pane="topRight" activeCell="C1" sqref="C1"/>
      <selection pane="bottomLeft" activeCell="A2" sqref="A2"/>
      <selection pane="bottomRight" activeCell="Q18" sqref="Q18"/>
    </sheetView>
  </sheetViews>
  <sheetFormatPr defaultColWidth="9.08984375" defaultRowHeight="14.5" x14ac:dyDescent="0.35"/>
  <cols>
    <col min="3" max="3" width="9.08984375" customWidth="1"/>
    <col min="9" max="9" width="9.54296875" bestFit="1" customWidth="1"/>
    <col min="10" max="10" width="9.54296875" customWidth="1"/>
    <col min="12" max="12" width="10.54296875" bestFit="1" customWidth="1"/>
    <col min="13" max="13" width="10.54296875" customWidth="1"/>
    <col min="14" max="15" width="10.54296875" bestFit="1" customWidth="1"/>
  </cols>
  <sheetData>
    <row r="1" spans="1:15" x14ac:dyDescent="0.35">
      <c r="A1" t="s">
        <v>7</v>
      </c>
      <c r="B1" t="s">
        <v>0</v>
      </c>
      <c r="C1" s="13">
        <v>1999</v>
      </c>
      <c r="D1" s="13">
        <v>2001</v>
      </c>
      <c r="E1" s="13">
        <v>2002</v>
      </c>
      <c r="F1" s="13">
        <v>2003</v>
      </c>
      <c r="G1" s="13">
        <v>2004</v>
      </c>
      <c r="H1" s="13">
        <v>2005</v>
      </c>
      <c r="I1" s="13">
        <v>2006</v>
      </c>
      <c r="J1" s="13">
        <v>2001</v>
      </c>
      <c r="K1" s="13">
        <v>2010</v>
      </c>
      <c r="L1" s="13">
        <v>2012</v>
      </c>
      <c r="M1" s="13">
        <v>2013</v>
      </c>
      <c r="N1" s="13">
        <v>2016</v>
      </c>
      <c r="O1" s="13">
        <v>2017</v>
      </c>
    </row>
    <row r="2" spans="1:15" x14ac:dyDescent="0.35">
      <c r="A2" t="s">
        <v>138</v>
      </c>
      <c r="B2">
        <v>1.1000000000000001</v>
      </c>
      <c r="C2" s="17">
        <f>IF(OR(ISERROR(GETPIVOTDATA("Cover",'Cover PivotTable'!$A$4,"Site",$A2,"Year",C$1,"Transect",$B2)),GETPIVOTDATA("Cover",'Cover PivotTable'!$A$4,"Site",$A2,"Year",C$1)=""), "",GETPIVOTDATA("Cover",'Cover PivotTable'!$A$4,"Site",$A2,"Year",C$1,"Transect",$B2))</f>
        <v>0</v>
      </c>
      <c r="D2" s="17" t="str">
        <f>IF(OR(ISERROR(GETPIVOTDATA("Cover",'Cover PivotTable'!$A$4,"Site",$A2,"Year",D$1,"Transect",$B2)),GETPIVOTDATA("Cover",'Cover PivotTable'!$A$4,"Site",$A2,"Year",D$1)=""), "",GETPIVOTDATA("Cover",'Cover PivotTable'!$A$4,"Site",$A2,"Year",D$1,"Transect",$B2))</f>
        <v/>
      </c>
      <c r="E2" s="17" t="str">
        <f>IF(OR(ISERROR(GETPIVOTDATA("Cover",'Cover PivotTable'!$A$4,"Site",$A2,"Year",E$1,"Transect",$B2)),GETPIVOTDATA("Cover",'Cover PivotTable'!$A$4,"Site",$A2,"Year",E$1)=""), "",GETPIVOTDATA("Cover",'Cover PivotTable'!$A$4,"Site",$A2,"Year",E$1,"Transect",$B2))</f>
        <v/>
      </c>
      <c r="F2" s="17" t="str">
        <f>IF(OR(ISERROR(GETPIVOTDATA("Cover",'Cover PivotTable'!$A$4,"Site",$A2,"Year",F$1,"Transect",$B2)),GETPIVOTDATA("Cover",'Cover PivotTable'!$A$4,"Site",$A2,"Year",F$1)=""), "",GETPIVOTDATA("Cover",'Cover PivotTable'!$A$4,"Site",$A2,"Year",F$1,"Transect",$B2))</f>
        <v/>
      </c>
      <c r="G2" s="17" t="str">
        <f>IF(OR(ISERROR(GETPIVOTDATA("Cover",'Cover PivotTable'!$A$4,"Site",$A2,"Year",G$1,"Transect",$B2)),GETPIVOTDATA("Cover",'Cover PivotTable'!$A$4,"Site",$A2,"Year",G$1)=""), "",GETPIVOTDATA("Cover",'Cover PivotTable'!$A$4,"Site",$A2,"Year",G$1,"Transect",$B2))</f>
        <v/>
      </c>
      <c r="H2" s="17" t="str">
        <f>IF(OR(ISERROR(GETPIVOTDATA("Cover",'Cover PivotTable'!$A$4,"Site",$A2,"Year",H$1,"Transect",$B2)),GETPIVOTDATA("Cover",'Cover PivotTable'!$A$4,"Site",$A2,"Year",H$1)=""), "",GETPIVOTDATA("Cover",'Cover PivotTable'!$A$4,"Site",$A2,"Year",H$1,"Transect",$B2))</f>
        <v/>
      </c>
      <c r="I2" s="17">
        <f>IF(OR(ISERROR(GETPIVOTDATA("Cover",'Cover PivotTable'!$A$4,"Site",$A2,"Year",I$1,"Transect",$B2)),GETPIVOTDATA("Cover",'Cover PivotTable'!$A$4,"Site",$A2,"Year",I$1)=""), "",GETPIVOTDATA("Cover",'Cover PivotTable'!$A$4,"Site",$A2,"Year",I$1,"Transect",$B2))</f>
        <v>3.3333333333333335</v>
      </c>
      <c r="J2" s="17" t="str">
        <f>IF(OR(ISERROR(GETPIVOTDATA("Cover",'Cover PivotTable'!$A$4,"Site",$A2,"Year",J$1,"Transect",$B2)),GETPIVOTDATA("Cover",'Cover PivotTable'!$A$4,"Site",$A2,"Year",J$1)=""), "",GETPIVOTDATA("Cover",'Cover PivotTable'!$A$4,"Site",$A2,"Year",J$1,"Transect",$B2))</f>
        <v/>
      </c>
      <c r="K2" s="17" t="str">
        <f>IF(OR(ISERROR(GETPIVOTDATA("Cover",'Cover PivotTable'!$A$4,"Site",$A2,"Year",K$1,"Transect",$B2)),GETPIVOTDATA("Cover",'Cover PivotTable'!$A$4,"Site",$A2,"Year",K$1)=""), "",GETPIVOTDATA("Cover",'Cover PivotTable'!$A$4,"Site",$A2,"Year",K$1,"Transect",$B2))</f>
        <v/>
      </c>
      <c r="L2" s="17">
        <f>IF(OR(ISERROR(GETPIVOTDATA("Cover",'Cover PivotTable'!$A$4,"Site",$A2,"Year",L$1,"Transect",$B2)),GETPIVOTDATA("Cover",'Cover PivotTable'!$A$4,"Site",$A2,"Year",L$1)=""), "",GETPIVOTDATA("Cover",'Cover PivotTable'!$A$4,"Site",$A2,"Year",L$1,"Transect",$B2))</f>
        <v>0</v>
      </c>
      <c r="M2" s="17" t="str">
        <f>IF(OR(ISERROR(GETPIVOTDATA("Cover",'Cover PivotTable'!$A$4,"Site",$A2,"Year",M$1,"Transect",$B2)),GETPIVOTDATA("Cover",'Cover PivotTable'!$A$4,"Site",$A2,"Year",M$1)=""), "",GETPIVOTDATA("Cover",'Cover PivotTable'!$A$4,"Site",$A2,"Year",M$1,"Transect",$B2))</f>
        <v/>
      </c>
      <c r="N2" s="17">
        <f>IF(OR(ISERROR(GETPIVOTDATA("Cover",'Cover PivotTable'!$A$4,"Site",$A2,"Year",N$1,"Transect",$B2)),GETPIVOTDATA("Cover",'Cover PivotTable'!$A$4,"Site",$A2,"Year",N$1)=""), "",GETPIVOTDATA("Cover",'Cover PivotTable'!$A$4,"Site",$A2,"Year",N$1,"Transect",$B2))</f>
        <v>0.84745762711864403</v>
      </c>
      <c r="O2" s="17">
        <f>IF(OR(ISERROR(GETPIVOTDATA("Cover",'Cover PivotTable'!$A$4,"Site",$A2,"Year",O$1,"Transect",$B2)),GETPIVOTDATA("Cover",'Cover PivotTable'!$A$4,"Site",$A2,"Year",O$1)=""), "",GETPIVOTDATA("Cover",'Cover PivotTable'!$A$4,"Site",$A2,"Year",O$1,"Transect",$B2))</f>
        <v>3.3613445378151261</v>
      </c>
    </row>
    <row r="3" spans="1:15" x14ac:dyDescent="0.35">
      <c r="A3" t="s">
        <v>138</v>
      </c>
      <c r="B3">
        <v>1.2</v>
      </c>
      <c r="C3" s="17">
        <f>IF(OR(ISERROR(GETPIVOTDATA("Cover",'Cover PivotTable'!$A$4,"Site",$A3,"Year",C$1,"Transect",$B3)),GETPIVOTDATA("Cover",'Cover PivotTable'!$A$4,"Site",$A3,"Year",C$1)=""), "",GETPIVOTDATA("Cover",'Cover PivotTable'!$A$4,"Site",$A3,"Year",C$1,"Transect",$B3))</f>
        <v>1.680672268907563</v>
      </c>
      <c r="D3" s="17" t="str">
        <f>IF(OR(ISERROR(GETPIVOTDATA("Cover",'Cover PivotTable'!$A$4,"Site",$A3,"Year",D$1,"Transect",$B3)),GETPIVOTDATA("Cover",'Cover PivotTable'!$A$4,"Site",$A3,"Year",D$1)=""), "",GETPIVOTDATA("Cover",'Cover PivotTable'!$A$4,"Site",$A3,"Year",D$1,"Transect",$B3))</f>
        <v/>
      </c>
      <c r="E3" s="17" t="str">
        <f>IF(OR(ISERROR(GETPIVOTDATA("Cover",'Cover PivotTable'!$A$4,"Site",$A3,"Year",E$1,"Transect",$B3)),GETPIVOTDATA("Cover",'Cover PivotTable'!$A$4,"Site",$A3,"Year",E$1)=""), "",GETPIVOTDATA("Cover",'Cover PivotTable'!$A$4,"Site",$A3,"Year",E$1,"Transect",$B3))</f>
        <v/>
      </c>
      <c r="F3" s="17" t="str">
        <f>IF(OR(ISERROR(GETPIVOTDATA("Cover",'Cover PivotTable'!$A$4,"Site",$A3,"Year",F$1,"Transect",$B3)),GETPIVOTDATA("Cover",'Cover PivotTable'!$A$4,"Site",$A3,"Year",F$1)=""), "",GETPIVOTDATA("Cover",'Cover PivotTable'!$A$4,"Site",$A3,"Year",F$1,"Transect",$B3))</f>
        <v/>
      </c>
      <c r="G3" s="17" t="str">
        <f>IF(OR(ISERROR(GETPIVOTDATA("Cover",'Cover PivotTable'!$A$4,"Site",$A3,"Year",G$1,"Transect",$B3)),GETPIVOTDATA("Cover",'Cover PivotTable'!$A$4,"Site",$A3,"Year",G$1)=""), "",GETPIVOTDATA("Cover",'Cover PivotTable'!$A$4,"Site",$A3,"Year",G$1,"Transect",$B3))</f>
        <v/>
      </c>
      <c r="H3" s="17" t="str">
        <f>IF(OR(ISERROR(GETPIVOTDATA("Cover",'Cover PivotTable'!$A$4,"Site",$A3,"Year",H$1,"Transect",$B3)),GETPIVOTDATA("Cover",'Cover PivotTable'!$A$4,"Site",$A3,"Year",H$1)=""), "",GETPIVOTDATA("Cover",'Cover PivotTable'!$A$4,"Site",$A3,"Year",H$1,"Transect",$B3))</f>
        <v/>
      </c>
      <c r="I3" s="17">
        <f>IF(OR(ISERROR(GETPIVOTDATA("Cover",'Cover PivotTable'!$A$4,"Site",$A3,"Year",I$1,"Transect",$B3)),GETPIVOTDATA("Cover",'Cover PivotTable'!$A$4,"Site",$A3,"Year",I$1)=""), "",GETPIVOTDATA("Cover",'Cover PivotTable'!$A$4,"Site",$A3,"Year",I$1,"Transect",$B3))</f>
        <v>0</v>
      </c>
      <c r="J3" s="17" t="str">
        <f>IF(OR(ISERROR(GETPIVOTDATA("Cover",'Cover PivotTable'!$A$4,"Site",$A3,"Year",J$1,"Transect",$B3)),GETPIVOTDATA("Cover",'Cover PivotTable'!$A$4,"Site",$A3,"Year",J$1)=""), "",GETPIVOTDATA("Cover",'Cover PivotTable'!$A$4,"Site",$A3,"Year",J$1,"Transect",$B3))</f>
        <v/>
      </c>
      <c r="K3" s="17" t="str">
        <f>IF(OR(ISERROR(GETPIVOTDATA("Cover",'Cover PivotTable'!$A$4,"Site",$A3,"Year",K$1,"Transect",$B3)),GETPIVOTDATA("Cover",'Cover PivotTable'!$A$4,"Site",$A3,"Year",K$1)=""), "",GETPIVOTDATA("Cover",'Cover PivotTable'!$A$4,"Site",$A3,"Year",K$1,"Transect",$B3))</f>
        <v/>
      </c>
      <c r="L3" s="17">
        <f>IF(OR(ISERROR(GETPIVOTDATA("Cover",'Cover PivotTable'!$A$4,"Site",$A3,"Year",L$1,"Transect",$B3)),GETPIVOTDATA("Cover",'Cover PivotTable'!$A$4,"Site",$A3,"Year",L$1)=""), "",GETPIVOTDATA("Cover",'Cover PivotTable'!$A$4,"Site",$A3,"Year",L$1,"Transect",$B3))</f>
        <v>0</v>
      </c>
      <c r="M3" s="17" t="str">
        <f>IF(OR(ISERROR(GETPIVOTDATA("Cover",'Cover PivotTable'!$A$4,"Site",$A3,"Year",M$1,"Transect",$B3)),GETPIVOTDATA("Cover",'Cover PivotTable'!$A$4,"Site",$A3,"Year",M$1)=""), "",GETPIVOTDATA("Cover",'Cover PivotTable'!$A$4,"Site",$A3,"Year",M$1,"Transect",$B3))</f>
        <v/>
      </c>
      <c r="N3" s="17">
        <f>IF(OR(ISERROR(GETPIVOTDATA("Cover",'Cover PivotTable'!$A$4,"Site",$A3,"Year",N$1,"Transect",$B3)),GETPIVOTDATA("Cover",'Cover PivotTable'!$A$4,"Site",$A3,"Year",N$1)=""), "",GETPIVOTDATA("Cover",'Cover PivotTable'!$A$4,"Site",$A3,"Year",N$1,"Transect",$B3))</f>
        <v>8.5</v>
      </c>
      <c r="O3" s="17">
        <f>IF(OR(ISERROR(GETPIVOTDATA("Cover",'Cover PivotTable'!$A$4,"Site",$A3,"Year",O$1,"Transect",$B3)),GETPIVOTDATA("Cover",'Cover PivotTable'!$A$4,"Site",$A3,"Year",O$1)=""), "",GETPIVOTDATA("Cover",'Cover PivotTable'!$A$4,"Site",$A3,"Year",O$1,"Transect",$B3))</f>
        <v>3</v>
      </c>
    </row>
    <row r="4" spans="1:15" x14ac:dyDescent="0.35">
      <c r="A4" t="s">
        <v>138</v>
      </c>
      <c r="B4">
        <v>2.1</v>
      </c>
      <c r="C4" s="17">
        <f>IF(OR(ISERROR(GETPIVOTDATA("Cover",'Cover PivotTable'!$A$4,"Site",$A4,"Year",C$1,"Transect",$B4)),GETPIVOTDATA("Cover",'Cover PivotTable'!$A$4,"Site",$A4,"Year",C$1)=""), "",GETPIVOTDATA("Cover",'Cover PivotTable'!$A$4,"Site",$A4,"Year",C$1,"Transect",$B4))</f>
        <v>2.666666666666667</v>
      </c>
      <c r="D4" s="17" t="str">
        <f>IF(OR(ISERROR(GETPIVOTDATA("Cover",'Cover PivotTable'!$A$4,"Site",$A4,"Year",D$1,"Transect",$B4)),GETPIVOTDATA("Cover",'Cover PivotTable'!$A$4,"Site",$A4,"Year",D$1)=""), "",GETPIVOTDATA("Cover",'Cover PivotTable'!$A$4,"Site",$A4,"Year",D$1,"Transect",$B4))</f>
        <v/>
      </c>
      <c r="E4" s="17" t="str">
        <f>IF(OR(ISERROR(GETPIVOTDATA("Cover",'Cover PivotTable'!$A$4,"Site",$A4,"Year",E$1,"Transect",$B4)),GETPIVOTDATA("Cover",'Cover PivotTable'!$A$4,"Site",$A4,"Year",E$1)=""), "",GETPIVOTDATA("Cover",'Cover PivotTable'!$A$4,"Site",$A4,"Year",E$1,"Transect",$B4))</f>
        <v/>
      </c>
      <c r="F4" s="17" t="str">
        <f>IF(OR(ISERROR(GETPIVOTDATA("Cover",'Cover PivotTable'!$A$4,"Site",$A4,"Year",F$1,"Transect",$B4)),GETPIVOTDATA("Cover",'Cover PivotTable'!$A$4,"Site",$A4,"Year",F$1)=""), "",GETPIVOTDATA("Cover",'Cover PivotTable'!$A$4,"Site",$A4,"Year",F$1,"Transect",$B4))</f>
        <v/>
      </c>
      <c r="G4" s="17" t="str">
        <f>IF(OR(ISERROR(GETPIVOTDATA("Cover",'Cover PivotTable'!$A$4,"Site",$A4,"Year",G$1,"Transect",$B4)),GETPIVOTDATA("Cover",'Cover PivotTable'!$A$4,"Site",$A4,"Year",G$1)=""), "",GETPIVOTDATA("Cover",'Cover PivotTable'!$A$4,"Site",$A4,"Year",G$1,"Transect",$B4))</f>
        <v/>
      </c>
      <c r="H4" s="17" t="str">
        <f>IF(OR(ISERROR(GETPIVOTDATA("Cover",'Cover PivotTable'!$A$4,"Site",$A4,"Year",H$1,"Transect",$B4)),GETPIVOTDATA("Cover",'Cover PivotTable'!$A$4,"Site",$A4,"Year",H$1)=""), "",GETPIVOTDATA("Cover",'Cover PivotTable'!$A$4,"Site",$A4,"Year",H$1,"Transect",$B4))</f>
        <v/>
      </c>
      <c r="I4" s="17">
        <f>IF(OR(ISERROR(GETPIVOTDATA("Cover",'Cover PivotTable'!$A$4,"Site",$A4,"Year",I$1,"Transect",$B4)),GETPIVOTDATA("Cover",'Cover PivotTable'!$A$4,"Site",$A4,"Year",I$1)=""), "",GETPIVOTDATA("Cover",'Cover PivotTable'!$A$4,"Site",$A4,"Year",I$1,"Transect",$B4))</f>
        <v>4.0268456375838921</v>
      </c>
      <c r="J4" s="17" t="str">
        <f>IF(OR(ISERROR(GETPIVOTDATA("Cover",'Cover PivotTable'!$A$4,"Site",$A4,"Year",J$1,"Transect",$B4)),GETPIVOTDATA("Cover",'Cover PivotTable'!$A$4,"Site",$A4,"Year",J$1)=""), "",GETPIVOTDATA("Cover",'Cover PivotTable'!$A$4,"Site",$A4,"Year",J$1,"Transect",$B4))</f>
        <v/>
      </c>
      <c r="K4" s="17" t="str">
        <f>IF(OR(ISERROR(GETPIVOTDATA("Cover",'Cover PivotTable'!$A$4,"Site",$A4,"Year",K$1,"Transect",$B4)),GETPIVOTDATA("Cover",'Cover PivotTable'!$A$4,"Site",$A4,"Year",K$1)=""), "",GETPIVOTDATA("Cover",'Cover PivotTable'!$A$4,"Site",$A4,"Year",K$1,"Transect",$B4))</f>
        <v/>
      </c>
      <c r="L4" s="17">
        <f>IF(OR(ISERROR(GETPIVOTDATA("Cover",'Cover PivotTable'!$A$4,"Site",$A4,"Year",L$1,"Transect",$B4)),GETPIVOTDATA("Cover",'Cover PivotTable'!$A$4,"Site",$A4,"Year",L$1)=""), "",GETPIVOTDATA("Cover",'Cover PivotTable'!$A$4,"Site",$A4,"Year",L$1,"Transect",$B4))</f>
        <v>2.6845637583892614</v>
      </c>
      <c r="M4" s="17" t="str">
        <f>IF(OR(ISERROR(GETPIVOTDATA("Cover",'Cover PivotTable'!$A$4,"Site",$A4,"Year",M$1,"Transect",$B4)),GETPIVOTDATA("Cover",'Cover PivotTable'!$A$4,"Site",$A4,"Year",M$1)=""), "",GETPIVOTDATA("Cover",'Cover PivotTable'!$A$4,"Site",$A4,"Year",M$1,"Transect",$B4))</f>
        <v/>
      </c>
      <c r="N4" s="17">
        <f>IF(OR(ISERROR(GETPIVOTDATA("Cover",'Cover PivotTable'!$A$4,"Site",$A4,"Year",N$1,"Transect",$B4)),GETPIVOTDATA("Cover",'Cover PivotTable'!$A$4,"Site",$A4,"Year",N$1)=""), "",GETPIVOTDATA("Cover",'Cover PivotTable'!$A$4,"Site",$A4,"Year",N$1,"Transect",$B4))</f>
        <v>3.3333333333333339</v>
      </c>
      <c r="O4" s="17">
        <f>IF(OR(ISERROR(GETPIVOTDATA("Cover",'Cover PivotTable'!$A$4,"Site",$A4,"Year",O$1,"Transect",$B4)),GETPIVOTDATA("Cover",'Cover PivotTable'!$A$4,"Site",$A4,"Year",O$1)=""), "",GETPIVOTDATA("Cover",'Cover PivotTable'!$A$4,"Site",$A4,"Year",O$1,"Transect",$B4))</f>
        <v>2.666666666666667</v>
      </c>
    </row>
    <row r="5" spans="1:15" x14ac:dyDescent="0.35">
      <c r="A5" t="s">
        <v>138</v>
      </c>
      <c r="B5">
        <v>2.2000000000000002</v>
      </c>
      <c r="C5" s="17">
        <f>IF(OR(ISERROR(GETPIVOTDATA("Cover",'Cover PivotTable'!$A$4,"Site",$A5,"Year",C$1,"Transect",$B5)),GETPIVOTDATA("Cover",'Cover PivotTable'!$A$4,"Site",$A5,"Year",C$1)=""), "",GETPIVOTDATA("Cover",'Cover PivotTable'!$A$4,"Site",$A5,"Year",C$1,"Transect",$B5))</f>
        <v>0.5</v>
      </c>
      <c r="D5" s="17" t="str">
        <f>IF(OR(ISERROR(GETPIVOTDATA("Cover",'Cover PivotTable'!$A$4,"Site",$A5,"Year",D$1,"Transect",$B5)),GETPIVOTDATA("Cover",'Cover PivotTable'!$A$4,"Site",$A5,"Year",D$1)=""), "",GETPIVOTDATA("Cover",'Cover PivotTable'!$A$4,"Site",$A5,"Year",D$1,"Transect",$B5))</f>
        <v/>
      </c>
      <c r="E5" s="17" t="str">
        <f>IF(OR(ISERROR(GETPIVOTDATA("Cover",'Cover PivotTable'!$A$4,"Site",$A5,"Year",E$1,"Transect",$B5)),GETPIVOTDATA("Cover",'Cover PivotTable'!$A$4,"Site",$A5,"Year",E$1)=""), "",GETPIVOTDATA("Cover",'Cover PivotTable'!$A$4,"Site",$A5,"Year",E$1,"Transect",$B5))</f>
        <v/>
      </c>
      <c r="F5" s="17" t="str">
        <f>IF(OR(ISERROR(GETPIVOTDATA("Cover",'Cover PivotTable'!$A$4,"Site",$A5,"Year",F$1,"Transect",$B5)),GETPIVOTDATA("Cover",'Cover PivotTable'!$A$4,"Site",$A5,"Year",F$1)=""), "",GETPIVOTDATA("Cover",'Cover PivotTable'!$A$4,"Site",$A5,"Year",F$1,"Transect",$B5))</f>
        <v/>
      </c>
      <c r="G5" s="17" t="str">
        <f>IF(OR(ISERROR(GETPIVOTDATA("Cover",'Cover PivotTable'!$A$4,"Site",$A5,"Year",G$1,"Transect",$B5)),GETPIVOTDATA("Cover",'Cover PivotTable'!$A$4,"Site",$A5,"Year",G$1)=""), "",GETPIVOTDATA("Cover",'Cover PivotTable'!$A$4,"Site",$A5,"Year",G$1,"Transect",$B5))</f>
        <v/>
      </c>
      <c r="H5" s="17" t="str">
        <f>IF(OR(ISERROR(GETPIVOTDATA("Cover",'Cover PivotTable'!$A$4,"Site",$A5,"Year",H$1,"Transect",$B5)),GETPIVOTDATA("Cover",'Cover PivotTable'!$A$4,"Site",$A5,"Year",H$1)=""), "",GETPIVOTDATA("Cover",'Cover PivotTable'!$A$4,"Site",$A5,"Year",H$1,"Transect",$B5))</f>
        <v/>
      </c>
      <c r="I5" s="17">
        <f>IF(OR(ISERROR(GETPIVOTDATA("Cover",'Cover PivotTable'!$A$4,"Site",$A5,"Year",I$1,"Transect",$B5)),GETPIVOTDATA("Cover",'Cover PivotTable'!$A$4,"Site",$A5,"Year",I$1)=""), "",GETPIVOTDATA("Cover",'Cover PivotTable'!$A$4,"Site",$A5,"Year",I$1,"Transect",$B5))</f>
        <v>0</v>
      </c>
      <c r="J5" s="17" t="str">
        <f>IF(OR(ISERROR(GETPIVOTDATA("Cover",'Cover PivotTable'!$A$4,"Site",$A5,"Year",J$1,"Transect",$B5)),GETPIVOTDATA("Cover",'Cover PivotTable'!$A$4,"Site",$A5,"Year",J$1)=""), "",GETPIVOTDATA("Cover",'Cover PivotTable'!$A$4,"Site",$A5,"Year",J$1,"Transect",$B5))</f>
        <v/>
      </c>
      <c r="K5" s="17" t="str">
        <f>IF(OR(ISERROR(GETPIVOTDATA("Cover",'Cover PivotTable'!$A$4,"Site",$A5,"Year",K$1,"Transect",$B5)),GETPIVOTDATA("Cover",'Cover PivotTable'!$A$4,"Site",$A5,"Year",K$1)=""), "",GETPIVOTDATA("Cover",'Cover PivotTable'!$A$4,"Site",$A5,"Year",K$1,"Transect",$B5))</f>
        <v/>
      </c>
      <c r="L5" s="17">
        <f>IF(OR(ISERROR(GETPIVOTDATA("Cover",'Cover PivotTable'!$A$4,"Site",$A5,"Year",L$1,"Transect",$B5)),GETPIVOTDATA("Cover",'Cover PivotTable'!$A$4,"Site",$A5,"Year",L$1)=""), "",GETPIVOTDATA("Cover",'Cover PivotTable'!$A$4,"Site",$A5,"Year",L$1,"Transect",$B5))</f>
        <v>0</v>
      </c>
      <c r="M5" s="17" t="str">
        <f>IF(OR(ISERROR(GETPIVOTDATA("Cover",'Cover PivotTable'!$A$4,"Site",$A5,"Year",M$1,"Transect",$B5)),GETPIVOTDATA("Cover",'Cover PivotTable'!$A$4,"Site",$A5,"Year",M$1)=""), "",GETPIVOTDATA("Cover",'Cover PivotTable'!$A$4,"Site",$A5,"Year",M$1,"Transect",$B5))</f>
        <v/>
      </c>
      <c r="N5" s="17">
        <f>IF(OR(ISERROR(GETPIVOTDATA("Cover",'Cover PivotTable'!$A$4,"Site",$A5,"Year",N$1,"Transect",$B5)),GETPIVOTDATA("Cover",'Cover PivotTable'!$A$4,"Site",$A5,"Year",N$1)=""), "",GETPIVOTDATA("Cover",'Cover PivotTable'!$A$4,"Site",$A5,"Year",N$1,"Transect",$B5))</f>
        <v>0</v>
      </c>
      <c r="O5" s="17">
        <f>IF(OR(ISERROR(GETPIVOTDATA("Cover",'Cover PivotTable'!$A$4,"Site",$A5,"Year",O$1,"Transect",$B5)),GETPIVOTDATA("Cover",'Cover PivotTable'!$A$4,"Site",$A5,"Year",O$1)=""), "",GETPIVOTDATA("Cover",'Cover PivotTable'!$A$4,"Site",$A5,"Year",O$1,"Transect",$B5))</f>
        <v>0</v>
      </c>
    </row>
    <row r="6" spans="1:15" x14ac:dyDescent="0.35">
      <c r="A6" t="s">
        <v>138</v>
      </c>
      <c r="B6">
        <v>3.1</v>
      </c>
      <c r="C6" s="17">
        <f>IF(OR(ISERROR(GETPIVOTDATA("Cover",'Cover PivotTable'!$A$4,"Site",$A6,"Year",C$1,"Transect",$B6)),GETPIVOTDATA("Cover",'Cover PivotTable'!$A$4,"Site",$A6,"Year",C$1)=""), "",GETPIVOTDATA("Cover",'Cover PivotTable'!$A$4,"Site",$A6,"Year",C$1,"Transect",$B6))</f>
        <v>1.5</v>
      </c>
      <c r="D6" s="17" t="str">
        <f>IF(OR(ISERROR(GETPIVOTDATA("Cover",'Cover PivotTable'!$A$4,"Site",$A6,"Year",D$1,"Transect",$B6)),GETPIVOTDATA("Cover",'Cover PivotTable'!$A$4,"Site",$A6,"Year",D$1)=""), "",GETPIVOTDATA("Cover",'Cover PivotTable'!$A$4,"Site",$A6,"Year",D$1,"Transect",$B6))</f>
        <v/>
      </c>
      <c r="E6" s="17" t="str">
        <f>IF(OR(ISERROR(GETPIVOTDATA("Cover",'Cover PivotTable'!$A$4,"Site",$A6,"Year",E$1,"Transect",$B6)),GETPIVOTDATA("Cover",'Cover PivotTable'!$A$4,"Site",$A6,"Year",E$1)=""), "",GETPIVOTDATA("Cover",'Cover PivotTable'!$A$4,"Site",$A6,"Year",E$1,"Transect",$B6))</f>
        <v/>
      </c>
      <c r="F6" s="17" t="str">
        <f>IF(OR(ISERROR(GETPIVOTDATA("Cover",'Cover PivotTable'!$A$4,"Site",$A6,"Year",F$1,"Transect",$B6)),GETPIVOTDATA("Cover",'Cover PivotTable'!$A$4,"Site",$A6,"Year",F$1)=""), "",GETPIVOTDATA("Cover",'Cover PivotTable'!$A$4,"Site",$A6,"Year",F$1,"Transect",$B6))</f>
        <v/>
      </c>
      <c r="G6" s="17" t="str">
        <f>IF(OR(ISERROR(GETPIVOTDATA("Cover",'Cover PivotTable'!$A$4,"Site",$A6,"Year",G$1,"Transect",$B6)),GETPIVOTDATA("Cover",'Cover PivotTable'!$A$4,"Site",$A6,"Year",G$1)=""), "",GETPIVOTDATA("Cover",'Cover PivotTable'!$A$4,"Site",$A6,"Year",G$1,"Transect",$B6))</f>
        <v/>
      </c>
      <c r="H6" s="17" t="str">
        <f>IF(OR(ISERROR(GETPIVOTDATA("Cover",'Cover PivotTable'!$A$4,"Site",$A6,"Year",H$1,"Transect",$B6)),GETPIVOTDATA("Cover",'Cover PivotTable'!$A$4,"Site",$A6,"Year",H$1)=""), "",GETPIVOTDATA("Cover",'Cover PivotTable'!$A$4,"Site",$A6,"Year",H$1,"Transect",$B6))</f>
        <v/>
      </c>
      <c r="I6" s="17">
        <f>IF(OR(ISERROR(GETPIVOTDATA("Cover",'Cover PivotTable'!$A$4,"Site",$A6,"Year",I$1,"Transect",$B6)),GETPIVOTDATA("Cover",'Cover PivotTable'!$A$4,"Site",$A6,"Year",I$1)=""), "",GETPIVOTDATA("Cover",'Cover PivotTable'!$A$4,"Site",$A6,"Year",I$1,"Transect",$B6))</f>
        <v>0</v>
      </c>
      <c r="J6" s="17" t="str">
        <f>IF(OR(ISERROR(GETPIVOTDATA("Cover",'Cover PivotTable'!$A$4,"Site",$A6,"Year",J$1,"Transect",$B6)),GETPIVOTDATA("Cover",'Cover PivotTable'!$A$4,"Site",$A6,"Year",J$1)=""), "",GETPIVOTDATA("Cover",'Cover PivotTable'!$A$4,"Site",$A6,"Year",J$1,"Transect",$B6))</f>
        <v/>
      </c>
      <c r="K6" s="17" t="str">
        <f>IF(OR(ISERROR(GETPIVOTDATA("Cover",'Cover PivotTable'!$A$4,"Site",$A6,"Year",K$1,"Transect",$B6)),GETPIVOTDATA("Cover",'Cover PivotTable'!$A$4,"Site",$A6,"Year",K$1)=""), "",GETPIVOTDATA("Cover",'Cover PivotTable'!$A$4,"Site",$A6,"Year",K$1,"Transect",$B6))</f>
        <v/>
      </c>
      <c r="L6" s="17">
        <f>IF(OR(ISERROR(GETPIVOTDATA("Cover",'Cover PivotTable'!$A$4,"Site",$A6,"Year",L$1,"Transect",$B6)),GETPIVOTDATA("Cover",'Cover PivotTable'!$A$4,"Site",$A6,"Year",L$1)=""), "",GETPIVOTDATA("Cover",'Cover PivotTable'!$A$4,"Site",$A6,"Year",L$1,"Transect",$B6))</f>
        <v>2</v>
      </c>
      <c r="M6" s="17" t="str">
        <f>IF(OR(ISERROR(GETPIVOTDATA("Cover",'Cover PivotTable'!$A$4,"Site",$A6,"Year",M$1,"Transect",$B6)),GETPIVOTDATA("Cover",'Cover PivotTable'!$A$4,"Site",$A6,"Year",M$1)=""), "",GETPIVOTDATA("Cover",'Cover PivotTable'!$A$4,"Site",$A6,"Year",M$1,"Transect",$B6))</f>
        <v/>
      </c>
      <c r="N6" s="17">
        <f>IF(OR(ISERROR(GETPIVOTDATA("Cover",'Cover PivotTable'!$A$4,"Site",$A6,"Year",N$1,"Transect",$B6)),GETPIVOTDATA("Cover",'Cover PivotTable'!$A$4,"Site",$A6,"Year",N$1)=""), "",GETPIVOTDATA("Cover",'Cover PivotTable'!$A$4,"Site",$A6,"Year",N$1,"Transect",$B6))</f>
        <v>1</v>
      </c>
      <c r="O6" s="17">
        <f>IF(OR(ISERROR(GETPIVOTDATA("Cover",'Cover PivotTable'!$A$4,"Site",$A6,"Year",O$1,"Transect",$B6)),GETPIVOTDATA("Cover",'Cover PivotTable'!$A$4,"Site",$A6,"Year",O$1)=""), "",GETPIVOTDATA("Cover",'Cover PivotTable'!$A$4,"Site",$A6,"Year",O$1,"Transect",$B6))</f>
        <v>2</v>
      </c>
    </row>
    <row r="7" spans="1:15" x14ac:dyDescent="0.35">
      <c r="A7" t="s">
        <v>138</v>
      </c>
      <c r="B7">
        <v>3.2</v>
      </c>
      <c r="C7" s="17">
        <f>IF(OR(ISERROR(GETPIVOTDATA("Cover",'Cover PivotTable'!$A$4,"Site",$A7,"Year",C$1,"Transect",$B7)),GETPIVOTDATA("Cover",'Cover PivotTable'!$A$4,"Site",$A7,"Year",C$1)=""), "",GETPIVOTDATA("Cover",'Cover PivotTable'!$A$4,"Site",$A7,"Year",C$1,"Transect",$B7))</f>
        <v>0</v>
      </c>
      <c r="D7" s="17" t="str">
        <f>IF(OR(ISERROR(GETPIVOTDATA("Cover",'Cover PivotTable'!$A$4,"Site",$A7,"Year",D$1,"Transect",$B7)),GETPIVOTDATA("Cover",'Cover PivotTable'!$A$4,"Site",$A7,"Year",D$1)=""), "",GETPIVOTDATA("Cover",'Cover PivotTable'!$A$4,"Site",$A7,"Year",D$1,"Transect",$B7))</f>
        <v/>
      </c>
      <c r="E7" s="17" t="str">
        <f>IF(OR(ISERROR(GETPIVOTDATA("Cover",'Cover PivotTable'!$A$4,"Site",$A7,"Year",E$1,"Transect",$B7)),GETPIVOTDATA("Cover",'Cover PivotTable'!$A$4,"Site",$A7,"Year",E$1)=""), "",GETPIVOTDATA("Cover",'Cover PivotTable'!$A$4,"Site",$A7,"Year",E$1,"Transect",$B7))</f>
        <v/>
      </c>
      <c r="F7" s="17" t="str">
        <f>IF(OR(ISERROR(GETPIVOTDATA("Cover",'Cover PivotTable'!$A$4,"Site",$A7,"Year",F$1,"Transect",$B7)),GETPIVOTDATA("Cover",'Cover PivotTable'!$A$4,"Site",$A7,"Year",F$1)=""), "",GETPIVOTDATA("Cover",'Cover PivotTable'!$A$4,"Site",$A7,"Year",F$1,"Transect",$B7))</f>
        <v/>
      </c>
      <c r="G7" s="17" t="str">
        <f>IF(OR(ISERROR(GETPIVOTDATA("Cover",'Cover PivotTable'!$A$4,"Site",$A7,"Year",G$1,"Transect",$B7)),GETPIVOTDATA("Cover",'Cover PivotTable'!$A$4,"Site",$A7,"Year",G$1)=""), "",GETPIVOTDATA("Cover",'Cover PivotTable'!$A$4,"Site",$A7,"Year",G$1,"Transect",$B7))</f>
        <v/>
      </c>
      <c r="H7" s="17" t="str">
        <f>IF(OR(ISERROR(GETPIVOTDATA("Cover",'Cover PivotTable'!$A$4,"Site",$A7,"Year",H$1,"Transect",$B7)),GETPIVOTDATA("Cover",'Cover PivotTable'!$A$4,"Site",$A7,"Year",H$1)=""), "",GETPIVOTDATA("Cover",'Cover PivotTable'!$A$4,"Site",$A7,"Year",H$1,"Transect",$B7))</f>
        <v/>
      </c>
      <c r="I7" s="17">
        <f>IF(OR(ISERROR(GETPIVOTDATA("Cover",'Cover PivotTable'!$A$4,"Site",$A7,"Year",I$1,"Transect",$B7)),GETPIVOTDATA("Cover",'Cover PivotTable'!$A$4,"Site",$A7,"Year",I$1)=""), "",GETPIVOTDATA("Cover",'Cover PivotTable'!$A$4,"Site",$A7,"Year",I$1,"Transect",$B7))</f>
        <v>0.5</v>
      </c>
      <c r="J7" s="17" t="str">
        <f>IF(OR(ISERROR(GETPIVOTDATA("Cover",'Cover PivotTable'!$A$4,"Site",$A7,"Year",J$1,"Transect",$B7)),GETPIVOTDATA("Cover",'Cover PivotTable'!$A$4,"Site",$A7,"Year",J$1)=""), "",GETPIVOTDATA("Cover",'Cover PivotTable'!$A$4,"Site",$A7,"Year",J$1,"Transect",$B7))</f>
        <v/>
      </c>
      <c r="K7" s="17" t="str">
        <f>IF(OR(ISERROR(GETPIVOTDATA("Cover",'Cover PivotTable'!$A$4,"Site",$A7,"Year",K$1,"Transect",$B7)),GETPIVOTDATA("Cover",'Cover PivotTable'!$A$4,"Site",$A7,"Year",K$1)=""), "",GETPIVOTDATA("Cover",'Cover PivotTable'!$A$4,"Site",$A7,"Year",K$1,"Transect",$B7))</f>
        <v/>
      </c>
      <c r="L7" s="17">
        <f>IF(OR(ISERROR(GETPIVOTDATA("Cover",'Cover PivotTable'!$A$4,"Site",$A7,"Year",L$1,"Transect",$B7)),GETPIVOTDATA("Cover",'Cover PivotTable'!$A$4,"Site",$A7,"Year",L$1)=""), "",GETPIVOTDATA("Cover",'Cover PivotTable'!$A$4,"Site",$A7,"Year",L$1,"Transect",$B7))</f>
        <v>0</v>
      </c>
      <c r="M7" s="17" t="str">
        <f>IF(OR(ISERROR(GETPIVOTDATA("Cover",'Cover PivotTable'!$A$4,"Site",$A7,"Year",M$1,"Transect",$B7)),GETPIVOTDATA("Cover",'Cover PivotTable'!$A$4,"Site",$A7,"Year",M$1)=""), "",GETPIVOTDATA("Cover",'Cover PivotTable'!$A$4,"Site",$A7,"Year",M$1,"Transect",$B7))</f>
        <v/>
      </c>
      <c r="N7" s="17">
        <f>IF(OR(ISERROR(GETPIVOTDATA("Cover",'Cover PivotTable'!$A$4,"Site",$A7,"Year",N$1,"Transect",$B7)),GETPIVOTDATA("Cover",'Cover PivotTable'!$A$4,"Site",$A7,"Year",N$1)=""), "",GETPIVOTDATA("Cover",'Cover PivotTable'!$A$4,"Site",$A7,"Year",N$1,"Transect",$B7))</f>
        <v>0</v>
      </c>
      <c r="O7" s="17">
        <f>IF(OR(ISERROR(GETPIVOTDATA("Cover",'Cover PivotTable'!$A$4,"Site",$A7,"Year",O$1,"Transect",$B7)),GETPIVOTDATA("Cover",'Cover PivotTable'!$A$4,"Site",$A7,"Year",O$1)=""), "",GETPIVOTDATA("Cover",'Cover PivotTable'!$A$4,"Site",$A7,"Year",O$1,"Transect",$B7))</f>
        <v>1</v>
      </c>
    </row>
    <row r="8" spans="1:15" x14ac:dyDescent="0.35">
      <c r="A8" t="s">
        <v>138</v>
      </c>
      <c r="B8">
        <v>4.0999999999999996</v>
      </c>
      <c r="C8" s="17">
        <f>IF(OR(ISERROR(GETPIVOTDATA("Cover",'Cover PivotTable'!$A$4,"Site",$A8,"Year",C$1,"Transect",$B8)),GETPIVOTDATA("Cover",'Cover PivotTable'!$A$4,"Site",$A8,"Year",C$1)=""), "",GETPIVOTDATA("Cover",'Cover PivotTable'!$A$4,"Site",$A8,"Year",C$1,"Transect",$B8))</f>
        <v>0.5</v>
      </c>
      <c r="D8" s="17" t="str">
        <f>IF(OR(ISERROR(GETPIVOTDATA("Cover",'Cover PivotTable'!$A$4,"Site",$A8,"Year",D$1,"Transect",$B8)),GETPIVOTDATA("Cover",'Cover PivotTable'!$A$4,"Site",$A8,"Year",D$1)=""), "",GETPIVOTDATA("Cover",'Cover PivotTable'!$A$4,"Site",$A8,"Year",D$1,"Transect",$B8))</f>
        <v/>
      </c>
      <c r="E8" s="17" t="str">
        <f>IF(OR(ISERROR(GETPIVOTDATA("Cover",'Cover PivotTable'!$A$4,"Site",$A8,"Year",E$1,"Transect",$B8)),GETPIVOTDATA("Cover",'Cover PivotTable'!$A$4,"Site",$A8,"Year",E$1)=""), "",GETPIVOTDATA("Cover",'Cover PivotTable'!$A$4,"Site",$A8,"Year",E$1,"Transect",$B8))</f>
        <v/>
      </c>
      <c r="F8" s="17" t="str">
        <f>IF(OR(ISERROR(GETPIVOTDATA("Cover",'Cover PivotTable'!$A$4,"Site",$A8,"Year",F$1,"Transect",$B8)),GETPIVOTDATA("Cover",'Cover PivotTable'!$A$4,"Site",$A8,"Year",F$1)=""), "",GETPIVOTDATA("Cover",'Cover PivotTable'!$A$4,"Site",$A8,"Year",F$1,"Transect",$B8))</f>
        <v/>
      </c>
      <c r="G8" s="17" t="str">
        <f>IF(OR(ISERROR(GETPIVOTDATA("Cover",'Cover PivotTable'!$A$4,"Site",$A8,"Year",G$1,"Transect",$B8)),GETPIVOTDATA("Cover",'Cover PivotTable'!$A$4,"Site",$A8,"Year",G$1)=""), "",GETPIVOTDATA("Cover",'Cover PivotTable'!$A$4,"Site",$A8,"Year",G$1,"Transect",$B8))</f>
        <v/>
      </c>
      <c r="H8" s="17" t="str">
        <f>IF(OR(ISERROR(GETPIVOTDATA("Cover",'Cover PivotTable'!$A$4,"Site",$A8,"Year",H$1,"Transect",$B8)),GETPIVOTDATA("Cover",'Cover PivotTable'!$A$4,"Site",$A8,"Year",H$1)=""), "",GETPIVOTDATA("Cover",'Cover PivotTable'!$A$4,"Site",$A8,"Year",H$1,"Transect",$B8))</f>
        <v/>
      </c>
      <c r="I8" s="17">
        <f>IF(OR(ISERROR(GETPIVOTDATA("Cover",'Cover PivotTable'!$A$4,"Site",$A8,"Year",I$1,"Transect",$B8)),GETPIVOTDATA("Cover",'Cover PivotTable'!$A$4,"Site",$A8,"Year",I$1)=""), "",GETPIVOTDATA("Cover",'Cover PivotTable'!$A$4,"Site",$A8,"Year",I$1,"Transect",$B8))</f>
        <v>4</v>
      </c>
      <c r="J8" s="17" t="str">
        <f>IF(OR(ISERROR(GETPIVOTDATA("Cover",'Cover PivotTable'!$A$4,"Site",$A8,"Year",J$1,"Transect",$B8)),GETPIVOTDATA("Cover",'Cover PivotTable'!$A$4,"Site",$A8,"Year",J$1)=""), "",GETPIVOTDATA("Cover",'Cover PivotTable'!$A$4,"Site",$A8,"Year",J$1,"Transect",$B8))</f>
        <v/>
      </c>
      <c r="K8" s="17" t="str">
        <f>IF(OR(ISERROR(GETPIVOTDATA("Cover",'Cover PivotTable'!$A$4,"Site",$A8,"Year",K$1,"Transect",$B8)),GETPIVOTDATA("Cover",'Cover PivotTable'!$A$4,"Site",$A8,"Year",K$1)=""), "",GETPIVOTDATA("Cover",'Cover PivotTable'!$A$4,"Site",$A8,"Year",K$1,"Transect",$B8))</f>
        <v/>
      </c>
      <c r="L8" s="17">
        <f>IF(OR(ISERROR(GETPIVOTDATA("Cover",'Cover PivotTable'!$A$4,"Site",$A8,"Year",L$1,"Transect",$B8)),GETPIVOTDATA("Cover",'Cover PivotTable'!$A$4,"Site",$A8,"Year",L$1)=""), "",GETPIVOTDATA("Cover",'Cover PivotTable'!$A$4,"Site",$A8,"Year",L$1,"Transect",$B8))</f>
        <v>1</v>
      </c>
      <c r="M8" s="17" t="str">
        <f>IF(OR(ISERROR(GETPIVOTDATA("Cover",'Cover PivotTable'!$A$4,"Site",$A8,"Year",M$1,"Transect",$B8)),GETPIVOTDATA("Cover",'Cover PivotTable'!$A$4,"Site",$A8,"Year",M$1)=""), "",GETPIVOTDATA("Cover",'Cover PivotTable'!$A$4,"Site",$A8,"Year",M$1,"Transect",$B8))</f>
        <v/>
      </c>
      <c r="N8" s="17">
        <f>IF(OR(ISERROR(GETPIVOTDATA("Cover",'Cover PivotTable'!$A$4,"Site",$A8,"Year",N$1,"Transect",$B8)),GETPIVOTDATA("Cover",'Cover PivotTable'!$A$4,"Site",$A8,"Year",N$1)=""), "",GETPIVOTDATA("Cover",'Cover PivotTable'!$A$4,"Site",$A8,"Year",N$1,"Transect",$B8))</f>
        <v>2</v>
      </c>
      <c r="O8" s="17">
        <f>IF(OR(ISERROR(GETPIVOTDATA("Cover",'Cover PivotTable'!$A$4,"Site",$A8,"Year",O$1,"Transect",$B8)),GETPIVOTDATA("Cover",'Cover PivotTable'!$A$4,"Site",$A8,"Year",O$1)=""), "",GETPIVOTDATA("Cover",'Cover PivotTable'!$A$4,"Site",$A8,"Year",O$1,"Transect",$B8))</f>
        <v>3</v>
      </c>
    </row>
    <row r="9" spans="1:15" x14ac:dyDescent="0.35">
      <c r="A9" t="s">
        <v>138</v>
      </c>
      <c r="B9">
        <v>5.0999999999999996</v>
      </c>
      <c r="C9" s="17">
        <f>IF(OR(ISERROR(GETPIVOTDATA("Cover",'Cover PivotTable'!$A$4,"Site",$A9,"Year",C$1,"Transect",$B9)),GETPIVOTDATA("Cover",'Cover PivotTable'!$A$4,"Site",$A9,"Year",C$1)=""), "",GETPIVOTDATA("Cover",'Cover PivotTable'!$A$4,"Site",$A9,"Year",C$1,"Transect",$B9))</f>
        <v>0.5</v>
      </c>
      <c r="D9" s="17" t="str">
        <f>IF(OR(ISERROR(GETPIVOTDATA("Cover",'Cover PivotTable'!$A$4,"Site",$A9,"Year",D$1,"Transect",$B9)),GETPIVOTDATA("Cover",'Cover PivotTable'!$A$4,"Site",$A9,"Year",D$1)=""), "",GETPIVOTDATA("Cover",'Cover PivotTable'!$A$4,"Site",$A9,"Year",D$1,"Transect",$B9))</f>
        <v/>
      </c>
      <c r="E9" s="17" t="str">
        <f>IF(OR(ISERROR(GETPIVOTDATA("Cover",'Cover PivotTable'!$A$4,"Site",$A9,"Year",E$1,"Transect",$B9)),GETPIVOTDATA("Cover",'Cover PivotTable'!$A$4,"Site",$A9,"Year",E$1)=""), "",GETPIVOTDATA("Cover",'Cover PivotTable'!$A$4,"Site",$A9,"Year",E$1,"Transect",$B9))</f>
        <v/>
      </c>
      <c r="F9" s="17" t="str">
        <f>IF(OR(ISERROR(GETPIVOTDATA("Cover",'Cover PivotTable'!$A$4,"Site",$A9,"Year",F$1,"Transect",$B9)),GETPIVOTDATA("Cover",'Cover PivotTable'!$A$4,"Site",$A9,"Year",F$1)=""), "",GETPIVOTDATA("Cover",'Cover PivotTable'!$A$4,"Site",$A9,"Year",F$1,"Transect",$B9))</f>
        <v/>
      </c>
      <c r="G9" s="17" t="str">
        <f>IF(OR(ISERROR(GETPIVOTDATA("Cover",'Cover PivotTable'!$A$4,"Site",$A9,"Year",G$1,"Transect",$B9)),GETPIVOTDATA("Cover",'Cover PivotTable'!$A$4,"Site",$A9,"Year",G$1)=""), "",GETPIVOTDATA("Cover",'Cover PivotTable'!$A$4,"Site",$A9,"Year",G$1,"Transect",$B9))</f>
        <v/>
      </c>
      <c r="H9" s="17" t="str">
        <f>IF(OR(ISERROR(GETPIVOTDATA("Cover",'Cover PivotTable'!$A$4,"Site",$A9,"Year",H$1,"Transect",$B9)),GETPIVOTDATA("Cover",'Cover PivotTable'!$A$4,"Site",$A9,"Year",H$1)=""), "",GETPIVOTDATA("Cover",'Cover PivotTable'!$A$4,"Site",$A9,"Year",H$1,"Transect",$B9))</f>
        <v/>
      </c>
      <c r="I9" s="17">
        <f>IF(OR(ISERROR(GETPIVOTDATA("Cover",'Cover PivotTable'!$A$4,"Site",$A9,"Year",I$1,"Transect",$B9)),GETPIVOTDATA("Cover",'Cover PivotTable'!$A$4,"Site",$A9,"Year",I$1)=""), "",GETPIVOTDATA("Cover",'Cover PivotTable'!$A$4,"Site",$A9,"Year",I$1,"Transect",$B9))</f>
        <v>0</v>
      </c>
      <c r="J9" s="17" t="str">
        <f>IF(OR(ISERROR(GETPIVOTDATA("Cover",'Cover PivotTable'!$A$4,"Site",$A9,"Year",J$1,"Transect",$B9)),GETPIVOTDATA("Cover",'Cover PivotTable'!$A$4,"Site",$A9,"Year",J$1)=""), "",GETPIVOTDATA("Cover",'Cover PivotTable'!$A$4,"Site",$A9,"Year",J$1,"Transect",$B9))</f>
        <v/>
      </c>
      <c r="K9" s="17" t="str">
        <f>IF(OR(ISERROR(GETPIVOTDATA("Cover",'Cover PivotTable'!$A$4,"Site",$A9,"Year",K$1,"Transect",$B9)),GETPIVOTDATA("Cover",'Cover PivotTable'!$A$4,"Site",$A9,"Year",K$1)=""), "",GETPIVOTDATA("Cover",'Cover PivotTable'!$A$4,"Site",$A9,"Year",K$1,"Transect",$B9))</f>
        <v/>
      </c>
      <c r="L9" s="17">
        <f>IF(OR(ISERROR(GETPIVOTDATA("Cover",'Cover PivotTable'!$A$4,"Site",$A9,"Year",L$1,"Transect",$B9)),GETPIVOTDATA("Cover",'Cover PivotTable'!$A$4,"Site",$A9,"Year",L$1)=""), "",GETPIVOTDATA("Cover",'Cover PivotTable'!$A$4,"Site",$A9,"Year",L$1,"Transect",$B9))</f>
        <v>2</v>
      </c>
      <c r="M9" s="17" t="str">
        <f>IF(OR(ISERROR(GETPIVOTDATA("Cover",'Cover PivotTable'!$A$4,"Site",$A9,"Year",M$1,"Transect",$B9)),GETPIVOTDATA("Cover",'Cover PivotTable'!$A$4,"Site",$A9,"Year",M$1)=""), "",GETPIVOTDATA("Cover",'Cover PivotTable'!$A$4,"Site",$A9,"Year",M$1,"Transect",$B9))</f>
        <v/>
      </c>
      <c r="N9" s="17">
        <f>IF(OR(ISERROR(GETPIVOTDATA("Cover",'Cover PivotTable'!$A$4,"Site",$A9,"Year",N$1,"Transect",$B9)),GETPIVOTDATA("Cover",'Cover PivotTable'!$A$4,"Site",$A9,"Year",N$1)=""), "",GETPIVOTDATA("Cover",'Cover PivotTable'!$A$4,"Site",$A9,"Year",N$1,"Transect",$B9))</f>
        <v>1</v>
      </c>
      <c r="O9" s="17">
        <f>IF(OR(ISERROR(GETPIVOTDATA("Cover",'Cover PivotTable'!$A$4,"Site",$A9,"Year",O$1,"Transect",$B9)),GETPIVOTDATA("Cover",'Cover PivotTable'!$A$4,"Site",$A9,"Year",O$1)=""), "",GETPIVOTDATA("Cover",'Cover PivotTable'!$A$4,"Site",$A9,"Year",O$1,"Transect",$B9))</f>
        <v>2.5</v>
      </c>
    </row>
    <row r="10" spans="1:15" x14ac:dyDescent="0.35">
      <c r="A10" t="s">
        <v>138</v>
      </c>
      <c r="B10">
        <v>5.2</v>
      </c>
      <c r="C10" s="17">
        <f>IF(OR(ISERROR(GETPIVOTDATA("Cover",'Cover PivotTable'!$A$4,"Site",$A10,"Year",C$1,"Transect",$B10)),GETPIVOTDATA("Cover",'Cover PivotTable'!$A$4,"Site",$A10,"Year",C$1)=""), "",GETPIVOTDATA("Cover",'Cover PivotTable'!$A$4,"Site",$A10,"Year",C$1,"Transect",$B10))</f>
        <v>1</v>
      </c>
      <c r="D10" s="17" t="str">
        <f>IF(OR(ISERROR(GETPIVOTDATA("Cover",'Cover PivotTable'!$A$4,"Site",$A10,"Year",D$1,"Transect",$B10)),GETPIVOTDATA("Cover",'Cover PivotTable'!$A$4,"Site",$A10,"Year",D$1)=""), "",GETPIVOTDATA("Cover",'Cover PivotTable'!$A$4,"Site",$A10,"Year",D$1,"Transect",$B10))</f>
        <v/>
      </c>
      <c r="E10" s="17" t="str">
        <f>IF(OR(ISERROR(GETPIVOTDATA("Cover",'Cover PivotTable'!$A$4,"Site",$A10,"Year",E$1,"Transect",$B10)),GETPIVOTDATA("Cover",'Cover PivotTable'!$A$4,"Site",$A10,"Year",E$1)=""), "",GETPIVOTDATA("Cover",'Cover PivotTable'!$A$4,"Site",$A10,"Year",E$1,"Transect",$B10))</f>
        <v/>
      </c>
      <c r="F10" s="17" t="str">
        <f>IF(OR(ISERROR(GETPIVOTDATA("Cover",'Cover PivotTable'!$A$4,"Site",$A10,"Year",F$1,"Transect",$B10)),GETPIVOTDATA("Cover",'Cover PivotTable'!$A$4,"Site",$A10,"Year",F$1)=""), "",GETPIVOTDATA("Cover",'Cover PivotTable'!$A$4,"Site",$A10,"Year",F$1,"Transect",$B10))</f>
        <v/>
      </c>
      <c r="G10" s="17" t="str">
        <f>IF(OR(ISERROR(GETPIVOTDATA("Cover",'Cover PivotTable'!$A$4,"Site",$A10,"Year",G$1,"Transect",$B10)),GETPIVOTDATA("Cover",'Cover PivotTable'!$A$4,"Site",$A10,"Year",G$1)=""), "",GETPIVOTDATA("Cover",'Cover PivotTable'!$A$4,"Site",$A10,"Year",G$1,"Transect",$B10))</f>
        <v/>
      </c>
      <c r="H10" s="17" t="str">
        <f>IF(OR(ISERROR(GETPIVOTDATA("Cover",'Cover PivotTable'!$A$4,"Site",$A10,"Year",H$1,"Transect",$B10)),GETPIVOTDATA("Cover",'Cover PivotTable'!$A$4,"Site",$A10,"Year",H$1)=""), "",GETPIVOTDATA("Cover",'Cover PivotTable'!$A$4,"Site",$A10,"Year",H$1,"Transect",$B10))</f>
        <v/>
      </c>
      <c r="I10" s="17">
        <f>IF(OR(ISERROR(GETPIVOTDATA("Cover",'Cover PivotTable'!$A$4,"Site",$A10,"Year",I$1,"Transect",$B10)),GETPIVOTDATA("Cover",'Cover PivotTable'!$A$4,"Site",$A10,"Year",I$1)=""), "",GETPIVOTDATA("Cover",'Cover PivotTable'!$A$4,"Site",$A10,"Year",I$1,"Transect",$B10))</f>
        <v>2.5</v>
      </c>
      <c r="J10" s="17" t="str">
        <f>IF(OR(ISERROR(GETPIVOTDATA("Cover",'Cover PivotTable'!$A$4,"Site",$A10,"Year",J$1,"Transect",$B10)),GETPIVOTDATA("Cover",'Cover PivotTable'!$A$4,"Site",$A10,"Year",J$1)=""), "",GETPIVOTDATA("Cover",'Cover PivotTable'!$A$4,"Site",$A10,"Year",J$1,"Transect",$B10))</f>
        <v/>
      </c>
      <c r="K10" s="17" t="str">
        <f>IF(OR(ISERROR(GETPIVOTDATA("Cover",'Cover PivotTable'!$A$4,"Site",$A10,"Year",K$1,"Transect",$B10)),GETPIVOTDATA("Cover",'Cover PivotTable'!$A$4,"Site",$A10,"Year",K$1)=""), "",GETPIVOTDATA("Cover",'Cover PivotTable'!$A$4,"Site",$A10,"Year",K$1,"Transect",$B10))</f>
        <v/>
      </c>
      <c r="L10" s="17">
        <f>IF(OR(ISERROR(GETPIVOTDATA("Cover",'Cover PivotTable'!$A$4,"Site",$A10,"Year",L$1,"Transect",$B10)),GETPIVOTDATA("Cover",'Cover PivotTable'!$A$4,"Site",$A10,"Year",L$1)=""), "",GETPIVOTDATA("Cover",'Cover PivotTable'!$A$4,"Site",$A10,"Year",L$1,"Transect",$B10))</f>
        <v>4.5</v>
      </c>
      <c r="M10" s="17" t="str">
        <f>IF(OR(ISERROR(GETPIVOTDATA("Cover",'Cover PivotTable'!$A$4,"Site",$A10,"Year",M$1,"Transect",$B10)),GETPIVOTDATA("Cover",'Cover PivotTable'!$A$4,"Site",$A10,"Year",M$1)=""), "",GETPIVOTDATA("Cover",'Cover PivotTable'!$A$4,"Site",$A10,"Year",M$1,"Transect",$B10))</f>
        <v/>
      </c>
      <c r="N10" s="17">
        <f>IF(OR(ISERROR(GETPIVOTDATA("Cover",'Cover PivotTable'!$A$4,"Site",$A10,"Year",N$1,"Transect",$B10)),GETPIVOTDATA("Cover",'Cover PivotTable'!$A$4,"Site",$A10,"Year",N$1)=""), "",GETPIVOTDATA("Cover",'Cover PivotTable'!$A$4,"Site",$A10,"Year",N$1,"Transect",$B10))</f>
        <v>8.5</v>
      </c>
      <c r="O10" s="17">
        <f>IF(OR(ISERROR(GETPIVOTDATA("Cover",'Cover PivotTable'!$A$4,"Site",$A10,"Year",O$1,"Transect",$B10)),GETPIVOTDATA("Cover",'Cover PivotTable'!$A$4,"Site",$A10,"Year",O$1)=""), "",GETPIVOTDATA("Cover",'Cover PivotTable'!$A$4,"Site",$A10,"Year",O$1,"Transect",$B10))</f>
        <v>8</v>
      </c>
    </row>
    <row r="11" spans="1:15" x14ac:dyDescent="0.35">
      <c r="A11" t="s">
        <v>138</v>
      </c>
      <c r="B11">
        <v>6.2</v>
      </c>
      <c r="C11" s="17">
        <f>IF(OR(ISERROR(GETPIVOTDATA("Cover",'Cover PivotTable'!$A$4,"Site",$A11,"Year",C$1,"Transect",$B11)),GETPIVOTDATA("Cover",'Cover PivotTable'!$A$4,"Site",$A11,"Year",C$1)=""), "",GETPIVOTDATA("Cover",'Cover PivotTable'!$A$4,"Site",$A11,"Year",C$1,"Transect",$B11))</f>
        <v>0</v>
      </c>
      <c r="D11" s="17" t="str">
        <f>IF(OR(ISERROR(GETPIVOTDATA("Cover",'Cover PivotTable'!$A$4,"Site",$A11,"Year",D$1,"Transect",$B11)),GETPIVOTDATA("Cover",'Cover PivotTable'!$A$4,"Site",$A11,"Year",D$1)=""), "",GETPIVOTDATA("Cover",'Cover PivotTable'!$A$4,"Site",$A11,"Year",D$1,"Transect",$B11))</f>
        <v/>
      </c>
      <c r="E11" s="17" t="str">
        <f>IF(OR(ISERROR(GETPIVOTDATA("Cover",'Cover PivotTable'!$A$4,"Site",$A11,"Year",E$1,"Transect",$B11)),GETPIVOTDATA("Cover",'Cover PivotTable'!$A$4,"Site",$A11,"Year",E$1)=""), "",GETPIVOTDATA("Cover",'Cover PivotTable'!$A$4,"Site",$A11,"Year",E$1,"Transect",$B11))</f>
        <v/>
      </c>
      <c r="F11" s="17" t="str">
        <f>IF(OR(ISERROR(GETPIVOTDATA("Cover",'Cover PivotTable'!$A$4,"Site",$A11,"Year",F$1,"Transect",$B11)),GETPIVOTDATA("Cover",'Cover PivotTable'!$A$4,"Site",$A11,"Year",F$1)=""), "",GETPIVOTDATA("Cover",'Cover PivotTable'!$A$4,"Site",$A11,"Year",F$1,"Transect",$B11))</f>
        <v/>
      </c>
      <c r="G11" s="17" t="str">
        <f>IF(OR(ISERROR(GETPIVOTDATA("Cover",'Cover PivotTable'!$A$4,"Site",$A11,"Year",G$1,"Transect",$B11)),GETPIVOTDATA("Cover",'Cover PivotTable'!$A$4,"Site",$A11,"Year",G$1)=""), "",GETPIVOTDATA("Cover",'Cover PivotTable'!$A$4,"Site",$A11,"Year",G$1,"Transect",$B11))</f>
        <v/>
      </c>
      <c r="H11" s="17" t="str">
        <f>IF(OR(ISERROR(GETPIVOTDATA("Cover",'Cover PivotTable'!$A$4,"Site",$A11,"Year",H$1,"Transect",$B11)),GETPIVOTDATA("Cover",'Cover PivotTable'!$A$4,"Site",$A11,"Year",H$1)=""), "",GETPIVOTDATA("Cover",'Cover PivotTable'!$A$4,"Site",$A11,"Year",H$1,"Transect",$B11))</f>
        <v/>
      </c>
      <c r="I11" s="17">
        <f>IF(OR(ISERROR(GETPIVOTDATA("Cover",'Cover PivotTable'!$A$4,"Site",$A11,"Year",I$1,"Transect",$B11)),GETPIVOTDATA("Cover",'Cover PivotTable'!$A$4,"Site",$A11,"Year",I$1)=""), "",GETPIVOTDATA("Cover",'Cover PivotTable'!$A$4,"Site",$A11,"Year",I$1,"Transect",$B11))</f>
        <v>0.5</v>
      </c>
      <c r="J11" s="17" t="str">
        <f>IF(OR(ISERROR(GETPIVOTDATA("Cover",'Cover PivotTable'!$A$4,"Site",$A11,"Year",J$1,"Transect",$B11)),GETPIVOTDATA("Cover",'Cover PivotTable'!$A$4,"Site",$A11,"Year",J$1)=""), "",GETPIVOTDATA("Cover",'Cover PivotTable'!$A$4,"Site",$A11,"Year",J$1,"Transect",$B11))</f>
        <v/>
      </c>
      <c r="K11" s="17" t="str">
        <f>IF(OR(ISERROR(GETPIVOTDATA("Cover",'Cover PivotTable'!$A$4,"Site",$A11,"Year",K$1,"Transect",$B11)),GETPIVOTDATA("Cover",'Cover PivotTable'!$A$4,"Site",$A11,"Year",K$1)=""), "",GETPIVOTDATA("Cover",'Cover PivotTable'!$A$4,"Site",$A11,"Year",K$1,"Transect",$B11))</f>
        <v/>
      </c>
      <c r="L11" s="17">
        <f>IF(OR(ISERROR(GETPIVOTDATA("Cover",'Cover PivotTable'!$A$4,"Site",$A11,"Year",L$1,"Transect",$B11)),GETPIVOTDATA("Cover",'Cover PivotTable'!$A$4,"Site",$A11,"Year",L$1)=""), "",GETPIVOTDATA("Cover",'Cover PivotTable'!$A$4,"Site",$A11,"Year",L$1,"Transect",$B11))</f>
        <v>0</v>
      </c>
      <c r="M11" s="17" t="str">
        <f>IF(OR(ISERROR(GETPIVOTDATA("Cover",'Cover PivotTable'!$A$4,"Site",$A11,"Year",M$1,"Transect",$B11)),GETPIVOTDATA("Cover",'Cover PivotTable'!$A$4,"Site",$A11,"Year",M$1)=""), "",GETPIVOTDATA("Cover",'Cover PivotTable'!$A$4,"Site",$A11,"Year",M$1,"Transect",$B11))</f>
        <v/>
      </c>
      <c r="N11" s="17">
        <f>IF(OR(ISERROR(GETPIVOTDATA("Cover",'Cover PivotTable'!$A$4,"Site",$A11,"Year",N$1,"Transect",$B11)),GETPIVOTDATA("Cover",'Cover PivotTable'!$A$4,"Site",$A11,"Year",N$1)=""), "",GETPIVOTDATA("Cover",'Cover PivotTable'!$A$4,"Site",$A11,"Year",N$1,"Transect",$B11))</f>
        <v>0</v>
      </c>
      <c r="O11" s="17">
        <f>IF(OR(ISERROR(GETPIVOTDATA("Cover",'Cover PivotTable'!$A$4,"Site",$A11,"Year",O$1,"Transect",$B11)),GETPIVOTDATA("Cover",'Cover PivotTable'!$A$4,"Site",$A11,"Year",O$1)=""), "",GETPIVOTDATA("Cover",'Cover PivotTable'!$A$4,"Site",$A11,"Year",O$1,"Transect",$B11))</f>
        <v>0</v>
      </c>
    </row>
    <row r="12" spans="1:15" x14ac:dyDescent="0.35">
      <c r="A12" t="s">
        <v>138</v>
      </c>
      <c r="B12">
        <v>7.1</v>
      </c>
      <c r="C12" s="17">
        <f>IF(OR(ISERROR(GETPIVOTDATA("Cover",'Cover PivotTable'!$A$4,"Site",$A12,"Year",C$1,"Transect",$B12)),GETPIVOTDATA("Cover",'Cover PivotTable'!$A$4,"Site",$A12,"Year",C$1)=""), "",GETPIVOTDATA("Cover",'Cover PivotTable'!$A$4,"Site",$A12,"Year",C$1,"Transect",$B12))</f>
        <v>0</v>
      </c>
      <c r="D12" s="17" t="str">
        <f>IF(OR(ISERROR(GETPIVOTDATA("Cover",'Cover PivotTable'!$A$4,"Site",$A12,"Year",D$1,"Transect",$B12)),GETPIVOTDATA("Cover",'Cover PivotTable'!$A$4,"Site",$A12,"Year",D$1)=""), "",GETPIVOTDATA("Cover",'Cover PivotTable'!$A$4,"Site",$A12,"Year",D$1,"Transect",$B12))</f>
        <v/>
      </c>
      <c r="E12" s="17" t="str">
        <f>IF(OR(ISERROR(GETPIVOTDATA("Cover",'Cover PivotTable'!$A$4,"Site",$A12,"Year",E$1,"Transect",$B12)),GETPIVOTDATA("Cover",'Cover PivotTable'!$A$4,"Site",$A12,"Year",E$1)=""), "",GETPIVOTDATA("Cover",'Cover PivotTable'!$A$4,"Site",$A12,"Year",E$1,"Transect",$B12))</f>
        <v/>
      </c>
      <c r="F12" s="17" t="str">
        <f>IF(OR(ISERROR(GETPIVOTDATA("Cover",'Cover PivotTable'!$A$4,"Site",$A12,"Year",F$1,"Transect",$B12)),GETPIVOTDATA("Cover",'Cover PivotTable'!$A$4,"Site",$A12,"Year",F$1)=""), "",GETPIVOTDATA("Cover",'Cover PivotTable'!$A$4,"Site",$A12,"Year",F$1,"Transect",$B12))</f>
        <v/>
      </c>
      <c r="G12" s="17" t="str">
        <f>IF(OR(ISERROR(GETPIVOTDATA("Cover",'Cover PivotTable'!$A$4,"Site",$A12,"Year",G$1,"Transect",$B12)),GETPIVOTDATA("Cover",'Cover PivotTable'!$A$4,"Site",$A12,"Year",G$1)=""), "",GETPIVOTDATA("Cover",'Cover PivotTable'!$A$4,"Site",$A12,"Year",G$1,"Transect",$B12))</f>
        <v/>
      </c>
      <c r="H12" s="17" t="str">
        <f>IF(OR(ISERROR(GETPIVOTDATA("Cover",'Cover PivotTable'!$A$4,"Site",$A12,"Year",H$1,"Transect",$B12)),GETPIVOTDATA("Cover",'Cover PivotTable'!$A$4,"Site",$A12,"Year",H$1)=""), "",GETPIVOTDATA("Cover",'Cover PivotTable'!$A$4,"Site",$A12,"Year",H$1,"Transect",$B12))</f>
        <v/>
      </c>
      <c r="I12" s="17">
        <f>IF(OR(ISERROR(GETPIVOTDATA("Cover",'Cover PivotTable'!$A$4,"Site",$A12,"Year",I$1,"Transect",$B12)),GETPIVOTDATA("Cover",'Cover PivotTable'!$A$4,"Site",$A12,"Year",I$1)=""), "",GETPIVOTDATA("Cover",'Cover PivotTable'!$A$4,"Site",$A12,"Year",I$1,"Transect",$B12))</f>
        <v>0</v>
      </c>
      <c r="J12" s="17" t="str">
        <f>IF(OR(ISERROR(GETPIVOTDATA("Cover",'Cover PivotTable'!$A$4,"Site",$A12,"Year",J$1,"Transect",$B12)),GETPIVOTDATA("Cover",'Cover PivotTable'!$A$4,"Site",$A12,"Year",J$1)=""), "",GETPIVOTDATA("Cover",'Cover PivotTable'!$A$4,"Site",$A12,"Year",J$1,"Transect",$B12))</f>
        <v/>
      </c>
      <c r="K12" s="17" t="str">
        <f>IF(OR(ISERROR(GETPIVOTDATA("Cover",'Cover PivotTable'!$A$4,"Site",$A12,"Year",K$1,"Transect",$B12)),GETPIVOTDATA("Cover",'Cover PivotTable'!$A$4,"Site",$A12,"Year",K$1)=""), "",GETPIVOTDATA("Cover",'Cover PivotTable'!$A$4,"Site",$A12,"Year",K$1,"Transect",$B12))</f>
        <v/>
      </c>
      <c r="L12" s="17">
        <f>IF(OR(ISERROR(GETPIVOTDATA("Cover",'Cover PivotTable'!$A$4,"Site",$A12,"Year",L$1,"Transect",$B12)),GETPIVOTDATA("Cover",'Cover PivotTable'!$A$4,"Site",$A12,"Year",L$1)=""), "",GETPIVOTDATA("Cover",'Cover PivotTable'!$A$4,"Site",$A12,"Year",L$1,"Transect",$B12))</f>
        <v>1</v>
      </c>
      <c r="M12" s="17" t="str">
        <f>IF(OR(ISERROR(GETPIVOTDATA("Cover",'Cover PivotTable'!$A$4,"Site",$A12,"Year",M$1,"Transect",$B12)),GETPIVOTDATA("Cover",'Cover PivotTable'!$A$4,"Site",$A12,"Year",M$1)=""), "",GETPIVOTDATA("Cover",'Cover PivotTable'!$A$4,"Site",$A12,"Year",M$1,"Transect",$B12))</f>
        <v/>
      </c>
      <c r="N12" s="17">
        <f>IF(OR(ISERROR(GETPIVOTDATA("Cover",'Cover PivotTable'!$A$4,"Site",$A12,"Year",N$1,"Transect",$B12)),GETPIVOTDATA("Cover",'Cover PivotTable'!$A$4,"Site",$A12,"Year",N$1)=""), "",GETPIVOTDATA("Cover",'Cover PivotTable'!$A$4,"Site",$A12,"Year",N$1,"Transect",$B12))</f>
        <v>0</v>
      </c>
      <c r="O12" s="17">
        <f>IF(OR(ISERROR(GETPIVOTDATA("Cover",'Cover PivotTable'!$A$4,"Site",$A12,"Year",O$1,"Transect",$B12)),GETPIVOTDATA("Cover",'Cover PivotTable'!$A$4,"Site",$A12,"Year",O$1)=""), "",GETPIVOTDATA("Cover",'Cover PivotTable'!$A$4,"Site",$A12,"Year",O$1,"Transect",$B12))</f>
        <v>0.5</v>
      </c>
    </row>
    <row r="13" spans="1:15" x14ac:dyDescent="0.35">
      <c r="A13" t="s">
        <v>138</v>
      </c>
      <c r="B13">
        <v>7.2</v>
      </c>
      <c r="C13" s="17">
        <f>IF(OR(ISERROR(GETPIVOTDATA("Cover",'Cover PivotTable'!$A$4,"Site",$A13,"Year",C$1,"Transect",$B13)),GETPIVOTDATA("Cover",'Cover PivotTable'!$A$4,"Site",$A13,"Year",C$1)=""), "",GETPIVOTDATA("Cover",'Cover PivotTable'!$A$4,"Site",$A13,"Year",C$1,"Transect",$B13))</f>
        <v>0</v>
      </c>
      <c r="D13" s="17" t="str">
        <f>IF(OR(ISERROR(GETPIVOTDATA("Cover",'Cover PivotTable'!$A$4,"Site",$A13,"Year",D$1,"Transect",$B13)),GETPIVOTDATA("Cover",'Cover PivotTable'!$A$4,"Site",$A13,"Year",D$1)=""), "",GETPIVOTDATA("Cover",'Cover PivotTable'!$A$4,"Site",$A13,"Year",D$1,"Transect",$B13))</f>
        <v/>
      </c>
      <c r="E13" s="17" t="str">
        <f>IF(OR(ISERROR(GETPIVOTDATA("Cover",'Cover PivotTable'!$A$4,"Site",$A13,"Year",E$1,"Transect",$B13)),GETPIVOTDATA("Cover",'Cover PivotTable'!$A$4,"Site",$A13,"Year",E$1)=""), "",GETPIVOTDATA("Cover",'Cover PivotTable'!$A$4,"Site",$A13,"Year",E$1,"Transect",$B13))</f>
        <v/>
      </c>
      <c r="F13" s="17" t="str">
        <f>IF(OR(ISERROR(GETPIVOTDATA("Cover",'Cover PivotTable'!$A$4,"Site",$A13,"Year",F$1,"Transect",$B13)),GETPIVOTDATA("Cover",'Cover PivotTable'!$A$4,"Site",$A13,"Year",F$1)=""), "",GETPIVOTDATA("Cover",'Cover PivotTable'!$A$4,"Site",$A13,"Year",F$1,"Transect",$B13))</f>
        <v/>
      </c>
      <c r="G13" s="17" t="str">
        <f>IF(OR(ISERROR(GETPIVOTDATA("Cover",'Cover PivotTable'!$A$4,"Site",$A13,"Year",G$1,"Transect",$B13)),GETPIVOTDATA("Cover",'Cover PivotTable'!$A$4,"Site",$A13,"Year",G$1)=""), "",GETPIVOTDATA("Cover",'Cover PivotTable'!$A$4,"Site",$A13,"Year",G$1,"Transect",$B13))</f>
        <v/>
      </c>
      <c r="H13" s="17" t="str">
        <f>IF(OR(ISERROR(GETPIVOTDATA("Cover",'Cover PivotTable'!$A$4,"Site",$A13,"Year",H$1,"Transect",$B13)),GETPIVOTDATA("Cover",'Cover PivotTable'!$A$4,"Site",$A13,"Year",H$1)=""), "",GETPIVOTDATA("Cover",'Cover PivotTable'!$A$4,"Site",$A13,"Year",H$1,"Transect",$B13))</f>
        <v/>
      </c>
      <c r="I13" s="17">
        <f>IF(OR(ISERROR(GETPIVOTDATA("Cover",'Cover PivotTable'!$A$4,"Site",$A13,"Year",I$1,"Transect",$B13)),GETPIVOTDATA("Cover",'Cover PivotTable'!$A$4,"Site",$A13,"Year",I$1)=""), "",GETPIVOTDATA("Cover",'Cover PivotTable'!$A$4,"Site",$A13,"Year",I$1,"Transect",$B13))</f>
        <v>0</v>
      </c>
      <c r="J13" s="17" t="str">
        <f>IF(OR(ISERROR(GETPIVOTDATA("Cover",'Cover PivotTable'!$A$4,"Site",$A13,"Year",J$1,"Transect",$B13)),GETPIVOTDATA("Cover",'Cover PivotTable'!$A$4,"Site",$A13,"Year",J$1)=""), "",GETPIVOTDATA("Cover",'Cover PivotTable'!$A$4,"Site",$A13,"Year",J$1,"Transect",$B13))</f>
        <v/>
      </c>
      <c r="K13" s="17" t="str">
        <f>IF(OR(ISERROR(GETPIVOTDATA("Cover",'Cover PivotTable'!$A$4,"Site",$A13,"Year",K$1,"Transect",$B13)),GETPIVOTDATA("Cover",'Cover PivotTable'!$A$4,"Site",$A13,"Year",K$1)=""), "",GETPIVOTDATA("Cover",'Cover PivotTable'!$A$4,"Site",$A13,"Year",K$1,"Transect",$B13))</f>
        <v/>
      </c>
      <c r="L13" s="17">
        <f>IF(OR(ISERROR(GETPIVOTDATA("Cover",'Cover PivotTable'!$A$4,"Site",$A13,"Year",L$1,"Transect",$B13)),GETPIVOTDATA("Cover",'Cover PivotTable'!$A$4,"Site",$A13,"Year",L$1)=""), "",GETPIVOTDATA("Cover",'Cover PivotTable'!$A$4,"Site",$A13,"Year",L$1,"Transect",$B13))</f>
        <v>2</v>
      </c>
      <c r="M13" s="17" t="str">
        <f>IF(OR(ISERROR(GETPIVOTDATA("Cover",'Cover PivotTable'!$A$4,"Site",$A13,"Year",M$1,"Transect",$B13)),GETPIVOTDATA("Cover",'Cover PivotTable'!$A$4,"Site",$A13,"Year",M$1)=""), "",GETPIVOTDATA("Cover",'Cover PivotTable'!$A$4,"Site",$A13,"Year",M$1,"Transect",$B13))</f>
        <v/>
      </c>
      <c r="N13" s="17">
        <f>IF(OR(ISERROR(GETPIVOTDATA("Cover",'Cover PivotTable'!$A$4,"Site",$A13,"Year",N$1,"Transect",$B13)),GETPIVOTDATA("Cover",'Cover PivotTable'!$A$4,"Site",$A13,"Year",N$1)=""), "",GETPIVOTDATA("Cover",'Cover PivotTable'!$A$4,"Site",$A13,"Year",N$1,"Transect",$B13))</f>
        <v>0</v>
      </c>
      <c r="O13" s="17">
        <f>IF(OR(ISERROR(GETPIVOTDATA("Cover",'Cover PivotTable'!$A$4,"Site",$A13,"Year",O$1,"Transect",$B13)),GETPIVOTDATA("Cover",'Cover PivotTable'!$A$4,"Site",$A13,"Year",O$1)=""), "",GETPIVOTDATA("Cover",'Cover PivotTable'!$A$4,"Site",$A13,"Year",O$1,"Transect",$B13))</f>
        <v>0</v>
      </c>
    </row>
    <row r="14" spans="1:15" x14ac:dyDescent="0.35">
      <c r="A14" t="s">
        <v>138</v>
      </c>
      <c r="B14">
        <v>8.1</v>
      </c>
      <c r="C14" s="17">
        <f>IF(OR(ISERROR(GETPIVOTDATA("Cover",'Cover PivotTable'!$A$4,"Site",$A14,"Year",C$1,"Transect",$B14)),GETPIVOTDATA("Cover",'Cover PivotTable'!$A$4,"Site",$A14,"Year",C$1)=""), "",GETPIVOTDATA("Cover",'Cover PivotTable'!$A$4,"Site",$A14,"Year",C$1,"Transect",$B14))</f>
        <v>2.5</v>
      </c>
      <c r="D14" s="17" t="str">
        <f>IF(OR(ISERROR(GETPIVOTDATA("Cover",'Cover PivotTable'!$A$4,"Site",$A14,"Year",D$1,"Transect",$B14)),GETPIVOTDATA("Cover",'Cover PivotTable'!$A$4,"Site",$A14,"Year",D$1)=""), "",GETPIVOTDATA("Cover",'Cover PivotTable'!$A$4,"Site",$A14,"Year",D$1,"Transect",$B14))</f>
        <v/>
      </c>
      <c r="E14" s="17" t="str">
        <f>IF(OR(ISERROR(GETPIVOTDATA("Cover",'Cover PivotTable'!$A$4,"Site",$A14,"Year",E$1,"Transect",$B14)),GETPIVOTDATA("Cover",'Cover PivotTable'!$A$4,"Site",$A14,"Year",E$1)=""), "",GETPIVOTDATA("Cover",'Cover PivotTable'!$A$4,"Site",$A14,"Year",E$1,"Transect",$B14))</f>
        <v/>
      </c>
      <c r="F14" s="17" t="str">
        <f>IF(OR(ISERROR(GETPIVOTDATA("Cover",'Cover PivotTable'!$A$4,"Site",$A14,"Year",F$1,"Transect",$B14)),GETPIVOTDATA("Cover",'Cover PivotTable'!$A$4,"Site",$A14,"Year",F$1)=""), "",GETPIVOTDATA("Cover",'Cover PivotTable'!$A$4,"Site",$A14,"Year",F$1,"Transect",$B14))</f>
        <v/>
      </c>
      <c r="G14" s="17" t="str">
        <f>IF(OR(ISERROR(GETPIVOTDATA("Cover",'Cover PivotTable'!$A$4,"Site",$A14,"Year",G$1,"Transect",$B14)),GETPIVOTDATA("Cover",'Cover PivotTable'!$A$4,"Site",$A14,"Year",G$1)=""), "",GETPIVOTDATA("Cover",'Cover PivotTable'!$A$4,"Site",$A14,"Year",G$1,"Transect",$B14))</f>
        <v/>
      </c>
      <c r="H14" s="17" t="str">
        <f>IF(OR(ISERROR(GETPIVOTDATA("Cover",'Cover PivotTable'!$A$4,"Site",$A14,"Year",H$1,"Transect",$B14)),GETPIVOTDATA("Cover",'Cover PivotTable'!$A$4,"Site",$A14,"Year",H$1)=""), "",GETPIVOTDATA("Cover",'Cover PivotTable'!$A$4,"Site",$A14,"Year",H$1,"Transect",$B14))</f>
        <v/>
      </c>
      <c r="I14" s="17">
        <f>IF(OR(ISERROR(GETPIVOTDATA("Cover",'Cover PivotTable'!$A$4,"Site",$A14,"Year",I$1,"Transect",$B14)),GETPIVOTDATA("Cover",'Cover PivotTable'!$A$4,"Site",$A14,"Year",I$1)=""), "",GETPIVOTDATA("Cover",'Cover PivotTable'!$A$4,"Site",$A14,"Year",I$1,"Transect",$B14))</f>
        <v>5</v>
      </c>
      <c r="J14" s="17" t="str">
        <f>IF(OR(ISERROR(GETPIVOTDATA("Cover",'Cover PivotTable'!$A$4,"Site",$A14,"Year",J$1,"Transect",$B14)),GETPIVOTDATA("Cover",'Cover PivotTable'!$A$4,"Site",$A14,"Year",J$1)=""), "",GETPIVOTDATA("Cover",'Cover PivotTable'!$A$4,"Site",$A14,"Year",J$1,"Transect",$B14))</f>
        <v/>
      </c>
      <c r="K14" s="17" t="str">
        <f>IF(OR(ISERROR(GETPIVOTDATA("Cover",'Cover PivotTable'!$A$4,"Site",$A14,"Year",K$1,"Transect",$B14)),GETPIVOTDATA("Cover",'Cover PivotTable'!$A$4,"Site",$A14,"Year",K$1)=""), "",GETPIVOTDATA("Cover",'Cover PivotTable'!$A$4,"Site",$A14,"Year",K$1,"Transect",$B14))</f>
        <v/>
      </c>
      <c r="L14" s="17">
        <f>IF(OR(ISERROR(GETPIVOTDATA("Cover",'Cover PivotTable'!$A$4,"Site",$A14,"Year",L$1,"Transect",$B14)),GETPIVOTDATA("Cover",'Cover PivotTable'!$A$4,"Site",$A14,"Year",L$1)=""), "",GETPIVOTDATA("Cover",'Cover PivotTable'!$A$4,"Site",$A14,"Year",L$1,"Transect",$B14))</f>
        <v>6.5</v>
      </c>
      <c r="M14" s="17" t="str">
        <f>IF(OR(ISERROR(GETPIVOTDATA("Cover",'Cover PivotTable'!$A$4,"Site",$A14,"Year",M$1,"Transect",$B14)),GETPIVOTDATA("Cover",'Cover PivotTable'!$A$4,"Site",$A14,"Year",M$1)=""), "",GETPIVOTDATA("Cover",'Cover PivotTable'!$A$4,"Site",$A14,"Year",M$1,"Transect",$B14))</f>
        <v/>
      </c>
      <c r="N14" s="17">
        <f>IF(OR(ISERROR(GETPIVOTDATA("Cover",'Cover PivotTable'!$A$4,"Site",$A14,"Year",N$1,"Transect",$B14)),GETPIVOTDATA("Cover",'Cover PivotTable'!$A$4,"Site",$A14,"Year",N$1)=""), "",GETPIVOTDATA("Cover",'Cover PivotTable'!$A$4,"Site",$A14,"Year",N$1,"Transect",$B14))</f>
        <v>4</v>
      </c>
      <c r="O14" s="17">
        <f>IF(OR(ISERROR(GETPIVOTDATA("Cover",'Cover PivotTable'!$A$4,"Site",$A14,"Year",O$1,"Transect",$B14)),GETPIVOTDATA("Cover",'Cover PivotTable'!$A$4,"Site",$A14,"Year",O$1)=""), "",GETPIVOTDATA("Cover",'Cover PivotTable'!$A$4,"Site",$A14,"Year",O$1,"Transect",$B14))</f>
        <v>14</v>
      </c>
    </row>
    <row r="15" spans="1:15" x14ac:dyDescent="0.35">
      <c r="A15" t="s">
        <v>138</v>
      </c>
      <c r="B15">
        <v>8.1999999999999993</v>
      </c>
      <c r="C15" s="17">
        <f>IF(OR(ISERROR(GETPIVOTDATA("Cover",'Cover PivotTable'!$A$4,"Site",$A15,"Year",C$1,"Transect",$B15)),GETPIVOTDATA("Cover",'Cover PivotTable'!$A$4,"Site",$A15,"Year",C$1)=""), "",GETPIVOTDATA("Cover",'Cover PivotTable'!$A$4,"Site",$A15,"Year",C$1,"Transect",$B15))</f>
        <v>0</v>
      </c>
      <c r="D15" s="17" t="str">
        <f>IF(OR(ISERROR(GETPIVOTDATA("Cover",'Cover PivotTable'!$A$4,"Site",$A15,"Year",D$1,"Transect",$B15)),GETPIVOTDATA("Cover",'Cover PivotTable'!$A$4,"Site",$A15,"Year",D$1)=""), "",GETPIVOTDATA("Cover",'Cover PivotTable'!$A$4,"Site",$A15,"Year",D$1,"Transect",$B15))</f>
        <v/>
      </c>
      <c r="E15" s="17" t="str">
        <f>IF(OR(ISERROR(GETPIVOTDATA("Cover",'Cover PivotTable'!$A$4,"Site",$A15,"Year",E$1,"Transect",$B15)),GETPIVOTDATA("Cover",'Cover PivotTable'!$A$4,"Site",$A15,"Year",E$1)=""), "",GETPIVOTDATA("Cover",'Cover PivotTable'!$A$4,"Site",$A15,"Year",E$1,"Transect",$B15))</f>
        <v/>
      </c>
      <c r="F15" s="17" t="str">
        <f>IF(OR(ISERROR(GETPIVOTDATA("Cover",'Cover PivotTable'!$A$4,"Site",$A15,"Year",F$1,"Transect",$B15)),GETPIVOTDATA("Cover",'Cover PivotTable'!$A$4,"Site",$A15,"Year",F$1)=""), "",GETPIVOTDATA("Cover",'Cover PivotTable'!$A$4,"Site",$A15,"Year",F$1,"Transect",$B15))</f>
        <v/>
      </c>
      <c r="G15" s="17" t="str">
        <f>IF(OR(ISERROR(GETPIVOTDATA("Cover",'Cover PivotTable'!$A$4,"Site",$A15,"Year",G$1,"Transect",$B15)),GETPIVOTDATA("Cover",'Cover PivotTable'!$A$4,"Site",$A15,"Year",G$1)=""), "",GETPIVOTDATA("Cover",'Cover PivotTable'!$A$4,"Site",$A15,"Year",G$1,"Transect",$B15))</f>
        <v/>
      </c>
      <c r="H15" s="17" t="str">
        <f>IF(OR(ISERROR(GETPIVOTDATA("Cover",'Cover PivotTable'!$A$4,"Site",$A15,"Year",H$1,"Transect",$B15)),GETPIVOTDATA("Cover",'Cover PivotTable'!$A$4,"Site",$A15,"Year",H$1)=""), "",GETPIVOTDATA("Cover",'Cover PivotTable'!$A$4,"Site",$A15,"Year",H$1,"Transect",$B15))</f>
        <v/>
      </c>
      <c r="I15" s="17">
        <f>IF(OR(ISERROR(GETPIVOTDATA("Cover",'Cover PivotTable'!$A$4,"Site",$A15,"Year",I$1,"Transect",$B15)),GETPIVOTDATA("Cover",'Cover PivotTable'!$A$4,"Site",$A15,"Year",I$1)=""), "",GETPIVOTDATA("Cover",'Cover PivotTable'!$A$4,"Site",$A15,"Year",I$1,"Transect",$B15))</f>
        <v>0</v>
      </c>
      <c r="J15" s="17" t="str">
        <f>IF(OR(ISERROR(GETPIVOTDATA("Cover",'Cover PivotTable'!$A$4,"Site",$A15,"Year",J$1,"Transect",$B15)),GETPIVOTDATA("Cover",'Cover PivotTable'!$A$4,"Site",$A15,"Year",J$1)=""), "",GETPIVOTDATA("Cover",'Cover PivotTable'!$A$4,"Site",$A15,"Year",J$1,"Transect",$B15))</f>
        <v/>
      </c>
      <c r="K15" s="17" t="str">
        <f>IF(OR(ISERROR(GETPIVOTDATA("Cover",'Cover PivotTable'!$A$4,"Site",$A15,"Year",K$1,"Transect",$B15)),GETPIVOTDATA("Cover",'Cover PivotTable'!$A$4,"Site",$A15,"Year",K$1)=""), "",GETPIVOTDATA("Cover",'Cover PivotTable'!$A$4,"Site",$A15,"Year",K$1,"Transect",$B15))</f>
        <v/>
      </c>
      <c r="L15" s="17">
        <f>IF(OR(ISERROR(GETPIVOTDATA("Cover",'Cover PivotTable'!$A$4,"Site",$A15,"Year",L$1,"Transect",$B15)),GETPIVOTDATA("Cover",'Cover PivotTable'!$A$4,"Site",$A15,"Year",L$1)=""), "",GETPIVOTDATA("Cover",'Cover PivotTable'!$A$4,"Site",$A15,"Year",L$1,"Transect",$B15))</f>
        <v>1</v>
      </c>
      <c r="M15" s="17" t="str">
        <f>IF(OR(ISERROR(GETPIVOTDATA("Cover",'Cover PivotTable'!$A$4,"Site",$A15,"Year",M$1,"Transect",$B15)),GETPIVOTDATA("Cover",'Cover PivotTable'!$A$4,"Site",$A15,"Year",M$1)=""), "",GETPIVOTDATA("Cover",'Cover PivotTable'!$A$4,"Site",$A15,"Year",M$1,"Transect",$B15))</f>
        <v/>
      </c>
      <c r="N15" s="17">
        <f>IF(OR(ISERROR(GETPIVOTDATA("Cover",'Cover PivotTable'!$A$4,"Site",$A15,"Year",N$1,"Transect",$B15)),GETPIVOTDATA("Cover",'Cover PivotTable'!$A$4,"Site",$A15,"Year",N$1)=""), "",GETPIVOTDATA("Cover",'Cover PivotTable'!$A$4,"Site",$A15,"Year",N$1,"Transect",$B15))</f>
        <v>0.5</v>
      </c>
      <c r="O15" s="17">
        <f>IF(OR(ISERROR(GETPIVOTDATA("Cover",'Cover PivotTable'!$A$4,"Site",$A15,"Year",O$1,"Transect",$B15)),GETPIVOTDATA("Cover",'Cover PivotTable'!$A$4,"Site",$A15,"Year",O$1)=""), "",GETPIVOTDATA("Cover",'Cover PivotTable'!$A$4,"Site",$A15,"Year",O$1,"Transect",$B15))</f>
        <v>1.5</v>
      </c>
    </row>
    <row r="16" spans="1:15" x14ac:dyDescent="0.35">
      <c r="A16" t="s">
        <v>138</v>
      </c>
      <c r="B16">
        <v>9.1</v>
      </c>
      <c r="C16" s="17">
        <f>IF(OR(ISERROR(GETPIVOTDATA("Cover",'Cover PivotTable'!$A$4,"Site",$A16,"Year",C$1,"Transect",$B16)),GETPIVOTDATA("Cover",'Cover PivotTable'!$A$4,"Site",$A16,"Year",C$1)=""), "",GETPIVOTDATA("Cover",'Cover PivotTable'!$A$4,"Site",$A16,"Year",C$1,"Transect",$B16))</f>
        <v>6.5</v>
      </c>
      <c r="D16" s="17" t="str">
        <f>IF(OR(ISERROR(GETPIVOTDATA("Cover",'Cover PivotTable'!$A$4,"Site",$A16,"Year",D$1,"Transect",$B16)),GETPIVOTDATA("Cover",'Cover PivotTable'!$A$4,"Site",$A16,"Year",D$1)=""), "",GETPIVOTDATA("Cover",'Cover PivotTable'!$A$4,"Site",$A16,"Year",D$1,"Transect",$B16))</f>
        <v/>
      </c>
      <c r="E16" s="17" t="str">
        <f>IF(OR(ISERROR(GETPIVOTDATA("Cover",'Cover PivotTable'!$A$4,"Site",$A16,"Year",E$1,"Transect",$B16)),GETPIVOTDATA("Cover",'Cover PivotTable'!$A$4,"Site",$A16,"Year",E$1)=""), "",GETPIVOTDATA("Cover",'Cover PivotTable'!$A$4,"Site",$A16,"Year",E$1,"Transect",$B16))</f>
        <v/>
      </c>
      <c r="F16" s="17" t="str">
        <f>IF(OR(ISERROR(GETPIVOTDATA("Cover",'Cover PivotTable'!$A$4,"Site",$A16,"Year",F$1,"Transect",$B16)),GETPIVOTDATA("Cover",'Cover PivotTable'!$A$4,"Site",$A16,"Year",F$1)=""), "",GETPIVOTDATA("Cover",'Cover PivotTable'!$A$4,"Site",$A16,"Year",F$1,"Transect",$B16))</f>
        <v/>
      </c>
      <c r="G16" s="17" t="str">
        <f>IF(OR(ISERROR(GETPIVOTDATA("Cover",'Cover PivotTable'!$A$4,"Site",$A16,"Year",G$1,"Transect",$B16)),GETPIVOTDATA("Cover",'Cover PivotTable'!$A$4,"Site",$A16,"Year",G$1)=""), "",GETPIVOTDATA("Cover",'Cover PivotTable'!$A$4,"Site",$A16,"Year",G$1,"Transect",$B16))</f>
        <v/>
      </c>
      <c r="H16" s="17" t="str">
        <f>IF(OR(ISERROR(GETPIVOTDATA("Cover",'Cover PivotTable'!$A$4,"Site",$A16,"Year",H$1,"Transect",$B16)),GETPIVOTDATA("Cover",'Cover PivotTable'!$A$4,"Site",$A16,"Year",H$1)=""), "",GETPIVOTDATA("Cover",'Cover PivotTable'!$A$4,"Site",$A16,"Year",H$1,"Transect",$B16))</f>
        <v/>
      </c>
      <c r="I16" s="17">
        <f>IF(OR(ISERROR(GETPIVOTDATA("Cover",'Cover PivotTable'!$A$4,"Site",$A16,"Year",I$1,"Transect",$B16)),GETPIVOTDATA("Cover",'Cover PivotTable'!$A$4,"Site",$A16,"Year",I$1)=""), "",GETPIVOTDATA("Cover",'Cover PivotTable'!$A$4,"Site",$A16,"Year",I$1,"Transect",$B16))</f>
        <v>6</v>
      </c>
      <c r="J16" s="17" t="str">
        <f>IF(OR(ISERROR(GETPIVOTDATA("Cover",'Cover PivotTable'!$A$4,"Site",$A16,"Year",J$1,"Transect",$B16)),GETPIVOTDATA("Cover",'Cover PivotTable'!$A$4,"Site",$A16,"Year",J$1)=""), "",GETPIVOTDATA("Cover",'Cover PivotTable'!$A$4,"Site",$A16,"Year",J$1,"Transect",$B16))</f>
        <v/>
      </c>
      <c r="K16" s="17" t="str">
        <f>IF(OR(ISERROR(GETPIVOTDATA("Cover",'Cover PivotTable'!$A$4,"Site",$A16,"Year",K$1,"Transect",$B16)),GETPIVOTDATA("Cover",'Cover PivotTable'!$A$4,"Site",$A16,"Year",K$1)=""), "",GETPIVOTDATA("Cover",'Cover PivotTable'!$A$4,"Site",$A16,"Year",K$1,"Transect",$B16))</f>
        <v/>
      </c>
      <c r="L16" s="17">
        <f>IF(OR(ISERROR(GETPIVOTDATA("Cover",'Cover PivotTable'!$A$4,"Site",$A16,"Year",L$1,"Transect",$B16)),GETPIVOTDATA("Cover",'Cover PivotTable'!$A$4,"Site",$A16,"Year",L$1)=""), "",GETPIVOTDATA("Cover",'Cover PivotTable'!$A$4,"Site",$A16,"Year",L$1,"Transect",$B16))</f>
        <v>0</v>
      </c>
      <c r="M16" s="17" t="str">
        <f>IF(OR(ISERROR(GETPIVOTDATA("Cover",'Cover PivotTable'!$A$4,"Site",$A16,"Year",M$1,"Transect",$B16)),GETPIVOTDATA("Cover",'Cover PivotTable'!$A$4,"Site",$A16,"Year",M$1)=""), "",GETPIVOTDATA("Cover",'Cover PivotTable'!$A$4,"Site",$A16,"Year",M$1,"Transect",$B16))</f>
        <v/>
      </c>
      <c r="N16" s="17">
        <f>IF(OR(ISERROR(GETPIVOTDATA("Cover",'Cover PivotTable'!$A$4,"Site",$A16,"Year",N$1,"Transect",$B16)),GETPIVOTDATA("Cover",'Cover PivotTable'!$A$4,"Site",$A16,"Year",N$1)=""), "",GETPIVOTDATA("Cover",'Cover PivotTable'!$A$4,"Site",$A16,"Year",N$1,"Transect",$B16))</f>
        <v>21.5</v>
      </c>
      <c r="O16" s="17">
        <f>IF(OR(ISERROR(GETPIVOTDATA("Cover",'Cover PivotTable'!$A$4,"Site",$A16,"Year",O$1,"Transect",$B16)),GETPIVOTDATA("Cover",'Cover PivotTable'!$A$4,"Site",$A16,"Year",O$1)=""), "",GETPIVOTDATA("Cover",'Cover PivotTable'!$A$4,"Site",$A16,"Year",O$1,"Transect",$B16))</f>
        <v>22</v>
      </c>
    </row>
    <row r="17" spans="1:15" x14ac:dyDescent="0.35">
      <c r="A17" t="s">
        <v>138</v>
      </c>
      <c r="B17">
        <v>9.1999999999999993</v>
      </c>
      <c r="C17" s="17">
        <f>IF(OR(ISERROR(GETPIVOTDATA("Cover",'Cover PivotTable'!$A$4,"Site",$A17,"Year",C$1,"Transect",$B17)),GETPIVOTDATA("Cover",'Cover PivotTable'!$A$4,"Site",$A17,"Year",C$1)=""), "",GETPIVOTDATA("Cover",'Cover PivotTable'!$A$4,"Site",$A17,"Year",C$1,"Transect",$B17))</f>
        <v>0</v>
      </c>
      <c r="D17" s="17" t="str">
        <f>IF(OR(ISERROR(GETPIVOTDATA("Cover",'Cover PivotTable'!$A$4,"Site",$A17,"Year",D$1,"Transect",$B17)),GETPIVOTDATA("Cover",'Cover PivotTable'!$A$4,"Site",$A17,"Year",D$1)=""), "",GETPIVOTDATA("Cover",'Cover PivotTable'!$A$4,"Site",$A17,"Year",D$1,"Transect",$B17))</f>
        <v/>
      </c>
      <c r="E17" s="17" t="str">
        <f>IF(OR(ISERROR(GETPIVOTDATA("Cover",'Cover PivotTable'!$A$4,"Site",$A17,"Year",E$1,"Transect",$B17)),GETPIVOTDATA("Cover",'Cover PivotTable'!$A$4,"Site",$A17,"Year",E$1)=""), "",GETPIVOTDATA("Cover",'Cover PivotTable'!$A$4,"Site",$A17,"Year",E$1,"Transect",$B17))</f>
        <v/>
      </c>
      <c r="F17" s="17" t="str">
        <f>IF(OR(ISERROR(GETPIVOTDATA("Cover",'Cover PivotTable'!$A$4,"Site",$A17,"Year",F$1,"Transect",$B17)),GETPIVOTDATA("Cover",'Cover PivotTable'!$A$4,"Site",$A17,"Year",F$1)=""), "",GETPIVOTDATA("Cover",'Cover PivotTable'!$A$4,"Site",$A17,"Year",F$1,"Transect",$B17))</f>
        <v/>
      </c>
      <c r="G17" s="17" t="str">
        <f>IF(OR(ISERROR(GETPIVOTDATA("Cover",'Cover PivotTable'!$A$4,"Site",$A17,"Year",G$1,"Transect",$B17)),GETPIVOTDATA("Cover",'Cover PivotTable'!$A$4,"Site",$A17,"Year",G$1)=""), "",GETPIVOTDATA("Cover",'Cover PivotTable'!$A$4,"Site",$A17,"Year",G$1,"Transect",$B17))</f>
        <v/>
      </c>
      <c r="H17" s="17" t="str">
        <f>IF(OR(ISERROR(GETPIVOTDATA("Cover",'Cover PivotTable'!$A$4,"Site",$A17,"Year",H$1,"Transect",$B17)),GETPIVOTDATA("Cover",'Cover PivotTable'!$A$4,"Site",$A17,"Year",H$1)=""), "",GETPIVOTDATA("Cover",'Cover PivotTable'!$A$4,"Site",$A17,"Year",H$1,"Transect",$B17))</f>
        <v/>
      </c>
      <c r="I17" s="17">
        <f>IF(OR(ISERROR(GETPIVOTDATA("Cover",'Cover PivotTable'!$A$4,"Site",$A17,"Year",I$1,"Transect",$B17)),GETPIVOTDATA("Cover",'Cover PivotTable'!$A$4,"Site",$A17,"Year",I$1)=""), "",GETPIVOTDATA("Cover",'Cover PivotTable'!$A$4,"Site",$A17,"Year",I$1,"Transect",$B17))</f>
        <v>2</v>
      </c>
      <c r="J17" s="17" t="str">
        <f>IF(OR(ISERROR(GETPIVOTDATA("Cover",'Cover PivotTable'!$A$4,"Site",$A17,"Year",J$1,"Transect",$B17)),GETPIVOTDATA("Cover",'Cover PivotTable'!$A$4,"Site",$A17,"Year",J$1)=""), "",GETPIVOTDATA("Cover",'Cover PivotTable'!$A$4,"Site",$A17,"Year",J$1,"Transect",$B17))</f>
        <v/>
      </c>
      <c r="K17" s="17" t="str">
        <f>IF(OR(ISERROR(GETPIVOTDATA("Cover",'Cover PivotTable'!$A$4,"Site",$A17,"Year",K$1,"Transect",$B17)),GETPIVOTDATA("Cover",'Cover PivotTable'!$A$4,"Site",$A17,"Year",K$1)=""), "",GETPIVOTDATA("Cover",'Cover PivotTable'!$A$4,"Site",$A17,"Year",K$1,"Transect",$B17))</f>
        <v/>
      </c>
      <c r="L17" s="17">
        <f>IF(OR(ISERROR(GETPIVOTDATA("Cover",'Cover PivotTable'!$A$4,"Site",$A17,"Year",L$1,"Transect",$B17)),GETPIVOTDATA("Cover",'Cover PivotTable'!$A$4,"Site",$A17,"Year",L$1)=""), "",GETPIVOTDATA("Cover",'Cover PivotTable'!$A$4,"Site",$A17,"Year",L$1,"Transect",$B17))</f>
        <v>0.5</v>
      </c>
      <c r="M17" s="17" t="str">
        <f>IF(OR(ISERROR(GETPIVOTDATA("Cover",'Cover PivotTable'!$A$4,"Site",$A17,"Year",M$1,"Transect",$B17)),GETPIVOTDATA("Cover",'Cover PivotTable'!$A$4,"Site",$A17,"Year",M$1)=""), "",GETPIVOTDATA("Cover",'Cover PivotTable'!$A$4,"Site",$A17,"Year",M$1,"Transect",$B17))</f>
        <v/>
      </c>
      <c r="N17" s="17">
        <f>IF(OR(ISERROR(GETPIVOTDATA("Cover",'Cover PivotTable'!$A$4,"Site",$A17,"Year",N$1,"Transect",$B17)),GETPIVOTDATA("Cover",'Cover PivotTable'!$A$4,"Site",$A17,"Year",N$1)=""), "",GETPIVOTDATA("Cover",'Cover PivotTable'!$A$4,"Site",$A17,"Year",N$1,"Transect",$B17))</f>
        <v>1.5</v>
      </c>
      <c r="O17" s="17">
        <f>IF(OR(ISERROR(GETPIVOTDATA("Cover",'Cover PivotTable'!$A$4,"Site",$A17,"Year",O$1,"Transect",$B17)),GETPIVOTDATA("Cover",'Cover PivotTable'!$A$4,"Site",$A17,"Year",O$1)=""), "",GETPIVOTDATA("Cover",'Cover PivotTable'!$A$4,"Site",$A17,"Year",O$1,"Transect",$B17))</f>
        <v>3.5</v>
      </c>
    </row>
    <row r="18" spans="1:15" x14ac:dyDescent="0.35">
      <c r="A18" t="s">
        <v>138</v>
      </c>
      <c r="B18">
        <v>10.1</v>
      </c>
      <c r="C18" s="17">
        <f>IF(OR(ISERROR(GETPIVOTDATA("Cover",'Cover PivotTable'!$A$4,"Site",$A18,"Year",C$1,"Transect",$B18)),GETPIVOTDATA("Cover",'Cover PivotTable'!$A$4,"Site",$A18,"Year",C$1)=""), "",GETPIVOTDATA("Cover",'Cover PivotTable'!$A$4,"Site",$A18,"Year",C$1,"Transect",$B18))</f>
        <v>0</v>
      </c>
      <c r="D18" s="17" t="str">
        <f>IF(OR(ISERROR(GETPIVOTDATA("Cover",'Cover PivotTable'!$A$4,"Site",$A18,"Year",D$1,"Transect",$B18)),GETPIVOTDATA("Cover",'Cover PivotTable'!$A$4,"Site",$A18,"Year",D$1)=""), "",GETPIVOTDATA("Cover",'Cover PivotTable'!$A$4,"Site",$A18,"Year",D$1,"Transect",$B18))</f>
        <v/>
      </c>
      <c r="E18" s="17" t="str">
        <f>IF(OR(ISERROR(GETPIVOTDATA("Cover",'Cover PivotTable'!$A$4,"Site",$A18,"Year",E$1,"Transect",$B18)),GETPIVOTDATA("Cover",'Cover PivotTable'!$A$4,"Site",$A18,"Year",E$1)=""), "",GETPIVOTDATA("Cover",'Cover PivotTable'!$A$4,"Site",$A18,"Year",E$1,"Transect",$B18))</f>
        <v/>
      </c>
      <c r="F18" s="17" t="str">
        <f>IF(OR(ISERROR(GETPIVOTDATA("Cover",'Cover PivotTable'!$A$4,"Site",$A18,"Year",F$1,"Transect",$B18)),GETPIVOTDATA("Cover",'Cover PivotTable'!$A$4,"Site",$A18,"Year",F$1)=""), "",GETPIVOTDATA("Cover",'Cover PivotTable'!$A$4,"Site",$A18,"Year",F$1,"Transect",$B18))</f>
        <v/>
      </c>
      <c r="G18" s="17" t="str">
        <f>IF(OR(ISERROR(GETPIVOTDATA("Cover",'Cover PivotTable'!$A$4,"Site",$A18,"Year",G$1,"Transect",$B18)),GETPIVOTDATA("Cover",'Cover PivotTable'!$A$4,"Site",$A18,"Year",G$1)=""), "",GETPIVOTDATA("Cover",'Cover PivotTable'!$A$4,"Site",$A18,"Year",G$1,"Transect",$B18))</f>
        <v/>
      </c>
      <c r="H18" s="17" t="str">
        <f>IF(OR(ISERROR(GETPIVOTDATA("Cover",'Cover PivotTable'!$A$4,"Site",$A18,"Year",H$1,"Transect",$B18)),GETPIVOTDATA("Cover",'Cover PivotTable'!$A$4,"Site",$A18,"Year",H$1)=""), "",GETPIVOTDATA("Cover",'Cover PivotTable'!$A$4,"Site",$A18,"Year",H$1,"Transect",$B18))</f>
        <v/>
      </c>
      <c r="I18" s="17">
        <f>IF(OR(ISERROR(GETPIVOTDATA("Cover",'Cover PivotTable'!$A$4,"Site",$A18,"Year",I$1,"Transect",$B18)),GETPIVOTDATA("Cover",'Cover PivotTable'!$A$4,"Site",$A18,"Year",I$1)=""), "",GETPIVOTDATA("Cover",'Cover PivotTable'!$A$4,"Site",$A18,"Year",I$1,"Transect",$B18))</f>
        <v>0</v>
      </c>
      <c r="J18" s="17" t="str">
        <f>IF(OR(ISERROR(GETPIVOTDATA("Cover",'Cover PivotTable'!$A$4,"Site",$A18,"Year",J$1,"Transect",$B18)),GETPIVOTDATA("Cover",'Cover PivotTable'!$A$4,"Site",$A18,"Year",J$1)=""), "",GETPIVOTDATA("Cover",'Cover PivotTable'!$A$4,"Site",$A18,"Year",J$1,"Transect",$B18))</f>
        <v/>
      </c>
      <c r="K18" s="17" t="str">
        <f>IF(OR(ISERROR(GETPIVOTDATA("Cover",'Cover PivotTable'!$A$4,"Site",$A18,"Year",K$1,"Transect",$B18)),GETPIVOTDATA("Cover",'Cover PivotTable'!$A$4,"Site",$A18,"Year",K$1)=""), "",GETPIVOTDATA("Cover",'Cover PivotTable'!$A$4,"Site",$A18,"Year",K$1,"Transect",$B18))</f>
        <v/>
      </c>
      <c r="L18" s="17">
        <f>IF(OR(ISERROR(GETPIVOTDATA("Cover",'Cover PivotTable'!$A$4,"Site",$A18,"Year",L$1,"Transect",$B18)),GETPIVOTDATA("Cover",'Cover PivotTable'!$A$4,"Site",$A18,"Year",L$1)=""), "",GETPIVOTDATA("Cover",'Cover PivotTable'!$A$4,"Site",$A18,"Year",L$1,"Transect",$B18))</f>
        <v>0</v>
      </c>
      <c r="M18" s="17" t="str">
        <f>IF(OR(ISERROR(GETPIVOTDATA("Cover",'Cover PivotTable'!$A$4,"Site",$A18,"Year",M$1,"Transect",$B18)),GETPIVOTDATA("Cover",'Cover PivotTable'!$A$4,"Site",$A18,"Year",M$1)=""), "",GETPIVOTDATA("Cover",'Cover PivotTable'!$A$4,"Site",$A18,"Year",M$1,"Transect",$B18))</f>
        <v/>
      </c>
      <c r="N18" s="17">
        <f>IF(OR(ISERROR(GETPIVOTDATA("Cover",'Cover PivotTable'!$A$4,"Site",$A18,"Year",N$1,"Transect",$B18)),GETPIVOTDATA("Cover",'Cover PivotTable'!$A$4,"Site",$A18,"Year",N$1)=""), "",GETPIVOTDATA("Cover",'Cover PivotTable'!$A$4,"Site",$A18,"Year",N$1,"Transect",$B18))</f>
        <v>0</v>
      </c>
      <c r="O18" s="17">
        <f>IF(OR(ISERROR(GETPIVOTDATA("Cover",'Cover PivotTable'!$A$4,"Site",$A18,"Year",O$1,"Transect",$B18)),GETPIVOTDATA("Cover",'Cover PivotTable'!$A$4,"Site",$A18,"Year",O$1)=""), "",GETPIVOTDATA("Cover",'Cover PivotTable'!$A$4,"Site",$A18,"Year",O$1,"Transect",$B18))</f>
        <v>42.5</v>
      </c>
    </row>
    <row r="19" spans="1:15" x14ac:dyDescent="0.35">
      <c r="A19" t="s">
        <v>138</v>
      </c>
      <c r="B19">
        <v>10.199999999999999</v>
      </c>
      <c r="C19" s="17">
        <f>IF(OR(ISERROR(GETPIVOTDATA("Cover",'Cover PivotTable'!$A$4,"Site",$A19,"Year",C$1,"Transect",$B19)),GETPIVOTDATA("Cover",'Cover PivotTable'!$A$4,"Site",$A19,"Year",C$1)=""), "",GETPIVOTDATA("Cover",'Cover PivotTable'!$A$4,"Site",$A19,"Year",C$1,"Transect",$B19))</f>
        <v>0</v>
      </c>
      <c r="D19" s="17" t="str">
        <f>IF(OR(ISERROR(GETPIVOTDATA("Cover",'Cover PivotTable'!$A$4,"Site",$A19,"Year",D$1,"Transect",$B19)),GETPIVOTDATA("Cover",'Cover PivotTable'!$A$4,"Site",$A19,"Year",D$1)=""), "",GETPIVOTDATA("Cover",'Cover PivotTable'!$A$4,"Site",$A19,"Year",D$1,"Transect",$B19))</f>
        <v/>
      </c>
      <c r="E19" s="17" t="str">
        <f>IF(OR(ISERROR(GETPIVOTDATA("Cover",'Cover PivotTable'!$A$4,"Site",$A19,"Year",E$1,"Transect",$B19)),GETPIVOTDATA("Cover",'Cover PivotTable'!$A$4,"Site",$A19,"Year",E$1)=""), "",GETPIVOTDATA("Cover",'Cover PivotTable'!$A$4,"Site",$A19,"Year",E$1,"Transect",$B19))</f>
        <v/>
      </c>
      <c r="F19" s="17" t="str">
        <f>IF(OR(ISERROR(GETPIVOTDATA("Cover",'Cover PivotTable'!$A$4,"Site",$A19,"Year",F$1,"Transect",$B19)),GETPIVOTDATA("Cover",'Cover PivotTable'!$A$4,"Site",$A19,"Year",F$1)=""), "",GETPIVOTDATA("Cover",'Cover PivotTable'!$A$4,"Site",$A19,"Year",F$1,"Transect",$B19))</f>
        <v/>
      </c>
      <c r="G19" s="17" t="str">
        <f>IF(OR(ISERROR(GETPIVOTDATA("Cover",'Cover PivotTable'!$A$4,"Site",$A19,"Year",G$1,"Transect",$B19)),GETPIVOTDATA("Cover",'Cover PivotTable'!$A$4,"Site",$A19,"Year",G$1)=""), "",GETPIVOTDATA("Cover",'Cover PivotTable'!$A$4,"Site",$A19,"Year",G$1,"Transect",$B19))</f>
        <v/>
      </c>
      <c r="H19" s="17" t="str">
        <f>IF(OR(ISERROR(GETPIVOTDATA("Cover",'Cover PivotTable'!$A$4,"Site",$A19,"Year",H$1,"Transect",$B19)),GETPIVOTDATA("Cover",'Cover PivotTable'!$A$4,"Site",$A19,"Year",H$1)=""), "",GETPIVOTDATA("Cover",'Cover PivotTable'!$A$4,"Site",$A19,"Year",H$1,"Transect",$B19))</f>
        <v/>
      </c>
      <c r="I19" s="17">
        <f>IF(OR(ISERROR(GETPIVOTDATA("Cover",'Cover PivotTable'!$A$4,"Site",$A19,"Year",I$1,"Transect",$B19)),GETPIVOTDATA("Cover",'Cover PivotTable'!$A$4,"Site",$A19,"Year",I$1)=""), "",GETPIVOTDATA("Cover",'Cover PivotTable'!$A$4,"Site",$A19,"Year",I$1,"Transect",$B19))</f>
        <v>0</v>
      </c>
      <c r="J19" s="17" t="str">
        <f>IF(OR(ISERROR(GETPIVOTDATA("Cover",'Cover PivotTable'!$A$4,"Site",$A19,"Year",J$1,"Transect",$B19)),GETPIVOTDATA("Cover",'Cover PivotTable'!$A$4,"Site",$A19,"Year",J$1)=""), "",GETPIVOTDATA("Cover",'Cover PivotTable'!$A$4,"Site",$A19,"Year",J$1,"Transect",$B19))</f>
        <v/>
      </c>
      <c r="K19" s="17" t="str">
        <f>IF(OR(ISERROR(GETPIVOTDATA("Cover",'Cover PivotTable'!$A$4,"Site",$A19,"Year",K$1,"Transect",$B19)),GETPIVOTDATA("Cover",'Cover PivotTable'!$A$4,"Site",$A19,"Year",K$1)=""), "",GETPIVOTDATA("Cover",'Cover PivotTable'!$A$4,"Site",$A19,"Year",K$1,"Transect",$B19))</f>
        <v/>
      </c>
      <c r="L19" s="17">
        <f>IF(OR(ISERROR(GETPIVOTDATA("Cover",'Cover PivotTable'!$A$4,"Site",$A19,"Year",L$1,"Transect",$B19)),GETPIVOTDATA("Cover",'Cover PivotTable'!$A$4,"Site",$A19,"Year",L$1)=""), "",GETPIVOTDATA("Cover",'Cover PivotTable'!$A$4,"Site",$A19,"Year",L$1,"Transect",$B19))</f>
        <v>0</v>
      </c>
      <c r="M19" s="17" t="str">
        <f>IF(OR(ISERROR(GETPIVOTDATA("Cover",'Cover PivotTable'!$A$4,"Site",$A19,"Year",M$1,"Transect",$B19)),GETPIVOTDATA("Cover",'Cover PivotTable'!$A$4,"Site",$A19,"Year",M$1)=""), "",GETPIVOTDATA("Cover",'Cover PivotTable'!$A$4,"Site",$A19,"Year",M$1,"Transect",$B19))</f>
        <v/>
      </c>
      <c r="N19" s="17">
        <f>IF(OR(ISERROR(GETPIVOTDATA("Cover",'Cover PivotTable'!$A$4,"Site",$A19,"Year",N$1,"Transect",$B19)),GETPIVOTDATA("Cover",'Cover PivotTable'!$A$4,"Site",$A19,"Year",N$1)=""), "",GETPIVOTDATA("Cover",'Cover PivotTable'!$A$4,"Site",$A19,"Year",N$1,"Transect",$B19))</f>
        <v>0</v>
      </c>
      <c r="O19" s="17">
        <f>IF(OR(ISERROR(GETPIVOTDATA("Cover",'Cover PivotTable'!$A$4,"Site",$A19,"Year",O$1,"Transect",$B19)),GETPIVOTDATA("Cover",'Cover PivotTable'!$A$4,"Site",$A19,"Year",O$1)=""), "",GETPIVOTDATA("Cover",'Cover PivotTable'!$A$4,"Site",$A19,"Year",O$1,"Transect",$B19))</f>
        <v>21</v>
      </c>
    </row>
    <row r="20" spans="1:15" x14ac:dyDescent="0.35">
      <c r="A20" t="s">
        <v>138</v>
      </c>
      <c r="B20" t="s">
        <v>141</v>
      </c>
      <c r="C20" s="17">
        <f>IF(OR(ISERROR(GETPIVOTDATA("Cover",'Cover PivotTable'!$A$4,"Site",$A20,"Year",C$1,"Transect",$B20)),GETPIVOTDATA("Cover",'Cover PivotTable'!$A$4,"Site",$A20,"Year",C$1)=""), "",GETPIVOTDATA("Cover",'Cover PivotTable'!$A$4,"Site",$A20,"Year",C$1,"Transect",$B20))</f>
        <v>0</v>
      </c>
      <c r="D20" s="17" t="str">
        <f>IF(OR(ISERROR(GETPIVOTDATA("Cover",'Cover PivotTable'!$A$4,"Site",$A20,"Year",D$1,"Transect",$B20)),GETPIVOTDATA("Cover",'Cover PivotTable'!$A$4,"Site",$A20,"Year",D$1)=""), "",GETPIVOTDATA("Cover",'Cover PivotTable'!$A$4,"Site",$A20,"Year",D$1,"Transect",$B20))</f>
        <v/>
      </c>
      <c r="E20" s="17" t="str">
        <f>IF(OR(ISERROR(GETPIVOTDATA("Cover",'Cover PivotTable'!$A$4,"Site",$A20,"Year",E$1,"Transect",$B20)),GETPIVOTDATA("Cover",'Cover PivotTable'!$A$4,"Site",$A20,"Year",E$1)=""), "",GETPIVOTDATA("Cover",'Cover PivotTable'!$A$4,"Site",$A20,"Year",E$1,"Transect",$B20))</f>
        <v/>
      </c>
      <c r="F20" s="17" t="str">
        <f>IF(OR(ISERROR(GETPIVOTDATA("Cover",'Cover PivotTable'!$A$4,"Site",$A20,"Year",F$1,"Transect",$B20)),GETPIVOTDATA("Cover",'Cover PivotTable'!$A$4,"Site",$A20,"Year",F$1)=""), "",GETPIVOTDATA("Cover",'Cover PivotTable'!$A$4,"Site",$A20,"Year",F$1,"Transect",$B20))</f>
        <v/>
      </c>
      <c r="G20" s="17" t="str">
        <f>IF(OR(ISERROR(GETPIVOTDATA("Cover",'Cover PivotTable'!$A$4,"Site",$A20,"Year",G$1,"Transect",$B20)),GETPIVOTDATA("Cover",'Cover PivotTable'!$A$4,"Site",$A20,"Year",G$1)=""), "",GETPIVOTDATA("Cover",'Cover PivotTable'!$A$4,"Site",$A20,"Year",G$1,"Transect",$B20))</f>
        <v/>
      </c>
      <c r="H20" s="17" t="str">
        <f>IF(OR(ISERROR(GETPIVOTDATA("Cover",'Cover PivotTable'!$A$4,"Site",$A20,"Year",H$1,"Transect",$B20)),GETPIVOTDATA("Cover",'Cover PivotTable'!$A$4,"Site",$A20,"Year",H$1)=""), "",GETPIVOTDATA("Cover",'Cover PivotTable'!$A$4,"Site",$A20,"Year",H$1,"Transect",$B20))</f>
        <v/>
      </c>
      <c r="I20" s="17">
        <f>IF(OR(ISERROR(GETPIVOTDATA("Cover",'Cover PivotTable'!$A$4,"Site",$A20,"Year",I$1,"Transect",$B20)),GETPIVOTDATA("Cover",'Cover PivotTable'!$A$4,"Site",$A20,"Year",I$1)=""), "",GETPIVOTDATA("Cover",'Cover PivotTable'!$A$4,"Site",$A20,"Year",I$1,"Transect",$B20))</f>
        <v>9.5</v>
      </c>
      <c r="J20" s="17" t="str">
        <f>IF(OR(ISERROR(GETPIVOTDATA("Cover",'Cover PivotTable'!$A$4,"Site",$A20,"Year",J$1,"Transect",$B20)),GETPIVOTDATA("Cover",'Cover PivotTable'!$A$4,"Site",$A20,"Year",J$1)=""), "",GETPIVOTDATA("Cover",'Cover PivotTable'!$A$4,"Site",$A20,"Year",J$1,"Transect",$B20))</f>
        <v/>
      </c>
      <c r="K20" s="17" t="str">
        <f>IF(OR(ISERROR(GETPIVOTDATA("Cover",'Cover PivotTable'!$A$4,"Site",$A20,"Year",K$1,"Transect",$B20)),GETPIVOTDATA("Cover",'Cover PivotTable'!$A$4,"Site",$A20,"Year",K$1)=""), "",GETPIVOTDATA("Cover",'Cover PivotTable'!$A$4,"Site",$A20,"Year",K$1,"Transect",$B20))</f>
        <v/>
      </c>
      <c r="L20" s="17">
        <f>IF(OR(ISERROR(GETPIVOTDATA("Cover",'Cover PivotTable'!$A$4,"Site",$A20,"Year",L$1,"Transect",$B20)),GETPIVOTDATA("Cover",'Cover PivotTable'!$A$4,"Site",$A20,"Year",L$1)=""), "",GETPIVOTDATA("Cover",'Cover PivotTable'!$A$4,"Site",$A20,"Year",L$1,"Transect",$B20))</f>
        <v>14</v>
      </c>
      <c r="M20" s="17" t="str">
        <f>IF(OR(ISERROR(GETPIVOTDATA("Cover",'Cover PivotTable'!$A$4,"Site",$A20,"Year",M$1,"Transect",$B20)),GETPIVOTDATA("Cover",'Cover PivotTable'!$A$4,"Site",$A20,"Year",M$1)=""), "",GETPIVOTDATA("Cover",'Cover PivotTable'!$A$4,"Site",$A20,"Year",M$1,"Transect",$B20))</f>
        <v/>
      </c>
      <c r="N20" s="17">
        <f>IF(OR(ISERROR(GETPIVOTDATA("Cover",'Cover PivotTable'!$A$4,"Site",$A20,"Year",N$1,"Transect",$B20)),GETPIVOTDATA("Cover",'Cover PivotTable'!$A$4,"Site",$A20,"Year",N$1)=""), "",GETPIVOTDATA("Cover",'Cover PivotTable'!$A$4,"Site",$A20,"Year",N$1,"Transect",$B20))</f>
        <v>0</v>
      </c>
      <c r="O20" s="17">
        <f>IF(OR(ISERROR(GETPIVOTDATA("Cover",'Cover PivotTable'!$A$4,"Site",$A20,"Year",O$1,"Transect",$B20)),GETPIVOTDATA("Cover",'Cover PivotTable'!$A$4,"Site",$A20,"Year",O$1)=""), "",GETPIVOTDATA("Cover",'Cover PivotTable'!$A$4,"Site",$A20,"Year",O$1,"Transect",$B20))</f>
        <v>13.5</v>
      </c>
    </row>
    <row r="21" spans="1:15" x14ac:dyDescent="0.35">
      <c r="A21" t="s">
        <v>138</v>
      </c>
      <c r="B21" t="s">
        <v>143</v>
      </c>
      <c r="C21" s="17">
        <f>IF(OR(ISERROR(GETPIVOTDATA("Cover",'Cover PivotTable'!$A$4,"Site",$A21,"Year",C$1,"Transect",$B21)),GETPIVOTDATA("Cover",'Cover PivotTable'!$A$4,"Site",$A21,"Year",C$1)=""), "",GETPIVOTDATA("Cover",'Cover PivotTable'!$A$4,"Site",$A21,"Year",C$1,"Transect",$B21))</f>
        <v>0</v>
      </c>
      <c r="D21" s="17" t="str">
        <f>IF(OR(ISERROR(GETPIVOTDATA("Cover",'Cover PivotTable'!$A$4,"Site",$A21,"Year",D$1,"Transect",$B21)),GETPIVOTDATA("Cover",'Cover PivotTable'!$A$4,"Site",$A21,"Year",D$1)=""), "",GETPIVOTDATA("Cover",'Cover PivotTable'!$A$4,"Site",$A21,"Year",D$1,"Transect",$B21))</f>
        <v/>
      </c>
      <c r="E21" s="17" t="str">
        <f>IF(OR(ISERROR(GETPIVOTDATA("Cover",'Cover PivotTable'!$A$4,"Site",$A21,"Year",E$1,"Transect",$B21)),GETPIVOTDATA("Cover",'Cover PivotTable'!$A$4,"Site",$A21,"Year",E$1)=""), "",GETPIVOTDATA("Cover",'Cover PivotTable'!$A$4,"Site",$A21,"Year",E$1,"Transect",$B21))</f>
        <v/>
      </c>
      <c r="F21" s="17" t="str">
        <f>IF(OR(ISERROR(GETPIVOTDATA("Cover",'Cover PivotTable'!$A$4,"Site",$A21,"Year",F$1,"Transect",$B21)),GETPIVOTDATA("Cover",'Cover PivotTable'!$A$4,"Site",$A21,"Year",F$1)=""), "",GETPIVOTDATA("Cover",'Cover PivotTable'!$A$4,"Site",$A21,"Year",F$1,"Transect",$B21))</f>
        <v/>
      </c>
      <c r="G21" s="17" t="str">
        <f>IF(OR(ISERROR(GETPIVOTDATA("Cover",'Cover PivotTable'!$A$4,"Site",$A21,"Year",G$1,"Transect",$B21)),GETPIVOTDATA("Cover",'Cover PivotTable'!$A$4,"Site",$A21,"Year",G$1)=""), "",GETPIVOTDATA("Cover",'Cover PivotTable'!$A$4,"Site",$A21,"Year",G$1,"Transect",$B21))</f>
        <v/>
      </c>
      <c r="H21" s="17" t="str">
        <f>IF(OR(ISERROR(GETPIVOTDATA("Cover",'Cover PivotTable'!$A$4,"Site",$A21,"Year",H$1,"Transect",$B21)),GETPIVOTDATA("Cover",'Cover PivotTable'!$A$4,"Site",$A21,"Year",H$1)=""), "",GETPIVOTDATA("Cover",'Cover PivotTable'!$A$4,"Site",$A21,"Year",H$1,"Transect",$B21))</f>
        <v/>
      </c>
      <c r="I21" s="17">
        <f>IF(OR(ISERROR(GETPIVOTDATA("Cover",'Cover PivotTable'!$A$4,"Site",$A21,"Year",I$1,"Transect",$B21)),GETPIVOTDATA("Cover",'Cover PivotTable'!$A$4,"Site",$A21,"Year",I$1)=""), "",GETPIVOTDATA("Cover",'Cover PivotTable'!$A$4,"Site",$A21,"Year",I$1,"Transect",$B21))</f>
        <v>0</v>
      </c>
      <c r="J21" s="17" t="str">
        <f>IF(OR(ISERROR(GETPIVOTDATA("Cover",'Cover PivotTable'!$A$4,"Site",$A21,"Year",J$1,"Transect",$B21)),GETPIVOTDATA("Cover",'Cover PivotTable'!$A$4,"Site",$A21,"Year",J$1)=""), "",GETPIVOTDATA("Cover",'Cover PivotTable'!$A$4,"Site",$A21,"Year",J$1,"Transect",$B21))</f>
        <v/>
      </c>
      <c r="K21" s="17" t="str">
        <f>IF(OR(ISERROR(GETPIVOTDATA("Cover",'Cover PivotTable'!$A$4,"Site",$A21,"Year",K$1,"Transect",$B21)),GETPIVOTDATA("Cover",'Cover PivotTable'!$A$4,"Site",$A21,"Year",K$1)=""), "",GETPIVOTDATA("Cover",'Cover PivotTable'!$A$4,"Site",$A21,"Year",K$1,"Transect",$B21))</f>
        <v/>
      </c>
      <c r="L21" s="17">
        <f>IF(OR(ISERROR(GETPIVOTDATA("Cover",'Cover PivotTable'!$A$4,"Site",$A21,"Year",L$1,"Transect",$B21)),GETPIVOTDATA("Cover",'Cover PivotTable'!$A$4,"Site",$A21,"Year",L$1)=""), "",GETPIVOTDATA("Cover",'Cover PivotTable'!$A$4,"Site",$A21,"Year",L$1,"Transect",$B21))</f>
        <v>4</v>
      </c>
      <c r="M21" s="17" t="str">
        <f>IF(OR(ISERROR(GETPIVOTDATA("Cover",'Cover PivotTable'!$A$4,"Site",$A21,"Year",M$1,"Transect",$B21)),GETPIVOTDATA("Cover",'Cover PivotTable'!$A$4,"Site",$A21,"Year",M$1)=""), "",GETPIVOTDATA("Cover",'Cover PivotTable'!$A$4,"Site",$A21,"Year",M$1,"Transect",$B21))</f>
        <v/>
      </c>
      <c r="N21" s="17">
        <f>IF(OR(ISERROR(GETPIVOTDATA("Cover",'Cover PivotTable'!$A$4,"Site",$A21,"Year",N$1,"Transect",$B21)),GETPIVOTDATA("Cover",'Cover PivotTable'!$A$4,"Site",$A21,"Year",N$1)=""), "",GETPIVOTDATA("Cover",'Cover PivotTable'!$A$4,"Site",$A21,"Year",N$1,"Transect",$B21))</f>
        <v>0</v>
      </c>
      <c r="O21" s="17">
        <f>IF(OR(ISERROR(GETPIVOTDATA("Cover",'Cover PivotTable'!$A$4,"Site",$A21,"Year",O$1,"Transect",$B21)),GETPIVOTDATA("Cover",'Cover PivotTable'!$A$4,"Site",$A21,"Year",O$1)=""), "",GETPIVOTDATA("Cover",'Cover PivotTable'!$A$4,"Site",$A21,"Year",O$1,"Transect",$B21))</f>
        <v>0</v>
      </c>
    </row>
    <row r="22" spans="1:15" x14ac:dyDescent="0.35">
      <c r="A22" t="s">
        <v>138</v>
      </c>
      <c r="B22" t="s">
        <v>145</v>
      </c>
      <c r="C22">
        <f>IF(OR(ISERROR(GETPIVOTDATA("Cover",'Cover PivotTable'!$A$4,"Site",$A22,"Year",C$1,"Transect",$B22)),GETPIVOTDATA("Cover",'Cover PivotTable'!$A$4,"Site",$A22,"Year",C$1)=""), "",GETPIVOTDATA("Cover",'Cover PivotTable'!$A$4,"Site",$A22,"Year",C$1,"Transect",$B22))</f>
        <v>0</v>
      </c>
      <c r="D22" t="str">
        <f>IF(OR(ISERROR(GETPIVOTDATA("Cover",'Cover PivotTable'!$A$4,"Site",$A22,"Year",D$1,"Transect",$B22)),GETPIVOTDATA("Cover",'Cover PivotTable'!$A$4,"Site",$A22,"Year",D$1)=""), "",GETPIVOTDATA("Cover",'Cover PivotTable'!$A$4,"Site",$A22,"Year",D$1,"Transect",$B22))</f>
        <v/>
      </c>
      <c r="E22" t="str">
        <f>IF(OR(ISERROR(GETPIVOTDATA("Cover",'Cover PivotTable'!$A$4,"Site",$A22,"Year",E$1,"Transect",$B22)),GETPIVOTDATA("Cover",'Cover PivotTable'!$A$4,"Site",$A22,"Year",E$1)=""), "",GETPIVOTDATA("Cover",'Cover PivotTable'!$A$4,"Site",$A22,"Year",E$1,"Transect",$B22))</f>
        <v/>
      </c>
      <c r="F22" t="str">
        <f>IF(OR(ISERROR(GETPIVOTDATA("Cover",'Cover PivotTable'!$A$4,"Site",$A22,"Year",F$1,"Transect",$B22)),GETPIVOTDATA("Cover",'Cover PivotTable'!$A$4,"Site",$A22,"Year",F$1)=""), "",GETPIVOTDATA("Cover",'Cover PivotTable'!$A$4,"Site",$A22,"Year",F$1,"Transect",$B22))</f>
        <v/>
      </c>
      <c r="G22" t="str">
        <f>IF(OR(ISERROR(GETPIVOTDATA("Cover",'Cover PivotTable'!$A$4,"Site",$A22,"Year",G$1,"Transect",$B22)),GETPIVOTDATA("Cover",'Cover PivotTable'!$A$4,"Site",$A22,"Year",G$1)=""), "",GETPIVOTDATA("Cover",'Cover PivotTable'!$A$4,"Site",$A22,"Year",G$1,"Transect",$B22))</f>
        <v/>
      </c>
      <c r="H22" t="str">
        <f>IF(OR(ISERROR(GETPIVOTDATA("Cover",'Cover PivotTable'!$A$4,"Site",$A22,"Year",H$1,"Transect",$B22)),GETPIVOTDATA("Cover",'Cover PivotTable'!$A$4,"Site",$A22,"Year",H$1)=""), "",GETPIVOTDATA("Cover",'Cover PivotTable'!$A$4,"Site",$A22,"Year",H$1,"Transect",$B22))</f>
        <v/>
      </c>
      <c r="I22">
        <f>IF(OR(ISERROR(GETPIVOTDATA("Cover",'Cover PivotTable'!$A$4,"Site",$A22,"Year",I$1,"Transect",$B22)),GETPIVOTDATA("Cover",'Cover PivotTable'!$A$4,"Site",$A22,"Year",I$1)=""), "",GETPIVOTDATA("Cover",'Cover PivotTable'!$A$4,"Site",$A22,"Year",I$1,"Transect",$B22))</f>
        <v>0</v>
      </c>
      <c r="J22" t="str">
        <f>IF(OR(ISERROR(GETPIVOTDATA("Cover",'Cover PivotTable'!$A$4,"Site",$A22,"Year",J$1,"Transect",$B22)),GETPIVOTDATA("Cover",'Cover PivotTable'!$A$4,"Site",$A22,"Year",J$1)=""), "",GETPIVOTDATA("Cover",'Cover PivotTable'!$A$4,"Site",$A22,"Year",J$1,"Transect",$B22))</f>
        <v/>
      </c>
      <c r="K22" t="str">
        <f>IF(OR(ISERROR(GETPIVOTDATA("Cover",'Cover PivotTable'!$A$4,"Site",$A22,"Year",K$1,"Transect",$B22)),GETPIVOTDATA("Cover",'Cover PivotTable'!$A$4,"Site",$A22,"Year",K$1)=""), "",GETPIVOTDATA("Cover",'Cover PivotTable'!$A$4,"Site",$A22,"Year",K$1,"Transect",$B22))</f>
        <v/>
      </c>
      <c r="L22">
        <f>IF(OR(ISERROR(GETPIVOTDATA("Cover",'Cover PivotTable'!$A$4,"Site",$A22,"Year",L$1,"Transect",$B22)),GETPIVOTDATA("Cover",'Cover PivotTable'!$A$4,"Site",$A22,"Year",L$1)=""), "",GETPIVOTDATA("Cover",'Cover PivotTable'!$A$4,"Site",$A22,"Year",L$1,"Transect",$B22))</f>
        <v>0</v>
      </c>
      <c r="M22" t="str">
        <f>IF(OR(ISERROR(GETPIVOTDATA("Cover",'Cover PivotTable'!$A$4,"Site",$A22,"Year",M$1,"Transect",$B22)),GETPIVOTDATA("Cover",'Cover PivotTable'!$A$4,"Site",$A22,"Year",M$1)=""), "",GETPIVOTDATA("Cover",'Cover PivotTable'!$A$4,"Site",$A22,"Year",M$1,"Transect",$B22))</f>
        <v/>
      </c>
      <c r="N22">
        <f>IF(OR(ISERROR(GETPIVOTDATA("Cover",'Cover PivotTable'!$A$4,"Site",$A22,"Year",N$1,"Transect",$B22)),GETPIVOTDATA("Cover",'Cover PivotTable'!$A$4,"Site",$A22,"Year",N$1)=""), "",GETPIVOTDATA("Cover",'Cover PivotTable'!$A$4,"Site",$A22,"Year",N$1,"Transect",$B22))</f>
        <v>0</v>
      </c>
      <c r="O22">
        <f>IF(OR(ISERROR(GETPIVOTDATA("Cover",'Cover PivotTable'!$A$4,"Site",$A22,"Year",O$1,"Transect",$B22)),GETPIVOTDATA("Cover",'Cover PivotTable'!$A$4,"Site",$A22,"Year",O$1)=""), "",GETPIVOTDATA("Cover",'Cover PivotTable'!$A$4,"Site",$A22,"Year",O$1,"Transect",$B22))</f>
        <v>0</v>
      </c>
    </row>
    <row r="23" spans="1:15" x14ac:dyDescent="0.35">
      <c r="A23" t="s">
        <v>138</v>
      </c>
      <c r="B23" t="s">
        <v>147</v>
      </c>
      <c r="C23">
        <f>IF(OR(ISERROR(GETPIVOTDATA("Cover",'Cover PivotTable'!$A$4,"Site",$A23,"Year",C$1,"Transect",$B23)),GETPIVOTDATA("Cover",'Cover PivotTable'!$A$4,"Site",$A23,"Year",C$1)=""), "",GETPIVOTDATA("Cover",'Cover PivotTable'!$A$4,"Site",$A23,"Year",C$1,"Transect",$B23))</f>
        <v>0</v>
      </c>
      <c r="D23" t="str">
        <f>IF(OR(ISERROR(GETPIVOTDATA("Cover",'Cover PivotTable'!$A$4,"Site",$A23,"Year",D$1,"Transect",$B23)),GETPIVOTDATA("Cover",'Cover PivotTable'!$A$4,"Site",$A23,"Year",D$1)=""), "",GETPIVOTDATA("Cover",'Cover PivotTable'!$A$4,"Site",$A23,"Year",D$1,"Transect",$B23))</f>
        <v/>
      </c>
      <c r="E23" t="str">
        <f>IF(OR(ISERROR(GETPIVOTDATA("Cover",'Cover PivotTable'!$A$4,"Site",$A23,"Year",E$1,"Transect",$B23)),GETPIVOTDATA("Cover",'Cover PivotTable'!$A$4,"Site",$A23,"Year",E$1)=""), "",GETPIVOTDATA("Cover",'Cover PivotTable'!$A$4,"Site",$A23,"Year",E$1,"Transect",$B23))</f>
        <v/>
      </c>
      <c r="F23" t="str">
        <f>IF(OR(ISERROR(GETPIVOTDATA("Cover",'Cover PivotTable'!$A$4,"Site",$A23,"Year",F$1,"Transect",$B23)),GETPIVOTDATA("Cover",'Cover PivotTable'!$A$4,"Site",$A23,"Year",F$1)=""), "",GETPIVOTDATA("Cover",'Cover PivotTable'!$A$4,"Site",$A23,"Year",F$1,"Transect",$B23))</f>
        <v/>
      </c>
      <c r="G23" t="str">
        <f>IF(OR(ISERROR(GETPIVOTDATA("Cover",'Cover PivotTable'!$A$4,"Site",$A23,"Year",G$1,"Transect",$B23)),GETPIVOTDATA("Cover",'Cover PivotTable'!$A$4,"Site",$A23,"Year",G$1)=""), "",GETPIVOTDATA("Cover",'Cover PivotTable'!$A$4,"Site",$A23,"Year",G$1,"Transect",$B23))</f>
        <v/>
      </c>
      <c r="H23" t="str">
        <f>IF(OR(ISERROR(GETPIVOTDATA("Cover",'Cover PivotTable'!$A$4,"Site",$A23,"Year",H$1,"Transect",$B23)),GETPIVOTDATA("Cover",'Cover PivotTable'!$A$4,"Site",$A23,"Year",H$1)=""), "",GETPIVOTDATA("Cover",'Cover PivotTable'!$A$4,"Site",$A23,"Year",H$1,"Transect",$B23))</f>
        <v/>
      </c>
      <c r="I23">
        <f>IF(OR(ISERROR(GETPIVOTDATA("Cover",'Cover PivotTable'!$A$4,"Site",$A23,"Year",I$1,"Transect",$B23)),GETPIVOTDATA("Cover",'Cover PivotTable'!$A$4,"Site",$A23,"Year",I$1)=""), "",GETPIVOTDATA("Cover",'Cover PivotTable'!$A$4,"Site",$A23,"Year",I$1,"Transect",$B23))</f>
        <v>0</v>
      </c>
      <c r="J23" t="str">
        <f>IF(OR(ISERROR(GETPIVOTDATA("Cover",'Cover PivotTable'!$A$4,"Site",$A23,"Year",J$1,"Transect",$B23)),GETPIVOTDATA("Cover",'Cover PivotTable'!$A$4,"Site",$A23,"Year",J$1)=""), "",GETPIVOTDATA("Cover",'Cover PivotTable'!$A$4,"Site",$A23,"Year",J$1,"Transect",$B23))</f>
        <v/>
      </c>
      <c r="K23" t="str">
        <f>IF(OR(ISERROR(GETPIVOTDATA("Cover",'Cover PivotTable'!$A$4,"Site",$A23,"Year",K$1,"Transect",$B23)),GETPIVOTDATA("Cover",'Cover PivotTable'!$A$4,"Site",$A23,"Year",K$1)=""), "",GETPIVOTDATA("Cover",'Cover PivotTable'!$A$4,"Site",$A23,"Year",K$1,"Transect",$B23))</f>
        <v/>
      </c>
      <c r="L23">
        <f>IF(OR(ISERROR(GETPIVOTDATA("Cover",'Cover PivotTable'!$A$4,"Site",$A23,"Year",L$1,"Transect",$B23)),GETPIVOTDATA("Cover",'Cover PivotTable'!$A$4,"Site",$A23,"Year",L$1)=""), "",GETPIVOTDATA("Cover",'Cover PivotTable'!$A$4,"Site",$A23,"Year",L$1,"Transect",$B23))</f>
        <v>0</v>
      </c>
      <c r="M23" t="str">
        <f>IF(OR(ISERROR(GETPIVOTDATA("Cover",'Cover PivotTable'!$A$4,"Site",$A23,"Year",M$1,"Transect",$B23)),GETPIVOTDATA("Cover",'Cover PivotTable'!$A$4,"Site",$A23,"Year",M$1)=""), "",GETPIVOTDATA("Cover",'Cover PivotTable'!$A$4,"Site",$A23,"Year",M$1,"Transect",$B23))</f>
        <v/>
      </c>
      <c r="N23">
        <f>IF(OR(ISERROR(GETPIVOTDATA("Cover",'Cover PivotTable'!$A$4,"Site",$A23,"Year",N$1,"Transect",$B23)),GETPIVOTDATA("Cover",'Cover PivotTable'!$A$4,"Site",$A23,"Year",N$1)=""), "",GETPIVOTDATA("Cover",'Cover PivotTable'!$A$4,"Site",$A23,"Year",N$1,"Transect",$B23))</f>
        <v>0</v>
      </c>
      <c r="O23">
        <f>IF(OR(ISERROR(GETPIVOTDATA("Cover",'Cover PivotTable'!$A$4,"Site",$A23,"Year",O$1,"Transect",$B23)),GETPIVOTDATA("Cover",'Cover PivotTable'!$A$4,"Site",$A23,"Year",O$1)=""), "",GETPIVOTDATA("Cover",'Cover PivotTable'!$A$4,"Site",$A23,"Year",O$1,"Transect",$B23))</f>
        <v>0</v>
      </c>
    </row>
    <row r="24" spans="1:15" x14ac:dyDescent="0.35">
      <c r="A24" t="s">
        <v>138</v>
      </c>
      <c r="B24" t="s">
        <v>149</v>
      </c>
      <c r="C24">
        <f>IF(OR(ISERROR(GETPIVOTDATA("Cover",'Cover PivotTable'!$A$4,"Site",$A24,"Year",C$1,"Transect",$B24)),GETPIVOTDATA("Cover",'Cover PivotTable'!$A$4,"Site",$A24,"Year",C$1)=""), "",GETPIVOTDATA("Cover",'Cover PivotTable'!$A$4,"Site",$A24,"Year",C$1,"Transect",$B24))</f>
        <v>0</v>
      </c>
      <c r="D24" t="str">
        <f>IF(OR(ISERROR(GETPIVOTDATA("Cover",'Cover PivotTable'!$A$4,"Site",$A24,"Year",D$1,"Transect",$B24)),GETPIVOTDATA("Cover",'Cover PivotTable'!$A$4,"Site",$A24,"Year",D$1)=""), "",GETPIVOTDATA("Cover",'Cover PivotTable'!$A$4,"Site",$A24,"Year",D$1,"Transect",$B24))</f>
        <v/>
      </c>
      <c r="E24" t="str">
        <f>IF(OR(ISERROR(GETPIVOTDATA("Cover",'Cover PivotTable'!$A$4,"Site",$A24,"Year",E$1,"Transect",$B24)),GETPIVOTDATA("Cover",'Cover PivotTable'!$A$4,"Site",$A24,"Year",E$1)=""), "",GETPIVOTDATA("Cover",'Cover PivotTable'!$A$4,"Site",$A24,"Year",E$1,"Transect",$B24))</f>
        <v/>
      </c>
      <c r="F24" t="str">
        <f>IF(OR(ISERROR(GETPIVOTDATA("Cover",'Cover PivotTable'!$A$4,"Site",$A24,"Year",F$1,"Transect",$B24)),GETPIVOTDATA("Cover",'Cover PivotTable'!$A$4,"Site",$A24,"Year",F$1)=""), "",GETPIVOTDATA("Cover",'Cover PivotTable'!$A$4,"Site",$A24,"Year",F$1,"Transect",$B24))</f>
        <v/>
      </c>
      <c r="G24" t="str">
        <f>IF(OR(ISERROR(GETPIVOTDATA("Cover",'Cover PivotTable'!$A$4,"Site",$A24,"Year",G$1,"Transect",$B24)),GETPIVOTDATA("Cover",'Cover PivotTable'!$A$4,"Site",$A24,"Year",G$1)=""), "",GETPIVOTDATA("Cover",'Cover PivotTable'!$A$4,"Site",$A24,"Year",G$1,"Transect",$B24))</f>
        <v/>
      </c>
      <c r="H24" t="str">
        <f>IF(OR(ISERROR(GETPIVOTDATA("Cover",'Cover PivotTable'!$A$4,"Site",$A24,"Year",H$1,"Transect",$B24)),GETPIVOTDATA("Cover",'Cover PivotTable'!$A$4,"Site",$A24,"Year",H$1)=""), "",GETPIVOTDATA("Cover",'Cover PivotTable'!$A$4,"Site",$A24,"Year",H$1,"Transect",$B24))</f>
        <v/>
      </c>
      <c r="I24">
        <f>IF(OR(ISERROR(GETPIVOTDATA("Cover",'Cover PivotTable'!$A$4,"Site",$A24,"Year",I$1,"Transect",$B24)),GETPIVOTDATA("Cover",'Cover PivotTable'!$A$4,"Site",$A24,"Year",I$1)=""), "",GETPIVOTDATA("Cover",'Cover PivotTable'!$A$4,"Site",$A24,"Year",I$1,"Transect",$B24))</f>
        <v>0</v>
      </c>
      <c r="J24" t="str">
        <f>IF(OR(ISERROR(GETPIVOTDATA("Cover",'Cover PivotTable'!$A$4,"Site",$A24,"Year",J$1,"Transect",$B24)),GETPIVOTDATA("Cover",'Cover PivotTable'!$A$4,"Site",$A24,"Year",J$1)=""), "",GETPIVOTDATA("Cover",'Cover PivotTable'!$A$4,"Site",$A24,"Year",J$1,"Transect",$B24))</f>
        <v/>
      </c>
      <c r="K24" t="str">
        <f>IF(OR(ISERROR(GETPIVOTDATA("Cover",'Cover PivotTable'!$A$4,"Site",$A24,"Year",K$1,"Transect",$B24)),GETPIVOTDATA("Cover",'Cover PivotTable'!$A$4,"Site",$A24,"Year",K$1)=""), "",GETPIVOTDATA("Cover",'Cover PivotTable'!$A$4,"Site",$A24,"Year",K$1,"Transect",$B24))</f>
        <v/>
      </c>
      <c r="L24">
        <f>IF(OR(ISERROR(GETPIVOTDATA("Cover",'Cover PivotTable'!$A$4,"Site",$A24,"Year",L$1,"Transect",$B24)),GETPIVOTDATA("Cover",'Cover PivotTable'!$A$4,"Site",$A24,"Year",L$1)=""), "",GETPIVOTDATA("Cover",'Cover PivotTable'!$A$4,"Site",$A24,"Year",L$1,"Transect",$B24))</f>
        <v>0</v>
      </c>
      <c r="M24" t="str">
        <f>IF(OR(ISERROR(GETPIVOTDATA("Cover",'Cover PivotTable'!$A$4,"Site",$A24,"Year",M$1,"Transect",$B24)),GETPIVOTDATA("Cover",'Cover PivotTable'!$A$4,"Site",$A24,"Year",M$1)=""), "",GETPIVOTDATA("Cover",'Cover PivotTable'!$A$4,"Site",$A24,"Year",M$1,"Transect",$B24))</f>
        <v/>
      </c>
      <c r="N24">
        <f>IF(OR(ISERROR(GETPIVOTDATA("Cover",'Cover PivotTable'!$A$4,"Site",$A24,"Year",N$1,"Transect",$B24)),GETPIVOTDATA("Cover",'Cover PivotTable'!$A$4,"Site",$A24,"Year",N$1)=""), "",GETPIVOTDATA("Cover",'Cover PivotTable'!$A$4,"Site",$A24,"Year",N$1,"Transect",$B24))</f>
        <v>0</v>
      </c>
      <c r="O24">
        <f>IF(OR(ISERROR(GETPIVOTDATA("Cover",'Cover PivotTable'!$A$4,"Site",$A24,"Year",O$1,"Transect",$B24)),GETPIVOTDATA("Cover",'Cover PivotTable'!$A$4,"Site",$A24,"Year",O$1)=""), "",GETPIVOTDATA("Cover",'Cover PivotTable'!$A$4,"Site",$A24,"Year",O$1,"Transect",$B24))</f>
        <v>0</v>
      </c>
    </row>
    <row r="25" spans="1:15" ht="15" thickBot="1" x14ac:dyDescent="0.4">
      <c r="A25" s="19"/>
      <c r="B25" s="19"/>
      <c r="C25" s="19"/>
      <c r="D25" s="19"/>
      <c r="E25" s="19"/>
      <c r="F25" s="19"/>
      <c r="G25" s="19"/>
      <c r="H25" s="19"/>
      <c r="I25" s="19"/>
      <c r="J25" s="19"/>
      <c r="K25" s="19"/>
      <c r="L25" s="19"/>
      <c r="M25" s="19"/>
      <c r="N25" s="19"/>
      <c r="O25" s="19"/>
    </row>
    <row r="27" spans="1:15" x14ac:dyDescent="0.35">
      <c r="A27" t="s">
        <v>274</v>
      </c>
      <c r="C27" s="17">
        <f>IF(SUM(C2:C24)=0, "", AVERAGE(C2:C24))</f>
        <v>0.7542321276336621</v>
      </c>
      <c r="D27" s="17" t="str">
        <f t="shared" ref="D27:O27" si="0">IF(SUM(D2:D24)=0, "", AVERAGE(D2:D24))</f>
        <v/>
      </c>
      <c r="E27" s="17" t="str">
        <f t="shared" si="0"/>
        <v/>
      </c>
      <c r="F27" s="17" t="str">
        <f t="shared" si="0"/>
        <v/>
      </c>
      <c r="G27" s="17" t="str">
        <f t="shared" si="0"/>
        <v/>
      </c>
      <c r="H27" s="17" t="str">
        <f t="shared" si="0"/>
        <v/>
      </c>
      <c r="I27" s="17">
        <f t="shared" si="0"/>
        <v>1.6243556074311838</v>
      </c>
      <c r="J27" s="17" t="str">
        <f t="shared" si="0"/>
        <v/>
      </c>
      <c r="K27" s="17" t="str">
        <f t="shared" si="0"/>
        <v/>
      </c>
      <c r="L27" s="17">
        <f t="shared" si="0"/>
        <v>1.7906332068864896</v>
      </c>
      <c r="M27" s="17" t="str">
        <f t="shared" si="0"/>
        <v/>
      </c>
      <c r="N27" s="17">
        <f t="shared" si="0"/>
        <v>2.2904691721935642</v>
      </c>
      <c r="O27" s="17">
        <f t="shared" si="0"/>
        <v>6.2620874436731215</v>
      </c>
    </row>
    <row r="28" spans="1:15" x14ac:dyDescent="0.35">
      <c r="A28" t="s">
        <v>275</v>
      </c>
      <c r="C28" s="17">
        <f>IF(SUM(C2:C24)=0, "",STDEV(C2:C24))</f>
        <v>1.4977536214494023</v>
      </c>
      <c r="D28" s="17" t="str">
        <f t="shared" ref="D28:O28" si="1">IF(SUM(D2:D24)=0, "",STDEV(D2:D24))</f>
        <v/>
      </c>
      <c r="E28" s="17" t="str">
        <f t="shared" si="1"/>
        <v/>
      </c>
      <c r="F28" s="17" t="str">
        <f t="shared" si="1"/>
        <v/>
      </c>
      <c r="G28" s="17" t="str">
        <f t="shared" si="1"/>
        <v/>
      </c>
      <c r="H28" s="17" t="str">
        <f t="shared" si="1"/>
        <v/>
      </c>
      <c r="I28" s="17">
        <f t="shared" si="1"/>
        <v>2.5640910199948186</v>
      </c>
      <c r="J28" s="17" t="str">
        <f t="shared" si="1"/>
        <v/>
      </c>
      <c r="K28" s="17" t="str">
        <f t="shared" si="1"/>
        <v/>
      </c>
      <c r="L28" s="17">
        <f t="shared" si="1"/>
        <v>3.1852674719711991</v>
      </c>
      <c r="M28" s="17" t="str">
        <f t="shared" si="1"/>
        <v/>
      </c>
      <c r="N28" s="17">
        <f t="shared" si="1"/>
        <v>4.8730034040955221</v>
      </c>
      <c r="O28" s="17">
        <f t="shared" si="1"/>
        <v>10.300030334713083</v>
      </c>
    </row>
    <row r="29" spans="1:15" x14ac:dyDescent="0.35">
      <c r="A29" t="s">
        <v>276</v>
      </c>
      <c r="C29" s="16">
        <f>IF(SUM(C2:C24)=0,"",_xlfn.CONFIDENCE.T(0.2,C28,COUNT(C2:C24)))</f>
        <v>0.41262648717411698</v>
      </c>
      <c r="D29" s="16" t="str">
        <f t="shared" ref="D29:O29" si="2">IF(SUM(D2:D24)=0,"",_xlfn.CONFIDENCE.T(0.2,D28,COUNT(D2:D24)))</f>
        <v/>
      </c>
      <c r="E29" s="16" t="str">
        <f t="shared" si="2"/>
        <v/>
      </c>
      <c r="F29" s="16" t="str">
        <f t="shared" si="2"/>
        <v/>
      </c>
      <c r="G29" s="16" t="str">
        <f t="shared" si="2"/>
        <v/>
      </c>
      <c r="H29" s="16" t="str">
        <f t="shared" si="2"/>
        <v/>
      </c>
      <c r="I29" s="16">
        <f t="shared" si="2"/>
        <v>0.70639914016786287</v>
      </c>
      <c r="J29" s="16" t="str">
        <f t="shared" si="2"/>
        <v/>
      </c>
      <c r="K29" s="16" t="str">
        <f t="shared" si="2"/>
        <v/>
      </c>
      <c r="L29" s="16">
        <f t="shared" si="2"/>
        <v>0.87753133015132367</v>
      </c>
      <c r="M29" s="16" t="str">
        <f t="shared" si="2"/>
        <v/>
      </c>
      <c r="N29" s="16">
        <f t="shared" si="2"/>
        <v>1.3424973559226856</v>
      </c>
      <c r="O29" s="16">
        <f t="shared" si="2"/>
        <v>2.8376264787039149</v>
      </c>
    </row>
    <row r="30" spans="1:15" x14ac:dyDescent="0.35">
      <c r="A30" t="s">
        <v>277</v>
      </c>
      <c r="C30" s="17">
        <f>IF(C29="","",C27+C29)</f>
        <v>1.1668586148077791</v>
      </c>
      <c r="D30" s="17" t="str">
        <f t="shared" ref="D30:O30" si="3">IF(D29="","",D27+D29)</f>
        <v/>
      </c>
      <c r="E30" s="17" t="str">
        <f t="shared" si="3"/>
        <v/>
      </c>
      <c r="F30" s="17" t="str">
        <f t="shared" si="3"/>
        <v/>
      </c>
      <c r="G30" s="17" t="str">
        <f t="shared" si="3"/>
        <v/>
      </c>
      <c r="H30" s="17" t="str">
        <f t="shared" si="3"/>
        <v/>
      </c>
      <c r="I30" s="17">
        <f t="shared" si="3"/>
        <v>2.3307547475990464</v>
      </c>
      <c r="J30" s="17" t="str">
        <f t="shared" si="3"/>
        <v/>
      </c>
      <c r="K30" s="17" t="str">
        <f t="shared" si="3"/>
        <v/>
      </c>
      <c r="L30" s="17">
        <f t="shared" si="3"/>
        <v>2.6681645370378133</v>
      </c>
      <c r="M30" s="17" t="str">
        <f t="shared" si="3"/>
        <v/>
      </c>
      <c r="N30" s="17">
        <f t="shared" si="3"/>
        <v>3.63296652811625</v>
      </c>
      <c r="O30" s="17">
        <f t="shared" si="3"/>
        <v>9.0997139223770365</v>
      </c>
    </row>
    <row r="32" spans="1:15" x14ac:dyDescent="0.35">
      <c r="A32" t="s">
        <v>270</v>
      </c>
      <c r="C32" s="17">
        <f t="shared" ref="C32:O32" si="4">VLOOKUP($A$2, TargetCover, 2, FALSE)*0.9</f>
        <v>10.35</v>
      </c>
      <c r="D32" s="17">
        <f t="shared" si="4"/>
        <v>10.35</v>
      </c>
      <c r="E32" s="17">
        <f t="shared" si="4"/>
        <v>10.35</v>
      </c>
      <c r="F32" s="17">
        <f t="shared" si="4"/>
        <v>10.35</v>
      </c>
      <c r="G32" s="17">
        <f t="shared" si="4"/>
        <v>10.35</v>
      </c>
      <c r="H32" s="17">
        <f t="shared" si="4"/>
        <v>10.35</v>
      </c>
      <c r="I32" s="17">
        <f t="shared" si="4"/>
        <v>10.35</v>
      </c>
      <c r="J32" s="17">
        <f t="shared" si="4"/>
        <v>10.35</v>
      </c>
      <c r="K32" s="17">
        <f t="shared" si="4"/>
        <v>10.35</v>
      </c>
      <c r="L32" s="17">
        <f t="shared" si="4"/>
        <v>10.35</v>
      </c>
      <c r="M32" s="17">
        <f t="shared" si="4"/>
        <v>10.35</v>
      </c>
      <c r="N32" s="17">
        <f t="shared" si="4"/>
        <v>10.35</v>
      </c>
      <c r="O32" s="17">
        <f t="shared" si="4"/>
        <v>10.35</v>
      </c>
    </row>
    <row r="33" spans="1:15" x14ac:dyDescent="0.35">
      <c r="A33" t="s">
        <v>283</v>
      </c>
      <c r="C33" s="17">
        <f t="shared" ref="C33:O33" si="5">IF(C30="","",C30-C32)</f>
        <v>-9.1831413851922203</v>
      </c>
      <c r="D33" s="17" t="str">
        <f t="shared" si="5"/>
        <v/>
      </c>
      <c r="E33" s="17" t="str">
        <f t="shared" si="5"/>
        <v/>
      </c>
      <c r="F33" s="17" t="str">
        <f t="shared" si="5"/>
        <v/>
      </c>
      <c r="G33" s="17" t="str">
        <f t="shared" si="5"/>
        <v/>
      </c>
      <c r="H33" s="17" t="str">
        <f t="shared" si="5"/>
        <v/>
      </c>
      <c r="I33" s="17">
        <f t="shared" si="5"/>
        <v>-8.0192452524009532</v>
      </c>
      <c r="J33" s="17" t="str">
        <f t="shared" si="5"/>
        <v/>
      </c>
      <c r="K33" s="17" t="str">
        <f t="shared" si="5"/>
        <v/>
      </c>
      <c r="L33" s="17">
        <f t="shared" si="5"/>
        <v>-7.6818354629621863</v>
      </c>
      <c r="M33" s="17" t="str">
        <f t="shared" si="5"/>
        <v/>
      </c>
      <c r="N33" s="17">
        <f t="shared" si="5"/>
        <v>-6.7170334718837497</v>
      </c>
      <c r="O33" s="17">
        <f t="shared" si="5"/>
        <v>-1.2502860776229632</v>
      </c>
    </row>
    <row r="34" spans="1:15" x14ac:dyDescent="0.35">
      <c r="A34" t="s">
        <v>279</v>
      </c>
      <c r="C34" t="b">
        <f>IF(C33="","",C33&gt;=0)</f>
        <v>0</v>
      </c>
      <c r="D34" t="str">
        <f t="shared" ref="D34:O34" si="6">IF(D33="","",D33&gt;=0)</f>
        <v/>
      </c>
      <c r="E34" t="str">
        <f t="shared" si="6"/>
        <v/>
      </c>
      <c r="F34" t="str">
        <f t="shared" si="6"/>
        <v/>
      </c>
      <c r="G34" t="str">
        <f t="shared" si="6"/>
        <v/>
      </c>
      <c r="H34" t="str">
        <f t="shared" si="6"/>
        <v/>
      </c>
      <c r="I34" t="b">
        <f t="shared" si="6"/>
        <v>0</v>
      </c>
      <c r="J34" t="str">
        <f t="shared" si="6"/>
        <v/>
      </c>
      <c r="K34" t="str">
        <f t="shared" si="6"/>
        <v/>
      </c>
      <c r="L34" t="b">
        <f t="shared" si="6"/>
        <v>0</v>
      </c>
      <c r="M34" t="str">
        <f t="shared" si="6"/>
        <v/>
      </c>
      <c r="N34" t="b">
        <f t="shared" si="6"/>
        <v>0</v>
      </c>
      <c r="O34" t="b">
        <f t="shared" si="6"/>
        <v>0</v>
      </c>
    </row>
    <row r="35" spans="1:15" x14ac:dyDescent="0.35">
      <c r="A35" s="20"/>
      <c r="B35" s="20"/>
      <c r="C35" s="20"/>
      <c r="D35" s="20"/>
      <c r="E35" s="20"/>
      <c r="F35" s="20"/>
      <c r="G35" s="20"/>
      <c r="H35" s="20"/>
      <c r="I35" s="20"/>
      <c r="J35" s="20"/>
      <c r="K35" s="20"/>
      <c r="L35" s="20"/>
      <c r="M35" s="20"/>
      <c r="N35" s="20"/>
      <c r="O35" s="20"/>
    </row>
    <row r="37" spans="1:15" x14ac:dyDescent="0.35">
      <c r="A37" t="s">
        <v>280</v>
      </c>
      <c r="C37">
        <f>IF(GETPIVOTDATA("Helper_SPP",'Species Richness PivotTable'!$A$4,"Site",$A$2,"Year",C$1)="", "", GETPIVOTDATA("Helper_SPP",'Species Richness PivotTable'!$A$4,"Site",$A$2,"Year",C$1))</f>
        <v>4</v>
      </c>
      <c r="D37" t="str">
        <f>IF(GETPIVOTDATA("Helper_SPP",'Species Richness PivotTable'!$A$4,"Site",$A$2,"Year",D$1)="", "", GETPIVOTDATA("Helper_SPP",'Species Richness PivotTable'!$A$4,"Site",$A$2,"Year",D$1))</f>
        <v/>
      </c>
      <c r="E37" t="str">
        <f>IF(GETPIVOTDATA("Helper_SPP",'Species Richness PivotTable'!$A$4,"Site",$A$2,"Year",E$1)="", "", GETPIVOTDATA("Helper_SPP",'Species Richness PivotTable'!$A$4,"Site",$A$2,"Year",E$1))</f>
        <v/>
      </c>
      <c r="F37" t="str">
        <f>IF(GETPIVOTDATA("Helper_SPP",'Species Richness PivotTable'!$A$4,"Site",$A$2,"Year",F$1)="", "", GETPIVOTDATA("Helper_SPP",'Species Richness PivotTable'!$A$4,"Site",$A$2,"Year",F$1))</f>
        <v/>
      </c>
      <c r="G37" t="str">
        <f>IF(GETPIVOTDATA("Helper_SPP",'Species Richness PivotTable'!$A$4,"Site",$A$2,"Year",G$1)="", "", GETPIVOTDATA("Helper_SPP",'Species Richness PivotTable'!$A$4,"Site",$A$2,"Year",G$1))</f>
        <v/>
      </c>
      <c r="H37" t="str">
        <f>IF(GETPIVOTDATA("Helper_SPP",'Species Richness PivotTable'!$A$4,"Site",$A$2,"Year",H$1)="", "", GETPIVOTDATA("Helper_SPP",'Species Richness PivotTable'!$A$4,"Site",$A$2,"Year",H$1))</f>
        <v/>
      </c>
      <c r="I37">
        <f>IF(GETPIVOTDATA("Helper_SPP",'Species Richness PivotTable'!$A$4,"Site",$A$2,"Year",I$1)="", "", GETPIVOTDATA("Helper_SPP",'Species Richness PivotTable'!$A$4,"Site",$A$2,"Year",I$1))</f>
        <v>9</v>
      </c>
      <c r="J37" t="str">
        <f>IF(GETPIVOTDATA("Helper_SPP",'Species Richness PivotTable'!$A$4,"Site",$A$2,"Year",J$1)="", "", GETPIVOTDATA("Helper_SPP",'Species Richness PivotTable'!$A$4,"Site",$A$2,"Year",J$1))</f>
        <v/>
      </c>
      <c r="K37" t="str">
        <f>IF(GETPIVOTDATA("Helper_SPP",'Species Richness PivotTable'!$A$4,"Site",$A$2,"Year",K$1)="", "", GETPIVOTDATA("Helper_SPP",'Species Richness PivotTable'!$A$4,"Site",$A$2,"Year",K$1))</f>
        <v/>
      </c>
      <c r="L37">
        <f>IF(GETPIVOTDATA("Helper_SPP",'Species Richness PivotTable'!$A$4,"Site",$A$2,"Year",L$1)="", "", GETPIVOTDATA("Helper_SPP",'Species Richness PivotTable'!$A$4,"Site",$A$2,"Year",L$1))</f>
        <v>10</v>
      </c>
      <c r="M37" t="str">
        <f>IF(GETPIVOTDATA("Helper_SPP",'Species Richness PivotTable'!$A$4,"Site",$A$2,"Year",M$1)="", "", GETPIVOTDATA("Helper_SPP",'Species Richness PivotTable'!$A$4,"Site",$A$2,"Year",M$1))</f>
        <v/>
      </c>
      <c r="N37">
        <f>IF(GETPIVOTDATA("Helper_SPP",'Species Richness PivotTable'!$A$4,"Site",$A$2,"Year",N$1)="", "", GETPIVOTDATA("Helper_SPP",'Species Richness PivotTable'!$A$4,"Site",$A$2,"Year",N$1))</f>
        <v>13</v>
      </c>
      <c r="O37">
        <f>IF(GETPIVOTDATA("Helper_SPP",'Species Richness PivotTable'!$A$4,"Site",$A$2,"Year",O$1)="", "", GETPIVOTDATA("Helper_SPP",'Species Richness PivotTable'!$A$4,"Site",$A$2,"Year",O$1))</f>
        <v>23</v>
      </c>
    </row>
    <row r="38" spans="1:15" x14ac:dyDescent="0.35">
      <c r="A38" t="s">
        <v>281</v>
      </c>
      <c r="C38" s="18">
        <f t="shared" ref="C38:O38" si="7">VLOOKUP($A$2, TargetCover, 3, FALSE)*0.75</f>
        <v>8.25</v>
      </c>
      <c r="D38" s="18">
        <f t="shared" si="7"/>
        <v>8.25</v>
      </c>
      <c r="E38" s="18">
        <f t="shared" si="7"/>
        <v>8.25</v>
      </c>
      <c r="F38" s="18">
        <f t="shared" si="7"/>
        <v>8.25</v>
      </c>
      <c r="G38" s="18">
        <f t="shared" si="7"/>
        <v>8.25</v>
      </c>
      <c r="H38" s="18">
        <f t="shared" si="7"/>
        <v>8.25</v>
      </c>
      <c r="I38" s="18">
        <f t="shared" si="7"/>
        <v>8.25</v>
      </c>
      <c r="J38" s="18">
        <f t="shared" si="7"/>
        <v>8.25</v>
      </c>
      <c r="K38" s="18">
        <f t="shared" si="7"/>
        <v>8.25</v>
      </c>
      <c r="L38" s="18">
        <f t="shared" si="7"/>
        <v>8.25</v>
      </c>
      <c r="M38" s="18">
        <f t="shared" si="7"/>
        <v>8.25</v>
      </c>
      <c r="N38" s="18">
        <f t="shared" si="7"/>
        <v>8.25</v>
      </c>
      <c r="O38" s="18">
        <f t="shared" si="7"/>
        <v>8.25</v>
      </c>
    </row>
    <row r="39" spans="1:15" x14ac:dyDescent="0.35">
      <c r="A39" t="s">
        <v>282</v>
      </c>
      <c r="C39" t="b">
        <f t="shared" ref="C39:O39" si="8">IF(C37="","",C37&gt;=C38)</f>
        <v>0</v>
      </c>
      <c r="D39" t="str">
        <f t="shared" si="8"/>
        <v/>
      </c>
      <c r="E39" t="str">
        <f t="shared" si="8"/>
        <v/>
      </c>
      <c r="F39" t="str">
        <f t="shared" si="8"/>
        <v/>
      </c>
      <c r="G39" t="str">
        <f t="shared" si="8"/>
        <v/>
      </c>
      <c r="H39" t="str">
        <f t="shared" si="8"/>
        <v/>
      </c>
      <c r="I39" t="b">
        <f t="shared" si="8"/>
        <v>1</v>
      </c>
      <c r="J39" t="str">
        <f t="shared" si="8"/>
        <v/>
      </c>
      <c r="K39" t="str">
        <f t="shared" si="8"/>
        <v/>
      </c>
      <c r="L39" t="b">
        <f t="shared" si="8"/>
        <v>1</v>
      </c>
      <c r="M39" t="str">
        <f t="shared" si="8"/>
        <v/>
      </c>
      <c r="N39" t="b">
        <f t="shared" si="8"/>
        <v>1</v>
      </c>
      <c r="O39" t="b">
        <f t="shared" si="8"/>
        <v>1</v>
      </c>
    </row>
    <row r="40" spans="1:15" ht="15" thickBot="1" x14ac:dyDescent="0.4">
      <c r="A40" s="19"/>
      <c r="B40" s="19"/>
      <c r="C40" s="19"/>
      <c r="D40" s="19"/>
      <c r="E40" s="19"/>
      <c r="F40" s="19"/>
      <c r="G40" s="19"/>
      <c r="H40" s="19"/>
      <c r="I40" s="19"/>
      <c r="J40" s="19"/>
      <c r="K40" s="19"/>
      <c r="L40" s="19"/>
      <c r="M40" s="19"/>
      <c r="N40" s="19"/>
      <c r="O40" s="19"/>
    </row>
  </sheetData>
  <conditionalFormatting sqref="C35:G35 C34:O34 C39:O39">
    <cfRule type="cellIs" dxfId="23" priority="1" operator="equal">
      <formula>TRUE</formula>
    </cfRule>
    <cfRule type="cellIs" dxfId="22" priority="2" operator="equal">
      <formula>FALSE</formula>
    </cfRule>
  </conditionalFormatting>
  <pageMargins left="0.7" right="0.7" top="0.75" bottom="0.75" header="0.3" footer="0.3"/>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13"/>
  <dimension ref="A1:O33"/>
  <sheetViews>
    <sheetView workbookViewId="0">
      <pane xSplit="2" ySplit="1" topLeftCell="D9" activePane="bottomRight" state="frozen"/>
      <selection pane="topRight" activeCell="C1" sqref="C1"/>
      <selection pane="bottomLeft" activeCell="A2" sqref="A2"/>
      <selection pane="bottomRight" activeCell="O20" sqref="O20"/>
    </sheetView>
  </sheetViews>
  <sheetFormatPr defaultColWidth="9.08984375" defaultRowHeight="14.5" x14ac:dyDescent="0.35"/>
  <cols>
    <col min="3" max="3" width="9.08984375" customWidth="1"/>
  </cols>
  <sheetData>
    <row r="1" spans="1:15" x14ac:dyDescent="0.35">
      <c r="A1" t="s">
        <v>7</v>
      </c>
      <c r="B1" t="s">
        <v>0</v>
      </c>
      <c r="C1" s="13">
        <v>1999</v>
      </c>
      <c r="D1" s="13">
        <v>2001</v>
      </c>
      <c r="E1" s="13">
        <v>2002</v>
      </c>
      <c r="F1" s="13">
        <v>2003</v>
      </c>
      <c r="G1" s="13">
        <v>2004</v>
      </c>
      <c r="H1" s="13">
        <v>2005</v>
      </c>
      <c r="I1" s="13">
        <v>2006</v>
      </c>
      <c r="J1" s="13">
        <v>2007</v>
      </c>
      <c r="K1" s="13">
        <v>2010</v>
      </c>
      <c r="L1" s="13">
        <v>2012</v>
      </c>
      <c r="M1" s="13">
        <v>2013</v>
      </c>
      <c r="N1" s="13">
        <v>2016</v>
      </c>
      <c r="O1" s="13">
        <v>2017</v>
      </c>
    </row>
    <row r="2" spans="1:15" x14ac:dyDescent="0.35">
      <c r="A2" t="s">
        <v>21</v>
      </c>
      <c r="B2">
        <v>1.1000000000000001</v>
      </c>
      <c r="C2" s="17">
        <f>IF(OR(ISERROR(GETPIVOTDATA("Cover",'Cover PivotTable'!$A$4,"Site",$A2,"Year",C$1,"Transect",$B2)),GETPIVOTDATA("Cover",'Cover PivotTable'!$A$4,"Site",$A2,"Year",C$1)=""), "",GETPIVOTDATA("Cover",'Cover PivotTable'!$A$4,"Site",$A2,"Year",C$1,"Transect",$B2))</f>
        <v>0</v>
      </c>
      <c r="D2" s="17" t="str">
        <f>IF(OR(ISERROR(GETPIVOTDATA("Cover",'Cover PivotTable'!$A$4,"Site",$A2,"Year",D$1,"Transect",$B2)),GETPIVOTDATA("Cover",'Cover PivotTable'!$A$4,"Site",$A2,"Year",D$1)=""), "",GETPIVOTDATA("Cover",'Cover PivotTable'!$A$4,"Site",$A2,"Year",D$1,"Transect",$B2))</f>
        <v/>
      </c>
      <c r="E2" s="17" t="str">
        <f>IF(OR(ISERROR(GETPIVOTDATA("Cover",'Cover PivotTable'!$A$4,"Site",$A2,"Year",E$1,"Transect",$B2)),GETPIVOTDATA("Cover",'Cover PivotTable'!$A$4,"Site",$A2,"Year",E$1)=""), "",GETPIVOTDATA("Cover",'Cover PivotTable'!$A$4,"Site",$A2,"Year",E$1,"Transect",$B2))</f>
        <v/>
      </c>
      <c r="F2" s="17" t="str">
        <f>IF(OR(ISERROR(GETPIVOTDATA("Cover",'Cover PivotTable'!$A$4,"Site",$A2,"Year",F$1,"Transect",$B2)),GETPIVOTDATA("Cover",'Cover PivotTable'!$A$4,"Site",$A2,"Year",F$1)=""), "",GETPIVOTDATA("Cover",'Cover PivotTable'!$A$4,"Site",$A2,"Year",F$1,"Transect",$B2))</f>
        <v/>
      </c>
      <c r="G2" s="17">
        <f>IF(OR(ISERROR(GETPIVOTDATA("Cover",'Cover PivotTable'!$A$4,"Site",$A2,"Year",G$1,"Transect",$B2)),GETPIVOTDATA("Cover",'Cover PivotTable'!$A$4,"Site",$A2,"Year",G$1)=""), "",GETPIVOTDATA("Cover",'Cover PivotTable'!$A$4,"Site",$A2,"Year",G$1,"Transect",$B2))</f>
        <v>3.4482758620689653</v>
      </c>
      <c r="H2" s="17" t="str">
        <f>IF(OR(ISERROR(GETPIVOTDATA("Cover",'Cover PivotTable'!$A$4,"Site",$A2,"Year",H$1,"Transect",$B2)),GETPIVOTDATA("Cover",'Cover PivotTable'!$A$4,"Site",$A2,"Year",H$1)=""), "",GETPIVOTDATA("Cover",'Cover PivotTable'!$A$4,"Site",$A2,"Year",H$1,"Transect",$B2))</f>
        <v/>
      </c>
      <c r="I2" s="17" t="str">
        <f>IF(OR(ISERROR(GETPIVOTDATA("Cover",'Cover PivotTable'!$A$4,"Site",$A2,"Year",I$1,"Transect",$B2)),GETPIVOTDATA("Cover",'Cover PivotTable'!$A$4,"Site",$A2,"Year",I$1)=""), "",GETPIVOTDATA("Cover",'Cover PivotTable'!$A$4,"Site",$A2,"Year",I$1,"Transect",$B2))</f>
        <v/>
      </c>
      <c r="J2" s="17" t="str">
        <f>IF(OR(ISERROR(GETPIVOTDATA("Cover",'Cover PivotTable'!$A$4,"Site",$A2,"Year",J$1,"Transect",$B2)),GETPIVOTDATA("Cover",'Cover PivotTable'!$A$4,"Site",$A2,"Year",J$1)=""), "",GETPIVOTDATA("Cover",'Cover PivotTable'!$A$4,"Site",$A2,"Year",J$1,"Transect",$B2))</f>
        <v/>
      </c>
      <c r="K2" s="17" t="str">
        <f>IF(OR(ISERROR(GETPIVOTDATA("Cover",'Cover PivotTable'!$A$4,"Site",$A2,"Year",K$1,"Transect",$B2)),GETPIVOTDATA("Cover",'Cover PivotTable'!$A$4,"Site",$A2,"Year",K$1)=""), "",GETPIVOTDATA("Cover",'Cover PivotTable'!$A$4,"Site",$A2,"Year",K$1,"Transect",$B2))</f>
        <v/>
      </c>
      <c r="L2" s="17">
        <f>IF(OR(ISERROR(GETPIVOTDATA("Cover",'Cover PivotTable'!$A$4,"Site",$A2,"Year",L$1,"Transect",$B2)),GETPIVOTDATA("Cover",'Cover PivotTable'!$A$4,"Site",$A2,"Year",L$1)=""), "",GETPIVOTDATA("Cover",'Cover PivotTable'!$A$4,"Site",$A2,"Year",L$1,"Transect",$B2))</f>
        <v>6.8965517241379306</v>
      </c>
      <c r="M2" s="17" t="str">
        <f>IF(OR(ISERROR(GETPIVOTDATA("Cover",'Cover PivotTable'!$A$4,"Site",$A2,"Year",M$1,"Transect",$B2)),GETPIVOTDATA("Cover",'Cover PivotTable'!$A$4,"Site",$A2,"Year",M$1)=""), "",GETPIVOTDATA("Cover",'Cover PivotTable'!$A$4,"Site",$A2,"Year",M$1,"Transect",$B2))</f>
        <v/>
      </c>
      <c r="N2" s="17">
        <f>IF(OR(ISERROR(GETPIVOTDATA("Cover",'Cover PivotTable'!$A$4,"Site",$A2,"Year",N$1,"Transect",$B2)),GETPIVOTDATA("Cover",'Cover PivotTable'!$A$4,"Site",$A2,"Year",N$1)=""), "",GETPIVOTDATA("Cover",'Cover PivotTable'!$A$4,"Site",$A2,"Year",N$1,"Transect",$B2))</f>
        <v>6.8965517241379306</v>
      </c>
      <c r="O2" s="17">
        <f>IF(OR(ISERROR(GETPIVOTDATA("Cover",'Cover PivotTable'!$A$4,"Site",$A2,"Year",O$1,"Transect",$B2)),GETPIVOTDATA("Cover",'Cover PivotTable'!$A$4,"Site",$A2,"Year",O$1)=""), "",GETPIVOTDATA("Cover",'Cover PivotTable'!$A$4,"Site",$A2,"Year",O$1,"Transect",$B2))</f>
        <v>6.8965517241379306</v>
      </c>
    </row>
    <row r="3" spans="1:15" x14ac:dyDescent="0.35">
      <c r="A3" t="s">
        <v>21</v>
      </c>
      <c r="B3">
        <v>2.1</v>
      </c>
      <c r="C3" s="17">
        <f>IF(OR(ISERROR(GETPIVOTDATA("Cover",'Cover PivotTable'!$A$4,"Site",$A3,"Year",C$1,"Transect",$B3)),GETPIVOTDATA("Cover",'Cover PivotTable'!$A$4,"Site",$A3,"Year",C$1)=""), "",GETPIVOTDATA("Cover",'Cover PivotTable'!$A$4,"Site",$A3,"Year",C$1,"Transect",$B3))</f>
        <v>18.75</v>
      </c>
      <c r="D3" s="17" t="str">
        <f>IF(OR(ISERROR(GETPIVOTDATA("Cover",'Cover PivotTable'!$A$4,"Site",$A3,"Year",D$1,"Transect",$B3)),GETPIVOTDATA("Cover",'Cover PivotTable'!$A$4,"Site",$A3,"Year",D$1)=""), "",GETPIVOTDATA("Cover",'Cover PivotTable'!$A$4,"Site",$A3,"Year",D$1,"Transect",$B3))</f>
        <v/>
      </c>
      <c r="E3" s="17" t="str">
        <f>IF(OR(ISERROR(GETPIVOTDATA("Cover",'Cover PivotTable'!$A$4,"Site",$A3,"Year",E$1,"Transect",$B3)),GETPIVOTDATA("Cover",'Cover PivotTable'!$A$4,"Site",$A3,"Year",E$1)=""), "",GETPIVOTDATA("Cover",'Cover PivotTable'!$A$4,"Site",$A3,"Year",E$1,"Transect",$B3))</f>
        <v/>
      </c>
      <c r="F3" s="17" t="str">
        <f>IF(OR(ISERROR(GETPIVOTDATA("Cover",'Cover PivotTable'!$A$4,"Site",$A3,"Year",F$1,"Transect",$B3)),GETPIVOTDATA("Cover",'Cover PivotTable'!$A$4,"Site",$A3,"Year",F$1)=""), "",GETPIVOTDATA("Cover",'Cover PivotTable'!$A$4,"Site",$A3,"Year",F$1,"Transect",$B3))</f>
        <v/>
      </c>
      <c r="G3" s="17">
        <f>IF(OR(ISERROR(GETPIVOTDATA("Cover",'Cover PivotTable'!$A$4,"Site",$A3,"Year",G$1,"Transect",$B3)),GETPIVOTDATA("Cover",'Cover PivotTable'!$A$4,"Site",$A3,"Year",G$1)=""), "",GETPIVOTDATA("Cover",'Cover PivotTable'!$A$4,"Site",$A3,"Year",G$1,"Transect",$B3))</f>
        <v>9.375</v>
      </c>
      <c r="H3" s="17" t="str">
        <f>IF(OR(ISERROR(GETPIVOTDATA("Cover",'Cover PivotTable'!$A$4,"Site",$A3,"Year",H$1,"Transect",$B3)),GETPIVOTDATA("Cover",'Cover PivotTable'!$A$4,"Site",$A3,"Year",H$1)=""), "",GETPIVOTDATA("Cover",'Cover PivotTable'!$A$4,"Site",$A3,"Year",H$1,"Transect",$B3))</f>
        <v/>
      </c>
      <c r="I3" s="17" t="str">
        <f>IF(OR(ISERROR(GETPIVOTDATA("Cover",'Cover PivotTable'!$A$4,"Site",$A3,"Year",I$1,"Transect",$B3)),GETPIVOTDATA("Cover",'Cover PivotTable'!$A$4,"Site",$A3,"Year",I$1)=""), "",GETPIVOTDATA("Cover",'Cover PivotTable'!$A$4,"Site",$A3,"Year",I$1,"Transect",$B3))</f>
        <v/>
      </c>
      <c r="J3" s="17" t="str">
        <f>IF(OR(ISERROR(GETPIVOTDATA("Cover",'Cover PivotTable'!$A$4,"Site",$A3,"Year",J$1,"Transect",$B3)),GETPIVOTDATA("Cover",'Cover PivotTable'!$A$4,"Site",$A3,"Year",J$1)=""), "",GETPIVOTDATA("Cover",'Cover PivotTable'!$A$4,"Site",$A3,"Year",J$1,"Transect",$B3))</f>
        <v/>
      </c>
      <c r="K3" s="17" t="str">
        <f>IF(OR(ISERROR(GETPIVOTDATA("Cover",'Cover PivotTable'!$A$4,"Site",$A3,"Year",K$1,"Transect",$B3)),GETPIVOTDATA("Cover",'Cover PivotTable'!$A$4,"Site",$A3,"Year",K$1)=""), "",GETPIVOTDATA("Cover",'Cover PivotTable'!$A$4,"Site",$A3,"Year",K$1,"Transect",$B3))</f>
        <v/>
      </c>
      <c r="L3" s="17">
        <f>IF(OR(ISERROR(GETPIVOTDATA("Cover",'Cover PivotTable'!$A$4,"Site",$A3,"Year",L$1,"Transect",$B3)),GETPIVOTDATA("Cover",'Cover PivotTable'!$A$4,"Site",$A3,"Year",L$1)=""), "",GETPIVOTDATA("Cover",'Cover PivotTable'!$A$4,"Site",$A3,"Year",L$1,"Transect",$B3))</f>
        <v>6.0606060606060606</v>
      </c>
      <c r="M3" s="17" t="str">
        <f>IF(OR(ISERROR(GETPIVOTDATA("Cover",'Cover PivotTable'!$A$4,"Site",$A3,"Year",M$1,"Transect",$B3)),GETPIVOTDATA("Cover",'Cover PivotTable'!$A$4,"Site",$A3,"Year",M$1)=""), "",GETPIVOTDATA("Cover",'Cover PivotTable'!$A$4,"Site",$A3,"Year",M$1,"Transect",$B3))</f>
        <v/>
      </c>
      <c r="N3" s="17">
        <f>IF(OR(ISERROR(GETPIVOTDATA("Cover",'Cover PivotTable'!$A$4,"Site",$A3,"Year",N$1,"Transect",$B3)),GETPIVOTDATA("Cover",'Cover PivotTable'!$A$4,"Site",$A3,"Year",N$1)=""), "",GETPIVOTDATA("Cover",'Cover PivotTable'!$A$4,"Site",$A3,"Year",N$1,"Transect",$B3))</f>
        <v>0</v>
      </c>
      <c r="O3" s="17">
        <f>IF(OR(ISERROR(GETPIVOTDATA("Cover",'Cover PivotTable'!$A$4,"Site",$A3,"Year",O$1,"Transect",$B3)),GETPIVOTDATA("Cover",'Cover PivotTable'!$A$4,"Site",$A3,"Year",O$1)=""), "",GETPIVOTDATA("Cover",'Cover PivotTable'!$A$4,"Site",$A3,"Year",O$1,"Transect",$B3))</f>
        <v>6.25</v>
      </c>
    </row>
    <row r="4" spans="1:15" x14ac:dyDescent="0.35">
      <c r="A4" t="s">
        <v>21</v>
      </c>
      <c r="B4">
        <v>3.1</v>
      </c>
      <c r="C4" s="17">
        <f>IF(OR(ISERROR(GETPIVOTDATA("Cover",'Cover PivotTable'!$A$4,"Site",$A4,"Year",C$1,"Transect",$B4)),GETPIVOTDATA("Cover",'Cover PivotTable'!$A$4,"Site",$A4,"Year",C$1)=""), "",GETPIVOTDATA("Cover",'Cover PivotTable'!$A$4,"Site",$A4,"Year",C$1,"Transect",$B4))</f>
        <v>5.5555555555555554</v>
      </c>
      <c r="D4" s="17" t="str">
        <f>IF(OR(ISERROR(GETPIVOTDATA("Cover",'Cover PivotTable'!$A$4,"Site",$A4,"Year",D$1,"Transect",$B4)),GETPIVOTDATA("Cover",'Cover PivotTable'!$A$4,"Site",$A4,"Year",D$1)=""), "",GETPIVOTDATA("Cover",'Cover PivotTable'!$A$4,"Site",$A4,"Year",D$1,"Transect",$B4))</f>
        <v/>
      </c>
      <c r="E4" s="17" t="str">
        <f>IF(OR(ISERROR(GETPIVOTDATA("Cover",'Cover PivotTable'!$A$4,"Site",$A4,"Year",E$1,"Transect",$B4)),GETPIVOTDATA("Cover",'Cover PivotTable'!$A$4,"Site",$A4,"Year",E$1)=""), "",GETPIVOTDATA("Cover",'Cover PivotTable'!$A$4,"Site",$A4,"Year",E$1,"Transect",$B4))</f>
        <v/>
      </c>
      <c r="F4" s="17" t="str">
        <f>IF(OR(ISERROR(GETPIVOTDATA("Cover",'Cover PivotTable'!$A$4,"Site",$A4,"Year",F$1,"Transect",$B4)),GETPIVOTDATA("Cover",'Cover PivotTable'!$A$4,"Site",$A4,"Year",F$1)=""), "",GETPIVOTDATA("Cover",'Cover PivotTable'!$A$4,"Site",$A4,"Year",F$1,"Transect",$B4))</f>
        <v/>
      </c>
      <c r="G4" s="17">
        <f>IF(OR(ISERROR(GETPIVOTDATA("Cover",'Cover PivotTable'!$A$4,"Site",$A4,"Year",G$1,"Transect",$B4)),GETPIVOTDATA("Cover",'Cover PivotTable'!$A$4,"Site",$A4,"Year",G$1)=""), "",GETPIVOTDATA("Cover",'Cover PivotTable'!$A$4,"Site",$A4,"Year",G$1,"Transect",$B4))</f>
        <v>0</v>
      </c>
      <c r="H4" s="17" t="str">
        <f>IF(OR(ISERROR(GETPIVOTDATA("Cover",'Cover PivotTable'!$A$4,"Site",$A4,"Year",H$1,"Transect",$B4)),GETPIVOTDATA("Cover",'Cover PivotTable'!$A$4,"Site",$A4,"Year",H$1)=""), "",GETPIVOTDATA("Cover",'Cover PivotTable'!$A$4,"Site",$A4,"Year",H$1,"Transect",$B4))</f>
        <v/>
      </c>
      <c r="I4" s="17" t="str">
        <f>IF(OR(ISERROR(GETPIVOTDATA("Cover",'Cover PivotTable'!$A$4,"Site",$A4,"Year",I$1,"Transect",$B4)),GETPIVOTDATA("Cover",'Cover PivotTable'!$A$4,"Site",$A4,"Year",I$1)=""), "",GETPIVOTDATA("Cover",'Cover PivotTable'!$A$4,"Site",$A4,"Year",I$1,"Transect",$B4))</f>
        <v/>
      </c>
      <c r="J4" s="17" t="str">
        <f>IF(OR(ISERROR(GETPIVOTDATA("Cover",'Cover PivotTable'!$A$4,"Site",$A4,"Year",J$1,"Transect",$B4)),GETPIVOTDATA("Cover",'Cover PivotTable'!$A$4,"Site",$A4,"Year",J$1)=""), "",GETPIVOTDATA("Cover",'Cover PivotTable'!$A$4,"Site",$A4,"Year",J$1,"Transect",$B4))</f>
        <v/>
      </c>
      <c r="K4" s="17" t="str">
        <f>IF(OR(ISERROR(GETPIVOTDATA("Cover",'Cover PivotTable'!$A$4,"Site",$A4,"Year",K$1,"Transect",$B4)),GETPIVOTDATA("Cover",'Cover PivotTable'!$A$4,"Site",$A4,"Year",K$1)=""), "",GETPIVOTDATA("Cover",'Cover PivotTable'!$A$4,"Site",$A4,"Year",K$1,"Transect",$B4))</f>
        <v/>
      </c>
      <c r="L4" s="17">
        <f>IF(OR(ISERROR(GETPIVOTDATA("Cover",'Cover PivotTable'!$A$4,"Site",$A4,"Year",L$1,"Transect",$B4)),GETPIVOTDATA("Cover",'Cover PivotTable'!$A$4,"Site",$A4,"Year",L$1)=""), "",GETPIVOTDATA("Cover",'Cover PivotTable'!$A$4,"Site",$A4,"Year",L$1,"Transect",$B4))</f>
        <v>0</v>
      </c>
      <c r="M4" s="17" t="str">
        <f>IF(OR(ISERROR(GETPIVOTDATA("Cover",'Cover PivotTable'!$A$4,"Site",$A4,"Year",M$1,"Transect",$B4)),GETPIVOTDATA("Cover",'Cover PivotTable'!$A$4,"Site",$A4,"Year",M$1)=""), "",GETPIVOTDATA("Cover",'Cover PivotTable'!$A$4,"Site",$A4,"Year",M$1,"Transect",$B4))</f>
        <v/>
      </c>
      <c r="N4" s="17">
        <f>IF(OR(ISERROR(GETPIVOTDATA("Cover",'Cover PivotTable'!$A$4,"Site",$A4,"Year",N$1,"Transect",$B4)),GETPIVOTDATA("Cover",'Cover PivotTable'!$A$4,"Site",$A4,"Year",N$1)=""), "",GETPIVOTDATA("Cover",'Cover PivotTable'!$A$4,"Site",$A4,"Year",N$1,"Transect",$B4))</f>
        <v>0</v>
      </c>
      <c r="O4" s="17">
        <f>IF(OR(ISERROR(GETPIVOTDATA("Cover",'Cover PivotTable'!$A$4,"Site",$A4,"Year",O$1,"Transect",$B4)),GETPIVOTDATA("Cover",'Cover PivotTable'!$A$4,"Site",$A4,"Year",O$1)=""), "",GETPIVOTDATA("Cover",'Cover PivotTable'!$A$4,"Site",$A4,"Year",O$1,"Transect",$B4))</f>
        <v>11.428571428571429</v>
      </c>
    </row>
    <row r="5" spans="1:15" x14ac:dyDescent="0.35">
      <c r="A5" t="s">
        <v>21</v>
      </c>
      <c r="B5">
        <v>4.0999999999999996</v>
      </c>
      <c r="C5" s="17">
        <f>IF(OR(ISERROR(GETPIVOTDATA("Cover",'Cover PivotTable'!$A$4,"Site",$A5,"Year",C$1,"Transect",$B5)),GETPIVOTDATA("Cover",'Cover PivotTable'!$A$4,"Site",$A5,"Year",C$1)=""), "",GETPIVOTDATA("Cover",'Cover PivotTable'!$A$4,"Site",$A5,"Year",C$1,"Transect",$B5))</f>
        <v>2.5</v>
      </c>
      <c r="D5" s="17" t="str">
        <f>IF(OR(ISERROR(GETPIVOTDATA("Cover",'Cover PivotTable'!$A$4,"Site",$A5,"Year",D$1,"Transect",$B5)),GETPIVOTDATA("Cover",'Cover PivotTable'!$A$4,"Site",$A5,"Year",D$1)=""), "",GETPIVOTDATA("Cover",'Cover PivotTable'!$A$4,"Site",$A5,"Year",D$1,"Transect",$B5))</f>
        <v/>
      </c>
      <c r="E5" s="17" t="str">
        <f>IF(OR(ISERROR(GETPIVOTDATA("Cover",'Cover PivotTable'!$A$4,"Site",$A5,"Year",E$1,"Transect",$B5)),GETPIVOTDATA("Cover",'Cover PivotTable'!$A$4,"Site",$A5,"Year",E$1)=""), "",GETPIVOTDATA("Cover",'Cover PivotTable'!$A$4,"Site",$A5,"Year",E$1,"Transect",$B5))</f>
        <v/>
      </c>
      <c r="F5" s="17" t="str">
        <f>IF(OR(ISERROR(GETPIVOTDATA("Cover",'Cover PivotTable'!$A$4,"Site",$A5,"Year",F$1,"Transect",$B5)),GETPIVOTDATA("Cover",'Cover PivotTable'!$A$4,"Site",$A5,"Year",F$1)=""), "",GETPIVOTDATA("Cover",'Cover PivotTable'!$A$4,"Site",$A5,"Year",F$1,"Transect",$B5))</f>
        <v/>
      </c>
      <c r="G5" s="17">
        <f>IF(OR(ISERROR(GETPIVOTDATA("Cover",'Cover PivotTable'!$A$4,"Site",$A5,"Year",G$1,"Transect",$B5)),GETPIVOTDATA("Cover",'Cover PivotTable'!$A$4,"Site",$A5,"Year",G$1)=""), "",GETPIVOTDATA("Cover",'Cover PivotTable'!$A$4,"Site",$A5,"Year",G$1,"Transect",$B5))</f>
        <v>5</v>
      </c>
      <c r="H5" s="17" t="str">
        <f>IF(OR(ISERROR(GETPIVOTDATA("Cover",'Cover PivotTable'!$A$4,"Site",$A5,"Year",H$1,"Transect",$B5)),GETPIVOTDATA("Cover",'Cover PivotTable'!$A$4,"Site",$A5,"Year",H$1)=""), "",GETPIVOTDATA("Cover",'Cover PivotTable'!$A$4,"Site",$A5,"Year",H$1,"Transect",$B5))</f>
        <v/>
      </c>
      <c r="I5" s="17" t="str">
        <f>IF(OR(ISERROR(GETPIVOTDATA("Cover",'Cover PivotTable'!$A$4,"Site",$A5,"Year",I$1,"Transect",$B5)),GETPIVOTDATA("Cover",'Cover PivotTable'!$A$4,"Site",$A5,"Year",I$1)=""), "",GETPIVOTDATA("Cover",'Cover PivotTable'!$A$4,"Site",$A5,"Year",I$1,"Transect",$B5))</f>
        <v/>
      </c>
      <c r="J5" s="17" t="str">
        <f>IF(OR(ISERROR(GETPIVOTDATA("Cover",'Cover PivotTable'!$A$4,"Site",$A5,"Year",J$1,"Transect",$B5)),GETPIVOTDATA("Cover",'Cover PivotTable'!$A$4,"Site",$A5,"Year",J$1)=""), "",GETPIVOTDATA("Cover",'Cover PivotTable'!$A$4,"Site",$A5,"Year",J$1,"Transect",$B5))</f>
        <v/>
      </c>
      <c r="K5" s="17" t="str">
        <f>IF(OR(ISERROR(GETPIVOTDATA("Cover",'Cover PivotTable'!$A$4,"Site",$A5,"Year",K$1,"Transect",$B5)),GETPIVOTDATA("Cover",'Cover PivotTable'!$A$4,"Site",$A5,"Year",K$1)=""), "",GETPIVOTDATA("Cover",'Cover PivotTable'!$A$4,"Site",$A5,"Year",K$1,"Transect",$B5))</f>
        <v/>
      </c>
      <c r="L5" s="17">
        <f>IF(OR(ISERROR(GETPIVOTDATA("Cover",'Cover PivotTable'!$A$4,"Site",$A5,"Year",L$1,"Transect",$B5)),GETPIVOTDATA("Cover",'Cover PivotTable'!$A$4,"Site",$A5,"Year",L$1)=""), "",GETPIVOTDATA("Cover",'Cover PivotTable'!$A$4,"Site",$A5,"Year",L$1,"Transect",$B5))</f>
        <v>0</v>
      </c>
      <c r="M5" s="17" t="str">
        <f>IF(OR(ISERROR(GETPIVOTDATA("Cover",'Cover PivotTable'!$A$4,"Site",$A5,"Year",M$1,"Transect",$B5)),GETPIVOTDATA("Cover",'Cover PivotTable'!$A$4,"Site",$A5,"Year",M$1)=""), "",GETPIVOTDATA("Cover",'Cover PivotTable'!$A$4,"Site",$A5,"Year",M$1,"Transect",$B5))</f>
        <v/>
      </c>
      <c r="N5" s="17">
        <f>IF(OR(ISERROR(GETPIVOTDATA("Cover",'Cover PivotTable'!$A$4,"Site",$A5,"Year",N$1,"Transect",$B5)),GETPIVOTDATA("Cover",'Cover PivotTable'!$A$4,"Site",$A5,"Year",N$1)=""), "",GETPIVOTDATA("Cover",'Cover PivotTable'!$A$4,"Site",$A5,"Year",N$1,"Transect",$B5))</f>
        <v>0</v>
      </c>
      <c r="O5" s="17">
        <f>IF(OR(ISERROR(GETPIVOTDATA("Cover",'Cover PivotTable'!$A$4,"Site",$A5,"Year",O$1,"Transect",$B5)),GETPIVOTDATA("Cover",'Cover PivotTable'!$A$4,"Site",$A5,"Year",O$1)=""), "",GETPIVOTDATA("Cover",'Cover PivotTable'!$A$4,"Site",$A5,"Year",O$1,"Transect",$B5))</f>
        <v>0</v>
      </c>
    </row>
    <row r="6" spans="1:15" x14ac:dyDescent="0.35">
      <c r="A6" t="s">
        <v>21</v>
      </c>
      <c r="B6">
        <v>5.0999999999999996</v>
      </c>
      <c r="C6" s="17">
        <f>IF(OR(ISERROR(GETPIVOTDATA("Cover",'Cover PivotTable'!$A$4,"Site",$A6,"Year",C$1,"Transect",$B6)),GETPIVOTDATA("Cover",'Cover PivotTable'!$A$4,"Site",$A6,"Year",C$1)=""), "",GETPIVOTDATA("Cover",'Cover PivotTable'!$A$4,"Site",$A6,"Year",C$1,"Transect",$B6))</f>
        <v>2.2727272727272729</v>
      </c>
      <c r="D6" s="17" t="str">
        <f>IF(OR(ISERROR(GETPIVOTDATA("Cover",'Cover PivotTable'!$A$4,"Site",$A6,"Year",D$1,"Transect",$B6)),GETPIVOTDATA("Cover",'Cover PivotTable'!$A$4,"Site",$A6,"Year",D$1)=""), "",GETPIVOTDATA("Cover",'Cover PivotTable'!$A$4,"Site",$A6,"Year",D$1,"Transect",$B6))</f>
        <v/>
      </c>
      <c r="E6" s="17" t="str">
        <f>IF(OR(ISERROR(GETPIVOTDATA("Cover",'Cover PivotTable'!$A$4,"Site",$A6,"Year",E$1,"Transect",$B6)),GETPIVOTDATA("Cover",'Cover PivotTable'!$A$4,"Site",$A6,"Year",E$1)=""), "",GETPIVOTDATA("Cover",'Cover PivotTable'!$A$4,"Site",$A6,"Year",E$1,"Transect",$B6))</f>
        <v/>
      </c>
      <c r="F6" s="17" t="str">
        <f>IF(OR(ISERROR(GETPIVOTDATA("Cover",'Cover PivotTable'!$A$4,"Site",$A6,"Year",F$1,"Transect",$B6)),GETPIVOTDATA("Cover",'Cover PivotTable'!$A$4,"Site",$A6,"Year",F$1)=""), "",GETPIVOTDATA("Cover",'Cover PivotTable'!$A$4,"Site",$A6,"Year",F$1,"Transect",$B6))</f>
        <v/>
      </c>
      <c r="G6" s="17">
        <f>IF(OR(ISERROR(GETPIVOTDATA("Cover",'Cover PivotTable'!$A$4,"Site",$A6,"Year",G$1,"Transect",$B6)),GETPIVOTDATA("Cover",'Cover PivotTable'!$A$4,"Site",$A6,"Year",G$1)=""), "",GETPIVOTDATA("Cover",'Cover PivotTable'!$A$4,"Site",$A6,"Year",G$1,"Transect",$B6))</f>
        <v>0</v>
      </c>
      <c r="H6" s="17" t="str">
        <f>IF(OR(ISERROR(GETPIVOTDATA("Cover",'Cover PivotTable'!$A$4,"Site",$A6,"Year",H$1,"Transect",$B6)),GETPIVOTDATA("Cover",'Cover PivotTable'!$A$4,"Site",$A6,"Year",H$1)=""), "",GETPIVOTDATA("Cover",'Cover PivotTable'!$A$4,"Site",$A6,"Year",H$1,"Transect",$B6))</f>
        <v/>
      </c>
      <c r="I6" s="17" t="str">
        <f>IF(OR(ISERROR(GETPIVOTDATA("Cover",'Cover PivotTable'!$A$4,"Site",$A6,"Year",I$1,"Transect",$B6)),GETPIVOTDATA("Cover",'Cover PivotTable'!$A$4,"Site",$A6,"Year",I$1)=""), "",GETPIVOTDATA("Cover",'Cover PivotTable'!$A$4,"Site",$A6,"Year",I$1,"Transect",$B6))</f>
        <v/>
      </c>
      <c r="J6" s="17" t="str">
        <f>IF(OR(ISERROR(GETPIVOTDATA("Cover",'Cover PivotTable'!$A$4,"Site",$A6,"Year",J$1,"Transect",$B6)),GETPIVOTDATA("Cover",'Cover PivotTable'!$A$4,"Site",$A6,"Year",J$1)=""), "",GETPIVOTDATA("Cover",'Cover PivotTable'!$A$4,"Site",$A6,"Year",J$1,"Transect",$B6))</f>
        <v/>
      </c>
      <c r="K6" s="17" t="str">
        <f>IF(OR(ISERROR(GETPIVOTDATA("Cover",'Cover PivotTable'!$A$4,"Site",$A6,"Year",K$1,"Transect",$B6)),GETPIVOTDATA("Cover",'Cover PivotTable'!$A$4,"Site",$A6,"Year",K$1)=""), "",GETPIVOTDATA("Cover",'Cover PivotTable'!$A$4,"Site",$A6,"Year",K$1,"Transect",$B6))</f>
        <v/>
      </c>
      <c r="L6" s="17">
        <f>IF(OR(ISERROR(GETPIVOTDATA("Cover",'Cover PivotTable'!$A$4,"Site",$A6,"Year",L$1,"Transect",$B6)),GETPIVOTDATA("Cover",'Cover PivotTable'!$A$4,"Site",$A6,"Year",L$1)=""), "",GETPIVOTDATA("Cover",'Cover PivotTable'!$A$4,"Site",$A6,"Year",L$1,"Transect",$B6))</f>
        <v>2.2727272727272729</v>
      </c>
      <c r="M6" s="17" t="str">
        <f>IF(OR(ISERROR(GETPIVOTDATA("Cover",'Cover PivotTable'!$A$4,"Site",$A6,"Year",M$1,"Transect",$B6)),GETPIVOTDATA("Cover",'Cover PivotTable'!$A$4,"Site",$A6,"Year",M$1)=""), "",GETPIVOTDATA("Cover",'Cover PivotTable'!$A$4,"Site",$A6,"Year",M$1,"Transect",$B6))</f>
        <v/>
      </c>
      <c r="N6" s="17">
        <f>IF(OR(ISERROR(GETPIVOTDATA("Cover",'Cover PivotTable'!$A$4,"Site",$A6,"Year",N$1,"Transect",$B6)),GETPIVOTDATA("Cover",'Cover PivotTable'!$A$4,"Site",$A6,"Year",N$1)=""), "",GETPIVOTDATA("Cover",'Cover PivotTable'!$A$4,"Site",$A6,"Year",N$1,"Transect",$B6))</f>
        <v>2.2727272727272729</v>
      </c>
      <c r="O6" s="17">
        <f>IF(OR(ISERROR(GETPIVOTDATA("Cover",'Cover PivotTable'!$A$4,"Site",$A6,"Year",O$1,"Transect",$B6)),GETPIVOTDATA("Cover",'Cover PivotTable'!$A$4,"Site",$A6,"Year",O$1)=""), "",GETPIVOTDATA("Cover",'Cover PivotTable'!$A$4,"Site",$A6,"Year",O$1,"Transect",$B6))</f>
        <v>14.285714285714285</v>
      </c>
    </row>
    <row r="7" spans="1:15" x14ac:dyDescent="0.35">
      <c r="A7" t="s">
        <v>21</v>
      </c>
      <c r="B7">
        <v>6.1</v>
      </c>
      <c r="C7" s="17">
        <f>IF(OR(ISERROR(GETPIVOTDATA("Cover",'Cover PivotTable'!$A$4,"Site",$A7,"Year",C$1,"Transect",$B7)),GETPIVOTDATA("Cover",'Cover PivotTable'!$A$4,"Site",$A7,"Year",C$1)=""), "",GETPIVOTDATA("Cover",'Cover PivotTable'!$A$4,"Site",$A7,"Year",C$1,"Transect",$B7))</f>
        <v>10.416666666666668</v>
      </c>
      <c r="D7" s="17" t="str">
        <f>IF(OR(ISERROR(GETPIVOTDATA("Cover",'Cover PivotTable'!$A$4,"Site",$A7,"Year",D$1,"Transect",$B7)),GETPIVOTDATA("Cover",'Cover PivotTable'!$A$4,"Site",$A7,"Year",D$1)=""), "",GETPIVOTDATA("Cover",'Cover PivotTable'!$A$4,"Site",$A7,"Year",D$1,"Transect",$B7))</f>
        <v/>
      </c>
      <c r="E7" s="17" t="str">
        <f>IF(OR(ISERROR(GETPIVOTDATA("Cover",'Cover PivotTable'!$A$4,"Site",$A7,"Year",E$1,"Transect",$B7)),GETPIVOTDATA("Cover",'Cover PivotTable'!$A$4,"Site",$A7,"Year",E$1)=""), "",GETPIVOTDATA("Cover",'Cover PivotTable'!$A$4,"Site",$A7,"Year",E$1,"Transect",$B7))</f>
        <v/>
      </c>
      <c r="F7" s="17" t="str">
        <f>IF(OR(ISERROR(GETPIVOTDATA("Cover",'Cover PivotTable'!$A$4,"Site",$A7,"Year",F$1,"Transect",$B7)),GETPIVOTDATA("Cover",'Cover PivotTable'!$A$4,"Site",$A7,"Year",F$1)=""), "",GETPIVOTDATA("Cover",'Cover PivotTable'!$A$4,"Site",$A7,"Year",F$1,"Transect",$B7))</f>
        <v/>
      </c>
      <c r="G7" s="17">
        <f>IF(OR(ISERROR(GETPIVOTDATA("Cover",'Cover PivotTable'!$A$4,"Site",$A7,"Year",G$1,"Transect",$B7)),GETPIVOTDATA("Cover",'Cover PivotTable'!$A$4,"Site",$A7,"Year",G$1)=""), "",GETPIVOTDATA("Cover",'Cover PivotTable'!$A$4,"Site",$A7,"Year",G$1,"Transect",$B7))</f>
        <v>2.083333333333333</v>
      </c>
      <c r="H7" s="17" t="str">
        <f>IF(OR(ISERROR(GETPIVOTDATA("Cover",'Cover PivotTable'!$A$4,"Site",$A7,"Year",H$1,"Transect",$B7)),GETPIVOTDATA("Cover",'Cover PivotTable'!$A$4,"Site",$A7,"Year",H$1)=""), "",GETPIVOTDATA("Cover",'Cover PivotTable'!$A$4,"Site",$A7,"Year",H$1,"Transect",$B7))</f>
        <v/>
      </c>
      <c r="I7" s="17" t="str">
        <f>IF(OR(ISERROR(GETPIVOTDATA("Cover",'Cover PivotTable'!$A$4,"Site",$A7,"Year",I$1,"Transect",$B7)),GETPIVOTDATA("Cover",'Cover PivotTable'!$A$4,"Site",$A7,"Year",I$1)=""), "",GETPIVOTDATA("Cover",'Cover PivotTable'!$A$4,"Site",$A7,"Year",I$1,"Transect",$B7))</f>
        <v/>
      </c>
      <c r="J7" s="17" t="str">
        <f>IF(OR(ISERROR(GETPIVOTDATA("Cover",'Cover PivotTable'!$A$4,"Site",$A7,"Year",J$1,"Transect",$B7)),GETPIVOTDATA("Cover",'Cover PivotTable'!$A$4,"Site",$A7,"Year",J$1)=""), "",GETPIVOTDATA("Cover",'Cover PivotTable'!$A$4,"Site",$A7,"Year",J$1,"Transect",$B7))</f>
        <v/>
      </c>
      <c r="K7" s="17" t="str">
        <f>IF(OR(ISERROR(GETPIVOTDATA("Cover",'Cover PivotTable'!$A$4,"Site",$A7,"Year",K$1,"Transect",$B7)),GETPIVOTDATA("Cover",'Cover PivotTable'!$A$4,"Site",$A7,"Year",K$1)=""), "",GETPIVOTDATA("Cover",'Cover PivotTable'!$A$4,"Site",$A7,"Year",K$1,"Transect",$B7))</f>
        <v/>
      </c>
      <c r="L7" s="17">
        <f>IF(OR(ISERROR(GETPIVOTDATA("Cover",'Cover PivotTable'!$A$4,"Site",$A7,"Year",L$1,"Transect",$B7)),GETPIVOTDATA("Cover",'Cover PivotTable'!$A$4,"Site",$A7,"Year",L$1)=""), "",GETPIVOTDATA("Cover",'Cover PivotTable'!$A$4,"Site",$A7,"Year",L$1,"Transect",$B7))</f>
        <v>0</v>
      </c>
      <c r="M7" s="17" t="str">
        <f>IF(OR(ISERROR(GETPIVOTDATA("Cover",'Cover PivotTable'!$A$4,"Site",$A7,"Year",M$1,"Transect",$B7)),GETPIVOTDATA("Cover",'Cover PivotTable'!$A$4,"Site",$A7,"Year",M$1)=""), "",GETPIVOTDATA("Cover",'Cover PivotTable'!$A$4,"Site",$A7,"Year",M$1,"Transect",$B7))</f>
        <v/>
      </c>
      <c r="N7" s="17">
        <f>IF(OR(ISERROR(GETPIVOTDATA("Cover",'Cover PivotTable'!$A$4,"Site",$A7,"Year",N$1,"Transect",$B7)),GETPIVOTDATA("Cover",'Cover PivotTable'!$A$4,"Site",$A7,"Year",N$1)=""), "",GETPIVOTDATA("Cover",'Cover PivotTable'!$A$4,"Site",$A7,"Year",N$1,"Transect",$B7))</f>
        <v>0</v>
      </c>
      <c r="O7" s="17">
        <f>IF(OR(ISERROR(GETPIVOTDATA("Cover",'Cover PivotTable'!$A$4,"Site",$A7,"Year",O$1,"Transect",$B7)),GETPIVOTDATA("Cover",'Cover PivotTable'!$A$4,"Site",$A7,"Year",O$1)=""), "",GETPIVOTDATA("Cover",'Cover PivotTable'!$A$4,"Site",$A7,"Year",O$1,"Transect",$B7))</f>
        <v>2.1276595744680851</v>
      </c>
    </row>
    <row r="8" spans="1:15" x14ac:dyDescent="0.35">
      <c r="A8" t="s">
        <v>21</v>
      </c>
      <c r="B8">
        <v>7.1</v>
      </c>
      <c r="C8" s="17">
        <f>IF(OR(ISERROR(GETPIVOTDATA("Cover",'Cover PivotTable'!$A$4,"Site",$A8,"Year",C$1,"Transect",$B8)),GETPIVOTDATA("Cover",'Cover PivotTable'!$A$4,"Site",$A8,"Year",C$1)=""), "",GETPIVOTDATA("Cover",'Cover PivotTable'!$A$4,"Site",$A8,"Year",C$1,"Transect",$B8))</f>
        <v>3.9215686274509802</v>
      </c>
      <c r="D8" s="17" t="str">
        <f>IF(OR(ISERROR(GETPIVOTDATA("Cover",'Cover PivotTable'!$A$4,"Site",$A8,"Year",D$1,"Transect",$B8)),GETPIVOTDATA("Cover",'Cover PivotTable'!$A$4,"Site",$A8,"Year",D$1)=""), "",GETPIVOTDATA("Cover",'Cover PivotTable'!$A$4,"Site",$A8,"Year",D$1,"Transect",$B8))</f>
        <v/>
      </c>
      <c r="E8" s="17" t="str">
        <f>IF(OR(ISERROR(GETPIVOTDATA("Cover",'Cover PivotTable'!$A$4,"Site",$A8,"Year",E$1,"Transect",$B8)),GETPIVOTDATA("Cover",'Cover PivotTable'!$A$4,"Site",$A8,"Year",E$1)=""), "",GETPIVOTDATA("Cover",'Cover PivotTable'!$A$4,"Site",$A8,"Year",E$1,"Transect",$B8))</f>
        <v/>
      </c>
      <c r="F8" s="17" t="str">
        <f>IF(OR(ISERROR(GETPIVOTDATA("Cover",'Cover PivotTable'!$A$4,"Site",$A8,"Year",F$1,"Transect",$B8)),GETPIVOTDATA("Cover",'Cover PivotTable'!$A$4,"Site",$A8,"Year",F$1)=""), "",GETPIVOTDATA("Cover",'Cover PivotTable'!$A$4,"Site",$A8,"Year",F$1,"Transect",$B8))</f>
        <v/>
      </c>
      <c r="G8" s="17">
        <f>IF(OR(ISERROR(GETPIVOTDATA("Cover",'Cover PivotTable'!$A$4,"Site",$A8,"Year",G$1,"Transect",$B8)),GETPIVOTDATA("Cover",'Cover PivotTable'!$A$4,"Site",$A8,"Year",G$1)=""), "",GETPIVOTDATA("Cover",'Cover PivotTable'!$A$4,"Site",$A8,"Year",G$1,"Transect",$B8))</f>
        <v>1.9607843137254901</v>
      </c>
      <c r="H8" s="17" t="str">
        <f>IF(OR(ISERROR(GETPIVOTDATA("Cover",'Cover PivotTable'!$A$4,"Site",$A8,"Year",H$1,"Transect",$B8)),GETPIVOTDATA("Cover",'Cover PivotTable'!$A$4,"Site",$A8,"Year",H$1)=""), "",GETPIVOTDATA("Cover",'Cover PivotTable'!$A$4,"Site",$A8,"Year",H$1,"Transect",$B8))</f>
        <v/>
      </c>
      <c r="I8" s="17" t="str">
        <f>IF(OR(ISERROR(GETPIVOTDATA("Cover",'Cover PivotTable'!$A$4,"Site",$A8,"Year",I$1,"Transect",$B8)),GETPIVOTDATA("Cover",'Cover PivotTable'!$A$4,"Site",$A8,"Year",I$1)=""), "",GETPIVOTDATA("Cover",'Cover PivotTable'!$A$4,"Site",$A8,"Year",I$1,"Transect",$B8))</f>
        <v/>
      </c>
      <c r="J8" s="17" t="str">
        <f>IF(OR(ISERROR(GETPIVOTDATA("Cover",'Cover PivotTable'!$A$4,"Site",$A8,"Year",J$1,"Transect",$B8)),GETPIVOTDATA("Cover",'Cover PivotTable'!$A$4,"Site",$A8,"Year",J$1)=""), "",GETPIVOTDATA("Cover",'Cover PivotTable'!$A$4,"Site",$A8,"Year",J$1,"Transect",$B8))</f>
        <v/>
      </c>
      <c r="K8" s="17" t="str">
        <f>IF(OR(ISERROR(GETPIVOTDATA("Cover",'Cover PivotTable'!$A$4,"Site",$A8,"Year",K$1,"Transect",$B8)),GETPIVOTDATA("Cover",'Cover PivotTable'!$A$4,"Site",$A8,"Year",K$1)=""), "",GETPIVOTDATA("Cover",'Cover PivotTable'!$A$4,"Site",$A8,"Year",K$1,"Transect",$B8))</f>
        <v/>
      </c>
      <c r="L8" s="17">
        <f>IF(OR(ISERROR(GETPIVOTDATA("Cover",'Cover PivotTable'!$A$4,"Site",$A8,"Year",L$1,"Transect",$B8)),GETPIVOTDATA("Cover",'Cover PivotTable'!$A$4,"Site",$A8,"Year",L$1)=""), "",GETPIVOTDATA("Cover",'Cover PivotTable'!$A$4,"Site",$A8,"Year",L$1,"Transect",$B8))</f>
        <v>3.8461538461538463</v>
      </c>
      <c r="M8" s="17" t="str">
        <f>IF(OR(ISERROR(GETPIVOTDATA("Cover",'Cover PivotTable'!$A$4,"Site",$A8,"Year",M$1,"Transect",$B8)),GETPIVOTDATA("Cover",'Cover PivotTable'!$A$4,"Site",$A8,"Year",M$1)=""), "",GETPIVOTDATA("Cover",'Cover PivotTable'!$A$4,"Site",$A8,"Year",M$1,"Transect",$B8))</f>
        <v/>
      </c>
      <c r="N8" s="17">
        <f>IF(OR(ISERROR(GETPIVOTDATA("Cover",'Cover PivotTable'!$A$4,"Site",$A8,"Year",N$1,"Transect",$B8)),GETPIVOTDATA("Cover",'Cover PivotTable'!$A$4,"Site",$A8,"Year",N$1)=""), "",GETPIVOTDATA("Cover",'Cover PivotTable'!$A$4,"Site",$A8,"Year",N$1,"Transect",$B8))</f>
        <v>3.9215686274509802</v>
      </c>
      <c r="O8" s="17">
        <f>IF(OR(ISERROR(GETPIVOTDATA("Cover",'Cover PivotTable'!$A$4,"Site",$A8,"Year",O$1,"Transect",$B8)),GETPIVOTDATA("Cover",'Cover PivotTable'!$A$4,"Site",$A8,"Year",O$1)=""), "",GETPIVOTDATA("Cover",'Cover PivotTable'!$A$4,"Site",$A8,"Year",O$1,"Transect",$B8))</f>
        <v>4</v>
      </c>
    </row>
    <row r="9" spans="1:15" x14ac:dyDescent="0.35">
      <c r="A9" t="s">
        <v>21</v>
      </c>
      <c r="B9">
        <v>8.1</v>
      </c>
      <c r="C9" s="17">
        <f>IF(OR(ISERROR(GETPIVOTDATA("Cover",'Cover PivotTable'!$A$4,"Site",$A9,"Year",C$1,"Transect",$B9)),GETPIVOTDATA("Cover",'Cover PivotTable'!$A$4,"Site",$A9,"Year",C$1)=""), "",GETPIVOTDATA("Cover",'Cover PivotTable'!$A$4,"Site",$A9,"Year",C$1,"Transect",$B9))</f>
        <v>0</v>
      </c>
      <c r="D9" s="17" t="str">
        <f>IF(OR(ISERROR(GETPIVOTDATA("Cover",'Cover PivotTable'!$A$4,"Site",$A9,"Year",D$1,"Transect",$B9)),GETPIVOTDATA("Cover",'Cover PivotTable'!$A$4,"Site",$A9,"Year",D$1)=""), "",GETPIVOTDATA("Cover",'Cover PivotTable'!$A$4,"Site",$A9,"Year",D$1,"Transect",$B9))</f>
        <v/>
      </c>
      <c r="E9" s="17" t="str">
        <f>IF(OR(ISERROR(GETPIVOTDATA("Cover",'Cover PivotTable'!$A$4,"Site",$A9,"Year",E$1,"Transect",$B9)),GETPIVOTDATA("Cover",'Cover PivotTable'!$A$4,"Site",$A9,"Year",E$1)=""), "",GETPIVOTDATA("Cover",'Cover PivotTable'!$A$4,"Site",$A9,"Year",E$1,"Transect",$B9))</f>
        <v/>
      </c>
      <c r="F9" s="17" t="str">
        <f>IF(OR(ISERROR(GETPIVOTDATA("Cover",'Cover PivotTable'!$A$4,"Site",$A9,"Year",F$1,"Transect",$B9)),GETPIVOTDATA("Cover",'Cover PivotTable'!$A$4,"Site",$A9,"Year",F$1)=""), "",GETPIVOTDATA("Cover",'Cover PivotTable'!$A$4,"Site",$A9,"Year",F$1,"Transect",$B9))</f>
        <v/>
      </c>
      <c r="G9" s="17">
        <f>IF(OR(ISERROR(GETPIVOTDATA("Cover",'Cover PivotTable'!$A$4,"Site",$A9,"Year",G$1,"Transect",$B9)),GETPIVOTDATA("Cover",'Cover PivotTable'!$A$4,"Site",$A9,"Year",G$1)=""), "",GETPIVOTDATA("Cover",'Cover PivotTable'!$A$4,"Site",$A9,"Year",G$1,"Transect",$B9))</f>
        <v>6.25</v>
      </c>
      <c r="H9" s="17" t="str">
        <f>IF(OR(ISERROR(GETPIVOTDATA("Cover",'Cover PivotTable'!$A$4,"Site",$A9,"Year",H$1,"Transect",$B9)),GETPIVOTDATA("Cover",'Cover PivotTable'!$A$4,"Site",$A9,"Year",H$1)=""), "",GETPIVOTDATA("Cover",'Cover PivotTable'!$A$4,"Site",$A9,"Year",H$1,"Transect",$B9))</f>
        <v/>
      </c>
      <c r="I9" s="17" t="str">
        <f>IF(OR(ISERROR(GETPIVOTDATA("Cover",'Cover PivotTable'!$A$4,"Site",$A9,"Year",I$1,"Transect",$B9)),GETPIVOTDATA("Cover",'Cover PivotTable'!$A$4,"Site",$A9,"Year",I$1)=""), "",GETPIVOTDATA("Cover",'Cover PivotTable'!$A$4,"Site",$A9,"Year",I$1,"Transect",$B9))</f>
        <v/>
      </c>
      <c r="J9" s="17" t="str">
        <f>IF(OR(ISERROR(GETPIVOTDATA("Cover",'Cover PivotTable'!$A$4,"Site",$A9,"Year",J$1,"Transect",$B9)),GETPIVOTDATA("Cover",'Cover PivotTable'!$A$4,"Site",$A9,"Year",J$1)=""), "",GETPIVOTDATA("Cover",'Cover PivotTable'!$A$4,"Site",$A9,"Year",J$1,"Transect",$B9))</f>
        <v/>
      </c>
      <c r="K9" s="17" t="str">
        <f>IF(OR(ISERROR(GETPIVOTDATA("Cover",'Cover PivotTable'!$A$4,"Site",$A9,"Year",K$1,"Transect",$B9)),GETPIVOTDATA("Cover",'Cover PivotTable'!$A$4,"Site",$A9,"Year",K$1)=""), "",GETPIVOTDATA("Cover",'Cover PivotTable'!$A$4,"Site",$A9,"Year",K$1,"Transect",$B9))</f>
        <v/>
      </c>
      <c r="L9" s="17">
        <f>IF(OR(ISERROR(GETPIVOTDATA("Cover",'Cover PivotTable'!$A$4,"Site",$A9,"Year",L$1,"Transect",$B9)),GETPIVOTDATA("Cover",'Cover PivotTable'!$A$4,"Site",$A9,"Year",L$1)=""), "",GETPIVOTDATA("Cover",'Cover PivotTable'!$A$4,"Site",$A9,"Year",L$1,"Transect",$B9))</f>
        <v>2.0408163265306123</v>
      </c>
      <c r="M9" s="17" t="str">
        <f>IF(OR(ISERROR(GETPIVOTDATA("Cover",'Cover PivotTable'!$A$4,"Site",$A9,"Year",M$1,"Transect",$B9)),GETPIVOTDATA("Cover",'Cover PivotTable'!$A$4,"Site",$A9,"Year",M$1)=""), "",GETPIVOTDATA("Cover",'Cover PivotTable'!$A$4,"Site",$A9,"Year",M$1,"Transect",$B9))</f>
        <v/>
      </c>
      <c r="N9" s="17">
        <f>IF(OR(ISERROR(GETPIVOTDATA("Cover",'Cover PivotTable'!$A$4,"Site",$A9,"Year",N$1,"Transect",$B9)),GETPIVOTDATA("Cover",'Cover PivotTable'!$A$4,"Site",$A9,"Year",N$1)=""), "",GETPIVOTDATA("Cover",'Cover PivotTable'!$A$4,"Site",$A9,"Year",N$1,"Transect",$B9))</f>
        <v>0</v>
      </c>
      <c r="O9" s="17">
        <f>IF(OR(ISERROR(GETPIVOTDATA("Cover",'Cover PivotTable'!$A$4,"Site",$A9,"Year",O$1,"Transect",$B9)),GETPIVOTDATA("Cover",'Cover PivotTable'!$A$4,"Site",$A9,"Year",O$1)=""), "",GETPIVOTDATA("Cover",'Cover PivotTable'!$A$4,"Site",$A9,"Year",O$1,"Transect",$B9))</f>
        <v>3.7037037037037033</v>
      </c>
    </row>
    <row r="10" spans="1:15" x14ac:dyDescent="0.35">
      <c r="A10" t="s">
        <v>21</v>
      </c>
      <c r="B10">
        <v>9.1</v>
      </c>
      <c r="C10" s="17">
        <f>IF(OR(ISERROR(GETPIVOTDATA("Cover",'Cover PivotTable'!$A$4,"Site",$A10,"Year",C$1,"Transect",$B10)),GETPIVOTDATA("Cover",'Cover PivotTable'!$A$4,"Site",$A10,"Year",C$1)=""), "",GETPIVOTDATA("Cover",'Cover PivotTable'!$A$4,"Site",$A10,"Year",C$1,"Transect",$B10))</f>
        <v>9.5238095238095237</v>
      </c>
      <c r="D10" s="17" t="str">
        <f>IF(OR(ISERROR(GETPIVOTDATA("Cover",'Cover PivotTable'!$A$4,"Site",$A10,"Year",D$1,"Transect",$B10)),GETPIVOTDATA("Cover",'Cover PivotTable'!$A$4,"Site",$A10,"Year",D$1)=""), "",GETPIVOTDATA("Cover",'Cover PivotTable'!$A$4,"Site",$A10,"Year",D$1,"Transect",$B10))</f>
        <v/>
      </c>
      <c r="E10" s="17" t="str">
        <f>IF(OR(ISERROR(GETPIVOTDATA("Cover",'Cover PivotTable'!$A$4,"Site",$A10,"Year",E$1,"Transect",$B10)),GETPIVOTDATA("Cover",'Cover PivotTable'!$A$4,"Site",$A10,"Year",E$1)=""), "",GETPIVOTDATA("Cover",'Cover PivotTable'!$A$4,"Site",$A10,"Year",E$1,"Transect",$B10))</f>
        <v/>
      </c>
      <c r="F10" s="17" t="str">
        <f>IF(OR(ISERROR(GETPIVOTDATA("Cover",'Cover PivotTable'!$A$4,"Site",$A10,"Year",F$1,"Transect",$B10)),GETPIVOTDATA("Cover",'Cover PivotTable'!$A$4,"Site",$A10,"Year",F$1)=""), "",GETPIVOTDATA("Cover",'Cover PivotTable'!$A$4,"Site",$A10,"Year",F$1,"Transect",$B10))</f>
        <v/>
      </c>
      <c r="G10" s="17">
        <f>IF(OR(ISERROR(GETPIVOTDATA("Cover",'Cover PivotTable'!$A$4,"Site",$A10,"Year",G$1,"Transect",$B10)),GETPIVOTDATA("Cover",'Cover PivotTable'!$A$4,"Site",$A10,"Year",G$1)=""), "",GETPIVOTDATA("Cover",'Cover PivotTable'!$A$4,"Site",$A10,"Year",G$1,"Transect",$B10))</f>
        <v>11.904761904761905</v>
      </c>
      <c r="H10" s="17" t="str">
        <f>IF(OR(ISERROR(GETPIVOTDATA("Cover",'Cover PivotTable'!$A$4,"Site",$A10,"Year",H$1,"Transect",$B10)),GETPIVOTDATA("Cover",'Cover PivotTable'!$A$4,"Site",$A10,"Year",H$1)=""), "",GETPIVOTDATA("Cover",'Cover PivotTable'!$A$4,"Site",$A10,"Year",H$1,"Transect",$B10))</f>
        <v/>
      </c>
      <c r="I10" s="17" t="str">
        <f>IF(OR(ISERROR(GETPIVOTDATA("Cover",'Cover PivotTable'!$A$4,"Site",$A10,"Year",I$1,"Transect",$B10)),GETPIVOTDATA("Cover",'Cover PivotTable'!$A$4,"Site",$A10,"Year",I$1)=""), "",GETPIVOTDATA("Cover",'Cover PivotTable'!$A$4,"Site",$A10,"Year",I$1,"Transect",$B10))</f>
        <v/>
      </c>
      <c r="J10" s="17" t="str">
        <f>IF(OR(ISERROR(GETPIVOTDATA("Cover",'Cover PivotTable'!$A$4,"Site",$A10,"Year",J$1,"Transect",$B10)),GETPIVOTDATA("Cover",'Cover PivotTable'!$A$4,"Site",$A10,"Year",J$1)=""), "",GETPIVOTDATA("Cover",'Cover PivotTable'!$A$4,"Site",$A10,"Year",J$1,"Transect",$B10))</f>
        <v/>
      </c>
      <c r="K10" s="17" t="str">
        <f>IF(OR(ISERROR(GETPIVOTDATA("Cover",'Cover PivotTable'!$A$4,"Site",$A10,"Year",K$1,"Transect",$B10)),GETPIVOTDATA("Cover",'Cover PivotTable'!$A$4,"Site",$A10,"Year",K$1)=""), "",GETPIVOTDATA("Cover",'Cover PivotTable'!$A$4,"Site",$A10,"Year",K$1,"Transect",$B10))</f>
        <v/>
      </c>
      <c r="L10" s="17">
        <f>IF(OR(ISERROR(GETPIVOTDATA("Cover",'Cover PivotTable'!$A$4,"Site",$A10,"Year",L$1,"Transect",$B10)),GETPIVOTDATA("Cover",'Cover PivotTable'!$A$4,"Site",$A10,"Year",L$1)=""), "",GETPIVOTDATA("Cover",'Cover PivotTable'!$A$4,"Site",$A10,"Year",L$1,"Transect",$B10))</f>
        <v>6.9767441860465116</v>
      </c>
      <c r="M10" s="17" t="str">
        <f>IF(OR(ISERROR(GETPIVOTDATA("Cover",'Cover PivotTable'!$A$4,"Site",$A10,"Year",M$1,"Transect",$B10)),GETPIVOTDATA("Cover",'Cover PivotTable'!$A$4,"Site",$A10,"Year",M$1)=""), "",GETPIVOTDATA("Cover",'Cover PivotTable'!$A$4,"Site",$A10,"Year",M$1,"Transect",$B10))</f>
        <v/>
      </c>
      <c r="N10" s="17">
        <f>IF(OR(ISERROR(GETPIVOTDATA("Cover",'Cover PivotTable'!$A$4,"Site",$A10,"Year",N$1,"Transect",$B10)),GETPIVOTDATA("Cover",'Cover PivotTable'!$A$4,"Site",$A10,"Year",N$1)=""), "",GETPIVOTDATA("Cover",'Cover PivotTable'!$A$4,"Site",$A10,"Year",N$1,"Transect",$B10))</f>
        <v>0</v>
      </c>
      <c r="O10" s="17">
        <f>IF(OR(ISERROR(GETPIVOTDATA("Cover",'Cover PivotTable'!$A$4,"Site",$A10,"Year",O$1,"Transect",$B10)),GETPIVOTDATA("Cover",'Cover PivotTable'!$A$4,"Site",$A10,"Year",O$1)=""), "",GETPIVOTDATA("Cover",'Cover PivotTable'!$A$4,"Site",$A10,"Year",O$1,"Transect",$B10))</f>
        <v>0</v>
      </c>
    </row>
    <row r="11" spans="1:15" x14ac:dyDescent="0.35">
      <c r="A11" t="s">
        <v>21</v>
      </c>
      <c r="B11">
        <v>10.1</v>
      </c>
      <c r="C11" s="17">
        <f>IF(OR(ISERROR(GETPIVOTDATA("Cover",'Cover PivotTable'!$A$4,"Site",$A11,"Year",C$1,"Transect",$B11)),GETPIVOTDATA("Cover",'Cover PivotTable'!$A$4,"Site",$A11,"Year",C$1)=""), "",GETPIVOTDATA("Cover",'Cover PivotTable'!$A$4,"Site",$A11,"Year",C$1,"Transect",$B11))</f>
        <v>5.4054054054054053</v>
      </c>
      <c r="D11" s="17" t="str">
        <f>IF(OR(ISERROR(GETPIVOTDATA("Cover",'Cover PivotTable'!$A$4,"Site",$A11,"Year",D$1,"Transect",$B11)),GETPIVOTDATA("Cover",'Cover PivotTable'!$A$4,"Site",$A11,"Year",D$1)=""), "",GETPIVOTDATA("Cover",'Cover PivotTable'!$A$4,"Site",$A11,"Year",D$1,"Transect",$B11))</f>
        <v/>
      </c>
      <c r="E11" s="17" t="str">
        <f>IF(OR(ISERROR(GETPIVOTDATA("Cover",'Cover PivotTable'!$A$4,"Site",$A11,"Year",E$1,"Transect",$B11)),GETPIVOTDATA("Cover",'Cover PivotTable'!$A$4,"Site",$A11,"Year",E$1)=""), "",GETPIVOTDATA("Cover",'Cover PivotTable'!$A$4,"Site",$A11,"Year",E$1,"Transect",$B11))</f>
        <v/>
      </c>
      <c r="F11" s="17" t="str">
        <f>IF(OR(ISERROR(GETPIVOTDATA("Cover",'Cover PivotTable'!$A$4,"Site",$A11,"Year",F$1,"Transect",$B11)),GETPIVOTDATA("Cover",'Cover PivotTable'!$A$4,"Site",$A11,"Year",F$1)=""), "",GETPIVOTDATA("Cover",'Cover PivotTable'!$A$4,"Site",$A11,"Year",F$1,"Transect",$B11))</f>
        <v/>
      </c>
      <c r="G11" s="17">
        <f>IF(OR(ISERROR(GETPIVOTDATA("Cover",'Cover PivotTable'!$A$4,"Site",$A11,"Year",G$1,"Transect",$B11)),GETPIVOTDATA("Cover",'Cover PivotTable'!$A$4,"Site",$A11,"Year",G$1)=""), "",GETPIVOTDATA("Cover",'Cover PivotTable'!$A$4,"Site",$A11,"Year",G$1,"Transect",$B11))</f>
        <v>0</v>
      </c>
      <c r="H11" s="17" t="str">
        <f>IF(OR(ISERROR(GETPIVOTDATA("Cover",'Cover PivotTable'!$A$4,"Site",$A11,"Year",H$1,"Transect",$B11)),GETPIVOTDATA("Cover",'Cover PivotTable'!$A$4,"Site",$A11,"Year",H$1)=""), "",GETPIVOTDATA("Cover",'Cover PivotTable'!$A$4,"Site",$A11,"Year",H$1,"Transect",$B11))</f>
        <v/>
      </c>
      <c r="I11" s="17" t="str">
        <f>IF(OR(ISERROR(GETPIVOTDATA("Cover",'Cover PivotTable'!$A$4,"Site",$A11,"Year",I$1,"Transect",$B11)),GETPIVOTDATA("Cover",'Cover PivotTable'!$A$4,"Site",$A11,"Year",I$1)=""), "",GETPIVOTDATA("Cover",'Cover PivotTable'!$A$4,"Site",$A11,"Year",I$1,"Transect",$B11))</f>
        <v/>
      </c>
      <c r="J11" s="17" t="str">
        <f>IF(OR(ISERROR(GETPIVOTDATA("Cover",'Cover PivotTable'!$A$4,"Site",$A11,"Year",J$1,"Transect",$B11)),GETPIVOTDATA("Cover",'Cover PivotTable'!$A$4,"Site",$A11,"Year",J$1)=""), "",GETPIVOTDATA("Cover",'Cover PivotTable'!$A$4,"Site",$A11,"Year",J$1,"Transect",$B11))</f>
        <v/>
      </c>
      <c r="K11" s="17" t="str">
        <f>IF(OR(ISERROR(GETPIVOTDATA("Cover",'Cover PivotTable'!$A$4,"Site",$A11,"Year",K$1,"Transect",$B11)),GETPIVOTDATA("Cover",'Cover PivotTable'!$A$4,"Site",$A11,"Year",K$1)=""), "",GETPIVOTDATA("Cover",'Cover PivotTable'!$A$4,"Site",$A11,"Year",K$1,"Transect",$B11))</f>
        <v/>
      </c>
      <c r="L11" s="17">
        <f>IF(OR(ISERROR(GETPIVOTDATA("Cover",'Cover PivotTable'!$A$4,"Site",$A11,"Year",L$1,"Transect",$B11)),GETPIVOTDATA("Cover",'Cover PivotTable'!$A$4,"Site",$A11,"Year",L$1)=""), "",GETPIVOTDATA("Cover",'Cover PivotTable'!$A$4,"Site",$A11,"Year",L$1,"Transect",$B11))</f>
        <v>0</v>
      </c>
      <c r="M11" s="17" t="str">
        <f>IF(OR(ISERROR(GETPIVOTDATA("Cover",'Cover PivotTable'!$A$4,"Site",$A11,"Year",M$1,"Transect",$B11)),GETPIVOTDATA("Cover",'Cover PivotTable'!$A$4,"Site",$A11,"Year",M$1)=""), "",GETPIVOTDATA("Cover",'Cover PivotTable'!$A$4,"Site",$A11,"Year",M$1,"Transect",$B11))</f>
        <v/>
      </c>
      <c r="N11" s="17">
        <f>IF(OR(ISERROR(GETPIVOTDATA("Cover",'Cover PivotTable'!$A$4,"Site",$A11,"Year",N$1,"Transect",$B11)),GETPIVOTDATA("Cover",'Cover PivotTable'!$A$4,"Site",$A11,"Year",N$1)=""), "",GETPIVOTDATA("Cover",'Cover PivotTable'!$A$4,"Site",$A11,"Year",N$1,"Transect",$B11))</f>
        <v>2.7027027027027026</v>
      </c>
      <c r="O11" s="17">
        <f>IF(OR(ISERROR(GETPIVOTDATA("Cover",'Cover PivotTable'!$A$4,"Site",$A11,"Year",O$1,"Transect",$B11)),GETPIVOTDATA("Cover",'Cover PivotTable'!$A$4,"Site",$A11,"Year",O$1)=""), "",GETPIVOTDATA("Cover",'Cover PivotTable'!$A$4,"Site",$A11,"Year",O$1,"Transect",$B11))</f>
        <v>5.4054054054054053</v>
      </c>
    </row>
    <row r="12" spans="1:15" x14ac:dyDescent="0.35">
      <c r="A12" t="s">
        <v>21</v>
      </c>
      <c r="B12">
        <v>11.1</v>
      </c>
      <c r="C12" s="17" t="str">
        <f>IF(OR(ISERROR(GETPIVOTDATA("Cover",'Cover PivotTable'!$A$4,"Site",$A12,"Year",C$1,"Transect",$B12)),GETPIVOTDATA("Cover",'Cover PivotTable'!$A$4,"Site",$A12,"Year",C$1)=""), "",GETPIVOTDATA("Cover",'Cover PivotTable'!$A$4,"Site",$A12,"Year",C$1,"Transect",$B12))</f>
        <v/>
      </c>
      <c r="D12" s="17" t="str">
        <f>IF(OR(ISERROR(GETPIVOTDATA("Cover",'Cover PivotTable'!$A$4,"Site",$A12,"Year",D$1,"Transect",$B12)),GETPIVOTDATA("Cover",'Cover PivotTable'!$A$4,"Site",$A12,"Year",D$1)=""), "",GETPIVOTDATA("Cover",'Cover PivotTable'!$A$4,"Site",$A12,"Year",D$1,"Transect",$B12))</f>
        <v/>
      </c>
      <c r="E12" s="17" t="str">
        <f>IF(OR(ISERROR(GETPIVOTDATA("Cover",'Cover PivotTable'!$A$4,"Site",$A12,"Year",E$1,"Transect",$B12)),GETPIVOTDATA("Cover",'Cover PivotTable'!$A$4,"Site",$A12,"Year",E$1)=""), "",GETPIVOTDATA("Cover",'Cover PivotTable'!$A$4,"Site",$A12,"Year",E$1,"Transect",$B12))</f>
        <v/>
      </c>
      <c r="F12" s="17" t="str">
        <f>IF(OR(ISERROR(GETPIVOTDATA("Cover",'Cover PivotTable'!$A$4,"Site",$A12,"Year",F$1,"Transect",$B12)),GETPIVOTDATA("Cover",'Cover PivotTable'!$A$4,"Site",$A12,"Year",F$1)=""), "",GETPIVOTDATA("Cover",'Cover PivotTable'!$A$4,"Site",$A12,"Year",F$1,"Transect",$B12))</f>
        <v/>
      </c>
      <c r="G12" s="17" t="str">
        <f>IF(OR(ISERROR(GETPIVOTDATA("Cover",'Cover PivotTable'!$A$4,"Site",$A12,"Year",G$1,"Transect",$B12)),GETPIVOTDATA("Cover",'Cover PivotTable'!$A$4,"Site",$A12,"Year",G$1)=""), "",GETPIVOTDATA("Cover",'Cover PivotTable'!$A$4,"Site",$A12,"Year",G$1,"Transect",$B12))</f>
        <v/>
      </c>
      <c r="H12" s="17" t="str">
        <f>IF(OR(ISERROR(GETPIVOTDATA("Cover",'Cover PivotTable'!$A$4,"Site",$A12,"Year",H$1,"Transect",$B12)),GETPIVOTDATA("Cover",'Cover PivotTable'!$A$4,"Site",$A12,"Year",H$1)=""), "",GETPIVOTDATA("Cover",'Cover PivotTable'!$A$4,"Site",$A12,"Year",H$1,"Transect",$B12))</f>
        <v/>
      </c>
      <c r="I12" s="17" t="str">
        <f>IF(OR(ISERROR(GETPIVOTDATA("Cover",'Cover PivotTable'!$A$4,"Site",$A12,"Year",I$1,"Transect",$B12)),GETPIVOTDATA("Cover",'Cover PivotTable'!$A$4,"Site",$A12,"Year",I$1)=""), "",GETPIVOTDATA("Cover",'Cover PivotTable'!$A$4,"Site",$A12,"Year",I$1,"Transect",$B12))</f>
        <v/>
      </c>
      <c r="J12" s="17" t="str">
        <f>IF(OR(ISERROR(GETPIVOTDATA("Cover",'Cover PivotTable'!$A$4,"Site",$A12,"Year",J$1,"Transect",$B12)),GETPIVOTDATA("Cover",'Cover PivotTable'!$A$4,"Site",$A12,"Year",J$1)=""), "",GETPIVOTDATA("Cover",'Cover PivotTable'!$A$4,"Site",$A12,"Year",J$1,"Transect",$B12))</f>
        <v/>
      </c>
      <c r="K12" s="17" t="str">
        <f>IF(OR(ISERROR(GETPIVOTDATA("Cover",'Cover PivotTable'!$A$4,"Site",$A12,"Year",K$1,"Transect",$B12)),GETPIVOTDATA("Cover",'Cover PivotTable'!$A$4,"Site",$A12,"Year",K$1)=""), "",GETPIVOTDATA("Cover",'Cover PivotTable'!$A$4,"Site",$A12,"Year",K$1,"Transect",$B12))</f>
        <v/>
      </c>
      <c r="L12" s="17" t="str">
        <f>IF(OR(ISERROR(GETPIVOTDATA("Cover",'Cover PivotTable'!$A$4,"Site",$A12,"Year",L$1,"Transect",$B12)),GETPIVOTDATA("Cover",'Cover PivotTable'!$A$4,"Site",$A12,"Year",L$1)=""), "",GETPIVOTDATA("Cover",'Cover PivotTable'!$A$4,"Site",$A12,"Year",L$1,"Transect",$B12))</f>
        <v/>
      </c>
      <c r="M12" s="17" t="str">
        <f>IF(OR(ISERROR(GETPIVOTDATA("Cover",'Cover PivotTable'!$A$4,"Site",$A12,"Year",M$1,"Transect",$B12)),GETPIVOTDATA("Cover",'Cover PivotTable'!$A$4,"Site",$A12,"Year",M$1)=""), "",GETPIVOTDATA("Cover",'Cover PivotTable'!$A$4,"Site",$A12,"Year",M$1,"Transect",$B12))</f>
        <v/>
      </c>
      <c r="N12" s="17" t="str">
        <f>IF(OR(ISERROR(GETPIVOTDATA("Cover",'Cover PivotTable'!$A$4,"Site",$A12,"Year",N$1,"Transect",$B12)),GETPIVOTDATA("Cover",'Cover PivotTable'!$A$4,"Site",$A12,"Year",N$1)=""), "",GETPIVOTDATA("Cover",'Cover PivotTable'!$A$4,"Site",$A12,"Year",N$1,"Transect",$B12))</f>
        <v/>
      </c>
      <c r="O12" s="17" t="str">
        <f>IF(OR(ISERROR(GETPIVOTDATA("Cover",'Cover PivotTable'!$A$4,"Site",$A12,"Year",O$1,"Transect",$B12)),GETPIVOTDATA("Cover",'Cover PivotTable'!$A$4,"Site",$A12,"Year",O$1)=""), "",GETPIVOTDATA("Cover",'Cover PivotTable'!$A$4,"Site",$A12,"Year",O$1,"Transect",$B12))</f>
        <v/>
      </c>
    </row>
    <row r="13" spans="1:15" x14ac:dyDescent="0.35">
      <c r="A13" t="s">
        <v>21</v>
      </c>
      <c r="B13">
        <v>12.1</v>
      </c>
      <c r="C13" s="17" t="str">
        <f>IF(OR(ISERROR(GETPIVOTDATA("Cover",'Cover PivotTable'!$A$4,"Site",$A13,"Year",C$1,"Transect",$B13)),GETPIVOTDATA("Cover",'Cover PivotTable'!$A$4,"Site",$A13,"Year",C$1)=""), "",GETPIVOTDATA("Cover",'Cover PivotTable'!$A$4,"Site",$A13,"Year",C$1,"Transect",$B13))</f>
        <v/>
      </c>
      <c r="D13" s="17" t="str">
        <f>IF(OR(ISERROR(GETPIVOTDATA("Cover",'Cover PivotTable'!$A$4,"Site",$A13,"Year",D$1,"Transect",$B13)),GETPIVOTDATA("Cover",'Cover PivotTable'!$A$4,"Site",$A13,"Year",D$1)=""), "",GETPIVOTDATA("Cover",'Cover PivotTable'!$A$4,"Site",$A13,"Year",D$1,"Transect",$B13))</f>
        <v/>
      </c>
      <c r="E13" s="17" t="str">
        <f>IF(OR(ISERROR(GETPIVOTDATA("Cover",'Cover PivotTable'!$A$4,"Site",$A13,"Year",E$1,"Transect",$B13)),GETPIVOTDATA("Cover",'Cover PivotTable'!$A$4,"Site",$A13,"Year",E$1)=""), "",GETPIVOTDATA("Cover",'Cover PivotTable'!$A$4,"Site",$A13,"Year",E$1,"Transect",$B13))</f>
        <v/>
      </c>
      <c r="F13" s="17" t="str">
        <f>IF(OR(ISERROR(GETPIVOTDATA("Cover",'Cover PivotTable'!$A$4,"Site",$A13,"Year",F$1,"Transect",$B13)),GETPIVOTDATA("Cover",'Cover PivotTable'!$A$4,"Site",$A13,"Year",F$1)=""), "",GETPIVOTDATA("Cover",'Cover PivotTable'!$A$4,"Site",$A13,"Year",F$1,"Transect",$B13))</f>
        <v/>
      </c>
      <c r="G13" s="17" t="str">
        <f>IF(OR(ISERROR(GETPIVOTDATA("Cover",'Cover PivotTable'!$A$4,"Site",$A13,"Year",G$1,"Transect",$B13)),GETPIVOTDATA("Cover",'Cover PivotTable'!$A$4,"Site",$A13,"Year",G$1)=""), "",GETPIVOTDATA("Cover",'Cover PivotTable'!$A$4,"Site",$A13,"Year",G$1,"Transect",$B13))</f>
        <v/>
      </c>
      <c r="H13" s="17" t="str">
        <f>IF(OR(ISERROR(GETPIVOTDATA("Cover",'Cover PivotTable'!$A$4,"Site",$A13,"Year",H$1,"Transect",$B13)),GETPIVOTDATA("Cover",'Cover PivotTable'!$A$4,"Site",$A13,"Year",H$1)=""), "",GETPIVOTDATA("Cover",'Cover PivotTable'!$A$4,"Site",$A13,"Year",H$1,"Transect",$B13))</f>
        <v/>
      </c>
      <c r="I13" s="17" t="str">
        <f>IF(OR(ISERROR(GETPIVOTDATA("Cover",'Cover PivotTable'!$A$4,"Site",$A13,"Year",I$1,"Transect",$B13)),GETPIVOTDATA("Cover",'Cover PivotTable'!$A$4,"Site",$A13,"Year",I$1)=""), "",GETPIVOTDATA("Cover",'Cover PivotTable'!$A$4,"Site",$A13,"Year",I$1,"Transect",$B13))</f>
        <v/>
      </c>
      <c r="J13" s="17" t="str">
        <f>IF(OR(ISERROR(GETPIVOTDATA("Cover",'Cover PivotTable'!$A$4,"Site",$A13,"Year",J$1,"Transect",$B13)),GETPIVOTDATA("Cover",'Cover PivotTable'!$A$4,"Site",$A13,"Year",J$1)=""), "",GETPIVOTDATA("Cover",'Cover PivotTable'!$A$4,"Site",$A13,"Year",J$1,"Transect",$B13))</f>
        <v/>
      </c>
      <c r="K13" s="17" t="str">
        <f>IF(OR(ISERROR(GETPIVOTDATA("Cover",'Cover PivotTable'!$A$4,"Site",$A13,"Year",K$1,"Transect",$B13)),GETPIVOTDATA("Cover",'Cover PivotTable'!$A$4,"Site",$A13,"Year",K$1)=""), "",GETPIVOTDATA("Cover",'Cover PivotTable'!$A$4,"Site",$A13,"Year",K$1,"Transect",$B13))</f>
        <v/>
      </c>
      <c r="L13" s="17" t="str">
        <f>IF(OR(ISERROR(GETPIVOTDATA("Cover",'Cover PivotTable'!$A$4,"Site",$A13,"Year",L$1,"Transect",$B13)),GETPIVOTDATA("Cover",'Cover PivotTable'!$A$4,"Site",$A13,"Year",L$1)=""), "",GETPIVOTDATA("Cover",'Cover PivotTable'!$A$4,"Site",$A13,"Year",L$1,"Transect",$B13))</f>
        <v/>
      </c>
      <c r="M13" s="17" t="str">
        <f>IF(OR(ISERROR(GETPIVOTDATA("Cover",'Cover PivotTable'!$A$4,"Site",$A13,"Year",M$1,"Transect",$B13)),GETPIVOTDATA("Cover",'Cover PivotTable'!$A$4,"Site",$A13,"Year",M$1)=""), "",GETPIVOTDATA("Cover",'Cover PivotTable'!$A$4,"Site",$A13,"Year",M$1,"Transect",$B13))</f>
        <v/>
      </c>
      <c r="N13" s="17" t="str">
        <f>IF(OR(ISERROR(GETPIVOTDATA("Cover",'Cover PivotTable'!$A$4,"Site",$A13,"Year",N$1,"Transect",$B13)),GETPIVOTDATA("Cover",'Cover PivotTable'!$A$4,"Site",$A13,"Year",N$1)=""), "",GETPIVOTDATA("Cover",'Cover PivotTable'!$A$4,"Site",$A13,"Year",N$1,"Transect",$B13))</f>
        <v/>
      </c>
      <c r="O13" s="17" t="str">
        <f>IF(OR(ISERROR(GETPIVOTDATA("Cover",'Cover PivotTable'!$A$4,"Site",$A13,"Year",O$1,"Transect",$B13)),GETPIVOTDATA("Cover",'Cover PivotTable'!$A$4,"Site",$A13,"Year",O$1)=""), "",GETPIVOTDATA("Cover",'Cover PivotTable'!$A$4,"Site",$A13,"Year",O$1,"Transect",$B13))</f>
        <v/>
      </c>
    </row>
    <row r="14" spans="1:15" x14ac:dyDescent="0.35">
      <c r="A14" t="s">
        <v>21</v>
      </c>
      <c r="B14">
        <v>13.1</v>
      </c>
      <c r="C14" s="17">
        <f>IF(OR(ISERROR(GETPIVOTDATA("Cover",'Cover PivotTable'!$A$4,"Site",$A14,"Year",C$1,"Transect",$B14)),GETPIVOTDATA("Cover",'Cover PivotTable'!$A$4,"Site",$A14,"Year",C$1)=""), "",GETPIVOTDATA("Cover",'Cover PivotTable'!$A$4,"Site",$A14,"Year",C$1,"Transect",$B14))</f>
        <v>0</v>
      </c>
      <c r="D14" s="17" t="str">
        <f>IF(OR(ISERROR(GETPIVOTDATA("Cover",'Cover PivotTable'!$A$4,"Site",$A14,"Year",D$1,"Transect",$B14)),GETPIVOTDATA("Cover",'Cover PivotTable'!$A$4,"Site",$A14,"Year",D$1)=""), "",GETPIVOTDATA("Cover",'Cover PivotTable'!$A$4,"Site",$A14,"Year",D$1,"Transect",$B14))</f>
        <v/>
      </c>
      <c r="E14" s="17" t="str">
        <f>IF(OR(ISERROR(GETPIVOTDATA("Cover",'Cover PivotTable'!$A$4,"Site",$A14,"Year",E$1,"Transect",$B14)),GETPIVOTDATA("Cover",'Cover PivotTable'!$A$4,"Site",$A14,"Year",E$1)=""), "",GETPIVOTDATA("Cover",'Cover PivotTable'!$A$4,"Site",$A14,"Year",E$1,"Transect",$B14))</f>
        <v/>
      </c>
      <c r="F14" s="17" t="str">
        <f>IF(OR(ISERROR(GETPIVOTDATA("Cover",'Cover PivotTable'!$A$4,"Site",$A14,"Year",F$1,"Transect",$B14)),GETPIVOTDATA("Cover",'Cover PivotTable'!$A$4,"Site",$A14,"Year",F$1)=""), "",GETPIVOTDATA("Cover",'Cover PivotTable'!$A$4,"Site",$A14,"Year",F$1,"Transect",$B14))</f>
        <v/>
      </c>
      <c r="G14" s="17">
        <f>IF(OR(ISERROR(GETPIVOTDATA("Cover",'Cover PivotTable'!$A$4,"Site",$A14,"Year",G$1,"Transect",$B14)),GETPIVOTDATA("Cover",'Cover PivotTable'!$A$4,"Site",$A14,"Year",G$1)=""), "",GETPIVOTDATA("Cover",'Cover PivotTable'!$A$4,"Site",$A14,"Year",G$1,"Transect",$B14))</f>
        <v>3.4482758620689653</v>
      </c>
      <c r="H14" s="17" t="str">
        <f>IF(OR(ISERROR(GETPIVOTDATA("Cover",'Cover PivotTable'!$A$4,"Site",$A14,"Year",H$1,"Transect",$B14)),GETPIVOTDATA("Cover",'Cover PivotTable'!$A$4,"Site",$A14,"Year",H$1)=""), "",GETPIVOTDATA("Cover",'Cover PivotTable'!$A$4,"Site",$A14,"Year",H$1,"Transect",$B14))</f>
        <v/>
      </c>
      <c r="I14" s="17" t="str">
        <f>IF(OR(ISERROR(GETPIVOTDATA("Cover",'Cover PivotTable'!$A$4,"Site",$A14,"Year",I$1,"Transect",$B14)),GETPIVOTDATA("Cover",'Cover PivotTable'!$A$4,"Site",$A14,"Year",I$1)=""), "",GETPIVOTDATA("Cover",'Cover PivotTable'!$A$4,"Site",$A14,"Year",I$1,"Transect",$B14))</f>
        <v/>
      </c>
      <c r="J14" s="17" t="str">
        <f>IF(OR(ISERROR(GETPIVOTDATA("Cover",'Cover PivotTable'!$A$4,"Site",$A14,"Year",J$1,"Transect",$B14)),GETPIVOTDATA("Cover",'Cover PivotTable'!$A$4,"Site",$A14,"Year",J$1)=""), "",GETPIVOTDATA("Cover",'Cover PivotTable'!$A$4,"Site",$A14,"Year",J$1,"Transect",$B14))</f>
        <v/>
      </c>
      <c r="K14" s="17" t="str">
        <f>IF(OR(ISERROR(GETPIVOTDATA("Cover",'Cover PivotTable'!$A$4,"Site",$A14,"Year",K$1,"Transect",$B14)),GETPIVOTDATA("Cover",'Cover PivotTable'!$A$4,"Site",$A14,"Year",K$1)=""), "",GETPIVOTDATA("Cover",'Cover PivotTable'!$A$4,"Site",$A14,"Year",K$1,"Transect",$B14))</f>
        <v/>
      </c>
      <c r="L14" s="17">
        <f>IF(OR(ISERROR(GETPIVOTDATA("Cover",'Cover PivotTable'!$A$4,"Site",$A14,"Year",L$1,"Transect",$B14)),GETPIVOTDATA("Cover",'Cover PivotTable'!$A$4,"Site",$A14,"Year",L$1)=""), "",GETPIVOTDATA("Cover",'Cover PivotTable'!$A$4,"Site",$A14,"Year",L$1,"Transect",$B14))</f>
        <v>0</v>
      </c>
      <c r="M14" s="17" t="str">
        <f>IF(OR(ISERROR(GETPIVOTDATA("Cover",'Cover PivotTable'!$A$4,"Site",$A14,"Year",M$1,"Transect",$B14)),GETPIVOTDATA("Cover",'Cover PivotTable'!$A$4,"Site",$A14,"Year",M$1)=""), "",GETPIVOTDATA("Cover",'Cover PivotTable'!$A$4,"Site",$A14,"Year",M$1,"Transect",$B14))</f>
        <v/>
      </c>
      <c r="N14" s="17">
        <f>IF(OR(ISERROR(GETPIVOTDATA("Cover",'Cover PivotTable'!$A$4,"Site",$A14,"Year",N$1,"Transect",$B14)),GETPIVOTDATA("Cover",'Cover PivotTable'!$A$4,"Site",$A14,"Year",N$1)=""), "",GETPIVOTDATA("Cover",'Cover PivotTable'!$A$4,"Site",$A14,"Year",N$1,"Transect",$B14))</f>
        <v>0</v>
      </c>
      <c r="O14" s="17">
        <f>IF(OR(ISERROR(GETPIVOTDATA("Cover",'Cover PivotTable'!$A$4,"Site",$A14,"Year",O$1,"Transect",$B14)),GETPIVOTDATA("Cover",'Cover PivotTable'!$A$4,"Site",$A14,"Year",O$1)=""), "",GETPIVOTDATA("Cover",'Cover PivotTable'!$A$4,"Site",$A14,"Year",O$1,"Transect",$B14))</f>
        <v>0</v>
      </c>
    </row>
    <row r="15" spans="1:15" x14ac:dyDescent="0.35">
      <c r="A15" t="s">
        <v>21</v>
      </c>
      <c r="B15">
        <v>14.1</v>
      </c>
      <c r="C15" s="17">
        <f>IF(OR(ISERROR(GETPIVOTDATA("Cover",'Cover PivotTable'!$A$4,"Site",$A15,"Year",C$1,"Transect",$B15)),GETPIVOTDATA("Cover",'Cover PivotTable'!$A$4,"Site",$A15,"Year",C$1)=""), "",GETPIVOTDATA("Cover",'Cover PivotTable'!$A$4,"Site",$A15,"Year",C$1,"Transect",$B15))</f>
        <v>0</v>
      </c>
      <c r="D15" s="17" t="str">
        <f>IF(OR(ISERROR(GETPIVOTDATA("Cover",'Cover PivotTable'!$A$4,"Site",$A15,"Year",D$1,"Transect",$B15)),GETPIVOTDATA("Cover",'Cover PivotTable'!$A$4,"Site",$A15,"Year",D$1)=""), "",GETPIVOTDATA("Cover",'Cover PivotTable'!$A$4,"Site",$A15,"Year",D$1,"Transect",$B15))</f>
        <v/>
      </c>
      <c r="E15" s="17" t="str">
        <f>IF(OR(ISERROR(GETPIVOTDATA("Cover",'Cover PivotTable'!$A$4,"Site",$A15,"Year",E$1,"Transect",$B15)),GETPIVOTDATA("Cover",'Cover PivotTable'!$A$4,"Site",$A15,"Year",E$1)=""), "",GETPIVOTDATA("Cover",'Cover PivotTable'!$A$4,"Site",$A15,"Year",E$1,"Transect",$B15))</f>
        <v/>
      </c>
      <c r="F15" s="17" t="str">
        <f>IF(OR(ISERROR(GETPIVOTDATA("Cover",'Cover PivotTable'!$A$4,"Site",$A15,"Year",F$1,"Transect",$B15)),GETPIVOTDATA("Cover",'Cover PivotTable'!$A$4,"Site",$A15,"Year",F$1)=""), "",GETPIVOTDATA("Cover",'Cover PivotTable'!$A$4,"Site",$A15,"Year",F$1,"Transect",$B15))</f>
        <v/>
      </c>
      <c r="G15" s="17">
        <f>IF(OR(ISERROR(GETPIVOTDATA("Cover",'Cover PivotTable'!$A$4,"Site",$A15,"Year",G$1,"Transect",$B15)),GETPIVOTDATA("Cover",'Cover PivotTable'!$A$4,"Site",$A15,"Year",G$1)=""), "",GETPIVOTDATA("Cover",'Cover PivotTable'!$A$4,"Site",$A15,"Year",G$1,"Transect",$B15))</f>
        <v>4.3478260869565215</v>
      </c>
      <c r="H15" s="17" t="str">
        <f>IF(OR(ISERROR(GETPIVOTDATA("Cover",'Cover PivotTable'!$A$4,"Site",$A15,"Year",H$1,"Transect",$B15)),GETPIVOTDATA("Cover",'Cover PivotTable'!$A$4,"Site",$A15,"Year",H$1)=""), "",GETPIVOTDATA("Cover",'Cover PivotTable'!$A$4,"Site",$A15,"Year",H$1,"Transect",$B15))</f>
        <v/>
      </c>
      <c r="I15" s="17" t="str">
        <f>IF(OR(ISERROR(GETPIVOTDATA("Cover",'Cover PivotTable'!$A$4,"Site",$A15,"Year",I$1,"Transect",$B15)),GETPIVOTDATA("Cover",'Cover PivotTable'!$A$4,"Site",$A15,"Year",I$1)=""), "",GETPIVOTDATA("Cover",'Cover PivotTable'!$A$4,"Site",$A15,"Year",I$1,"Transect",$B15))</f>
        <v/>
      </c>
      <c r="J15" s="17" t="str">
        <f>IF(OR(ISERROR(GETPIVOTDATA("Cover",'Cover PivotTable'!$A$4,"Site",$A15,"Year",J$1,"Transect",$B15)),GETPIVOTDATA("Cover",'Cover PivotTable'!$A$4,"Site",$A15,"Year",J$1)=""), "",GETPIVOTDATA("Cover",'Cover PivotTable'!$A$4,"Site",$A15,"Year",J$1,"Transect",$B15))</f>
        <v/>
      </c>
      <c r="K15" s="17" t="str">
        <f>IF(OR(ISERROR(GETPIVOTDATA("Cover",'Cover PivotTable'!$A$4,"Site",$A15,"Year",K$1,"Transect",$B15)),GETPIVOTDATA("Cover",'Cover PivotTable'!$A$4,"Site",$A15,"Year",K$1)=""), "",GETPIVOTDATA("Cover",'Cover PivotTable'!$A$4,"Site",$A15,"Year",K$1,"Transect",$B15))</f>
        <v/>
      </c>
      <c r="L15" s="17">
        <f>IF(OR(ISERROR(GETPIVOTDATA("Cover",'Cover PivotTable'!$A$4,"Site",$A15,"Year",L$1,"Transect",$B15)),GETPIVOTDATA("Cover",'Cover PivotTable'!$A$4,"Site",$A15,"Year",L$1)=""), "",GETPIVOTDATA("Cover",'Cover PivotTable'!$A$4,"Site",$A15,"Year",L$1,"Transect",$B15))</f>
        <v>4.1666666666666661</v>
      </c>
      <c r="M15" s="17" t="str">
        <f>IF(OR(ISERROR(GETPIVOTDATA("Cover",'Cover PivotTable'!$A$4,"Site",$A15,"Year",M$1,"Transect",$B15)),GETPIVOTDATA("Cover",'Cover PivotTable'!$A$4,"Site",$A15,"Year",M$1)=""), "",GETPIVOTDATA("Cover",'Cover PivotTable'!$A$4,"Site",$A15,"Year",M$1,"Transect",$B15))</f>
        <v/>
      </c>
      <c r="N15" s="17">
        <f>IF(OR(ISERROR(GETPIVOTDATA("Cover",'Cover PivotTable'!$A$4,"Site",$A15,"Year",N$1,"Transect",$B15)),GETPIVOTDATA("Cover",'Cover PivotTable'!$A$4,"Site",$A15,"Year",N$1)=""), "",GETPIVOTDATA("Cover",'Cover PivotTable'!$A$4,"Site",$A15,"Year",N$1,"Transect",$B15))</f>
        <v>0</v>
      </c>
      <c r="O15" s="17">
        <f>IF(OR(ISERROR(GETPIVOTDATA("Cover",'Cover PivotTable'!$A$4,"Site",$A15,"Year",O$1,"Transect",$B15)),GETPIVOTDATA("Cover",'Cover PivotTable'!$A$4,"Site",$A15,"Year",O$1)=""), "",GETPIVOTDATA("Cover",'Cover PivotTable'!$A$4,"Site",$A15,"Year",O$1,"Transect",$B15))</f>
        <v>4.3478260869565215</v>
      </c>
    </row>
    <row r="16" spans="1:15" x14ac:dyDescent="0.35">
      <c r="A16" t="s">
        <v>21</v>
      </c>
      <c r="B16">
        <v>15.1</v>
      </c>
      <c r="C16" s="17" t="str">
        <f>IF(OR(ISERROR(GETPIVOTDATA("Cover",'Cover PivotTable'!$A$4,"Site",$A16,"Year",C$1,"Transect",$B16)),GETPIVOTDATA("Cover",'Cover PivotTable'!$A$4,"Site",$A16,"Year",C$1)=""), "",GETPIVOTDATA("Cover",'Cover PivotTable'!$A$4,"Site",$A16,"Year",C$1,"Transect",$B16))</f>
        <v/>
      </c>
      <c r="D16" s="17" t="str">
        <f>IF(OR(ISERROR(GETPIVOTDATA("Cover",'Cover PivotTable'!$A$4,"Site",$A16,"Year",D$1,"Transect",$B16)),GETPIVOTDATA("Cover",'Cover PivotTable'!$A$4,"Site",$A16,"Year",D$1)=""), "",GETPIVOTDATA("Cover",'Cover PivotTable'!$A$4,"Site",$A16,"Year",D$1,"Transect",$B16))</f>
        <v/>
      </c>
      <c r="E16" s="17" t="str">
        <f>IF(OR(ISERROR(GETPIVOTDATA("Cover",'Cover PivotTable'!$A$4,"Site",$A16,"Year",E$1,"Transect",$B16)),GETPIVOTDATA("Cover",'Cover PivotTable'!$A$4,"Site",$A16,"Year",E$1)=""), "",GETPIVOTDATA("Cover",'Cover PivotTable'!$A$4,"Site",$A16,"Year",E$1,"Transect",$B16))</f>
        <v/>
      </c>
      <c r="F16" s="17" t="str">
        <f>IF(OR(ISERROR(GETPIVOTDATA("Cover",'Cover PivotTable'!$A$4,"Site",$A16,"Year",F$1,"Transect",$B16)),GETPIVOTDATA("Cover",'Cover PivotTable'!$A$4,"Site",$A16,"Year",F$1)=""), "",GETPIVOTDATA("Cover",'Cover PivotTable'!$A$4,"Site",$A16,"Year",F$1,"Transect",$B16))</f>
        <v/>
      </c>
      <c r="G16" s="17" t="str">
        <f>IF(OR(ISERROR(GETPIVOTDATA("Cover",'Cover PivotTable'!$A$4,"Site",$A16,"Year",G$1,"Transect",$B16)),GETPIVOTDATA("Cover",'Cover PivotTable'!$A$4,"Site",$A16,"Year",G$1)=""), "",GETPIVOTDATA("Cover",'Cover PivotTable'!$A$4,"Site",$A16,"Year",G$1,"Transect",$B16))</f>
        <v/>
      </c>
      <c r="H16" s="17" t="str">
        <f>IF(OR(ISERROR(GETPIVOTDATA("Cover",'Cover PivotTable'!$A$4,"Site",$A16,"Year",H$1,"Transect",$B16)),GETPIVOTDATA("Cover",'Cover PivotTable'!$A$4,"Site",$A16,"Year",H$1)=""), "",GETPIVOTDATA("Cover",'Cover PivotTable'!$A$4,"Site",$A16,"Year",H$1,"Transect",$B16))</f>
        <v/>
      </c>
      <c r="I16" s="17" t="str">
        <f>IF(OR(ISERROR(GETPIVOTDATA("Cover",'Cover PivotTable'!$A$4,"Site",$A16,"Year",I$1,"Transect",$B16)),GETPIVOTDATA("Cover",'Cover PivotTable'!$A$4,"Site",$A16,"Year",I$1)=""), "",GETPIVOTDATA("Cover",'Cover PivotTable'!$A$4,"Site",$A16,"Year",I$1,"Transect",$B16))</f>
        <v/>
      </c>
      <c r="J16" s="17" t="str">
        <f>IF(OR(ISERROR(GETPIVOTDATA("Cover",'Cover PivotTable'!$A$4,"Site",$A16,"Year",J$1,"Transect",$B16)),GETPIVOTDATA("Cover",'Cover PivotTable'!$A$4,"Site",$A16,"Year",J$1)=""), "",GETPIVOTDATA("Cover",'Cover PivotTable'!$A$4,"Site",$A16,"Year",J$1,"Transect",$B16))</f>
        <v/>
      </c>
      <c r="K16" s="17" t="str">
        <f>IF(OR(ISERROR(GETPIVOTDATA("Cover",'Cover PivotTable'!$A$4,"Site",$A16,"Year",K$1,"Transect",$B16)),GETPIVOTDATA("Cover",'Cover PivotTable'!$A$4,"Site",$A16,"Year",K$1)=""), "",GETPIVOTDATA("Cover",'Cover PivotTable'!$A$4,"Site",$A16,"Year",K$1,"Transect",$B16))</f>
        <v/>
      </c>
      <c r="L16" s="17" t="str">
        <f>IF(OR(ISERROR(GETPIVOTDATA("Cover",'Cover PivotTable'!$A$4,"Site",$A16,"Year",L$1,"Transect",$B16)),GETPIVOTDATA("Cover",'Cover PivotTable'!$A$4,"Site",$A16,"Year",L$1)=""), "",GETPIVOTDATA("Cover",'Cover PivotTable'!$A$4,"Site",$A16,"Year",L$1,"Transect",$B16))</f>
        <v/>
      </c>
      <c r="M16" s="17" t="str">
        <f>IF(OR(ISERROR(GETPIVOTDATA("Cover",'Cover PivotTable'!$A$4,"Site",$A16,"Year",M$1,"Transect",$B16)),GETPIVOTDATA("Cover",'Cover PivotTable'!$A$4,"Site",$A16,"Year",M$1)=""), "",GETPIVOTDATA("Cover",'Cover PivotTable'!$A$4,"Site",$A16,"Year",M$1,"Transect",$B16))</f>
        <v/>
      </c>
      <c r="N16" s="17" t="str">
        <f>IF(OR(ISERROR(GETPIVOTDATA("Cover",'Cover PivotTable'!$A$4,"Site",$A16,"Year",N$1,"Transect",$B16)),GETPIVOTDATA("Cover",'Cover PivotTable'!$A$4,"Site",$A16,"Year",N$1)=""), "",GETPIVOTDATA("Cover",'Cover PivotTable'!$A$4,"Site",$A16,"Year",N$1,"Transect",$B16))</f>
        <v/>
      </c>
      <c r="O16" s="17" t="str">
        <f>IF(OR(ISERROR(GETPIVOTDATA("Cover",'Cover PivotTable'!$A$4,"Site",$A16,"Year",O$1,"Transect",$B16)),GETPIVOTDATA("Cover",'Cover PivotTable'!$A$4,"Site",$A16,"Year",O$1)=""), "",GETPIVOTDATA("Cover",'Cover PivotTable'!$A$4,"Site",$A16,"Year",O$1,"Transect",$B16))</f>
        <v/>
      </c>
    </row>
    <row r="17" spans="1:15" x14ac:dyDescent="0.35">
      <c r="A17" t="s">
        <v>21</v>
      </c>
      <c r="B17">
        <v>16.100000000000001</v>
      </c>
      <c r="C17" s="17">
        <f>IF(OR(ISERROR(GETPIVOTDATA("Cover",'Cover PivotTable'!$A$4,"Site",$A17,"Year",C$1,"Transect",$B17)),GETPIVOTDATA("Cover",'Cover PivotTable'!$A$4,"Site",$A17,"Year",C$1)=""), "",GETPIVOTDATA("Cover",'Cover PivotTable'!$A$4,"Site",$A17,"Year",C$1,"Transect",$B17))</f>
        <v>0</v>
      </c>
      <c r="D17" s="17" t="str">
        <f>IF(OR(ISERROR(GETPIVOTDATA("Cover",'Cover PivotTable'!$A$4,"Site",$A17,"Year",D$1,"Transect",$B17)),GETPIVOTDATA("Cover",'Cover PivotTable'!$A$4,"Site",$A17,"Year",D$1)=""), "",GETPIVOTDATA("Cover",'Cover PivotTable'!$A$4,"Site",$A17,"Year",D$1,"Transect",$B17))</f>
        <v/>
      </c>
      <c r="E17" s="17" t="str">
        <f>IF(OR(ISERROR(GETPIVOTDATA("Cover",'Cover PivotTable'!$A$4,"Site",$A17,"Year",E$1,"Transect",$B17)),GETPIVOTDATA("Cover",'Cover PivotTable'!$A$4,"Site",$A17,"Year",E$1)=""), "",GETPIVOTDATA("Cover",'Cover PivotTable'!$A$4,"Site",$A17,"Year",E$1,"Transect",$B17))</f>
        <v/>
      </c>
      <c r="F17" s="17" t="str">
        <f>IF(OR(ISERROR(GETPIVOTDATA("Cover",'Cover PivotTable'!$A$4,"Site",$A17,"Year",F$1,"Transect",$B17)),GETPIVOTDATA("Cover",'Cover PivotTable'!$A$4,"Site",$A17,"Year",F$1)=""), "",GETPIVOTDATA("Cover",'Cover PivotTable'!$A$4,"Site",$A17,"Year",F$1,"Transect",$B17))</f>
        <v/>
      </c>
      <c r="G17" s="17">
        <f>IF(OR(ISERROR(GETPIVOTDATA("Cover",'Cover PivotTable'!$A$4,"Site",$A17,"Year",G$1,"Transect",$B17)),GETPIVOTDATA("Cover",'Cover PivotTable'!$A$4,"Site",$A17,"Year",G$1)=""), "",GETPIVOTDATA("Cover",'Cover PivotTable'!$A$4,"Site",$A17,"Year",G$1,"Transect",$B17))</f>
        <v>7.6923076923076925</v>
      </c>
      <c r="H17" s="17" t="str">
        <f>IF(OR(ISERROR(GETPIVOTDATA("Cover",'Cover PivotTable'!$A$4,"Site",$A17,"Year",H$1,"Transect",$B17)),GETPIVOTDATA("Cover",'Cover PivotTable'!$A$4,"Site",$A17,"Year",H$1)=""), "",GETPIVOTDATA("Cover",'Cover PivotTable'!$A$4,"Site",$A17,"Year",H$1,"Transect",$B17))</f>
        <v/>
      </c>
      <c r="I17" s="17" t="str">
        <f>IF(OR(ISERROR(GETPIVOTDATA("Cover",'Cover PivotTable'!$A$4,"Site",$A17,"Year",I$1,"Transect",$B17)),GETPIVOTDATA("Cover",'Cover PivotTable'!$A$4,"Site",$A17,"Year",I$1)=""), "",GETPIVOTDATA("Cover",'Cover PivotTable'!$A$4,"Site",$A17,"Year",I$1,"Transect",$B17))</f>
        <v/>
      </c>
      <c r="J17" s="17" t="str">
        <f>IF(OR(ISERROR(GETPIVOTDATA("Cover",'Cover PivotTable'!$A$4,"Site",$A17,"Year",J$1,"Transect",$B17)),GETPIVOTDATA("Cover",'Cover PivotTable'!$A$4,"Site",$A17,"Year",J$1)=""), "",GETPIVOTDATA("Cover",'Cover PivotTable'!$A$4,"Site",$A17,"Year",J$1,"Transect",$B17))</f>
        <v/>
      </c>
      <c r="K17" s="17" t="str">
        <f>IF(OR(ISERROR(GETPIVOTDATA("Cover",'Cover PivotTable'!$A$4,"Site",$A17,"Year",K$1,"Transect",$B17)),GETPIVOTDATA("Cover",'Cover PivotTable'!$A$4,"Site",$A17,"Year",K$1)=""), "",GETPIVOTDATA("Cover",'Cover PivotTable'!$A$4,"Site",$A17,"Year",K$1,"Transect",$B17))</f>
        <v/>
      </c>
      <c r="L17" s="17">
        <f>IF(OR(ISERROR(GETPIVOTDATA("Cover",'Cover PivotTable'!$A$4,"Site",$A17,"Year",L$1,"Transect",$B17)),GETPIVOTDATA("Cover",'Cover PivotTable'!$A$4,"Site",$A17,"Year",L$1)=""), "",GETPIVOTDATA("Cover",'Cover PivotTable'!$A$4,"Site",$A17,"Year",L$1,"Transect",$B17))</f>
        <v>0</v>
      </c>
      <c r="M17" s="17" t="str">
        <f>IF(OR(ISERROR(GETPIVOTDATA("Cover",'Cover PivotTable'!$A$4,"Site",$A17,"Year",M$1,"Transect",$B17)),GETPIVOTDATA("Cover",'Cover PivotTable'!$A$4,"Site",$A17,"Year",M$1)=""), "",GETPIVOTDATA("Cover",'Cover PivotTable'!$A$4,"Site",$A17,"Year",M$1,"Transect",$B17))</f>
        <v/>
      </c>
      <c r="N17" s="17">
        <f>IF(OR(ISERROR(GETPIVOTDATA("Cover",'Cover PivotTable'!$A$4,"Site",$A17,"Year",N$1,"Transect",$B17)),GETPIVOTDATA("Cover",'Cover PivotTable'!$A$4,"Site",$A17,"Year",N$1)=""), "",GETPIVOTDATA("Cover",'Cover PivotTable'!$A$4,"Site",$A17,"Year",N$1,"Transect",$B17))</f>
        <v>0</v>
      </c>
      <c r="O17" s="17">
        <f>IF(OR(ISERROR(GETPIVOTDATA("Cover",'Cover PivotTable'!$A$4,"Site",$A17,"Year",O$1,"Transect",$B17)),GETPIVOTDATA("Cover",'Cover PivotTable'!$A$4,"Site",$A17,"Year",O$1)=""), "",GETPIVOTDATA("Cover",'Cover PivotTable'!$A$4,"Site",$A17,"Year",O$1,"Transect",$B17))</f>
        <v>0</v>
      </c>
    </row>
    <row r="18" spans="1:15" ht="15" thickBot="1" x14ac:dyDescent="0.4">
      <c r="A18" s="19"/>
      <c r="B18" s="19"/>
      <c r="C18" s="19"/>
      <c r="D18" s="19"/>
      <c r="E18" s="19"/>
      <c r="F18" s="19"/>
      <c r="G18" s="19"/>
      <c r="H18" s="19"/>
      <c r="I18" s="19"/>
      <c r="J18" s="19"/>
      <c r="K18" s="19"/>
      <c r="L18" s="19"/>
      <c r="M18" s="19"/>
      <c r="N18" s="19"/>
      <c r="O18" s="19"/>
    </row>
    <row r="20" spans="1:15" x14ac:dyDescent="0.35">
      <c r="A20" t="s">
        <v>274</v>
      </c>
      <c r="C20" s="17">
        <f t="shared" ref="C20:O20" si="0">IF(SUM(C2:C17)=0, "", AVERAGE(C2:C17))</f>
        <v>4.4881333116627236</v>
      </c>
      <c r="D20" s="17" t="str">
        <f t="shared" si="0"/>
        <v/>
      </c>
      <c r="E20" s="17" t="str">
        <f t="shared" si="0"/>
        <v/>
      </c>
      <c r="F20" s="17" t="str">
        <f t="shared" si="0"/>
        <v/>
      </c>
      <c r="G20" s="17">
        <f t="shared" si="0"/>
        <v>4.2700434657863751</v>
      </c>
      <c r="H20" s="17" t="str">
        <f t="shared" si="0"/>
        <v/>
      </c>
      <c r="I20" s="17" t="str">
        <f t="shared" si="0"/>
        <v/>
      </c>
      <c r="J20" s="17" t="str">
        <f>IF(SUM(J2:J17)=0, "", AVERAGE(J2:J17))</f>
        <v/>
      </c>
      <c r="K20" s="17" t="str">
        <f t="shared" si="0"/>
        <v/>
      </c>
      <c r="L20" s="17">
        <f t="shared" si="0"/>
        <v>2.4815589294514542</v>
      </c>
      <c r="M20" s="17" t="str">
        <f>IF(SUM(M2:M17)=0, "", AVERAGE(M2:M17))</f>
        <v/>
      </c>
      <c r="N20" s="17">
        <f t="shared" si="0"/>
        <v>1.2148884866937606</v>
      </c>
      <c r="O20" s="17">
        <f t="shared" si="0"/>
        <v>4.4958024776121039</v>
      </c>
    </row>
    <row r="21" spans="1:15" x14ac:dyDescent="0.35">
      <c r="A21" t="s">
        <v>275</v>
      </c>
      <c r="C21" s="17">
        <f t="shared" ref="C21:O21" si="1">IF(SUM(C2:C17)=0, "",STDEV(C2:C17))</f>
        <v>5.5960220921619088</v>
      </c>
      <c r="D21" s="17" t="str">
        <f t="shared" si="1"/>
        <v/>
      </c>
      <c r="E21" s="17" t="str">
        <f t="shared" si="1"/>
        <v/>
      </c>
      <c r="F21" s="17" t="str">
        <f t="shared" si="1"/>
        <v/>
      </c>
      <c r="G21" s="17">
        <f t="shared" si="1"/>
        <v>3.7269884007628145</v>
      </c>
      <c r="H21" s="17" t="str">
        <f t="shared" si="1"/>
        <v/>
      </c>
      <c r="I21" s="17" t="str">
        <f t="shared" si="1"/>
        <v/>
      </c>
      <c r="J21" s="17" t="str">
        <f>IF(SUM(J2:J17)=0, "",STDEV(J2:J17))</f>
        <v/>
      </c>
      <c r="K21" s="17" t="str">
        <f t="shared" si="1"/>
        <v/>
      </c>
      <c r="L21" s="17">
        <f t="shared" si="1"/>
        <v>2.8047104816852721</v>
      </c>
      <c r="M21" s="17" t="str">
        <f>IF(SUM(M2:M17)=0, "",STDEV(M2:M17))</f>
        <v/>
      </c>
      <c r="N21" s="17">
        <f t="shared" si="1"/>
        <v>2.1645556680798399</v>
      </c>
      <c r="O21" s="17">
        <f t="shared" si="1"/>
        <v>4.4807555164042876</v>
      </c>
    </row>
    <row r="22" spans="1:15" x14ac:dyDescent="0.35">
      <c r="A22" t="s">
        <v>276</v>
      </c>
      <c r="C22" s="16">
        <f t="shared" ref="C22:O22" si="2">IF(SUM(C2:C17)=0,"",_xlfn.CONFIDENCE.T(0.2,C21,COUNT(C2:C17)))</f>
        <v>2.1049269815168881</v>
      </c>
      <c r="D22" s="16" t="str">
        <f t="shared" si="2"/>
        <v/>
      </c>
      <c r="E22" s="16" t="str">
        <f t="shared" si="2"/>
        <v/>
      </c>
      <c r="F22" s="16" t="str">
        <f t="shared" si="2"/>
        <v/>
      </c>
      <c r="G22" s="16">
        <f t="shared" si="2"/>
        <v>1.4018955456866957</v>
      </c>
      <c r="H22" s="16" t="str">
        <f t="shared" si="2"/>
        <v/>
      </c>
      <c r="I22" s="16" t="str">
        <f t="shared" si="2"/>
        <v/>
      </c>
      <c r="J22" s="16" t="str">
        <f>IF(SUM(J2:J17)=0,"",_xlfn.CONFIDENCE.T(0.2,J21,COUNT(J2:J17)))</f>
        <v/>
      </c>
      <c r="K22" s="16" t="str">
        <f t="shared" si="2"/>
        <v/>
      </c>
      <c r="L22" s="16">
        <f t="shared" si="2"/>
        <v>1.0549834634340729</v>
      </c>
      <c r="M22" s="16" t="str">
        <f>IF(SUM(M2:M17)=0,"",_xlfn.CONFIDENCE.T(0.2,M21,COUNT(M2:M17)))</f>
        <v/>
      </c>
      <c r="N22" s="16">
        <f t="shared" si="2"/>
        <v>0.81419114394102776</v>
      </c>
      <c r="O22" s="16">
        <f t="shared" si="2"/>
        <v>1.6854227929640448</v>
      </c>
    </row>
    <row r="23" spans="1:15" x14ac:dyDescent="0.35">
      <c r="A23" t="s">
        <v>277</v>
      </c>
      <c r="C23" s="17">
        <f>IF(C22="","",C20+C22)</f>
        <v>6.5930602931796116</v>
      </c>
      <c r="D23" s="17" t="str">
        <f t="shared" ref="D23:O23" si="3">IF(D22="","",D20+D22)</f>
        <v/>
      </c>
      <c r="E23" s="17" t="str">
        <f t="shared" si="3"/>
        <v/>
      </c>
      <c r="F23" s="17" t="str">
        <f t="shared" si="3"/>
        <v/>
      </c>
      <c r="G23" s="17">
        <f t="shared" si="3"/>
        <v>5.6719390114730706</v>
      </c>
      <c r="H23" s="17" t="str">
        <f t="shared" si="3"/>
        <v/>
      </c>
      <c r="I23" s="17" t="str">
        <f t="shared" si="3"/>
        <v/>
      </c>
      <c r="J23" s="17" t="str">
        <f>IF(J22="","",J20+J22)</f>
        <v/>
      </c>
      <c r="K23" s="17" t="str">
        <f t="shared" si="3"/>
        <v/>
      </c>
      <c r="L23" s="17">
        <f t="shared" si="3"/>
        <v>3.5365423928855271</v>
      </c>
      <c r="M23" s="17" t="str">
        <f>IF(M22="","",M20+M22)</f>
        <v/>
      </c>
      <c r="N23" s="17">
        <f t="shared" si="3"/>
        <v>2.0290796306347882</v>
      </c>
      <c r="O23" s="17">
        <f t="shared" si="3"/>
        <v>6.1812252705761486</v>
      </c>
    </row>
    <row r="25" spans="1:15" x14ac:dyDescent="0.35">
      <c r="A25" t="s">
        <v>270</v>
      </c>
      <c r="C25" s="17">
        <f t="shared" ref="C25:O25" si="4">VLOOKUP($A$2, TargetCover, 2, FALSE)*0.9</f>
        <v>29.7</v>
      </c>
      <c r="D25" s="17">
        <f t="shared" si="4"/>
        <v>29.7</v>
      </c>
      <c r="E25" s="17">
        <f t="shared" si="4"/>
        <v>29.7</v>
      </c>
      <c r="F25" s="17">
        <f t="shared" si="4"/>
        <v>29.7</v>
      </c>
      <c r="G25" s="17">
        <f t="shared" si="4"/>
        <v>29.7</v>
      </c>
      <c r="H25" s="17">
        <f t="shared" si="4"/>
        <v>29.7</v>
      </c>
      <c r="I25" s="17">
        <f t="shared" si="4"/>
        <v>29.7</v>
      </c>
      <c r="J25" s="17">
        <f t="shared" si="4"/>
        <v>29.7</v>
      </c>
      <c r="K25" s="17">
        <f t="shared" si="4"/>
        <v>29.7</v>
      </c>
      <c r="L25" s="17">
        <f t="shared" si="4"/>
        <v>29.7</v>
      </c>
      <c r="M25" s="17">
        <f t="shared" si="4"/>
        <v>29.7</v>
      </c>
      <c r="N25" s="17">
        <f t="shared" si="4"/>
        <v>29.7</v>
      </c>
      <c r="O25" s="17">
        <f t="shared" si="4"/>
        <v>29.7</v>
      </c>
    </row>
    <row r="26" spans="1:15" x14ac:dyDescent="0.35">
      <c r="A26" t="s">
        <v>283</v>
      </c>
      <c r="C26" s="17">
        <f>IF(C23="","",C23-C25)</f>
        <v>-23.106939706820388</v>
      </c>
      <c r="D26" s="17" t="str">
        <f>IF(D23="","",D23-D25)</f>
        <v/>
      </c>
      <c r="E26" s="17" t="str">
        <f t="shared" ref="E26:O26" si="5">IF(E23="","",E23-E25)</f>
        <v/>
      </c>
      <c r="F26" s="17" t="str">
        <f t="shared" si="5"/>
        <v/>
      </c>
      <c r="G26" s="17">
        <f t="shared" si="5"/>
        <v>-24.028060988526928</v>
      </c>
      <c r="H26" s="17" t="str">
        <f t="shared" si="5"/>
        <v/>
      </c>
      <c r="I26" s="17" t="str">
        <f t="shared" si="5"/>
        <v/>
      </c>
      <c r="J26" s="17" t="str">
        <f>IF(J23="","",J23-J25)</f>
        <v/>
      </c>
      <c r="K26" s="17" t="str">
        <f t="shared" si="5"/>
        <v/>
      </c>
      <c r="L26" s="17">
        <f t="shared" si="5"/>
        <v>-26.163457607114474</v>
      </c>
      <c r="M26" s="17" t="str">
        <f>IF(M23="","",M23-M25)</f>
        <v/>
      </c>
      <c r="N26" s="17">
        <f t="shared" si="5"/>
        <v>-27.670920369365213</v>
      </c>
      <c r="O26" s="17">
        <f t="shared" si="5"/>
        <v>-23.51877472942385</v>
      </c>
    </row>
    <row r="27" spans="1:15" x14ac:dyDescent="0.35">
      <c r="A27" t="s">
        <v>279</v>
      </c>
      <c r="C27" t="b">
        <f>IF(C26="","",C26&gt;=0)</f>
        <v>0</v>
      </c>
      <c r="D27" t="str">
        <f t="shared" ref="D27:O27" si="6">IF(D26="","",D26&gt;=0)</f>
        <v/>
      </c>
      <c r="E27" t="str">
        <f t="shared" si="6"/>
        <v/>
      </c>
      <c r="F27" t="str">
        <f t="shared" si="6"/>
        <v/>
      </c>
      <c r="G27" t="b">
        <f t="shared" si="6"/>
        <v>0</v>
      </c>
      <c r="H27" t="str">
        <f t="shared" si="6"/>
        <v/>
      </c>
      <c r="I27" t="str">
        <f t="shared" si="6"/>
        <v/>
      </c>
      <c r="J27" t="str">
        <f>IF(J26="","",J26&gt;=0)</f>
        <v/>
      </c>
      <c r="K27" t="str">
        <f t="shared" si="6"/>
        <v/>
      </c>
      <c r="L27" t="b">
        <f t="shared" si="6"/>
        <v>0</v>
      </c>
      <c r="M27" t="str">
        <f>IF(M26="","",M26&gt;=0)</f>
        <v/>
      </c>
      <c r="N27" t="b">
        <f t="shared" si="6"/>
        <v>0</v>
      </c>
      <c r="O27" t="b">
        <f t="shared" si="6"/>
        <v>0</v>
      </c>
    </row>
    <row r="28" spans="1:15" x14ac:dyDescent="0.35">
      <c r="A28" s="20"/>
      <c r="B28" s="20"/>
      <c r="C28" s="20"/>
      <c r="D28" s="20"/>
      <c r="E28" s="20"/>
      <c r="F28" s="20"/>
      <c r="G28" s="20"/>
      <c r="H28" s="20"/>
      <c r="I28" s="20"/>
      <c r="J28" s="20"/>
      <c r="K28" s="20"/>
      <c r="L28" s="20"/>
      <c r="M28" s="20"/>
      <c r="N28" s="20"/>
      <c r="O28" s="20"/>
    </row>
    <row r="30" spans="1:15" x14ac:dyDescent="0.35">
      <c r="A30" t="s">
        <v>280</v>
      </c>
      <c r="C30">
        <f>IF(GETPIVOTDATA("Helper_SPP",'Species Richness PivotTable'!$A$4,"Site",$A$2,"Year",C$1)="", "", GETPIVOTDATA("Helper_SPP",'Species Richness PivotTable'!$A$4,"Site",$A$2,"Year",C$1))</f>
        <v>4</v>
      </c>
      <c r="D30" t="str">
        <f>IF(GETPIVOTDATA("Helper_SPP",'Species Richness PivotTable'!$A$4,"Site",$A$2,"Year",D$1)="", "", GETPIVOTDATA("Helper_SPP",'Species Richness PivotTable'!$A$4,"Site",$A$2,"Year",D$1))</f>
        <v/>
      </c>
      <c r="E30" t="str">
        <f>IF(GETPIVOTDATA("Helper_SPP",'Species Richness PivotTable'!$A$4,"Site",$A$2,"Year",E$1)="", "", GETPIVOTDATA("Helper_SPP",'Species Richness PivotTable'!$A$4,"Site",$A$2,"Year",E$1))</f>
        <v/>
      </c>
      <c r="F30" t="str">
        <f>IF(GETPIVOTDATA("Helper_SPP",'Species Richness PivotTable'!$A$4,"Site",$A$2,"Year",F$1)="", "", GETPIVOTDATA("Helper_SPP",'Species Richness PivotTable'!$A$4,"Site",$A$2,"Year",F$1))</f>
        <v/>
      </c>
      <c r="G30">
        <f>IF(GETPIVOTDATA("Helper_SPP",'Species Richness PivotTable'!$A$4,"Site",$A$2,"Year",G$1)="", "", GETPIVOTDATA("Helper_SPP",'Species Richness PivotTable'!$A$4,"Site",$A$2,"Year",G$1))</f>
        <v>4</v>
      </c>
      <c r="H30" t="str">
        <f>IF(GETPIVOTDATA("Helper_SPP",'Species Richness PivotTable'!$A$4,"Site",$A$2,"Year",H$1)="", "", GETPIVOTDATA("Helper_SPP",'Species Richness PivotTable'!$A$4,"Site",$A$2,"Year",H$1))</f>
        <v/>
      </c>
      <c r="I30" t="str">
        <f>IF(GETPIVOTDATA("Helper_SPP",'Species Richness PivotTable'!$A$4,"Site",$A$2,"Year",I$1)="", "", GETPIVOTDATA("Helper_SPP",'Species Richness PivotTable'!$A$4,"Site",$A$2,"Year",I$1))</f>
        <v/>
      </c>
      <c r="J30" t="str">
        <f>IF(GETPIVOTDATA("Helper_SPP",'Species Richness PivotTable'!$A$4,"Site",$A$2,"Year",J$1)="", "", GETPIVOTDATA("Helper_SPP",'Species Richness PivotTable'!$A$4,"Site",$A$2,"Year",J$1))</f>
        <v/>
      </c>
      <c r="K30" t="str">
        <f>IF(GETPIVOTDATA("Helper_SPP",'Species Richness PivotTable'!$A$4,"Site",$A$2,"Year",K$1)="", "", GETPIVOTDATA("Helper_SPP",'Species Richness PivotTable'!$A$4,"Site",$A$2,"Year",K$1))</f>
        <v/>
      </c>
      <c r="L30">
        <f>IF(GETPIVOTDATA("Helper_SPP",'Species Richness PivotTable'!$A$4,"Site",$A$2,"Year",L$1)="", "", GETPIVOTDATA("Helper_SPP",'Species Richness PivotTable'!$A$4,"Site",$A$2,"Year",L$1))</f>
        <v>4</v>
      </c>
      <c r="M30" t="str">
        <f>IF(GETPIVOTDATA("Helper_SPP",'Species Richness PivotTable'!$A$4,"Site",$A$2,"Year",M$1)="", "", GETPIVOTDATA("Helper_SPP",'Species Richness PivotTable'!$A$4,"Site",$A$2,"Year",M$1))</f>
        <v/>
      </c>
      <c r="N30">
        <f>IF(GETPIVOTDATA("Helper_SPP",'Species Richness PivotTable'!$A$4,"Site",$A$2,"Year",N$1)="", "", GETPIVOTDATA("Helper_SPP",'Species Richness PivotTable'!$A$4,"Site",$A$2,"Year",N$1))</f>
        <v>2</v>
      </c>
      <c r="O30">
        <f>IF(GETPIVOTDATA("Helper_SPP",'Species Richness PivotTable'!$A$4,"Site",$A$2,"Year",O$1)="", "", GETPIVOTDATA("Helper_SPP",'Species Richness PivotTable'!$A$4,"Site",$A$2,"Year",O$1))</f>
        <v>4</v>
      </c>
    </row>
    <row r="31" spans="1:15" x14ac:dyDescent="0.35">
      <c r="A31" t="s">
        <v>281</v>
      </c>
      <c r="C31" s="18">
        <f t="shared" ref="C31:O31" si="7">VLOOKUP($A$2, TargetCover, 3, FALSE)*0.75</f>
        <v>2.25</v>
      </c>
      <c r="D31" s="18">
        <f t="shared" si="7"/>
        <v>2.25</v>
      </c>
      <c r="E31" s="18">
        <f t="shared" si="7"/>
        <v>2.25</v>
      </c>
      <c r="F31" s="18">
        <f t="shared" si="7"/>
        <v>2.25</v>
      </c>
      <c r="G31" s="18">
        <f t="shared" si="7"/>
        <v>2.25</v>
      </c>
      <c r="H31" s="18">
        <f t="shared" si="7"/>
        <v>2.25</v>
      </c>
      <c r="I31" s="18">
        <f t="shared" si="7"/>
        <v>2.25</v>
      </c>
      <c r="J31" s="18">
        <f t="shared" si="7"/>
        <v>2.25</v>
      </c>
      <c r="K31" s="18">
        <f t="shared" si="7"/>
        <v>2.25</v>
      </c>
      <c r="L31" s="18">
        <f t="shared" si="7"/>
        <v>2.25</v>
      </c>
      <c r="M31" s="18">
        <f t="shared" si="7"/>
        <v>2.25</v>
      </c>
      <c r="N31" s="18">
        <f t="shared" si="7"/>
        <v>2.25</v>
      </c>
      <c r="O31" s="18">
        <f t="shared" si="7"/>
        <v>2.25</v>
      </c>
    </row>
    <row r="32" spans="1:15" x14ac:dyDescent="0.35">
      <c r="A32" t="s">
        <v>282</v>
      </c>
      <c r="C32" t="b">
        <f>IF(C30="","",C30&gt;=C31)</f>
        <v>1</v>
      </c>
      <c r="D32" t="str">
        <f>IF(D30="","",D30&gt;=D31)</f>
        <v/>
      </c>
      <c r="E32" t="str">
        <f t="shared" ref="E32:O32" si="8">IF(E30="","",E30&gt;=E31)</f>
        <v/>
      </c>
      <c r="F32" t="str">
        <f t="shared" si="8"/>
        <v/>
      </c>
      <c r="G32" t="b">
        <f t="shared" si="8"/>
        <v>1</v>
      </c>
      <c r="H32" t="str">
        <f t="shared" si="8"/>
        <v/>
      </c>
      <c r="I32" t="str">
        <f t="shared" si="8"/>
        <v/>
      </c>
      <c r="J32" t="str">
        <f>IF(J30="","",J30&gt;=J31)</f>
        <v/>
      </c>
      <c r="K32" t="str">
        <f t="shared" si="8"/>
        <v/>
      </c>
      <c r="L32" t="b">
        <f t="shared" si="8"/>
        <v>1</v>
      </c>
      <c r="M32" t="str">
        <f>IF(M30="","",M30&gt;=M31)</f>
        <v/>
      </c>
      <c r="N32" t="b">
        <f t="shared" si="8"/>
        <v>0</v>
      </c>
      <c r="O32" t="b">
        <f t="shared" si="8"/>
        <v>1</v>
      </c>
    </row>
    <row r="33" spans="1:15" ht="15" thickBot="1" x14ac:dyDescent="0.4">
      <c r="A33" s="19"/>
      <c r="B33" s="19"/>
      <c r="C33" s="19"/>
      <c r="D33" s="19"/>
      <c r="E33" s="19"/>
      <c r="F33" s="19"/>
      <c r="G33" s="19"/>
      <c r="H33" s="19"/>
      <c r="I33" s="19"/>
      <c r="J33" s="19"/>
      <c r="K33" s="19"/>
      <c r="L33" s="19"/>
      <c r="M33" s="19"/>
      <c r="N33" s="19"/>
      <c r="O33" s="19"/>
    </row>
  </sheetData>
  <conditionalFormatting sqref="C27:G28 N27:O27 N32:O32 H27:L27 C32:L32">
    <cfRule type="cellIs" dxfId="21" priority="5" operator="equal">
      <formula>TRUE</formula>
    </cfRule>
    <cfRule type="cellIs" dxfId="20" priority="6" operator="equal">
      <formula>FALSE</formula>
    </cfRule>
  </conditionalFormatting>
  <conditionalFormatting sqref="M27">
    <cfRule type="cellIs" dxfId="19" priority="3" operator="equal">
      <formula>TRUE</formula>
    </cfRule>
    <cfRule type="cellIs" dxfId="18" priority="4" operator="equal">
      <formula>FALSE</formula>
    </cfRule>
  </conditionalFormatting>
  <conditionalFormatting sqref="M32">
    <cfRule type="cellIs" dxfId="17" priority="1" operator="equal">
      <formula>TRUE</formula>
    </cfRule>
    <cfRule type="cellIs" dxfId="16" priority="2" operator="equal">
      <formula>FALSE</formula>
    </cfRule>
  </conditionalFormatting>
  <pageMargins left="0.7" right="0.7" top="0.75" bottom="0.75" header="0.3" footer="0.3"/>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14"/>
  <dimension ref="A1:AQ791"/>
  <sheetViews>
    <sheetView topLeftCell="A389" zoomScaleNormal="100" workbookViewId="0">
      <selection activeCell="B306" sqref="B306"/>
    </sheetView>
  </sheetViews>
  <sheetFormatPr defaultRowHeight="14.5" x14ac:dyDescent="0.35"/>
  <cols>
    <col min="1" max="1" width="13.6328125" bestFit="1" customWidth="1"/>
    <col min="2" max="2" width="17.90625" bestFit="1" customWidth="1"/>
    <col min="3" max="3" width="11" bestFit="1" customWidth="1"/>
    <col min="4" max="4" width="19" bestFit="1" customWidth="1"/>
    <col min="5" max="5" width="12.6328125" bestFit="1" customWidth="1"/>
    <col min="6" max="6" width="11" bestFit="1" customWidth="1"/>
    <col min="7" max="7" width="19" bestFit="1" customWidth="1"/>
    <col min="8" max="8" width="12.6328125" bestFit="1" customWidth="1"/>
    <col min="9" max="9" width="11" bestFit="1" customWidth="1"/>
    <col min="10" max="10" width="19" bestFit="1" customWidth="1"/>
    <col min="11" max="11" width="12.6328125" bestFit="1" customWidth="1"/>
    <col min="12" max="12" width="11" bestFit="1" customWidth="1"/>
    <col min="13" max="13" width="19" bestFit="1" customWidth="1"/>
    <col min="14" max="14" width="12.6328125" bestFit="1" customWidth="1"/>
    <col min="15" max="15" width="11" bestFit="1" customWidth="1"/>
    <col min="16" max="16" width="19" bestFit="1" customWidth="1"/>
    <col min="17" max="17" width="12.6328125" bestFit="1" customWidth="1"/>
    <col min="18" max="18" width="11" bestFit="1" customWidth="1"/>
    <col min="19" max="19" width="19" bestFit="1" customWidth="1"/>
    <col min="20" max="20" width="12.6328125" bestFit="1" customWidth="1"/>
    <col min="21" max="21" width="11" bestFit="1" customWidth="1"/>
    <col min="22" max="22" width="19" bestFit="1" customWidth="1"/>
    <col min="23" max="23" width="12.6328125" bestFit="1" customWidth="1"/>
    <col min="24" max="24" width="11" bestFit="1" customWidth="1"/>
    <col min="25" max="25" width="19" bestFit="1" customWidth="1"/>
    <col min="26" max="26" width="12.6328125" bestFit="1" customWidth="1"/>
    <col min="27" max="27" width="11" bestFit="1" customWidth="1"/>
    <col min="28" max="28" width="19" bestFit="1" customWidth="1"/>
    <col min="29" max="29" width="12.6328125" bestFit="1" customWidth="1"/>
    <col min="30" max="30" width="11" bestFit="1" customWidth="1"/>
    <col min="31" max="31" width="19" bestFit="1" customWidth="1"/>
    <col min="32" max="32" width="12.6328125" bestFit="1" customWidth="1"/>
    <col min="33" max="33" width="11" bestFit="1" customWidth="1"/>
    <col min="34" max="34" width="19" bestFit="1" customWidth="1"/>
    <col min="35" max="35" width="12.6328125" bestFit="1" customWidth="1"/>
    <col min="36" max="36" width="11" bestFit="1" customWidth="1"/>
    <col min="37" max="37" width="19" bestFit="1" customWidth="1"/>
    <col min="38" max="38" width="12.6328125" bestFit="1" customWidth="1"/>
    <col min="39" max="39" width="11" bestFit="1" customWidth="1"/>
    <col min="40" max="40" width="19" bestFit="1" customWidth="1"/>
    <col min="41" max="41" width="12.6328125" bestFit="1" customWidth="1"/>
    <col min="42" max="42" width="11" bestFit="1" customWidth="1"/>
    <col min="43" max="43" width="19" bestFit="1" customWidth="1"/>
  </cols>
  <sheetData>
    <row r="1" spans="1:43" x14ac:dyDescent="0.35">
      <c r="A1" s="11" t="s">
        <v>261</v>
      </c>
      <c r="B1" t="s">
        <v>227</v>
      </c>
    </row>
    <row r="2" spans="1:43" x14ac:dyDescent="0.35">
      <c r="A2" s="11" t="s">
        <v>26</v>
      </c>
      <c r="B2" t="s">
        <v>264</v>
      </c>
    </row>
    <row r="4" spans="1:43" x14ac:dyDescent="0.35">
      <c r="B4" s="11" t="s">
        <v>219</v>
      </c>
    </row>
    <row r="5" spans="1:43" x14ac:dyDescent="0.35">
      <c r="B5">
        <v>1999</v>
      </c>
      <c r="E5">
        <v>2001</v>
      </c>
      <c r="H5">
        <v>2002</v>
      </c>
      <c r="K5">
        <v>2003</v>
      </c>
      <c r="N5">
        <v>2004</v>
      </c>
      <c r="Q5">
        <v>2005</v>
      </c>
      <c r="T5">
        <v>2006</v>
      </c>
      <c r="W5">
        <v>2007</v>
      </c>
      <c r="Z5">
        <v>2010</v>
      </c>
      <c r="AC5">
        <v>2012</v>
      </c>
      <c r="AF5">
        <v>2013</v>
      </c>
      <c r="AI5">
        <v>2016</v>
      </c>
      <c r="AL5">
        <v>2017</v>
      </c>
      <c r="AO5">
        <v>2019</v>
      </c>
    </row>
    <row r="6" spans="1:43" x14ac:dyDescent="0.35">
      <c r="A6" s="11" t="s">
        <v>263</v>
      </c>
      <c r="B6" t="s">
        <v>262</v>
      </c>
      <c r="C6" t="s">
        <v>286</v>
      </c>
      <c r="D6" t="s">
        <v>287</v>
      </c>
      <c r="E6" t="s">
        <v>262</v>
      </c>
      <c r="F6" t="s">
        <v>286</v>
      </c>
      <c r="G6" t="s">
        <v>287</v>
      </c>
      <c r="H6" t="s">
        <v>262</v>
      </c>
      <c r="I6" t="s">
        <v>286</v>
      </c>
      <c r="J6" t="s">
        <v>287</v>
      </c>
      <c r="K6" t="s">
        <v>262</v>
      </c>
      <c r="L6" t="s">
        <v>286</v>
      </c>
      <c r="M6" t="s">
        <v>287</v>
      </c>
      <c r="N6" t="s">
        <v>262</v>
      </c>
      <c r="O6" t="s">
        <v>286</v>
      </c>
      <c r="P6" t="s">
        <v>287</v>
      </c>
      <c r="Q6" t="s">
        <v>262</v>
      </c>
      <c r="R6" t="s">
        <v>286</v>
      </c>
      <c r="S6" t="s">
        <v>287</v>
      </c>
      <c r="T6" t="s">
        <v>262</v>
      </c>
      <c r="U6" t="s">
        <v>286</v>
      </c>
      <c r="V6" t="s">
        <v>287</v>
      </c>
      <c r="W6" t="s">
        <v>262</v>
      </c>
      <c r="X6" t="s">
        <v>286</v>
      </c>
      <c r="Y6" t="s">
        <v>287</v>
      </c>
      <c r="Z6" t="s">
        <v>262</v>
      </c>
      <c r="AA6" t="s">
        <v>286</v>
      </c>
      <c r="AB6" t="s">
        <v>287</v>
      </c>
      <c r="AC6" t="s">
        <v>262</v>
      </c>
      <c r="AD6" t="s">
        <v>286</v>
      </c>
      <c r="AE6" t="s">
        <v>287</v>
      </c>
      <c r="AF6" t="s">
        <v>262</v>
      </c>
      <c r="AG6" t="s">
        <v>286</v>
      </c>
      <c r="AH6" t="s">
        <v>287</v>
      </c>
      <c r="AI6" t="s">
        <v>262</v>
      </c>
      <c r="AJ6" t="s">
        <v>286</v>
      </c>
      <c r="AK6" t="s">
        <v>287</v>
      </c>
      <c r="AL6" t="s">
        <v>262</v>
      </c>
      <c r="AM6" t="s">
        <v>286</v>
      </c>
      <c r="AN6" t="s">
        <v>287</v>
      </c>
      <c r="AO6" t="s">
        <v>262</v>
      </c>
      <c r="AP6" t="s">
        <v>286</v>
      </c>
      <c r="AQ6" t="s">
        <v>287</v>
      </c>
    </row>
    <row r="7" spans="1:43" x14ac:dyDescent="0.35">
      <c r="A7" s="1" t="s">
        <v>9</v>
      </c>
      <c r="B7">
        <v>128</v>
      </c>
      <c r="C7">
        <v>256</v>
      </c>
      <c r="D7">
        <v>955.80000000000098</v>
      </c>
      <c r="T7">
        <v>172.5</v>
      </c>
      <c r="U7">
        <v>345</v>
      </c>
      <c r="V7">
        <v>938.10000000000093</v>
      </c>
      <c r="AC7">
        <v>165.68477521327264</v>
      </c>
      <c r="AD7">
        <v>330</v>
      </c>
      <c r="AE7">
        <v>991.20000000000107</v>
      </c>
      <c r="AI7">
        <v>107.5</v>
      </c>
      <c r="AJ7">
        <v>215</v>
      </c>
      <c r="AK7">
        <v>1062.0000000000011</v>
      </c>
      <c r="AL7">
        <v>246</v>
      </c>
      <c r="AM7">
        <v>492</v>
      </c>
      <c r="AN7">
        <v>1770.000000000003</v>
      </c>
      <c r="AO7">
        <v>519.5</v>
      </c>
      <c r="AP7">
        <v>1039</v>
      </c>
      <c r="AQ7">
        <v>2301.0000000000009</v>
      </c>
    </row>
    <row r="8" spans="1:43" x14ac:dyDescent="0.35">
      <c r="A8" s="14">
        <v>1.1000000000000001</v>
      </c>
      <c r="B8">
        <v>4</v>
      </c>
      <c r="C8">
        <v>8</v>
      </c>
      <c r="D8">
        <v>35.4</v>
      </c>
      <c r="T8">
        <v>10</v>
      </c>
      <c r="U8">
        <v>20</v>
      </c>
      <c r="V8">
        <v>35.4</v>
      </c>
      <c r="AC8">
        <v>11</v>
      </c>
      <c r="AD8">
        <v>22</v>
      </c>
      <c r="AE8">
        <v>35.4</v>
      </c>
      <c r="AI8">
        <v>9</v>
      </c>
      <c r="AJ8">
        <v>18</v>
      </c>
      <c r="AK8">
        <v>35.4</v>
      </c>
      <c r="AL8">
        <v>17</v>
      </c>
      <c r="AM8">
        <v>34</v>
      </c>
      <c r="AN8">
        <v>35.4</v>
      </c>
      <c r="AO8">
        <v>17</v>
      </c>
      <c r="AP8">
        <v>34</v>
      </c>
      <c r="AQ8">
        <v>35.4</v>
      </c>
    </row>
    <row r="9" spans="1:43" x14ac:dyDescent="0.35">
      <c r="A9" s="37" t="s">
        <v>12</v>
      </c>
      <c r="B9">
        <v>1</v>
      </c>
      <c r="C9">
        <v>2</v>
      </c>
      <c r="D9">
        <v>17.7</v>
      </c>
      <c r="T9">
        <v>2</v>
      </c>
      <c r="U9">
        <v>4</v>
      </c>
      <c r="V9">
        <v>17.7</v>
      </c>
      <c r="AC9">
        <v>2.5</v>
      </c>
      <c r="AD9">
        <v>5</v>
      </c>
      <c r="AE9">
        <v>17.7</v>
      </c>
      <c r="AI9">
        <v>2.5</v>
      </c>
      <c r="AJ9">
        <v>5</v>
      </c>
      <c r="AK9">
        <v>17.7</v>
      </c>
      <c r="AL9">
        <v>3.5000000000000004</v>
      </c>
      <c r="AM9">
        <v>7</v>
      </c>
      <c r="AN9">
        <v>17.7</v>
      </c>
      <c r="AO9">
        <v>5</v>
      </c>
      <c r="AP9">
        <v>10</v>
      </c>
      <c r="AQ9">
        <v>17.7</v>
      </c>
    </row>
    <row r="10" spans="1:43" x14ac:dyDescent="0.35">
      <c r="A10" s="37" t="s">
        <v>11</v>
      </c>
      <c r="B10">
        <v>3</v>
      </c>
      <c r="C10">
        <v>6</v>
      </c>
      <c r="D10">
        <v>17.7</v>
      </c>
      <c r="T10">
        <v>8</v>
      </c>
      <c r="U10">
        <v>16</v>
      </c>
      <c r="V10">
        <v>17.7</v>
      </c>
      <c r="AC10">
        <v>8.5</v>
      </c>
      <c r="AD10">
        <v>17</v>
      </c>
      <c r="AE10">
        <v>17.7</v>
      </c>
      <c r="AI10">
        <v>6.5</v>
      </c>
      <c r="AJ10">
        <v>13</v>
      </c>
      <c r="AK10">
        <v>17.7</v>
      </c>
      <c r="AL10">
        <v>13.5</v>
      </c>
      <c r="AM10">
        <v>27</v>
      </c>
      <c r="AN10">
        <v>17.7</v>
      </c>
      <c r="AO10">
        <v>12</v>
      </c>
      <c r="AP10">
        <v>24</v>
      </c>
      <c r="AQ10">
        <v>17.7</v>
      </c>
    </row>
    <row r="11" spans="1:43" x14ac:dyDescent="0.35">
      <c r="A11" s="14">
        <v>1.2</v>
      </c>
      <c r="B11">
        <v>0.5</v>
      </c>
      <c r="C11">
        <v>1</v>
      </c>
      <c r="D11">
        <v>17.7</v>
      </c>
      <c r="T11">
        <v>2.5</v>
      </c>
      <c r="U11">
        <v>5</v>
      </c>
      <c r="V11">
        <v>17.7</v>
      </c>
      <c r="AC11">
        <v>4</v>
      </c>
      <c r="AD11">
        <v>8</v>
      </c>
      <c r="AE11">
        <v>17.7</v>
      </c>
      <c r="AI11">
        <v>5.5</v>
      </c>
      <c r="AJ11">
        <v>11</v>
      </c>
      <c r="AK11">
        <v>17.7</v>
      </c>
      <c r="AL11">
        <v>10</v>
      </c>
      <c r="AM11">
        <v>20</v>
      </c>
      <c r="AN11">
        <v>35.4</v>
      </c>
      <c r="AO11">
        <v>17</v>
      </c>
      <c r="AP11">
        <v>34</v>
      </c>
      <c r="AQ11">
        <v>35.4</v>
      </c>
    </row>
    <row r="12" spans="1:43" x14ac:dyDescent="0.35">
      <c r="A12" s="37" t="s">
        <v>12</v>
      </c>
      <c r="AO12">
        <v>1</v>
      </c>
      <c r="AP12">
        <v>2</v>
      </c>
      <c r="AQ12">
        <v>17.7</v>
      </c>
    </row>
    <row r="13" spans="1:43" x14ac:dyDescent="0.35">
      <c r="A13" s="37" t="s">
        <v>6</v>
      </c>
      <c r="AL13">
        <v>0.5</v>
      </c>
      <c r="AM13">
        <v>1</v>
      </c>
      <c r="AN13">
        <v>17.7</v>
      </c>
    </row>
    <row r="14" spans="1:43" x14ac:dyDescent="0.35">
      <c r="A14" s="37" t="s">
        <v>11</v>
      </c>
      <c r="B14">
        <v>0.5</v>
      </c>
      <c r="C14">
        <v>1</v>
      </c>
      <c r="D14">
        <v>17.7</v>
      </c>
      <c r="T14">
        <v>2.5</v>
      </c>
      <c r="U14">
        <v>5</v>
      </c>
      <c r="V14">
        <v>17.7</v>
      </c>
      <c r="AC14">
        <v>4</v>
      </c>
      <c r="AD14">
        <v>8</v>
      </c>
      <c r="AE14">
        <v>17.7</v>
      </c>
      <c r="AI14">
        <v>5.5</v>
      </c>
      <c r="AJ14">
        <v>11</v>
      </c>
      <c r="AK14">
        <v>17.7</v>
      </c>
      <c r="AL14">
        <v>9.5</v>
      </c>
      <c r="AM14">
        <v>19</v>
      </c>
      <c r="AN14">
        <v>17.7</v>
      </c>
      <c r="AO14">
        <v>16</v>
      </c>
      <c r="AP14">
        <v>32</v>
      </c>
      <c r="AQ14">
        <v>17.7</v>
      </c>
    </row>
    <row r="15" spans="1:43" x14ac:dyDescent="0.35">
      <c r="A15" s="14">
        <v>1.3</v>
      </c>
      <c r="B15">
        <v>0.5</v>
      </c>
      <c r="C15">
        <v>1</v>
      </c>
      <c r="D15">
        <v>17.7</v>
      </c>
      <c r="AI15">
        <v>1</v>
      </c>
      <c r="AJ15">
        <v>2</v>
      </c>
      <c r="AK15">
        <v>35.4</v>
      </c>
      <c r="AL15">
        <v>14.5</v>
      </c>
      <c r="AM15">
        <v>29</v>
      </c>
      <c r="AN15">
        <v>70.8</v>
      </c>
      <c r="AO15">
        <v>14.5</v>
      </c>
      <c r="AP15">
        <v>29</v>
      </c>
      <c r="AQ15">
        <v>53.099999999999994</v>
      </c>
    </row>
    <row r="16" spans="1:43" x14ac:dyDescent="0.35">
      <c r="A16" s="37" t="s">
        <v>12</v>
      </c>
      <c r="AL16">
        <v>6</v>
      </c>
      <c r="AM16">
        <v>12</v>
      </c>
      <c r="AN16">
        <v>17.7</v>
      </c>
      <c r="AO16">
        <v>6.5</v>
      </c>
      <c r="AP16">
        <v>13</v>
      </c>
      <c r="AQ16">
        <v>17.7</v>
      </c>
    </row>
    <row r="17" spans="1:43" x14ac:dyDescent="0.35">
      <c r="A17" s="37" t="s">
        <v>6</v>
      </c>
      <c r="AI17">
        <v>0.5</v>
      </c>
      <c r="AJ17">
        <v>1</v>
      </c>
      <c r="AK17">
        <v>17.7</v>
      </c>
      <c r="AL17">
        <v>3.5000000000000004</v>
      </c>
      <c r="AM17">
        <v>7</v>
      </c>
      <c r="AN17">
        <v>17.7</v>
      </c>
      <c r="AO17">
        <v>6</v>
      </c>
      <c r="AP17">
        <v>12</v>
      </c>
      <c r="AQ17">
        <v>17.7</v>
      </c>
    </row>
    <row r="18" spans="1:43" x14ac:dyDescent="0.35">
      <c r="A18" s="37" t="s">
        <v>3</v>
      </c>
      <c r="AL18">
        <v>0.5</v>
      </c>
      <c r="AM18">
        <v>1</v>
      </c>
      <c r="AN18">
        <v>17.7</v>
      </c>
    </row>
    <row r="19" spans="1:43" x14ac:dyDescent="0.35">
      <c r="A19" s="37" t="s">
        <v>11</v>
      </c>
      <c r="B19">
        <v>0.5</v>
      </c>
      <c r="C19">
        <v>1</v>
      </c>
      <c r="D19">
        <v>17.7</v>
      </c>
      <c r="AI19">
        <v>0.5</v>
      </c>
      <c r="AJ19">
        <v>1</v>
      </c>
      <c r="AK19">
        <v>17.7</v>
      </c>
      <c r="AL19">
        <v>4.5</v>
      </c>
      <c r="AM19">
        <v>9</v>
      </c>
      <c r="AN19">
        <v>17.7</v>
      </c>
      <c r="AO19">
        <v>2</v>
      </c>
      <c r="AP19">
        <v>4</v>
      </c>
      <c r="AQ19">
        <v>17.7</v>
      </c>
    </row>
    <row r="20" spans="1:43" x14ac:dyDescent="0.35">
      <c r="A20" s="14">
        <v>1.4</v>
      </c>
      <c r="AC20">
        <v>2</v>
      </c>
      <c r="AD20">
        <v>4</v>
      </c>
      <c r="AE20">
        <v>17.7</v>
      </c>
      <c r="AI20">
        <v>3</v>
      </c>
      <c r="AJ20">
        <v>6</v>
      </c>
      <c r="AK20">
        <v>17.7</v>
      </c>
      <c r="AL20">
        <v>5.5</v>
      </c>
      <c r="AM20">
        <v>11</v>
      </c>
      <c r="AN20">
        <v>53.099999999999994</v>
      </c>
      <c r="AO20">
        <v>13</v>
      </c>
      <c r="AP20">
        <v>26</v>
      </c>
      <c r="AQ20">
        <v>70.8</v>
      </c>
    </row>
    <row r="21" spans="1:43" x14ac:dyDescent="0.35">
      <c r="A21" s="37" t="s">
        <v>12</v>
      </c>
      <c r="AL21">
        <v>1</v>
      </c>
      <c r="AM21">
        <v>2</v>
      </c>
      <c r="AN21">
        <v>17.7</v>
      </c>
      <c r="AO21">
        <v>6.5</v>
      </c>
      <c r="AP21">
        <v>13</v>
      </c>
      <c r="AQ21">
        <v>17.7</v>
      </c>
    </row>
    <row r="22" spans="1:43" x14ac:dyDescent="0.35">
      <c r="A22" s="37" t="s">
        <v>6</v>
      </c>
      <c r="AL22">
        <v>1</v>
      </c>
      <c r="AM22">
        <v>2</v>
      </c>
      <c r="AN22">
        <v>17.7</v>
      </c>
      <c r="AO22">
        <v>3</v>
      </c>
      <c r="AP22">
        <v>6</v>
      </c>
      <c r="AQ22">
        <v>17.7</v>
      </c>
    </row>
    <row r="23" spans="1:43" x14ac:dyDescent="0.35">
      <c r="A23" s="37" t="s">
        <v>3</v>
      </c>
      <c r="AO23">
        <v>1</v>
      </c>
      <c r="AP23">
        <v>2</v>
      </c>
      <c r="AQ23">
        <v>17.7</v>
      </c>
    </row>
    <row r="24" spans="1:43" x14ac:dyDescent="0.35">
      <c r="A24" s="37" t="s">
        <v>11</v>
      </c>
      <c r="AC24">
        <v>2</v>
      </c>
      <c r="AD24">
        <v>4</v>
      </c>
      <c r="AE24">
        <v>17.7</v>
      </c>
      <c r="AI24">
        <v>3</v>
      </c>
      <c r="AJ24">
        <v>6</v>
      </c>
      <c r="AK24">
        <v>17.7</v>
      </c>
      <c r="AL24">
        <v>3.5000000000000004</v>
      </c>
      <c r="AM24">
        <v>7</v>
      </c>
      <c r="AN24">
        <v>17.7</v>
      </c>
      <c r="AO24">
        <v>2.5</v>
      </c>
      <c r="AP24">
        <v>5</v>
      </c>
      <c r="AQ24">
        <v>17.7</v>
      </c>
    </row>
    <row r="25" spans="1:43" x14ac:dyDescent="0.35">
      <c r="A25" s="14">
        <v>1.5</v>
      </c>
      <c r="B25">
        <v>1</v>
      </c>
      <c r="C25">
        <v>2</v>
      </c>
      <c r="D25">
        <v>17.7</v>
      </c>
      <c r="AC25">
        <v>0.5</v>
      </c>
      <c r="AD25">
        <v>1</v>
      </c>
      <c r="AE25">
        <v>17.7</v>
      </c>
      <c r="AI25">
        <v>1</v>
      </c>
      <c r="AJ25">
        <v>2</v>
      </c>
      <c r="AK25">
        <v>17.7</v>
      </c>
      <c r="AL25">
        <v>5.5</v>
      </c>
      <c r="AM25">
        <v>11</v>
      </c>
      <c r="AN25">
        <v>53.099999999999994</v>
      </c>
      <c r="AO25">
        <v>12.5</v>
      </c>
      <c r="AP25">
        <v>25</v>
      </c>
      <c r="AQ25">
        <v>70.8</v>
      </c>
    </row>
    <row r="26" spans="1:43" x14ac:dyDescent="0.35">
      <c r="A26" s="37" t="s">
        <v>12</v>
      </c>
      <c r="AL26">
        <v>1.5</v>
      </c>
      <c r="AM26">
        <v>3</v>
      </c>
      <c r="AN26">
        <v>17.7</v>
      </c>
      <c r="AO26">
        <v>6.5</v>
      </c>
      <c r="AP26">
        <v>13</v>
      </c>
      <c r="AQ26">
        <v>17.7</v>
      </c>
    </row>
    <row r="27" spans="1:43" x14ac:dyDescent="0.35">
      <c r="A27" s="37" t="s">
        <v>6</v>
      </c>
      <c r="AL27">
        <v>2</v>
      </c>
      <c r="AM27">
        <v>4</v>
      </c>
      <c r="AN27">
        <v>17.7</v>
      </c>
      <c r="AO27">
        <v>0.5</v>
      </c>
      <c r="AP27">
        <v>1</v>
      </c>
      <c r="AQ27">
        <v>17.7</v>
      </c>
    </row>
    <row r="28" spans="1:43" x14ac:dyDescent="0.35">
      <c r="A28" s="37" t="s">
        <v>11</v>
      </c>
      <c r="AC28">
        <v>0.5</v>
      </c>
      <c r="AD28">
        <v>1</v>
      </c>
      <c r="AE28">
        <v>17.7</v>
      </c>
      <c r="AI28">
        <v>1</v>
      </c>
      <c r="AJ28">
        <v>2</v>
      </c>
      <c r="AK28">
        <v>17.7</v>
      </c>
      <c r="AL28">
        <v>2</v>
      </c>
      <c r="AM28">
        <v>4</v>
      </c>
      <c r="AN28">
        <v>17.7</v>
      </c>
      <c r="AO28">
        <v>3.5000000000000004</v>
      </c>
      <c r="AP28">
        <v>7</v>
      </c>
      <c r="AQ28">
        <v>17.7</v>
      </c>
    </row>
    <row r="29" spans="1:43" x14ac:dyDescent="0.35">
      <c r="A29" s="37" t="s">
        <v>2</v>
      </c>
      <c r="B29">
        <v>1</v>
      </c>
      <c r="C29">
        <v>2</v>
      </c>
      <c r="D29">
        <v>17.7</v>
      </c>
      <c r="AO29">
        <v>2</v>
      </c>
      <c r="AP29">
        <v>4</v>
      </c>
      <c r="AQ29">
        <v>17.7</v>
      </c>
    </row>
    <row r="30" spans="1:43" x14ac:dyDescent="0.35">
      <c r="A30" s="14">
        <v>1.6</v>
      </c>
      <c r="B30">
        <v>0.5</v>
      </c>
      <c r="C30">
        <v>1</v>
      </c>
      <c r="D30">
        <v>17.7</v>
      </c>
      <c r="AC30">
        <v>1</v>
      </c>
      <c r="AD30">
        <v>2</v>
      </c>
      <c r="AE30">
        <v>17.7</v>
      </c>
      <c r="AI30">
        <v>1</v>
      </c>
      <c r="AJ30">
        <v>2</v>
      </c>
      <c r="AK30">
        <v>17.7</v>
      </c>
      <c r="AL30">
        <v>3.5</v>
      </c>
      <c r="AM30">
        <v>7</v>
      </c>
      <c r="AN30">
        <v>53.099999999999994</v>
      </c>
      <c r="AO30">
        <v>7.5</v>
      </c>
      <c r="AP30">
        <v>15</v>
      </c>
      <c r="AQ30">
        <v>53.099999999999994</v>
      </c>
    </row>
    <row r="31" spans="1:43" x14ac:dyDescent="0.35">
      <c r="A31" s="37" t="s">
        <v>12</v>
      </c>
      <c r="AL31">
        <v>1</v>
      </c>
      <c r="AM31">
        <v>2</v>
      </c>
      <c r="AN31">
        <v>17.7</v>
      </c>
      <c r="AO31">
        <v>1</v>
      </c>
      <c r="AP31">
        <v>2</v>
      </c>
      <c r="AQ31">
        <v>17.7</v>
      </c>
    </row>
    <row r="32" spans="1:43" x14ac:dyDescent="0.35">
      <c r="A32" s="37" t="s">
        <v>6</v>
      </c>
      <c r="AL32">
        <v>0.5</v>
      </c>
      <c r="AM32">
        <v>1</v>
      </c>
      <c r="AN32">
        <v>17.7</v>
      </c>
      <c r="AO32">
        <v>1.5</v>
      </c>
      <c r="AP32">
        <v>3</v>
      </c>
      <c r="AQ32">
        <v>17.7</v>
      </c>
    </row>
    <row r="33" spans="1:43" x14ac:dyDescent="0.35">
      <c r="A33" s="37" t="s">
        <v>11</v>
      </c>
      <c r="AC33">
        <v>1</v>
      </c>
      <c r="AD33">
        <v>2</v>
      </c>
      <c r="AE33">
        <v>17.7</v>
      </c>
      <c r="AI33">
        <v>1</v>
      </c>
      <c r="AJ33">
        <v>2</v>
      </c>
      <c r="AK33">
        <v>17.7</v>
      </c>
      <c r="AL33">
        <v>2</v>
      </c>
      <c r="AM33">
        <v>4</v>
      </c>
      <c r="AN33">
        <v>17.7</v>
      </c>
      <c r="AO33">
        <v>5</v>
      </c>
      <c r="AP33">
        <v>10</v>
      </c>
      <c r="AQ33">
        <v>17.7</v>
      </c>
    </row>
    <row r="34" spans="1:43" x14ac:dyDescent="0.35">
      <c r="A34" s="37" t="s">
        <v>2</v>
      </c>
      <c r="B34">
        <v>0.5</v>
      </c>
      <c r="C34">
        <v>1</v>
      </c>
      <c r="D34">
        <v>17.7</v>
      </c>
    </row>
    <row r="35" spans="1:43" x14ac:dyDescent="0.35">
      <c r="A35" s="14">
        <v>1.7</v>
      </c>
      <c r="B35">
        <v>3.5000000000000004</v>
      </c>
      <c r="C35">
        <v>7</v>
      </c>
      <c r="D35">
        <v>17.7</v>
      </c>
      <c r="T35">
        <v>2</v>
      </c>
      <c r="U35">
        <v>4</v>
      </c>
      <c r="V35">
        <v>17.7</v>
      </c>
      <c r="AC35">
        <v>6.5</v>
      </c>
      <c r="AD35">
        <v>13</v>
      </c>
      <c r="AE35">
        <v>17.7</v>
      </c>
      <c r="AI35">
        <v>2</v>
      </c>
      <c r="AJ35">
        <v>4</v>
      </c>
      <c r="AK35">
        <v>17.7</v>
      </c>
      <c r="AL35">
        <v>8.5</v>
      </c>
      <c r="AM35">
        <v>17</v>
      </c>
      <c r="AN35">
        <v>35.4</v>
      </c>
      <c r="AO35">
        <v>13</v>
      </c>
      <c r="AP35">
        <v>26</v>
      </c>
      <c r="AQ35">
        <v>17.7</v>
      </c>
    </row>
    <row r="36" spans="1:43" x14ac:dyDescent="0.35">
      <c r="A36" s="37" t="s">
        <v>11</v>
      </c>
      <c r="B36">
        <v>3.5000000000000004</v>
      </c>
      <c r="C36">
        <v>7</v>
      </c>
      <c r="D36">
        <v>17.7</v>
      </c>
      <c r="T36">
        <v>2</v>
      </c>
      <c r="U36">
        <v>4</v>
      </c>
      <c r="V36">
        <v>17.7</v>
      </c>
      <c r="AC36">
        <v>6.5</v>
      </c>
      <c r="AD36">
        <v>13</v>
      </c>
      <c r="AE36">
        <v>17.7</v>
      </c>
      <c r="AI36">
        <v>2</v>
      </c>
      <c r="AJ36">
        <v>4</v>
      </c>
      <c r="AK36">
        <v>17.7</v>
      </c>
      <c r="AL36">
        <v>8</v>
      </c>
      <c r="AM36">
        <v>16</v>
      </c>
      <c r="AN36">
        <v>17.7</v>
      </c>
      <c r="AO36">
        <v>13</v>
      </c>
      <c r="AP36">
        <v>26</v>
      </c>
      <c r="AQ36">
        <v>17.7</v>
      </c>
    </row>
    <row r="37" spans="1:43" x14ac:dyDescent="0.35">
      <c r="A37" s="37" t="s">
        <v>139</v>
      </c>
      <c r="AL37">
        <v>0.5</v>
      </c>
      <c r="AM37">
        <v>1</v>
      </c>
      <c r="AN37">
        <v>17.7</v>
      </c>
    </row>
    <row r="38" spans="1:43" x14ac:dyDescent="0.35">
      <c r="A38" s="14">
        <v>2.1</v>
      </c>
      <c r="B38">
        <v>6</v>
      </c>
      <c r="C38">
        <v>12</v>
      </c>
      <c r="D38">
        <v>53.099999999999994</v>
      </c>
      <c r="T38">
        <v>5.5</v>
      </c>
      <c r="U38">
        <v>11</v>
      </c>
      <c r="V38">
        <v>35.4</v>
      </c>
      <c r="AC38">
        <v>4.5</v>
      </c>
      <c r="AD38">
        <v>9</v>
      </c>
      <c r="AE38">
        <v>17.7</v>
      </c>
      <c r="AI38">
        <v>3</v>
      </c>
      <c r="AJ38">
        <v>6</v>
      </c>
      <c r="AK38">
        <v>17.7</v>
      </c>
      <c r="AL38">
        <v>2.5</v>
      </c>
      <c r="AM38">
        <v>5</v>
      </c>
      <c r="AN38">
        <v>17.7</v>
      </c>
      <c r="AO38">
        <v>8.5</v>
      </c>
      <c r="AP38">
        <v>17</v>
      </c>
      <c r="AQ38">
        <v>17.7</v>
      </c>
    </row>
    <row r="39" spans="1:43" x14ac:dyDescent="0.35">
      <c r="A39" s="37" t="s">
        <v>3</v>
      </c>
      <c r="B39">
        <v>3.5000000000000004</v>
      </c>
      <c r="C39">
        <v>7</v>
      </c>
      <c r="D39">
        <v>17.7</v>
      </c>
      <c r="T39">
        <v>4.5</v>
      </c>
      <c r="U39">
        <v>9</v>
      </c>
      <c r="V39">
        <v>17.7</v>
      </c>
      <c r="AC39">
        <v>4.5</v>
      </c>
      <c r="AD39">
        <v>9</v>
      </c>
      <c r="AE39">
        <v>17.7</v>
      </c>
      <c r="AI39">
        <v>3</v>
      </c>
      <c r="AJ39">
        <v>6</v>
      </c>
      <c r="AK39">
        <v>17.7</v>
      </c>
      <c r="AL39">
        <v>2.5</v>
      </c>
      <c r="AM39">
        <v>5</v>
      </c>
      <c r="AN39">
        <v>17.7</v>
      </c>
      <c r="AO39">
        <v>8.5</v>
      </c>
      <c r="AP39">
        <v>17</v>
      </c>
      <c r="AQ39">
        <v>17.7</v>
      </c>
    </row>
    <row r="40" spans="1:43" x14ac:dyDescent="0.35">
      <c r="A40" s="37" t="s">
        <v>11</v>
      </c>
      <c r="B40">
        <v>2</v>
      </c>
      <c r="C40">
        <v>4</v>
      </c>
      <c r="D40">
        <v>17.7</v>
      </c>
      <c r="T40">
        <v>1</v>
      </c>
      <c r="U40">
        <v>2</v>
      </c>
      <c r="V40">
        <v>17.7</v>
      </c>
    </row>
    <row r="41" spans="1:43" x14ac:dyDescent="0.35">
      <c r="A41" s="37" t="s">
        <v>2</v>
      </c>
      <c r="B41">
        <v>0.5</v>
      </c>
      <c r="C41">
        <v>1</v>
      </c>
      <c r="D41">
        <v>17.7</v>
      </c>
    </row>
    <row r="42" spans="1:43" x14ac:dyDescent="0.35">
      <c r="A42" s="14">
        <v>2.2000000000000002</v>
      </c>
      <c r="B42">
        <v>0.5</v>
      </c>
      <c r="C42">
        <v>1</v>
      </c>
      <c r="D42">
        <v>17.7</v>
      </c>
      <c r="T42">
        <v>1.5</v>
      </c>
      <c r="U42">
        <v>3</v>
      </c>
      <c r="V42">
        <v>17.7</v>
      </c>
      <c r="AC42">
        <v>3</v>
      </c>
      <c r="AD42">
        <v>6</v>
      </c>
      <c r="AE42">
        <v>35.4</v>
      </c>
      <c r="AI42">
        <v>2</v>
      </c>
      <c r="AJ42">
        <v>4</v>
      </c>
      <c r="AK42">
        <v>17.7</v>
      </c>
      <c r="AL42">
        <v>2.5</v>
      </c>
      <c r="AM42">
        <v>5</v>
      </c>
      <c r="AN42">
        <v>17.7</v>
      </c>
      <c r="AO42">
        <v>4</v>
      </c>
      <c r="AP42">
        <v>8</v>
      </c>
      <c r="AQ42">
        <v>35.4</v>
      </c>
    </row>
    <row r="43" spans="1:43" x14ac:dyDescent="0.35">
      <c r="A43" s="37" t="s">
        <v>23</v>
      </c>
      <c r="AO43">
        <v>0.5</v>
      </c>
      <c r="AP43">
        <v>1</v>
      </c>
      <c r="AQ43">
        <v>17.7</v>
      </c>
    </row>
    <row r="44" spans="1:43" x14ac:dyDescent="0.35">
      <c r="A44" s="37" t="s">
        <v>11</v>
      </c>
      <c r="T44">
        <v>1.5</v>
      </c>
      <c r="U44">
        <v>3</v>
      </c>
      <c r="V44">
        <v>17.7</v>
      </c>
      <c r="AC44">
        <v>2.5</v>
      </c>
      <c r="AD44">
        <v>5</v>
      </c>
      <c r="AE44">
        <v>17.7</v>
      </c>
      <c r="AI44">
        <v>2</v>
      </c>
      <c r="AJ44">
        <v>4</v>
      </c>
      <c r="AK44">
        <v>17.7</v>
      </c>
      <c r="AL44">
        <v>2.5</v>
      </c>
      <c r="AM44">
        <v>5</v>
      </c>
      <c r="AN44">
        <v>17.7</v>
      </c>
      <c r="AO44">
        <v>3.5000000000000004</v>
      </c>
      <c r="AP44">
        <v>7</v>
      </c>
      <c r="AQ44">
        <v>17.7</v>
      </c>
    </row>
    <row r="45" spans="1:43" x14ac:dyDescent="0.35">
      <c r="A45" s="37" t="s">
        <v>2</v>
      </c>
      <c r="B45">
        <v>0.5</v>
      </c>
      <c r="C45">
        <v>1</v>
      </c>
      <c r="D45">
        <v>17.7</v>
      </c>
      <c r="AC45">
        <v>0.5</v>
      </c>
      <c r="AD45">
        <v>1</v>
      </c>
      <c r="AE45">
        <v>17.7</v>
      </c>
    </row>
    <row r="46" spans="1:43" x14ac:dyDescent="0.35">
      <c r="A46" s="14">
        <v>2.2999999999999998</v>
      </c>
      <c r="B46">
        <v>1</v>
      </c>
      <c r="C46">
        <v>2</v>
      </c>
      <c r="D46">
        <v>17.7</v>
      </c>
      <c r="T46">
        <v>0.5</v>
      </c>
      <c r="U46">
        <v>1</v>
      </c>
      <c r="V46">
        <v>17.7</v>
      </c>
      <c r="AC46">
        <v>0.5</v>
      </c>
      <c r="AD46">
        <v>1</v>
      </c>
      <c r="AE46">
        <v>17.7</v>
      </c>
      <c r="AI46">
        <v>1.5</v>
      </c>
      <c r="AJ46">
        <v>3</v>
      </c>
      <c r="AK46">
        <v>17.7</v>
      </c>
      <c r="AL46">
        <v>2</v>
      </c>
      <c r="AM46">
        <v>4</v>
      </c>
      <c r="AN46">
        <v>53.099999999999994</v>
      </c>
      <c r="AO46">
        <v>8.5</v>
      </c>
      <c r="AP46">
        <v>17</v>
      </c>
      <c r="AQ46">
        <v>70.8</v>
      </c>
    </row>
    <row r="47" spans="1:43" x14ac:dyDescent="0.35">
      <c r="A47" s="37" t="s">
        <v>31</v>
      </c>
      <c r="AO47">
        <v>0.5</v>
      </c>
      <c r="AP47">
        <v>1</v>
      </c>
      <c r="AQ47">
        <v>17.7</v>
      </c>
    </row>
    <row r="48" spans="1:43" x14ac:dyDescent="0.35">
      <c r="A48" s="37" t="s">
        <v>12</v>
      </c>
      <c r="AL48">
        <v>0.5</v>
      </c>
      <c r="AM48">
        <v>1</v>
      </c>
      <c r="AN48">
        <v>17.7</v>
      </c>
      <c r="AO48">
        <v>4.5</v>
      </c>
      <c r="AP48">
        <v>9</v>
      </c>
      <c r="AQ48">
        <v>17.7</v>
      </c>
    </row>
    <row r="49" spans="1:43" x14ac:dyDescent="0.35">
      <c r="A49" s="37" t="s">
        <v>6</v>
      </c>
      <c r="AL49">
        <v>0.5</v>
      </c>
      <c r="AM49">
        <v>1</v>
      </c>
      <c r="AN49">
        <v>17.7</v>
      </c>
      <c r="AO49">
        <v>1.5</v>
      </c>
      <c r="AP49">
        <v>3</v>
      </c>
      <c r="AQ49">
        <v>17.7</v>
      </c>
    </row>
    <row r="50" spans="1:43" x14ac:dyDescent="0.35">
      <c r="A50" s="37" t="s">
        <v>11</v>
      </c>
      <c r="B50">
        <v>1</v>
      </c>
      <c r="C50">
        <v>2</v>
      </c>
      <c r="D50">
        <v>17.7</v>
      </c>
      <c r="T50">
        <v>0.5</v>
      </c>
      <c r="U50">
        <v>1</v>
      </c>
      <c r="V50">
        <v>17.7</v>
      </c>
      <c r="AC50">
        <v>0.5</v>
      </c>
      <c r="AD50">
        <v>1</v>
      </c>
      <c r="AE50">
        <v>17.7</v>
      </c>
      <c r="AI50">
        <v>1.5</v>
      </c>
      <c r="AJ50">
        <v>3</v>
      </c>
      <c r="AK50">
        <v>17.7</v>
      </c>
      <c r="AL50">
        <v>1</v>
      </c>
      <c r="AM50">
        <v>2</v>
      </c>
      <c r="AN50">
        <v>17.7</v>
      </c>
      <c r="AO50">
        <v>2</v>
      </c>
      <c r="AP50">
        <v>4</v>
      </c>
      <c r="AQ50">
        <v>17.7</v>
      </c>
    </row>
    <row r="51" spans="1:43" x14ac:dyDescent="0.35">
      <c r="A51" s="14">
        <v>2.4</v>
      </c>
      <c r="AI51">
        <v>0.5</v>
      </c>
      <c r="AJ51">
        <v>1</v>
      </c>
      <c r="AK51">
        <v>17.7</v>
      </c>
      <c r="AL51">
        <v>1.5</v>
      </c>
      <c r="AM51">
        <v>3</v>
      </c>
      <c r="AN51">
        <v>35.4</v>
      </c>
      <c r="AO51">
        <v>5</v>
      </c>
      <c r="AP51">
        <v>10</v>
      </c>
      <c r="AQ51">
        <v>35.4</v>
      </c>
    </row>
    <row r="52" spans="1:43" x14ac:dyDescent="0.35">
      <c r="A52" s="37" t="s">
        <v>12</v>
      </c>
      <c r="AI52">
        <v>0.5</v>
      </c>
      <c r="AJ52">
        <v>1</v>
      </c>
      <c r="AK52">
        <v>17.7</v>
      </c>
      <c r="AL52">
        <v>1</v>
      </c>
      <c r="AM52">
        <v>2</v>
      </c>
      <c r="AN52">
        <v>17.7</v>
      </c>
      <c r="AO52">
        <v>3.5000000000000004</v>
      </c>
      <c r="AP52">
        <v>7</v>
      </c>
      <c r="AQ52">
        <v>17.7</v>
      </c>
    </row>
    <row r="53" spans="1:43" x14ac:dyDescent="0.35">
      <c r="A53" s="37" t="s">
        <v>6</v>
      </c>
      <c r="AL53">
        <v>0.5</v>
      </c>
      <c r="AM53">
        <v>1</v>
      </c>
      <c r="AN53">
        <v>17.7</v>
      </c>
      <c r="AO53">
        <v>1.5</v>
      </c>
      <c r="AP53">
        <v>3</v>
      </c>
      <c r="AQ53">
        <v>17.7</v>
      </c>
    </row>
    <row r="54" spans="1:43" x14ac:dyDescent="0.35">
      <c r="A54" s="14">
        <v>2.5</v>
      </c>
      <c r="T54">
        <v>1</v>
      </c>
      <c r="U54">
        <v>2</v>
      </c>
      <c r="V54">
        <v>17.7</v>
      </c>
      <c r="AC54">
        <v>1</v>
      </c>
      <c r="AD54">
        <v>2</v>
      </c>
      <c r="AE54">
        <v>17.7</v>
      </c>
      <c r="AI54">
        <v>1.5</v>
      </c>
      <c r="AJ54">
        <v>3</v>
      </c>
      <c r="AK54">
        <v>17.7</v>
      </c>
      <c r="AL54">
        <v>3.5</v>
      </c>
      <c r="AM54">
        <v>7</v>
      </c>
      <c r="AN54">
        <v>70.8</v>
      </c>
      <c r="AO54">
        <v>9.5</v>
      </c>
      <c r="AP54">
        <v>19</v>
      </c>
      <c r="AQ54">
        <v>53.099999999999994</v>
      </c>
    </row>
    <row r="55" spans="1:43" x14ac:dyDescent="0.35">
      <c r="A55" s="37" t="s">
        <v>12</v>
      </c>
      <c r="AL55">
        <v>1.5</v>
      </c>
      <c r="AM55">
        <v>3</v>
      </c>
      <c r="AN55">
        <v>17.7</v>
      </c>
      <c r="AO55">
        <v>2</v>
      </c>
      <c r="AP55">
        <v>4</v>
      </c>
      <c r="AQ55">
        <v>17.7</v>
      </c>
    </row>
    <row r="56" spans="1:43" x14ac:dyDescent="0.35">
      <c r="A56" s="37" t="s">
        <v>6</v>
      </c>
      <c r="AL56">
        <v>0.5</v>
      </c>
      <c r="AM56">
        <v>1</v>
      </c>
      <c r="AN56">
        <v>17.7</v>
      </c>
      <c r="AO56">
        <v>6</v>
      </c>
      <c r="AP56">
        <v>12</v>
      </c>
      <c r="AQ56">
        <v>17.7</v>
      </c>
    </row>
    <row r="57" spans="1:43" x14ac:dyDescent="0.35">
      <c r="A57" s="37" t="s">
        <v>3</v>
      </c>
      <c r="AL57">
        <v>0.5</v>
      </c>
      <c r="AM57">
        <v>1</v>
      </c>
      <c r="AN57">
        <v>17.7</v>
      </c>
    </row>
    <row r="58" spans="1:43" x14ac:dyDescent="0.35">
      <c r="A58" s="37" t="s">
        <v>11</v>
      </c>
      <c r="T58">
        <v>1</v>
      </c>
      <c r="U58">
        <v>2</v>
      </c>
      <c r="V58">
        <v>17.7</v>
      </c>
      <c r="AC58">
        <v>1</v>
      </c>
      <c r="AD58">
        <v>2</v>
      </c>
      <c r="AE58">
        <v>17.7</v>
      </c>
      <c r="AI58">
        <v>1.5</v>
      </c>
      <c r="AJ58">
        <v>3</v>
      </c>
      <c r="AK58">
        <v>17.7</v>
      </c>
      <c r="AL58">
        <v>1</v>
      </c>
      <c r="AM58">
        <v>2</v>
      </c>
      <c r="AN58">
        <v>17.7</v>
      </c>
      <c r="AO58">
        <v>1.5</v>
      </c>
      <c r="AP58">
        <v>3</v>
      </c>
      <c r="AQ58">
        <v>17.7</v>
      </c>
    </row>
    <row r="59" spans="1:43" x14ac:dyDescent="0.35">
      <c r="A59" s="14">
        <v>2.6</v>
      </c>
      <c r="B59">
        <v>1.5</v>
      </c>
      <c r="C59">
        <v>3</v>
      </c>
      <c r="D59">
        <v>17.7</v>
      </c>
      <c r="AI59">
        <v>0.5</v>
      </c>
      <c r="AJ59">
        <v>1</v>
      </c>
      <c r="AK59">
        <v>17.7</v>
      </c>
      <c r="AL59">
        <v>2</v>
      </c>
      <c r="AM59">
        <v>4</v>
      </c>
      <c r="AN59">
        <v>53.099999999999994</v>
      </c>
      <c r="AO59">
        <v>6</v>
      </c>
      <c r="AP59">
        <v>12</v>
      </c>
      <c r="AQ59">
        <v>70.8</v>
      </c>
    </row>
    <row r="60" spans="1:43" x14ac:dyDescent="0.35">
      <c r="A60" s="37" t="s">
        <v>12</v>
      </c>
      <c r="AL60">
        <v>0.5</v>
      </c>
      <c r="AM60">
        <v>1</v>
      </c>
      <c r="AN60">
        <v>17.7</v>
      </c>
      <c r="AO60">
        <v>2</v>
      </c>
      <c r="AP60">
        <v>4</v>
      </c>
      <c r="AQ60">
        <v>17.7</v>
      </c>
    </row>
    <row r="61" spans="1:43" x14ac:dyDescent="0.35">
      <c r="A61" s="37" t="s">
        <v>5</v>
      </c>
      <c r="AL61">
        <v>0.5</v>
      </c>
      <c r="AM61">
        <v>1</v>
      </c>
      <c r="AN61">
        <v>17.7</v>
      </c>
    </row>
    <row r="62" spans="1:43" x14ac:dyDescent="0.35">
      <c r="A62" s="37" t="s">
        <v>6</v>
      </c>
      <c r="AL62">
        <v>1</v>
      </c>
      <c r="AM62">
        <v>2</v>
      </c>
      <c r="AN62">
        <v>17.7</v>
      </c>
      <c r="AO62">
        <v>2</v>
      </c>
      <c r="AP62">
        <v>4</v>
      </c>
      <c r="AQ62">
        <v>17.7</v>
      </c>
    </row>
    <row r="63" spans="1:43" x14ac:dyDescent="0.35">
      <c r="A63" s="37" t="s">
        <v>3</v>
      </c>
      <c r="AO63">
        <v>1.5</v>
      </c>
      <c r="AP63">
        <v>3</v>
      </c>
      <c r="AQ63">
        <v>17.7</v>
      </c>
    </row>
    <row r="64" spans="1:43" x14ac:dyDescent="0.35">
      <c r="A64" s="37" t="s">
        <v>11</v>
      </c>
      <c r="B64">
        <v>1.5</v>
      </c>
      <c r="C64">
        <v>3</v>
      </c>
      <c r="D64">
        <v>17.7</v>
      </c>
      <c r="AI64">
        <v>0.5</v>
      </c>
      <c r="AJ64">
        <v>1</v>
      </c>
      <c r="AK64">
        <v>17.7</v>
      </c>
      <c r="AO64">
        <v>0.5</v>
      </c>
      <c r="AP64">
        <v>1</v>
      </c>
      <c r="AQ64">
        <v>17.7</v>
      </c>
    </row>
    <row r="65" spans="1:43" x14ac:dyDescent="0.35">
      <c r="A65" s="14">
        <v>2.7</v>
      </c>
      <c r="B65">
        <v>0.5</v>
      </c>
      <c r="C65">
        <v>1</v>
      </c>
      <c r="D65">
        <v>17.7</v>
      </c>
      <c r="T65">
        <v>1</v>
      </c>
      <c r="U65">
        <v>2</v>
      </c>
      <c r="V65">
        <v>17.7</v>
      </c>
      <c r="AC65">
        <v>3</v>
      </c>
      <c r="AD65">
        <v>6</v>
      </c>
      <c r="AE65">
        <v>17.7</v>
      </c>
      <c r="AI65">
        <v>2.5</v>
      </c>
      <c r="AJ65">
        <v>5</v>
      </c>
      <c r="AK65">
        <v>17.7</v>
      </c>
      <c r="AL65">
        <v>2.5</v>
      </c>
      <c r="AM65">
        <v>5</v>
      </c>
      <c r="AN65">
        <v>17.7</v>
      </c>
      <c r="AO65">
        <v>5</v>
      </c>
      <c r="AP65">
        <v>10</v>
      </c>
      <c r="AQ65">
        <v>17.7</v>
      </c>
    </row>
    <row r="66" spans="1:43" x14ac:dyDescent="0.35">
      <c r="A66" s="37" t="s">
        <v>11</v>
      </c>
      <c r="B66">
        <v>0.5</v>
      </c>
      <c r="C66">
        <v>1</v>
      </c>
      <c r="D66">
        <v>17.7</v>
      </c>
      <c r="T66">
        <v>1</v>
      </c>
      <c r="U66">
        <v>2</v>
      </c>
      <c r="V66">
        <v>17.7</v>
      </c>
      <c r="AC66">
        <v>3</v>
      </c>
      <c r="AD66">
        <v>6</v>
      </c>
      <c r="AE66">
        <v>17.7</v>
      </c>
      <c r="AI66">
        <v>2.5</v>
      </c>
      <c r="AJ66">
        <v>5</v>
      </c>
      <c r="AK66">
        <v>17.7</v>
      </c>
      <c r="AL66">
        <v>2.5</v>
      </c>
      <c r="AM66">
        <v>5</v>
      </c>
      <c r="AN66">
        <v>17.7</v>
      </c>
      <c r="AO66">
        <v>5</v>
      </c>
      <c r="AP66">
        <v>10</v>
      </c>
      <c r="AQ66">
        <v>17.7</v>
      </c>
    </row>
    <row r="67" spans="1:43" x14ac:dyDescent="0.35">
      <c r="A67" s="14">
        <v>3.1</v>
      </c>
      <c r="AI67">
        <v>1</v>
      </c>
      <c r="AJ67">
        <v>2</v>
      </c>
      <c r="AK67">
        <v>17.7</v>
      </c>
      <c r="AL67">
        <v>1.5</v>
      </c>
      <c r="AM67">
        <v>3</v>
      </c>
      <c r="AN67">
        <v>17.7</v>
      </c>
      <c r="AO67">
        <v>6</v>
      </c>
      <c r="AP67">
        <v>12</v>
      </c>
      <c r="AQ67">
        <v>35.4</v>
      </c>
    </row>
    <row r="68" spans="1:43" x14ac:dyDescent="0.35">
      <c r="A68" s="37" t="s">
        <v>12</v>
      </c>
      <c r="AO68">
        <v>2.5</v>
      </c>
      <c r="AP68">
        <v>5</v>
      </c>
      <c r="AQ68">
        <v>17.7</v>
      </c>
    </row>
    <row r="69" spans="1:43" x14ac:dyDescent="0.35">
      <c r="A69" s="37" t="s">
        <v>11</v>
      </c>
      <c r="AI69">
        <v>1</v>
      </c>
      <c r="AJ69">
        <v>2</v>
      </c>
      <c r="AK69">
        <v>17.7</v>
      </c>
      <c r="AL69">
        <v>1.5</v>
      </c>
      <c r="AM69">
        <v>3</v>
      </c>
      <c r="AN69">
        <v>17.7</v>
      </c>
      <c r="AO69">
        <v>3.5000000000000004</v>
      </c>
      <c r="AP69">
        <v>7</v>
      </c>
      <c r="AQ69">
        <v>17.7</v>
      </c>
    </row>
    <row r="70" spans="1:43" x14ac:dyDescent="0.35">
      <c r="A70" s="14">
        <v>3.2</v>
      </c>
      <c r="AI70">
        <v>0.5</v>
      </c>
      <c r="AJ70">
        <v>1</v>
      </c>
      <c r="AK70">
        <v>17.7</v>
      </c>
      <c r="AO70">
        <v>6</v>
      </c>
      <c r="AP70">
        <v>12</v>
      </c>
      <c r="AQ70">
        <v>53.099999999999994</v>
      </c>
    </row>
    <row r="71" spans="1:43" x14ac:dyDescent="0.35">
      <c r="A71" s="37" t="s">
        <v>12</v>
      </c>
      <c r="AI71">
        <v>0.5</v>
      </c>
      <c r="AJ71">
        <v>1</v>
      </c>
      <c r="AK71">
        <v>17.7</v>
      </c>
      <c r="AO71">
        <v>4.5</v>
      </c>
      <c r="AP71">
        <v>9</v>
      </c>
      <c r="AQ71">
        <v>17.7</v>
      </c>
    </row>
    <row r="72" spans="1:43" x14ac:dyDescent="0.35">
      <c r="A72" s="37" t="s">
        <v>5</v>
      </c>
      <c r="AO72">
        <v>0.5</v>
      </c>
      <c r="AP72">
        <v>1</v>
      </c>
      <c r="AQ72">
        <v>17.7</v>
      </c>
    </row>
    <row r="73" spans="1:43" x14ac:dyDescent="0.35">
      <c r="A73" s="37" t="s">
        <v>6</v>
      </c>
      <c r="AO73">
        <v>1</v>
      </c>
      <c r="AP73">
        <v>2</v>
      </c>
      <c r="AQ73">
        <v>17.7</v>
      </c>
    </row>
    <row r="74" spans="1:43" x14ac:dyDescent="0.35">
      <c r="A74" s="14">
        <v>3.3</v>
      </c>
      <c r="AO74">
        <v>6.5</v>
      </c>
      <c r="AP74">
        <v>13</v>
      </c>
      <c r="AQ74">
        <v>53.099999999999994</v>
      </c>
    </row>
    <row r="75" spans="1:43" x14ac:dyDescent="0.35">
      <c r="A75" s="37" t="s">
        <v>12</v>
      </c>
      <c r="AO75">
        <v>2.5</v>
      </c>
      <c r="AP75">
        <v>5</v>
      </c>
      <c r="AQ75">
        <v>17.7</v>
      </c>
    </row>
    <row r="76" spans="1:43" x14ac:dyDescent="0.35">
      <c r="A76" s="37" t="s">
        <v>5</v>
      </c>
      <c r="AO76">
        <v>0.5</v>
      </c>
      <c r="AP76">
        <v>1</v>
      </c>
      <c r="AQ76">
        <v>17.7</v>
      </c>
    </row>
    <row r="77" spans="1:43" x14ac:dyDescent="0.35">
      <c r="A77" s="37" t="s">
        <v>6</v>
      </c>
      <c r="AO77">
        <v>3.5000000000000004</v>
      </c>
      <c r="AP77">
        <v>7</v>
      </c>
      <c r="AQ77">
        <v>17.7</v>
      </c>
    </row>
    <row r="78" spans="1:43" x14ac:dyDescent="0.35">
      <c r="A78" s="14">
        <v>3.4</v>
      </c>
      <c r="AI78">
        <v>0.5</v>
      </c>
      <c r="AJ78">
        <v>1</v>
      </c>
      <c r="AK78">
        <v>17.7</v>
      </c>
      <c r="AL78">
        <v>11</v>
      </c>
      <c r="AM78">
        <v>22</v>
      </c>
      <c r="AN78">
        <v>53.099999999999994</v>
      </c>
      <c r="AO78">
        <v>24.5</v>
      </c>
      <c r="AP78">
        <v>49</v>
      </c>
      <c r="AQ78">
        <v>53.099999999999994</v>
      </c>
    </row>
    <row r="79" spans="1:43" x14ac:dyDescent="0.35">
      <c r="A79" s="37" t="s">
        <v>12</v>
      </c>
      <c r="AL79">
        <v>5.5</v>
      </c>
      <c r="AM79">
        <v>11</v>
      </c>
      <c r="AN79">
        <v>17.7</v>
      </c>
      <c r="AO79">
        <v>8.5</v>
      </c>
      <c r="AP79">
        <v>17</v>
      </c>
      <c r="AQ79">
        <v>17.7</v>
      </c>
    </row>
    <row r="80" spans="1:43" x14ac:dyDescent="0.35">
      <c r="A80" s="37" t="s">
        <v>5</v>
      </c>
      <c r="AI80">
        <v>0.5</v>
      </c>
      <c r="AJ80">
        <v>1</v>
      </c>
      <c r="AK80">
        <v>17.7</v>
      </c>
      <c r="AL80">
        <v>0.5</v>
      </c>
      <c r="AM80">
        <v>1</v>
      </c>
      <c r="AN80">
        <v>17.7</v>
      </c>
      <c r="AO80">
        <v>3</v>
      </c>
      <c r="AP80">
        <v>6</v>
      </c>
      <c r="AQ80">
        <v>17.7</v>
      </c>
    </row>
    <row r="81" spans="1:43" x14ac:dyDescent="0.35">
      <c r="A81" s="37" t="s">
        <v>6</v>
      </c>
      <c r="AL81">
        <v>5</v>
      </c>
      <c r="AM81">
        <v>10</v>
      </c>
      <c r="AN81">
        <v>17.7</v>
      </c>
      <c r="AO81">
        <v>13</v>
      </c>
      <c r="AP81">
        <v>26</v>
      </c>
      <c r="AQ81">
        <v>17.7</v>
      </c>
    </row>
    <row r="82" spans="1:43" x14ac:dyDescent="0.35">
      <c r="A82" s="14">
        <v>3.5</v>
      </c>
      <c r="AL82">
        <v>8</v>
      </c>
      <c r="AM82">
        <v>16</v>
      </c>
      <c r="AN82">
        <v>70.8</v>
      </c>
      <c r="AO82">
        <v>31</v>
      </c>
      <c r="AP82">
        <v>62</v>
      </c>
      <c r="AQ82">
        <v>88.5</v>
      </c>
    </row>
    <row r="83" spans="1:43" x14ac:dyDescent="0.35">
      <c r="A83" s="37" t="s">
        <v>12</v>
      </c>
      <c r="AL83">
        <v>1</v>
      </c>
      <c r="AM83">
        <v>2</v>
      </c>
      <c r="AN83">
        <v>17.7</v>
      </c>
      <c r="AO83">
        <v>6</v>
      </c>
      <c r="AP83">
        <v>12</v>
      </c>
      <c r="AQ83">
        <v>17.7</v>
      </c>
    </row>
    <row r="84" spans="1:43" x14ac:dyDescent="0.35">
      <c r="A84" s="37" t="s">
        <v>5</v>
      </c>
      <c r="AL84">
        <v>1.5</v>
      </c>
      <c r="AM84">
        <v>3</v>
      </c>
      <c r="AN84">
        <v>17.7</v>
      </c>
      <c r="AO84">
        <v>4</v>
      </c>
      <c r="AP84">
        <v>8</v>
      </c>
      <c r="AQ84">
        <v>17.7</v>
      </c>
    </row>
    <row r="85" spans="1:43" x14ac:dyDescent="0.35">
      <c r="A85" s="37" t="s">
        <v>6</v>
      </c>
      <c r="AL85">
        <v>5</v>
      </c>
      <c r="AM85">
        <v>10</v>
      </c>
      <c r="AN85">
        <v>17.7</v>
      </c>
      <c r="AO85">
        <v>17</v>
      </c>
      <c r="AP85">
        <v>34</v>
      </c>
      <c r="AQ85">
        <v>17.7</v>
      </c>
    </row>
    <row r="86" spans="1:43" x14ac:dyDescent="0.35">
      <c r="A86" s="37" t="s">
        <v>3</v>
      </c>
      <c r="AO86">
        <v>1</v>
      </c>
      <c r="AP86">
        <v>2</v>
      </c>
      <c r="AQ86">
        <v>17.7</v>
      </c>
    </row>
    <row r="87" spans="1:43" x14ac:dyDescent="0.35">
      <c r="A87" s="37" t="s">
        <v>11</v>
      </c>
      <c r="AL87">
        <v>0.5</v>
      </c>
      <c r="AM87">
        <v>1</v>
      </c>
      <c r="AN87">
        <v>17.7</v>
      </c>
      <c r="AO87">
        <v>3</v>
      </c>
      <c r="AP87">
        <v>6</v>
      </c>
      <c r="AQ87">
        <v>17.7</v>
      </c>
    </row>
    <row r="88" spans="1:43" x14ac:dyDescent="0.35">
      <c r="A88" s="14">
        <v>3.6</v>
      </c>
      <c r="B88">
        <v>3.5000000000000004</v>
      </c>
      <c r="C88">
        <v>7</v>
      </c>
      <c r="D88">
        <v>17.7</v>
      </c>
      <c r="T88">
        <v>4.5</v>
      </c>
      <c r="U88">
        <v>9</v>
      </c>
      <c r="V88">
        <v>35.4</v>
      </c>
      <c r="AC88">
        <v>3</v>
      </c>
      <c r="AD88">
        <v>6</v>
      </c>
      <c r="AE88">
        <v>53.099999999999994</v>
      </c>
      <c r="AI88">
        <v>0.5</v>
      </c>
      <c r="AJ88">
        <v>1</v>
      </c>
      <c r="AK88">
        <v>17.7</v>
      </c>
      <c r="AL88">
        <v>1.5</v>
      </c>
      <c r="AM88">
        <v>3</v>
      </c>
      <c r="AN88">
        <v>35.4</v>
      </c>
      <c r="AO88">
        <v>4.5</v>
      </c>
      <c r="AP88">
        <v>9</v>
      </c>
      <c r="AQ88">
        <v>35.4</v>
      </c>
    </row>
    <row r="89" spans="1:43" x14ac:dyDescent="0.35">
      <c r="A89" s="37" t="s">
        <v>31</v>
      </c>
      <c r="AC89">
        <v>1</v>
      </c>
      <c r="AD89">
        <v>2</v>
      </c>
      <c r="AE89">
        <v>17.7</v>
      </c>
    </row>
    <row r="90" spans="1:43" x14ac:dyDescent="0.35">
      <c r="A90" s="37" t="s">
        <v>12</v>
      </c>
      <c r="AL90">
        <v>0.5</v>
      </c>
      <c r="AM90">
        <v>1</v>
      </c>
      <c r="AN90">
        <v>17.7</v>
      </c>
      <c r="AO90">
        <v>3.5000000000000004</v>
      </c>
      <c r="AP90">
        <v>7</v>
      </c>
      <c r="AQ90">
        <v>17.7</v>
      </c>
    </row>
    <row r="91" spans="1:43" x14ac:dyDescent="0.35">
      <c r="A91" s="37" t="s">
        <v>3</v>
      </c>
      <c r="AC91">
        <v>1.5</v>
      </c>
      <c r="AD91">
        <v>3</v>
      </c>
      <c r="AE91">
        <v>17.7</v>
      </c>
    </row>
    <row r="92" spans="1:43" x14ac:dyDescent="0.35">
      <c r="A92" s="37" t="s">
        <v>34</v>
      </c>
      <c r="T92">
        <v>0.5</v>
      </c>
      <c r="U92">
        <v>1</v>
      </c>
      <c r="V92">
        <v>17.7</v>
      </c>
    </row>
    <row r="93" spans="1:43" x14ac:dyDescent="0.35">
      <c r="A93" s="37" t="s">
        <v>4</v>
      </c>
      <c r="B93">
        <v>3.5000000000000004</v>
      </c>
      <c r="C93">
        <v>7</v>
      </c>
      <c r="D93">
        <v>17.7</v>
      </c>
      <c r="T93">
        <v>4</v>
      </c>
      <c r="U93">
        <v>8</v>
      </c>
      <c r="V93">
        <v>17.7</v>
      </c>
      <c r="AC93">
        <v>0.5</v>
      </c>
      <c r="AD93">
        <v>1</v>
      </c>
      <c r="AE93">
        <v>17.7</v>
      </c>
      <c r="AI93">
        <v>0.5</v>
      </c>
      <c r="AJ93">
        <v>1</v>
      </c>
      <c r="AK93">
        <v>17.7</v>
      </c>
      <c r="AL93">
        <v>1</v>
      </c>
      <c r="AM93">
        <v>2</v>
      </c>
      <c r="AN93">
        <v>17.7</v>
      </c>
      <c r="AO93">
        <v>1</v>
      </c>
      <c r="AP93">
        <v>2</v>
      </c>
      <c r="AQ93">
        <v>17.7</v>
      </c>
    </row>
    <row r="94" spans="1:43" x14ac:dyDescent="0.35">
      <c r="A94" s="14">
        <v>3.7</v>
      </c>
      <c r="B94">
        <v>4</v>
      </c>
      <c r="C94">
        <v>8</v>
      </c>
      <c r="D94">
        <v>17.7</v>
      </c>
      <c r="T94">
        <v>8</v>
      </c>
      <c r="U94">
        <v>16</v>
      </c>
      <c r="V94">
        <v>17.7</v>
      </c>
      <c r="AC94">
        <v>1</v>
      </c>
      <c r="AD94">
        <v>2</v>
      </c>
      <c r="AE94">
        <v>17.7</v>
      </c>
      <c r="AI94">
        <v>4</v>
      </c>
      <c r="AJ94">
        <v>8</v>
      </c>
      <c r="AK94">
        <v>35.4</v>
      </c>
      <c r="AL94">
        <v>6</v>
      </c>
      <c r="AM94">
        <v>12</v>
      </c>
      <c r="AN94">
        <v>17.7</v>
      </c>
      <c r="AO94">
        <v>13</v>
      </c>
      <c r="AP94">
        <v>26</v>
      </c>
      <c r="AQ94">
        <v>17.7</v>
      </c>
    </row>
    <row r="95" spans="1:43" x14ac:dyDescent="0.35">
      <c r="A95" s="37" t="s">
        <v>12</v>
      </c>
      <c r="AI95">
        <v>0.5</v>
      </c>
      <c r="AJ95">
        <v>1</v>
      </c>
      <c r="AK95">
        <v>17.7</v>
      </c>
    </row>
    <row r="96" spans="1:43" x14ac:dyDescent="0.35">
      <c r="A96" s="37" t="s">
        <v>11</v>
      </c>
      <c r="B96">
        <v>4</v>
      </c>
      <c r="C96">
        <v>8</v>
      </c>
      <c r="D96">
        <v>17.7</v>
      </c>
      <c r="T96">
        <v>8</v>
      </c>
      <c r="U96">
        <v>16</v>
      </c>
      <c r="V96">
        <v>17.7</v>
      </c>
      <c r="AC96">
        <v>1</v>
      </c>
      <c r="AD96">
        <v>2</v>
      </c>
      <c r="AE96">
        <v>17.7</v>
      </c>
      <c r="AI96">
        <v>3.5000000000000004</v>
      </c>
      <c r="AJ96">
        <v>7</v>
      </c>
      <c r="AK96">
        <v>17.7</v>
      </c>
      <c r="AL96">
        <v>6</v>
      </c>
      <c r="AM96">
        <v>12</v>
      </c>
      <c r="AN96">
        <v>17.7</v>
      </c>
      <c r="AO96">
        <v>13</v>
      </c>
      <c r="AP96">
        <v>26</v>
      </c>
      <c r="AQ96">
        <v>17.7</v>
      </c>
    </row>
    <row r="97" spans="1:43" x14ac:dyDescent="0.35">
      <c r="A97" s="14">
        <v>4.0999999999999996</v>
      </c>
      <c r="B97">
        <v>8</v>
      </c>
      <c r="C97">
        <v>16</v>
      </c>
      <c r="D97">
        <v>17.7</v>
      </c>
      <c r="T97">
        <v>2.5</v>
      </c>
      <c r="U97">
        <v>5</v>
      </c>
      <c r="V97">
        <v>17.7</v>
      </c>
      <c r="AC97">
        <v>1</v>
      </c>
      <c r="AD97">
        <v>2</v>
      </c>
      <c r="AE97">
        <v>17.7</v>
      </c>
      <c r="AI97">
        <v>6.5</v>
      </c>
      <c r="AJ97">
        <v>13</v>
      </c>
      <c r="AK97">
        <v>17.7</v>
      </c>
      <c r="AL97">
        <v>7.0000000000000009</v>
      </c>
      <c r="AM97">
        <v>14</v>
      </c>
      <c r="AN97">
        <v>17.7</v>
      </c>
      <c r="AO97">
        <v>7</v>
      </c>
      <c r="AP97">
        <v>14</v>
      </c>
      <c r="AQ97">
        <v>35.4</v>
      </c>
    </row>
    <row r="98" spans="1:43" x14ac:dyDescent="0.35">
      <c r="A98" s="37" t="s">
        <v>11</v>
      </c>
      <c r="B98">
        <v>8</v>
      </c>
      <c r="C98">
        <v>16</v>
      </c>
      <c r="D98">
        <v>17.7</v>
      </c>
      <c r="T98">
        <v>2.5</v>
      </c>
      <c r="U98">
        <v>5</v>
      </c>
      <c r="V98">
        <v>17.7</v>
      </c>
      <c r="AC98">
        <v>1</v>
      </c>
      <c r="AD98">
        <v>2</v>
      </c>
      <c r="AE98">
        <v>17.7</v>
      </c>
      <c r="AI98">
        <v>6.5</v>
      </c>
      <c r="AJ98">
        <v>13</v>
      </c>
      <c r="AK98">
        <v>17.7</v>
      </c>
      <c r="AL98">
        <v>7.0000000000000009</v>
      </c>
      <c r="AM98">
        <v>14</v>
      </c>
      <c r="AN98">
        <v>17.7</v>
      </c>
      <c r="AO98">
        <v>6.5</v>
      </c>
      <c r="AP98">
        <v>13</v>
      </c>
      <c r="AQ98">
        <v>17.7</v>
      </c>
    </row>
    <row r="99" spans="1:43" x14ac:dyDescent="0.35">
      <c r="A99" s="37" t="s">
        <v>14</v>
      </c>
      <c r="AO99">
        <v>0.5</v>
      </c>
      <c r="AP99">
        <v>1</v>
      </c>
      <c r="AQ99">
        <v>17.7</v>
      </c>
    </row>
    <row r="100" spans="1:43" x14ac:dyDescent="0.35">
      <c r="A100" s="14">
        <v>4.2</v>
      </c>
      <c r="B100">
        <v>0.5</v>
      </c>
      <c r="C100">
        <v>1</v>
      </c>
      <c r="D100">
        <v>17.7</v>
      </c>
      <c r="T100">
        <v>2.5</v>
      </c>
      <c r="U100">
        <v>5</v>
      </c>
      <c r="V100">
        <v>17.7</v>
      </c>
      <c r="AC100">
        <v>3</v>
      </c>
      <c r="AD100">
        <v>6</v>
      </c>
      <c r="AE100">
        <v>17.7</v>
      </c>
      <c r="AI100">
        <v>1.5</v>
      </c>
      <c r="AJ100">
        <v>3</v>
      </c>
      <c r="AK100">
        <v>17.7</v>
      </c>
      <c r="AL100">
        <v>2</v>
      </c>
      <c r="AM100">
        <v>4</v>
      </c>
      <c r="AN100">
        <v>35.4</v>
      </c>
      <c r="AO100">
        <v>4</v>
      </c>
      <c r="AP100">
        <v>8</v>
      </c>
      <c r="AQ100">
        <v>53.099999999999994</v>
      </c>
    </row>
    <row r="101" spans="1:43" x14ac:dyDescent="0.35">
      <c r="A101" s="37" t="s">
        <v>12</v>
      </c>
      <c r="AO101">
        <v>0.5</v>
      </c>
      <c r="AP101">
        <v>1</v>
      </c>
      <c r="AQ101">
        <v>17.7</v>
      </c>
    </row>
    <row r="102" spans="1:43" x14ac:dyDescent="0.35">
      <c r="A102" s="37" t="s">
        <v>6</v>
      </c>
      <c r="AL102">
        <v>0.5</v>
      </c>
      <c r="AM102">
        <v>1</v>
      </c>
      <c r="AN102">
        <v>17.7</v>
      </c>
      <c r="AO102">
        <v>1</v>
      </c>
      <c r="AP102">
        <v>2</v>
      </c>
      <c r="AQ102">
        <v>17.7</v>
      </c>
    </row>
    <row r="103" spans="1:43" x14ac:dyDescent="0.35">
      <c r="A103" s="37" t="s">
        <v>11</v>
      </c>
      <c r="B103">
        <v>0.5</v>
      </c>
      <c r="C103">
        <v>1</v>
      </c>
      <c r="D103">
        <v>17.7</v>
      </c>
      <c r="T103">
        <v>2.5</v>
      </c>
      <c r="U103">
        <v>5</v>
      </c>
      <c r="V103">
        <v>17.7</v>
      </c>
      <c r="AC103">
        <v>3</v>
      </c>
      <c r="AD103">
        <v>6</v>
      </c>
      <c r="AE103">
        <v>17.7</v>
      </c>
      <c r="AI103">
        <v>1.5</v>
      </c>
      <c r="AJ103">
        <v>3</v>
      </c>
      <c r="AK103">
        <v>17.7</v>
      </c>
      <c r="AL103">
        <v>1.5</v>
      </c>
      <c r="AM103">
        <v>3</v>
      </c>
      <c r="AN103">
        <v>17.7</v>
      </c>
      <c r="AO103">
        <v>2.5</v>
      </c>
      <c r="AP103">
        <v>5</v>
      </c>
      <c r="AQ103">
        <v>17.7</v>
      </c>
    </row>
    <row r="104" spans="1:43" x14ac:dyDescent="0.35">
      <c r="A104" s="14">
        <v>4.3</v>
      </c>
      <c r="B104">
        <v>1</v>
      </c>
      <c r="C104">
        <v>2</v>
      </c>
      <c r="D104">
        <v>17.7</v>
      </c>
      <c r="T104">
        <v>1</v>
      </c>
      <c r="U104">
        <v>2</v>
      </c>
      <c r="V104">
        <v>17.7</v>
      </c>
      <c r="AC104">
        <v>1.5</v>
      </c>
      <c r="AD104">
        <v>3</v>
      </c>
      <c r="AE104">
        <v>17.7</v>
      </c>
      <c r="AI104">
        <v>2.5</v>
      </c>
      <c r="AJ104">
        <v>5</v>
      </c>
      <c r="AK104">
        <v>35.4</v>
      </c>
      <c r="AL104">
        <v>4.5</v>
      </c>
      <c r="AM104">
        <v>9</v>
      </c>
      <c r="AN104">
        <v>35.4</v>
      </c>
      <c r="AO104">
        <v>11.5</v>
      </c>
      <c r="AP104">
        <v>23</v>
      </c>
      <c r="AQ104">
        <v>53.099999999999994</v>
      </c>
    </row>
    <row r="105" spans="1:43" x14ac:dyDescent="0.35">
      <c r="A105" s="37" t="s">
        <v>12</v>
      </c>
      <c r="AO105">
        <v>6</v>
      </c>
      <c r="AP105">
        <v>12</v>
      </c>
      <c r="AQ105">
        <v>17.7</v>
      </c>
    </row>
    <row r="106" spans="1:43" x14ac:dyDescent="0.35">
      <c r="A106" s="37" t="s">
        <v>6</v>
      </c>
      <c r="AI106">
        <v>0.5</v>
      </c>
      <c r="AJ106">
        <v>1</v>
      </c>
      <c r="AK106">
        <v>17.7</v>
      </c>
      <c r="AL106">
        <v>2</v>
      </c>
      <c r="AM106">
        <v>4</v>
      </c>
      <c r="AN106">
        <v>17.7</v>
      </c>
      <c r="AO106">
        <v>5</v>
      </c>
      <c r="AP106">
        <v>10</v>
      </c>
      <c r="AQ106">
        <v>17.7</v>
      </c>
    </row>
    <row r="107" spans="1:43" x14ac:dyDescent="0.35">
      <c r="A107" s="37" t="s">
        <v>3</v>
      </c>
      <c r="AO107">
        <v>0.5</v>
      </c>
      <c r="AP107">
        <v>1</v>
      </c>
      <c r="AQ107">
        <v>17.7</v>
      </c>
    </row>
    <row r="108" spans="1:43" x14ac:dyDescent="0.35">
      <c r="A108" s="37" t="s">
        <v>11</v>
      </c>
      <c r="B108">
        <v>1</v>
      </c>
      <c r="C108">
        <v>2</v>
      </c>
      <c r="D108">
        <v>17.7</v>
      </c>
      <c r="T108">
        <v>1</v>
      </c>
      <c r="U108">
        <v>2</v>
      </c>
      <c r="V108">
        <v>17.7</v>
      </c>
      <c r="AC108">
        <v>1.5</v>
      </c>
      <c r="AD108">
        <v>3</v>
      </c>
      <c r="AE108">
        <v>17.7</v>
      </c>
      <c r="AI108">
        <v>2</v>
      </c>
      <c r="AJ108">
        <v>4</v>
      </c>
      <c r="AK108">
        <v>17.7</v>
      </c>
      <c r="AL108">
        <v>2.5</v>
      </c>
      <c r="AM108">
        <v>5</v>
      </c>
      <c r="AN108">
        <v>17.7</v>
      </c>
    </row>
    <row r="109" spans="1:43" x14ac:dyDescent="0.35">
      <c r="A109" s="14">
        <v>4.4000000000000004</v>
      </c>
      <c r="AL109">
        <v>3.5000000000000004</v>
      </c>
      <c r="AM109">
        <v>7</v>
      </c>
      <c r="AN109">
        <v>17.7</v>
      </c>
      <c r="AO109">
        <v>12.5</v>
      </c>
      <c r="AP109">
        <v>25</v>
      </c>
      <c r="AQ109">
        <v>53.099999999999994</v>
      </c>
    </row>
    <row r="110" spans="1:43" x14ac:dyDescent="0.35">
      <c r="A110" s="37" t="s">
        <v>12</v>
      </c>
      <c r="AO110">
        <v>0.5</v>
      </c>
      <c r="AP110">
        <v>1</v>
      </c>
      <c r="AQ110">
        <v>17.7</v>
      </c>
    </row>
    <row r="111" spans="1:43" x14ac:dyDescent="0.35">
      <c r="A111" s="37" t="s">
        <v>6</v>
      </c>
      <c r="AL111">
        <v>3.5000000000000004</v>
      </c>
      <c r="AM111">
        <v>7</v>
      </c>
      <c r="AN111">
        <v>17.7</v>
      </c>
      <c r="AO111">
        <v>11</v>
      </c>
      <c r="AP111">
        <v>22</v>
      </c>
      <c r="AQ111">
        <v>17.7</v>
      </c>
    </row>
    <row r="112" spans="1:43" x14ac:dyDescent="0.35">
      <c r="A112" s="37" t="s">
        <v>3</v>
      </c>
      <c r="AO112">
        <v>1</v>
      </c>
      <c r="AP112">
        <v>2</v>
      </c>
      <c r="AQ112">
        <v>17.7</v>
      </c>
    </row>
    <row r="113" spans="1:43" x14ac:dyDescent="0.35">
      <c r="A113" s="14">
        <v>4.5</v>
      </c>
      <c r="B113">
        <v>1.5</v>
      </c>
      <c r="C113">
        <v>3</v>
      </c>
      <c r="D113">
        <v>17.7</v>
      </c>
      <c r="T113">
        <v>1</v>
      </c>
      <c r="U113">
        <v>2</v>
      </c>
      <c r="V113">
        <v>17.7</v>
      </c>
      <c r="AI113">
        <v>0.5</v>
      </c>
      <c r="AJ113">
        <v>1</v>
      </c>
      <c r="AK113">
        <v>17.7</v>
      </c>
      <c r="AL113">
        <v>2.5</v>
      </c>
      <c r="AM113">
        <v>5</v>
      </c>
      <c r="AN113">
        <v>35.4</v>
      </c>
      <c r="AO113">
        <v>12</v>
      </c>
      <c r="AP113">
        <v>24</v>
      </c>
      <c r="AQ113">
        <v>35.4</v>
      </c>
    </row>
    <row r="114" spans="1:43" x14ac:dyDescent="0.35">
      <c r="A114" s="37" t="s">
        <v>12</v>
      </c>
      <c r="AL114">
        <v>1</v>
      </c>
      <c r="AM114">
        <v>2</v>
      </c>
      <c r="AN114">
        <v>17.7</v>
      </c>
      <c r="AO114">
        <v>3.5000000000000004</v>
      </c>
      <c r="AP114">
        <v>7</v>
      </c>
      <c r="AQ114">
        <v>17.7</v>
      </c>
    </row>
    <row r="115" spans="1:43" x14ac:dyDescent="0.35">
      <c r="A115" s="37" t="s">
        <v>6</v>
      </c>
      <c r="AI115">
        <v>0.5</v>
      </c>
      <c r="AJ115">
        <v>1</v>
      </c>
      <c r="AK115">
        <v>17.7</v>
      </c>
      <c r="AL115">
        <v>1.5</v>
      </c>
      <c r="AM115">
        <v>3</v>
      </c>
      <c r="AN115">
        <v>17.7</v>
      </c>
      <c r="AO115">
        <v>8.5</v>
      </c>
      <c r="AP115">
        <v>17</v>
      </c>
      <c r="AQ115">
        <v>17.7</v>
      </c>
    </row>
    <row r="116" spans="1:43" x14ac:dyDescent="0.35">
      <c r="A116" s="37" t="s">
        <v>11</v>
      </c>
      <c r="B116">
        <v>1.5</v>
      </c>
      <c r="C116">
        <v>3</v>
      </c>
      <c r="D116">
        <v>17.7</v>
      </c>
      <c r="T116">
        <v>1</v>
      </c>
      <c r="U116">
        <v>2</v>
      </c>
      <c r="V116">
        <v>17.7</v>
      </c>
    </row>
    <row r="117" spans="1:43" x14ac:dyDescent="0.35">
      <c r="A117" s="14">
        <v>4.5999999999999996</v>
      </c>
      <c r="B117">
        <v>2.5</v>
      </c>
      <c r="C117">
        <v>5</v>
      </c>
      <c r="D117">
        <v>17.7</v>
      </c>
      <c r="T117">
        <v>3.5</v>
      </c>
      <c r="U117">
        <v>7</v>
      </c>
      <c r="V117">
        <v>35.4</v>
      </c>
      <c r="AC117">
        <v>6</v>
      </c>
      <c r="AD117">
        <v>12</v>
      </c>
      <c r="AE117">
        <v>17.7</v>
      </c>
      <c r="AI117">
        <v>3</v>
      </c>
      <c r="AJ117">
        <v>6</v>
      </c>
      <c r="AK117">
        <v>17.7</v>
      </c>
      <c r="AL117">
        <v>6.5</v>
      </c>
      <c r="AM117">
        <v>13</v>
      </c>
      <c r="AN117">
        <v>35.4</v>
      </c>
      <c r="AO117">
        <v>9.5</v>
      </c>
      <c r="AP117">
        <v>19</v>
      </c>
      <c r="AQ117">
        <v>53.099999999999994</v>
      </c>
    </row>
    <row r="118" spans="1:43" x14ac:dyDescent="0.35">
      <c r="A118" s="37" t="s">
        <v>31</v>
      </c>
      <c r="B118">
        <v>2.5</v>
      </c>
      <c r="C118">
        <v>5</v>
      </c>
      <c r="D118">
        <v>17.7</v>
      </c>
      <c r="T118">
        <v>2</v>
      </c>
      <c r="U118">
        <v>4</v>
      </c>
      <c r="V118">
        <v>17.7</v>
      </c>
      <c r="AC118">
        <v>6</v>
      </c>
      <c r="AD118">
        <v>12</v>
      </c>
      <c r="AE118">
        <v>17.7</v>
      </c>
      <c r="AI118">
        <v>3</v>
      </c>
      <c r="AJ118">
        <v>6</v>
      </c>
      <c r="AK118">
        <v>17.7</v>
      </c>
      <c r="AL118">
        <v>5</v>
      </c>
      <c r="AM118">
        <v>10</v>
      </c>
      <c r="AN118">
        <v>17.7</v>
      </c>
      <c r="AO118">
        <v>8</v>
      </c>
      <c r="AP118">
        <v>16</v>
      </c>
      <c r="AQ118">
        <v>17.7</v>
      </c>
    </row>
    <row r="119" spans="1:43" x14ac:dyDescent="0.35">
      <c r="A119" s="37" t="s">
        <v>12</v>
      </c>
      <c r="AO119">
        <v>1</v>
      </c>
      <c r="AP119">
        <v>2</v>
      </c>
      <c r="AQ119">
        <v>17.7</v>
      </c>
    </row>
    <row r="120" spans="1:43" x14ac:dyDescent="0.35">
      <c r="A120" s="37" t="s">
        <v>5</v>
      </c>
      <c r="AO120">
        <v>0.5</v>
      </c>
      <c r="AP120">
        <v>1</v>
      </c>
      <c r="AQ120">
        <v>17.7</v>
      </c>
    </row>
    <row r="121" spans="1:43" x14ac:dyDescent="0.35">
      <c r="A121" s="37" t="s">
        <v>11</v>
      </c>
      <c r="T121">
        <v>1.5</v>
      </c>
      <c r="U121">
        <v>3</v>
      </c>
      <c r="V121">
        <v>17.7</v>
      </c>
      <c r="AL121">
        <v>1.5</v>
      </c>
      <c r="AM121">
        <v>3</v>
      </c>
      <c r="AN121">
        <v>17.7</v>
      </c>
    </row>
    <row r="122" spans="1:43" x14ac:dyDescent="0.35">
      <c r="A122" s="14">
        <v>4.7</v>
      </c>
      <c r="T122">
        <v>2.5</v>
      </c>
      <c r="U122">
        <v>5</v>
      </c>
      <c r="V122">
        <v>35.4</v>
      </c>
      <c r="AC122">
        <v>4.5</v>
      </c>
      <c r="AD122">
        <v>9</v>
      </c>
      <c r="AE122">
        <v>35.4</v>
      </c>
      <c r="AI122">
        <v>3.5</v>
      </c>
      <c r="AJ122">
        <v>7</v>
      </c>
      <c r="AK122">
        <v>35.4</v>
      </c>
      <c r="AL122">
        <v>5</v>
      </c>
      <c r="AM122">
        <v>10</v>
      </c>
      <c r="AN122">
        <v>35.4</v>
      </c>
      <c r="AO122">
        <v>8.5</v>
      </c>
      <c r="AP122">
        <v>17</v>
      </c>
      <c r="AQ122">
        <v>35.4</v>
      </c>
    </row>
    <row r="123" spans="1:43" x14ac:dyDescent="0.35">
      <c r="A123" s="37" t="s">
        <v>12</v>
      </c>
      <c r="T123">
        <v>1</v>
      </c>
      <c r="U123">
        <v>2</v>
      </c>
      <c r="V123">
        <v>17.7</v>
      </c>
      <c r="AC123">
        <v>2</v>
      </c>
      <c r="AD123">
        <v>4</v>
      </c>
      <c r="AE123">
        <v>17.7</v>
      </c>
      <c r="AI123">
        <v>2.5</v>
      </c>
      <c r="AJ123">
        <v>5</v>
      </c>
      <c r="AK123">
        <v>17.7</v>
      </c>
      <c r="AL123">
        <v>4</v>
      </c>
      <c r="AM123">
        <v>8</v>
      </c>
      <c r="AN123">
        <v>17.7</v>
      </c>
      <c r="AO123">
        <v>5.5</v>
      </c>
      <c r="AP123">
        <v>11</v>
      </c>
      <c r="AQ123">
        <v>17.7</v>
      </c>
    </row>
    <row r="124" spans="1:43" x14ac:dyDescent="0.35">
      <c r="A124" s="37" t="s">
        <v>3</v>
      </c>
      <c r="T124">
        <v>1.5</v>
      </c>
      <c r="U124">
        <v>3</v>
      </c>
      <c r="V124">
        <v>17.7</v>
      </c>
      <c r="AC124">
        <v>2.5</v>
      </c>
      <c r="AD124">
        <v>5</v>
      </c>
      <c r="AE124">
        <v>17.7</v>
      </c>
      <c r="AI124">
        <v>1</v>
      </c>
      <c r="AJ124">
        <v>2</v>
      </c>
      <c r="AK124">
        <v>17.7</v>
      </c>
      <c r="AL124">
        <v>1</v>
      </c>
      <c r="AM124">
        <v>2</v>
      </c>
      <c r="AN124">
        <v>17.7</v>
      </c>
      <c r="AO124">
        <v>3</v>
      </c>
      <c r="AP124">
        <v>6</v>
      </c>
      <c r="AQ124">
        <v>17.7</v>
      </c>
    </row>
    <row r="125" spans="1:43" x14ac:dyDescent="0.35">
      <c r="A125" s="14">
        <v>5.0999999999999996</v>
      </c>
      <c r="B125">
        <v>7.5</v>
      </c>
      <c r="C125">
        <v>15</v>
      </c>
      <c r="D125">
        <v>35.4</v>
      </c>
      <c r="T125">
        <v>5</v>
      </c>
      <c r="U125">
        <v>10</v>
      </c>
      <c r="V125">
        <v>53.099999999999994</v>
      </c>
      <c r="AC125">
        <v>11.917098445595855</v>
      </c>
      <c r="AD125">
        <v>23</v>
      </c>
      <c r="AE125">
        <v>35.4</v>
      </c>
      <c r="AI125">
        <v>3</v>
      </c>
      <c r="AJ125">
        <v>6</v>
      </c>
      <c r="AK125">
        <v>35.4</v>
      </c>
      <c r="AL125">
        <v>6</v>
      </c>
      <c r="AM125">
        <v>12</v>
      </c>
      <c r="AN125">
        <v>17.7</v>
      </c>
      <c r="AO125">
        <v>14.5</v>
      </c>
      <c r="AP125">
        <v>29</v>
      </c>
      <c r="AQ125">
        <v>70.8</v>
      </c>
    </row>
    <row r="126" spans="1:43" x14ac:dyDescent="0.35">
      <c r="A126" s="37" t="s">
        <v>12</v>
      </c>
      <c r="AO126">
        <v>1</v>
      </c>
      <c r="AP126">
        <v>2</v>
      </c>
      <c r="AQ126">
        <v>17.7</v>
      </c>
    </row>
    <row r="127" spans="1:43" x14ac:dyDescent="0.35">
      <c r="A127" s="37" t="s">
        <v>6</v>
      </c>
      <c r="AO127">
        <v>1.5</v>
      </c>
      <c r="AP127">
        <v>3</v>
      </c>
      <c r="AQ127">
        <v>17.7</v>
      </c>
    </row>
    <row r="128" spans="1:43" x14ac:dyDescent="0.35">
      <c r="A128" s="37" t="s">
        <v>3</v>
      </c>
      <c r="B128">
        <v>4.5</v>
      </c>
      <c r="C128">
        <v>9</v>
      </c>
      <c r="D128">
        <v>17.7</v>
      </c>
      <c r="T128">
        <v>3</v>
      </c>
      <c r="U128">
        <v>6</v>
      </c>
      <c r="V128">
        <v>17.7</v>
      </c>
      <c r="AC128">
        <v>10.880829015544041</v>
      </c>
      <c r="AD128">
        <v>21</v>
      </c>
      <c r="AE128">
        <v>17.7</v>
      </c>
      <c r="AI128">
        <v>2.5</v>
      </c>
      <c r="AJ128">
        <v>5</v>
      </c>
      <c r="AK128">
        <v>17.7</v>
      </c>
      <c r="AL128">
        <v>6</v>
      </c>
      <c r="AM128">
        <v>12</v>
      </c>
      <c r="AN128">
        <v>17.7</v>
      </c>
      <c r="AO128">
        <v>11.5</v>
      </c>
      <c r="AP128">
        <v>23</v>
      </c>
      <c r="AQ128">
        <v>17.7</v>
      </c>
    </row>
    <row r="129" spans="1:43" x14ac:dyDescent="0.35">
      <c r="A129" s="37" t="s">
        <v>11</v>
      </c>
      <c r="T129">
        <v>1</v>
      </c>
      <c r="U129">
        <v>2</v>
      </c>
      <c r="V129">
        <v>17.7</v>
      </c>
      <c r="AI129">
        <v>0.5</v>
      </c>
      <c r="AJ129">
        <v>1</v>
      </c>
      <c r="AK129">
        <v>17.7</v>
      </c>
      <c r="AO129">
        <v>0.5</v>
      </c>
      <c r="AP129">
        <v>1</v>
      </c>
      <c r="AQ129">
        <v>17.7</v>
      </c>
    </row>
    <row r="130" spans="1:43" x14ac:dyDescent="0.35">
      <c r="A130" s="37" t="s">
        <v>14</v>
      </c>
      <c r="B130">
        <v>3</v>
      </c>
      <c r="C130">
        <v>6</v>
      </c>
      <c r="D130">
        <v>17.7</v>
      </c>
      <c r="T130">
        <v>1</v>
      </c>
      <c r="U130">
        <v>2</v>
      </c>
      <c r="V130">
        <v>17.7</v>
      </c>
      <c r="AC130">
        <v>1.0362694300518136</v>
      </c>
      <c r="AD130">
        <v>2</v>
      </c>
      <c r="AE130">
        <v>17.7</v>
      </c>
    </row>
    <row r="131" spans="1:43" x14ac:dyDescent="0.35">
      <c r="A131" s="14">
        <v>5.2</v>
      </c>
      <c r="B131">
        <v>1.5</v>
      </c>
      <c r="C131">
        <v>3</v>
      </c>
      <c r="D131">
        <v>17.7</v>
      </c>
      <c r="T131">
        <v>1.5</v>
      </c>
      <c r="U131">
        <v>3</v>
      </c>
      <c r="V131">
        <v>17.7</v>
      </c>
      <c r="AC131">
        <v>2.0202020202020203</v>
      </c>
      <c r="AD131">
        <v>4</v>
      </c>
      <c r="AE131">
        <v>17.7</v>
      </c>
      <c r="AI131">
        <v>0.5</v>
      </c>
      <c r="AJ131">
        <v>1</v>
      </c>
      <c r="AK131">
        <v>17.7</v>
      </c>
      <c r="AL131">
        <v>2</v>
      </c>
      <c r="AM131">
        <v>4</v>
      </c>
      <c r="AN131">
        <v>35.4</v>
      </c>
      <c r="AO131">
        <v>3</v>
      </c>
      <c r="AP131">
        <v>6</v>
      </c>
      <c r="AQ131">
        <v>35.4</v>
      </c>
    </row>
    <row r="132" spans="1:43" x14ac:dyDescent="0.35">
      <c r="A132" s="37" t="s">
        <v>12</v>
      </c>
      <c r="AL132">
        <v>1</v>
      </c>
      <c r="AM132">
        <v>2</v>
      </c>
      <c r="AN132">
        <v>17.7</v>
      </c>
      <c r="AO132">
        <v>1</v>
      </c>
      <c r="AP132">
        <v>2</v>
      </c>
      <c r="AQ132">
        <v>17.7</v>
      </c>
    </row>
    <row r="133" spans="1:43" x14ac:dyDescent="0.35">
      <c r="A133" s="37" t="s">
        <v>11</v>
      </c>
      <c r="B133">
        <v>1.5</v>
      </c>
      <c r="C133">
        <v>3</v>
      </c>
      <c r="D133">
        <v>17.7</v>
      </c>
      <c r="T133">
        <v>1.5</v>
      </c>
      <c r="U133">
        <v>3</v>
      </c>
      <c r="V133">
        <v>17.7</v>
      </c>
      <c r="AC133">
        <v>2.0202020202020203</v>
      </c>
      <c r="AD133">
        <v>4</v>
      </c>
      <c r="AE133">
        <v>17.7</v>
      </c>
      <c r="AI133">
        <v>0.5</v>
      </c>
      <c r="AJ133">
        <v>1</v>
      </c>
      <c r="AK133">
        <v>17.7</v>
      </c>
      <c r="AL133">
        <v>1</v>
      </c>
      <c r="AM133">
        <v>2</v>
      </c>
      <c r="AN133">
        <v>17.7</v>
      </c>
      <c r="AO133">
        <v>2</v>
      </c>
      <c r="AP133">
        <v>4</v>
      </c>
      <c r="AQ133">
        <v>17.7</v>
      </c>
    </row>
    <row r="134" spans="1:43" x14ac:dyDescent="0.35">
      <c r="A134" s="14">
        <v>5.3</v>
      </c>
      <c r="B134">
        <v>4.5</v>
      </c>
      <c r="C134">
        <v>9</v>
      </c>
      <c r="D134">
        <v>17.7</v>
      </c>
      <c r="T134">
        <v>5</v>
      </c>
      <c r="U134">
        <v>10</v>
      </c>
      <c r="V134">
        <v>17.7</v>
      </c>
      <c r="AC134">
        <v>5.0505050505050502</v>
      </c>
      <c r="AD134">
        <v>10</v>
      </c>
      <c r="AE134">
        <v>17.7</v>
      </c>
      <c r="AI134">
        <v>2.5</v>
      </c>
      <c r="AJ134">
        <v>5</v>
      </c>
      <c r="AK134">
        <v>17.7</v>
      </c>
      <c r="AL134">
        <v>7</v>
      </c>
      <c r="AM134">
        <v>14</v>
      </c>
      <c r="AN134">
        <v>53.099999999999994</v>
      </c>
      <c r="AO134">
        <v>10.5</v>
      </c>
      <c r="AP134">
        <v>21</v>
      </c>
      <c r="AQ134">
        <v>35.4</v>
      </c>
    </row>
    <row r="135" spans="1:43" x14ac:dyDescent="0.35">
      <c r="A135" s="37" t="s">
        <v>12</v>
      </c>
      <c r="AL135">
        <v>0.5</v>
      </c>
      <c r="AM135">
        <v>1</v>
      </c>
      <c r="AN135">
        <v>17.7</v>
      </c>
    </row>
    <row r="136" spans="1:43" x14ac:dyDescent="0.35">
      <c r="A136" s="37" t="s">
        <v>6</v>
      </c>
      <c r="AL136">
        <v>1</v>
      </c>
      <c r="AM136">
        <v>2</v>
      </c>
      <c r="AN136">
        <v>17.7</v>
      </c>
      <c r="AO136">
        <v>3</v>
      </c>
      <c r="AP136">
        <v>6</v>
      </c>
      <c r="AQ136">
        <v>17.7</v>
      </c>
    </row>
    <row r="137" spans="1:43" x14ac:dyDescent="0.35">
      <c r="A137" s="37" t="s">
        <v>11</v>
      </c>
      <c r="B137">
        <v>4.5</v>
      </c>
      <c r="C137">
        <v>9</v>
      </c>
      <c r="D137">
        <v>17.7</v>
      </c>
      <c r="T137">
        <v>5</v>
      </c>
      <c r="U137">
        <v>10</v>
      </c>
      <c r="V137">
        <v>17.7</v>
      </c>
      <c r="AC137">
        <v>5.0505050505050502</v>
      </c>
      <c r="AD137">
        <v>10</v>
      </c>
      <c r="AE137">
        <v>17.7</v>
      </c>
      <c r="AI137">
        <v>2.5</v>
      </c>
      <c r="AJ137">
        <v>5</v>
      </c>
      <c r="AK137">
        <v>17.7</v>
      </c>
      <c r="AL137">
        <v>5.5</v>
      </c>
      <c r="AM137">
        <v>11</v>
      </c>
      <c r="AN137">
        <v>17.7</v>
      </c>
      <c r="AO137">
        <v>7.5</v>
      </c>
      <c r="AP137">
        <v>15</v>
      </c>
      <c r="AQ137">
        <v>17.7</v>
      </c>
    </row>
    <row r="138" spans="1:43" x14ac:dyDescent="0.35">
      <c r="A138" s="14">
        <v>5.4</v>
      </c>
      <c r="AL138">
        <v>4.5</v>
      </c>
      <c r="AM138">
        <v>9</v>
      </c>
      <c r="AN138">
        <v>53.099999999999994</v>
      </c>
      <c r="AO138">
        <v>13.5</v>
      </c>
      <c r="AP138">
        <v>27</v>
      </c>
      <c r="AQ138">
        <v>35.4</v>
      </c>
    </row>
    <row r="139" spans="1:43" x14ac:dyDescent="0.35">
      <c r="A139" s="37" t="s">
        <v>12</v>
      </c>
      <c r="AL139">
        <v>0.5</v>
      </c>
      <c r="AM139">
        <v>1</v>
      </c>
      <c r="AN139">
        <v>17.7</v>
      </c>
      <c r="AO139">
        <v>4</v>
      </c>
      <c r="AP139">
        <v>8</v>
      </c>
      <c r="AQ139">
        <v>17.7</v>
      </c>
    </row>
    <row r="140" spans="1:43" x14ac:dyDescent="0.35">
      <c r="A140" s="37" t="s">
        <v>6</v>
      </c>
      <c r="AL140">
        <v>3.5000000000000004</v>
      </c>
      <c r="AM140">
        <v>7</v>
      </c>
      <c r="AN140">
        <v>17.7</v>
      </c>
      <c r="AO140">
        <v>9.5</v>
      </c>
      <c r="AP140">
        <v>19</v>
      </c>
      <c r="AQ140">
        <v>17.7</v>
      </c>
    </row>
    <row r="141" spans="1:43" x14ac:dyDescent="0.35">
      <c r="A141" s="37" t="s">
        <v>11</v>
      </c>
      <c r="AL141">
        <v>0.5</v>
      </c>
      <c r="AM141">
        <v>1</v>
      </c>
      <c r="AN141">
        <v>17.7</v>
      </c>
    </row>
    <row r="142" spans="1:43" x14ac:dyDescent="0.35">
      <c r="A142" s="14">
        <v>5.5</v>
      </c>
      <c r="B142">
        <v>2</v>
      </c>
      <c r="C142">
        <v>4</v>
      </c>
      <c r="D142">
        <v>17.7</v>
      </c>
      <c r="T142">
        <v>2</v>
      </c>
      <c r="U142">
        <v>4</v>
      </c>
      <c r="V142">
        <v>17.7</v>
      </c>
      <c r="AC142">
        <v>0.50505050505050508</v>
      </c>
      <c r="AD142">
        <v>1</v>
      </c>
      <c r="AE142">
        <v>17.7</v>
      </c>
      <c r="AI142">
        <v>2.5</v>
      </c>
      <c r="AJ142">
        <v>5</v>
      </c>
      <c r="AK142">
        <v>35.4</v>
      </c>
      <c r="AL142">
        <v>4</v>
      </c>
      <c r="AM142">
        <v>8</v>
      </c>
      <c r="AN142">
        <v>53.099999999999994</v>
      </c>
      <c r="AO142">
        <v>16</v>
      </c>
      <c r="AP142">
        <v>32</v>
      </c>
      <c r="AQ142">
        <v>70.8</v>
      </c>
    </row>
    <row r="143" spans="1:43" x14ac:dyDescent="0.35">
      <c r="A143" s="37" t="s">
        <v>12</v>
      </c>
      <c r="AI143">
        <v>0.5</v>
      </c>
      <c r="AJ143">
        <v>1</v>
      </c>
      <c r="AK143">
        <v>17.7</v>
      </c>
      <c r="AO143">
        <v>6</v>
      </c>
      <c r="AP143">
        <v>12</v>
      </c>
      <c r="AQ143">
        <v>17.7</v>
      </c>
    </row>
    <row r="144" spans="1:43" x14ac:dyDescent="0.35">
      <c r="A144" s="37" t="s">
        <v>5</v>
      </c>
      <c r="AO144">
        <v>1</v>
      </c>
      <c r="AP144">
        <v>2</v>
      </c>
      <c r="AQ144">
        <v>17.7</v>
      </c>
    </row>
    <row r="145" spans="1:43" x14ac:dyDescent="0.35">
      <c r="A145" s="37" t="s">
        <v>6</v>
      </c>
      <c r="AL145">
        <v>1.5</v>
      </c>
      <c r="AM145">
        <v>3</v>
      </c>
      <c r="AN145">
        <v>17.7</v>
      </c>
      <c r="AO145">
        <v>7.5</v>
      </c>
      <c r="AP145">
        <v>15</v>
      </c>
      <c r="AQ145">
        <v>17.7</v>
      </c>
    </row>
    <row r="146" spans="1:43" x14ac:dyDescent="0.35">
      <c r="A146" s="37" t="s">
        <v>3</v>
      </c>
      <c r="AL146">
        <v>0.5</v>
      </c>
      <c r="AM146">
        <v>1</v>
      </c>
      <c r="AN146">
        <v>17.7</v>
      </c>
    </row>
    <row r="147" spans="1:43" x14ac:dyDescent="0.35">
      <c r="A147" s="37" t="s">
        <v>11</v>
      </c>
      <c r="B147">
        <v>2</v>
      </c>
      <c r="C147">
        <v>4</v>
      </c>
      <c r="D147">
        <v>17.7</v>
      </c>
      <c r="T147">
        <v>2</v>
      </c>
      <c r="U147">
        <v>4</v>
      </c>
      <c r="V147">
        <v>17.7</v>
      </c>
      <c r="AC147">
        <v>0.50505050505050508</v>
      </c>
      <c r="AD147">
        <v>1</v>
      </c>
      <c r="AE147">
        <v>17.7</v>
      </c>
      <c r="AI147">
        <v>2</v>
      </c>
      <c r="AJ147">
        <v>4</v>
      </c>
      <c r="AK147">
        <v>17.7</v>
      </c>
      <c r="AL147">
        <v>2</v>
      </c>
      <c r="AM147">
        <v>4</v>
      </c>
      <c r="AN147">
        <v>17.7</v>
      </c>
      <c r="AO147">
        <v>1.5</v>
      </c>
      <c r="AP147">
        <v>3</v>
      </c>
      <c r="AQ147">
        <v>17.7</v>
      </c>
    </row>
    <row r="148" spans="1:43" x14ac:dyDescent="0.35">
      <c r="A148" s="14">
        <v>5.6</v>
      </c>
      <c r="AC148">
        <v>2.5</v>
      </c>
      <c r="AD148">
        <v>5</v>
      </c>
      <c r="AE148">
        <v>17.7</v>
      </c>
      <c r="AI148">
        <v>2</v>
      </c>
      <c r="AJ148">
        <v>4</v>
      </c>
      <c r="AK148">
        <v>17.7</v>
      </c>
      <c r="AL148">
        <v>4</v>
      </c>
      <c r="AM148">
        <v>8</v>
      </c>
      <c r="AN148">
        <v>35.4</v>
      </c>
      <c r="AO148">
        <v>8.5</v>
      </c>
      <c r="AP148">
        <v>17</v>
      </c>
      <c r="AQ148">
        <v>53.099999999999994</v>
      </c>
    </row>
    <row r="149" spans="1:43" x14ac:dyDescent="0.35">
      <c r="A149" s="37" t="s">
        <v>12</v>
      </c>
      <c r="AO149">
        <v>0.5</v>
      </c>
      <c r="AP149">
        <v>1</v>
      </c>
      <c r="AQ149">
        <v>17.7</v>
      </c>
    </row>
    <row r="150" spans="1:43" x14ac:dyDescent="0.35">
      <c r="A150" s="37" t="s">
        <v>6</v>
      </c>
      <c r="AL150">
        <v>1.5</v>
      </c>
      <c r="AM150">
        <v>3</v>
      </c>
      <c r="AN150">
        <v>17.7</v>
      </c>
      <c r="AO150">
        <v>7.5</v>
      </c>
      <c r="AP150">
        <v>15</v>
      </c>
      <c r="AQ150">
        <v>17.7</v>
      </c>
    </row>
    <row r="151" spans="1:43" x14ac:dyDescent="0.35">
      <c r="A151" s="37" t="s">
        <v>11</v>
      </c>
      <c r="AC151">
        <v>2.5</v>
      </c>
      <c r="AD151">
        <v>5</v>
      </c>
      <c r="AE151">
        <v>17.7</v>
      </c>
      <c r="AI151">
        <v>2</v>
      </c>
      <c r="AJ151">
        <v>4</v>
      </c>
      <c r="AK151">
        <v>17.7</v>
      </c>
      <c r="AL151">
        <v>2.5</v>
      </c>
      <c r="AM151">
        <v>5</v>
      </c>
      <c r="AN151">
        <v>17.7</v>
      </c>
      <c r="AO151">
        <v>0.5</v>
      </c>
      <c r="AP151">
        <v>1</v>
      </c>
      <c r="AQ151">
        <v>17.7</v>
      </c>
    </row>
    <row r="152" spans="1:43" x14ac:dyDescent="0.35">
      <c r="A152" s="14">
        <v>5.7</v>
      </c>
      <c r="B152">
        <v>2.5</v>
      </c>
      <c r="C152">
        <v>5</v>
      </c>
      <c r="D152">
        <v>17.7</v>
      </c>
      <c r="T152">
        <v>7</v>
      </c>
      <c r="U152">
        <v>14</v>
      </c>
      <c r="V152">
        <v>35.4</v>
      </c>
      <c r="AC152">
        <v>6.5656565656565666</v>
      </c>
      <c r="AD152">
        <v>13</v>
      </c>
      <c r="AE152">
        <v>17.7</v>
      </c>
      <c r="AI152">
        <v>0.5</v>
      </c>
      <c r="AJ152">
        <v>1</v>
      </c>
      <c r="AK152">
        <v>17.7</v>
      </c>
      <c r="AL152">
        <v>2.5</v>
      </c>
      <c r="AM152">
        <v>5</v>
      </c>
      <c r="AN152">
        <v>17.7</v>
      </c>
      <c r="AO152">
        <v>6.5</v>
      </c>
      <c r="AP152">
        <v>13</v>
      </c>
      <c r="AQ152">
        <v>17.7</v>
      </c>
    </row>
    <row r="153" spans="1:43" x14ac:dyDescent="0.35">
      <c r="A153" s="37" t="s">
        <v>3</v>
      </c>
      <c r="T153">
        <v>0.5</v>
      </c>
      <c r="U153">
        <v>1</v>
      </c>
      <c r="V153">
        <v>17.7</v>
      </c>
    </row>
    <row r="154" spans="1:43" x14ac:dyDescent="0.35">
      <c r="A154" s="37" t="s">
        <v>11</v>
      </c>
      <c r="B154">
        <v>2.5</v>
      </c>
      <c r="C154">
        <v>5</v>
      </c>
      <c r="D154">
        <v>17.7</v>
      </c>
      <c r="T154">
        <v>6.5</v>
      </c>
      <c r="U154">
        <v>13</v>
      </c>
      <c r="V154">
        <v>17.7</v>
      </c>
      <c r="AC154">
        <v>6.5656565656565666</v>
      </c>
      <c r="AD154">
        <v>13</v>
      </c>
      <c r="AE154">
        <v>17.7</v>
      </c>
      <c r="AI154">
        <v>0.5</v>
      </c>
      <c r="AJ154">
        <v>1</v>
      </c>
      <c r="AK154">
        <v>17.7</v>
      </c>
      <c r="AL154">
        <v>2.5</v>
      </c>
      <c r="AM154">
        <v>5</v>
      </c>
      <c r="AN154">
        <v>17.7</v>
      </c>
      <c r="AO154">
        <v>6.5</v>
      </c>
      <c r="AP154">
        <v>13</v>
      </c>
      <c r="AQ154">
        <v>17.7</v>
      </c>
    </row>
    <row r="155" spans="1:43" x14ac:dyDescent="0.35">
      <c r="A155" s="14">
        <v>6.1</v>
      </c>
      <c r="B155">
        <v>2</v>
      </c>
      <c r="C155">
        <v>4</v>
      </c>
      <c r="D155">
        <v>17.7</v>
      </c>
      <c r="T155">
        <v>1</v>
      </c>
      <c r="U155">
        <v>2</v>
      </c>
      <c r="V155">
        <v>17.7</v>
      </c>
      <c r="AC155">
        <v>1.5151515151515151</v>
      </c>
      <c r="AD155">
        <v>3</v>
      </c>
      <c r="AE155">
        <v>17.7</v>
      </c>
    </row>
    <row r="156" spans="1:43" x14ac:dyDescent="0.35">
      <c r="A156" s="37" t="s">
        <v>11</v>
      </c>
      <c r="B156">
        <v>2</v>
      </c>
      <c r="C156">
        <v>4</v>
      </c>
      <c r="D156">
        <v>17.7</v>
      </c>
      <c r="T156">
        <v>1</v>
      </c>
      <c r="U156">
        <v>2</v>
      </c>
      <c r="V156">
        <v>17.7</v>
      </c>
      <c r="AC156">
        <v>1.5151515151515151</v>
      </c>
      <c r="AD156">
        <v>3</v>
      </c>
      <c r="AE156">
        <v>17.7</v>
      </c>
    </row>
    <row r="157" spans="1:43" x14ac:dyDescent="0.35">
      <c r="A157" s="14">
        <v>6.2</v>
      </c>
      <c r="B157">
        <v>0.5</v>
      </c>
      <c r="C157">
        <v>1</v>
      </c>
      <c r="D157">
        <v>17.7</v>
      </c>
      <c r="AL157">
        <v>0.5</v>
      </c>
      <c r="AM157">
        <v>1</v>
      </c>
      <c r="AN157">
        <v>17.7</v>
      </c>
      <c r="AO157">
        <v>5.5</v>
      </c>
      <c r="AP157">
        <v>11</v>
      </c>
      <c r="AQ157">
        <v>53.099999999999994</v>
      </c>
    </row>
    <row r="158" spans="1:43" x14ac:dyDescent="0.35">
      <c r="A158" s="37" t="s">
        <v>12</v>
      </c>
      <c r="AO158">
        <v>4</v>
      </c>
      <c r="AP158">
        <v>8</v>
      </c>
      <c r="AQ158">
        <v>17.7</v>
      </c>
    </row>
    <row r="159" spans="1:43" x14ac:dyDescent="0.35">
      <c r="A159" s="37" t="s">
        <v>6</v>
      </c>
      <c r="AL159">
        <v>0.5</v>
      </c>
      <c r="AM159">
        <v>1</v>
      </c>
      <c r="AN159">
        <v>17.7</v>
      </c>
      <c r="AO159">
        <v>1</v>
      </c>
      <c r="AP159">
        <v>2</v>
      </c>
      <c r="AQ159">
        <v>17.7</v>
      </c>
    </row>
    <row r="160" spans="1:43" x14ac:dyDescent="0.35">
      <c r="A160" s="37" t="s">
        <v>11</v>
      </c>
      <c r="B160">
        <v>0.5</v>
      </c>
      <c r="C160">
        <v>1</v>
      </c>
      <c r="D160">
        <v>17.7</v>
      </c>
      <c r="AO160">
        <v>0.5</v>
      </c>
      <c r="AP160">
        <v>1</v>
      </c>
      <c r="AQ160">
        <v>17.7</v>
      </c>
    </row>
    <row r="161" spans="1:43" x14ac:dyDescent="0.35">
      <c r="A161" s="14">
        <v>6.3</v>
      </c>
      <c r="B161">
        <v>1.5</v>
      </c>
      <c r="C161">
        <v>3</v>
      </c>
      <c r="D161">
        <v>17.7</v>
      </c>
      <c r="T161">
        <v>1</v>
      </c>
      <c r="U161">
        <v>2</v>
      </c>
      <c r="V161">
        <v>17.7</v>
      </c>
      <c r="AC161">
        <v>1.5151515151515151</v>
      </c>
      <c r="AD161">
        <v>3</v>
      </c>
      <c r="AE161">
        <v>17.7</v>
      </c>
      <c r="AI161">
        <v>2.5</v>
      </c>
      <c r="AJ161">
        <v>5</v>
      </c>
      <c r="AK161">
        <v>35.4</v>
      </c>
      <c r="AL161">
        <v>2.5</v>
      </c>
      <c r="AM161">
        <v>5</v>
      </c>
      <c r="AN161">
        <v>35.4</v>
      </c>
      <c r="AO161">
        <v>11.5</v>
      </c>
      <c r="AP161">
        <v>23</v>
      </c>
      <c r="AQ161">
        <v>53.099999999999994</v>
      </c>
    </row>
    <row r="162" spans="1:43" x14ac:dyDescent="0.35">
      <c r="A162" s="37" t="s">
        <v>12</v>
      </c>
      <c r="AI162">
        <v>0.5</v>
      </c>
      <c r="AJ162">
        <v>1</v>
      </c>
      <c r="AK162">
        <v>17.7</v>
      </c>
      <c r="AO162">
        <v>3.5000000000000004</v>
      </c>
      <c r="AP162">
        <v>7</v>
      </c>
      <c r="AQ162">
        <v>17.7</v>
      </c>
    </row>
    <row r="163" spans="1:43" x14ac:dyDescent="0.35">
      <c r="A163" s="37" t="s">
        <v>6</v>
      </c>
      <c r="AL163">
        <v>0.5</v>
      </c>
      <c r="AM163">
        <v>1</v>
      </c>
      <c r="AN163">
        <v>17.7</v>
      </c>
      <c r="AO163">
        <v>6</v>
      </c>
      <c r="AP163">
        <v>12</v>
      </c>
      <c r="AQ163">
        <v>17.7</v>
      </c>
    </row>
    <row r="164" spans="1:43" x14ac:dyDescent="0.35">
      <c r="A164" s="37" t="s">
        <v>11</v>
      </c>
      <c r="B164">
        <v>1.5</v>
      </c>
      <c r="C164">
        <v>3</v>
      </c>
      <c r="D164">
        <v>17.7</v>
      </c>
      <c r="T164">
        <v>1</v>
      </c>
      <c r="U164">
        <v>2</v>
      </c>
      <c r="V164">
        <v>17.7</v>
      </c>
      <c r="AC164">
        <v>1.5151515151515151</v>
      </c>
      <c r="AD164">
        <v>3</v>
      </c>
      <c r="AE164">
        <v>17.7</v>
      </c>
      <c r="AI164">
        <v>2</v>
      </c>
      <c r="AJ164">
        <v>4</v>
      </c>
      <c r="AK164">
        <v>17.7</v>
      </c>
      <c r="AL164">
        <v>2</v>
      </c>
      <c r="AM164">
        <v>4</v>
      </c>
      <c r="AN164">
        <v>17.7</v>
      </c>
      <c r="AO164">
        <v>2</v>
      </c>
      <c r="AP164">
        <v>4</v>
      </c>
      <c r="AQ164">
        <v>17.7</v>
      </c>
    </row>
    <row r="165" spans="1:43" x14ac:dyDescent="0.35">
      <c r="A165" s="14">
        <v>6.4</v>
      </c>
      <c r="AC165">
        <v>1.5151515151515151</v>
      </c>
      <c r="AD165">
        <v>3</v>
      </c>
      <c r="AE165">
        <v>17.7</v>
      </c>
      <c r="AI165">
        <v>1</v>
      </c>
      <c r="AJ165">
        <v>2</v>
      </c>
      <c r="AK165">
        <v>17.7</v>
      </c>
      <c r="AL165">
        <v>1</v>
      </c>
      <c r="AM165">
        <v>2</v>
      </c>
      <c r="AN165">
        <v>17.7</v>
      </c>
      <c r="AO165">
        <v>3</v>
      </c>
      <c r="AP165">
        <v>6</v>
      </c>
      <c r="AQ165">
        <v>53.099999999999994</v>
      </c>
    </row>
    <row r="166" spans="1:43" x14ac:dyDescent="0.35">
      <c r="A166" s="37" t="s">
        <v>12</v>
      </c>
      <c r="AO166">
        <v>0.5</v>
      </c>
      <c r="AP166">
        <v>1</v>
      </c>
      <c r="AQ166">
        <v>17.7</v>
      </c>
    </row>
    <row r="167" spans="1:43" x14ac:dyDescent="0.35">
      <c r="A167" s="37" t="s">
        <v>6</v>
      </c>
      <c r="AO167">
        <v>1</v>
      </c>
      <c r="AP167">
        <v>2</v>
      </c>
      <c r="AQ167">
        <v>17.7</v>
      </c>
    </row>
    <row r="168" spans="1:43" x14ac:dyDescent="0.35">
      <c r="A168" s="37" t="s">
        <v>11</v>
      </c>
      <c r="AC168">
        <v>1.5151515151515151</v>
      </c>
      <c r="AD168">
        <v>3</v>
      </c>
      <c r="AE168">
        <v>17.7</v>
      </c>
      <c r="AI168">
        <v>1</v>
      </c>
      <c r="AJ168">
        <v>2</v>
      </c>
      <c r="AK168">
        <v>17.7</v>
      </c>
      <c r="AL168">
        <v>1</v>
      </c>
      <c r="AM168">
        <v>2</v>
      </c>
      <c r="AN168">
        <v>17.7</v>
      </c>
      <c r="AO168">
        <v>1.5</v>
      </c>
      <c r="AP168">
        <v>3</v>
      </c>
      <c r="AQ168">
        <v>17.7</v>
      </c>
    </row>
    <row r="169" spans="1:43" x14ac:dyDescent="0.35">
      <c r="A169" s="14">
        <v>6.5</v>
      </c>
      <c r="B169">
        <v>1</v>
      </c>
      <c r="C169">
        <v>2</v>
      </c>
      <c r="D169">
        <v>17.7</v>
      </c>
      <c r="T169">
        <v>1.5</v>
      </c>
      <c r="U169">
        <v>3</v>
      </c>
      <c r="V169">
        <v>17.7</v>
      </c>
      <c r="AC169">
        <v>5.5555555555555554</v>
      </c>
      <c r="AD169">
        <v>11</v>
      </c>
      <c r="AE169">
        <v>17.7</v>
      </c>
      <c r="AI169">
        <v>3.5000000000000004</v>
      </c>
      <c r="AJ169">
        <v>7</v>
      </c>
      <c r="AK169">
        <v>17.7</v>
      </c>
      <c r="AL169">
        <v>5</v>
      </c>
      <c r="AM169">
        <v>10</v>
      </c>
      <c r="AN169">
        <v>35.4</v>
      </c>
      <c r="AO169">
        <v>11</v>
      </c>
      <c r="AP169">
        <v>22</v>
      </c>
      <c r="AQ169">
        <v>53.099999999999994</v>
      </c>
    </row>
    <row r="170" spans="1:43" x14ac:dyDescent="0.35">
      <c r="A170" s="37" t="s">
        <v>12</v>
      </c>
      <c r="AO170">
        <v>0.5</v>
      </c>
      <c r="AP170">
        <v>1</v>
      </c>
      <c r="AQ170">
        <v>17.7</v>
      </c>
    </row>
    <row r="171" spans="1:43" x14ac:dyDescent="0.35">
      <c r="A171" s="37" t="s">
        <v>6</v>
      </c>
      <c r="AL171">
        <v>0.5</v>
      </c>
      <c r="AM171">
        <v>1</v>
      </c>
      <c r="AN171">
        <v>17.7</v>
      </c>
      <c r="AO171">
        <v>3.5000000000000004</v>
      </c>
      <c r="AP171">
        <v>7</v>
      </c>
      <c r="AQ171">
        <v>17.7</v>
      </c>
    </row>
    <row r="172" spans="1:43" x14ac:dyDescent="0.35">
      <c r="A172" s="37" t="s">
        <v>11</v>
      </c>
      <c r="B172">
        <v>1</v>
      </c>
      <c r="C172">
        <v>2</v>
      </c>
      <c r="D172">
        <v>17.7</v>
      </c>
      <c r="T172">
        <v>1.5</v>
      </c>
      <c r="U172">
        <v>3</v>
      </c>
      <c r="V172">
        <v>17.7</v>
      </c>
      <c r="AC172">
        <v>5.5555555555555554</v>
      </c>
      <c r="AD172">
        <v>11</v>
      </c>
      <c r="AE172">
        <v>17.7</v>
      </c>
      <c r="AI172">
        <v>3.5000000000000004</v>
      </c>
      <c r="AJ172">
        <v>7</v>
      </c>
      <c r="AK172">
        <v>17.7</v>
      </c>
      <c r="AL172">
        <v>4.5</v>
      </c>
      <c r="AM172">
        <v>9</v>
      </c>
      <c r="AN172">
        <v>17.7</v>
      </c>
      <c r="AO172">
        <v>7.0000000000000009</v>
      </c>
      <c r="AP172">
        <v>14</v>
      </c>
      <c r="AQ172">
        <v>17.7</v>
      </c>
    </row>
    <row r="173" spans="1:43" x14ac:dyDescent="0.35">
      <c r="A173" s="14">
        <v>6.6</v>
      </c>
      <c r="AI173">
        <v>1</v>
      </c>
      <c r="AJ173">
        <v>2</v>
      </c>
      <c r="AK173">
        <v>35.4</v>
      </c>
      <c r="AL173">
        <v>1.5</v>
      </c>
      <c r="AM173">
        <v>3</v>
      </c>
      <c r="AN173">
        <v>35.4</v>
      </c>
      <c r="AO173">
        <v>4.5</v>
      </c>
      <c r="AP173">
        <v>9</v>
      </c>
      <c r="AQ173">
        <v>53.099999999999994</v>
      </c>
    </row>
    <row r="174" spans="1:43" x14ac:dyDescent="0.35">
      <c r="A174" s="37" t="s">
        <v>12</v>
      </c>
      <c r="AL174">
        <v>0.5</v>
      </c>
      <c r="AM174">
        <v>1</v>
      </c>
      <c r="AN174">
        <v>17.7</v>
      </c>
      <c r="AO174">
        <v>1.5</v>
      </c>
      <c r="AP174">
        <v>3</v>
      </c>
      <c r="AQ174">
        <v>17.7</v>
      </c>
    </row>
    <row r="175" spans="1:43" x14ac:dyDescent="0.35">
      <c r="A175" s="37" t="s">
        <v>6</v>
      </c>
      <c r="AI175">
        <v>0.5</v>
      </c>
      <c r="AJ175">
        <v>1</v>
      </c>
      <c r="AK175">
        <v>17.7</v>
      </c>
      <c r="AO175">
        <v>1.5</v>
      </c>
      <c r="AP175">
        <v>3</v>
      </c>
      <c r="AQ175">
        <v>17.7</v>
      </c>
    </row>
    <row r="176" spans="1:43" x14ac:dyDescent="0.35">
      <c r="A176" s="37" t="s">
        <v>11</v>
      </c>
      <c r="AI176">
        <v>0.5</v>
      </c>
      <c r="AJ176">
        <v>1</v>
      </c>
      <c r="AK176">
        <v>17.7</v>
      </c>
      <c r="AL176">
        <v>1</v>
      </c>
      <c r="AM176">
        <v>2</v>
      </c>
      <c r="AN176">
        <v>17.7</v>
      </c>
      <c r="AO176">
        <v>1.5</v>
      </c>
      <c r="AP176">
        <v>3</v>
      </c>
      <c r="AQ176">
        <v>17.7</v>
      </c>
    </row>
    <row r="177" spans="1:43" x14ac:dyDescent="0.35">
      <c r="A177" s="14">
        <v>6.7</v>
      </c>
      <c r="B177">
        <v>0.5</v>
      </c>
      <c r="C177">
        <v>1</v>
      </c>
      <c r="D177">
        <v>17.7</v>
      </c>
      <c r="AC177">
        <v>2.5252525252525251</v>
      </c>
      <c r="AD177">
        <v>5</v>
      </c>
      <c r="AE177">
        <v>35.4</v>
      </c>
      <c r="AI177">
        <v>1.5</v>
      </c>
      <c r="AJ177">
        <v>3</v>
      </c>
      <c r="AK177">
        <v>17.7</v>
      </c>
      <c r="AL177">
        <v>6</v>
      </c>
      <c r="AM177">
        <v>12</v>
      </c>
      <c r="AN177">
        <v>53.099999999999994</v>
      </c>
      <c r="AO177">
        <v>7.5</v>
      </c>
      <c r="AP177">
        <v>15</v>
      </c>
      <c r="AQ177">
        <v>35.4</v>
      </c>
    </row>
    <row r="178" spans="1:43" x14ac:dyDescent="0.35">
      <c r="A178" s="37" t="s">
        <v>214</v>
      </c>
      <c r="AL178">
        <v>0.5</v>
      </c>
      <c r="AM178">
        <v>1</v>
      </c>
      <c r="AN178">
        <v>17.7</v>
      </c>
    </row>
    <row r="179" spans="1:43" x14ac:dyDescent="0.35">
      <c r="A179" s="37" t="s">
        <v>3</v>
      </c>
      <c r="AC179">
        <v>1.5151515151515151</v>
      </c>
      <c r="AD179">
        <v>3</v>
      </c>
      <c r="AE179">
        <v>17.7</v>
      </c>
      <c r="AL179">
        <v>2</v>
      </c>
      <c r="AM179">
        <v>4</v>
      </c>
      <c r="AN179">
        <v>17.7</v>
      </c>
      <c r="AO179">
        <v>3.5000000000000004</v>
      </c>
      <c r="AP179">
        <v>7</v>
      </c>
      <c r="AQ179">
        <v>17.7</v>
      </c>
    </row>
    <row r="180" spans="1:43" x14ac:dyDescent="0.35">
      <c r="A180" s="37" t="s">
        <v>11</v>
      </c>
      <c r="B180">
        <v>0.5</v>
      </c>
      <c r="C180">
        <v>1</v>
      </c>
      <c r="D180">
        <v>17.7</v>
      </c>
      <c r="AC180">
        <v>1.0101010101010102</v>
      </c>
      <c r="AD180">
        <v>2</v>
      </c>
      <c r="AE180">
        <v>17.7</v>
      </c>
      <c r="AI180">
        <v>1.5</v>
      </c>
      <c r="AJ180">
        <v>3</v>
      </c>
      <c r="AK180">
        <v>17.7</v>
      </c>
      <c r="AL180">
        <v>3.5000000000000004</v>
      </c>
      <c r="AM180">
        <v>7</v>
      </c>
      <c r="AN180">
        <v>17.7</v>
      </c>
      <c r="AO180">
        <v>4</v>
      </c>
      <c r="AP180">
        <v>8</v>
      </c>
      <c r="AQ180">
        <v>17.7</v>
      </c>
    </row>
    <row r="181" spans="1:43" x14ac:dyDescent="0.35">
      <c r="A181" s="14">
        <v>7.1</v>
      </c>
      <c r="B181">
        <v>0.5</v>
      </c>
      <c r="C181">
        <v>1</v>
      </c>
      <c r="D181">
        <v>17.7</v>
      </c>
      <c r="AO181">
        <v>3.5000000000000004</v>
      </c>
      <c r="AP181">
        <v>7</v>
      </c>
      <c r="AQ181">
        <v>17.7</v>
      </c>
    </row>
    <row r="182" spans="1:43" x14ac:dyDescent="0.35">
      <c r="A182" s="37" t="s">
        <v>11</v>
      </c>
      <c r="B182">
        <v>0.5</v>
      </c>
      <c r="C182">
        <v>1</v>
      </c>
      <c r="D182">
        <v>17.7</v>
      </c>
      <c r="AO182">
        <v>3.5000000000000004</v>
      </c>
      <c r="AP182">
        <v>7</v>
      </c>
      <c r="AQ182">
        <v>17.7</v>
      </c>
    </row>
    <row r="183" spans="1:43" x14ac:dyDescent="0.35">
      <c r="A183" s="14">
        <v>7.2</v>
      </c>
      <c r="B183">
        <v>3</v>
      </c>
      <c r="C183">
        <v>6</v>
      </c>
      <c r="D183">
        <v>35.4</v>
      </c>
      <c r="T183">
        <v>2</v>
      </c>
      <c r="U183">
        <v>4</v>
      </c>
      <c r="V183">
        <v>17.7</v>
      </c>
      <c r="AC183">
        <v>1.5</v>
      </c>
      <c r="AD183">
        <v>3</v>
      </c>
      <c r="AE183">
        <v>35.4</v>
      </c>
      <c r="AI183">
        <v>0.5</v>
      </c>
      <c r="AJ183">
        <v>1</v>
      </c>
      <c r="AK183">
        <v>17.7</v>
      </c>
      <c r="AO183">
        <v>8.5</v>
      </c>
      <c r="AP183">
        <v>17</v>
      </c>
      <c r="AQ183">
        <v>53.099999999999994</v>
      </c>
    </row>
    <row r="184" spans="1:43" x14ac:dyDescent="0.35">
      <c r="A184" s="37" t="s">
        <v>12</v>
      </c>
      <c r="AO184">
        <v>1</v>
      </c>
      <c r="AP184">
        <v>2</v>
      </c>
      <c r="AQ184">
        <v>17.7</v>
      </c>
    </row>
    <row r="185" spans="1:43" x14ac:dyDescent="0.35">
      <c r="A185" s="37" t="s">
        <v>6</v>
      </c>
      <c r="AO185">
        <v>1.5</v>
      </c>
      <c r="AP185">
        <v>3</v>
      </c>
      <c r="AQ185">
        <v>17.7</v>
      </c>
    </row>
    <row r="186" spans="1:43" x14ac:dyDescent="0.35">
      <c r="A186" s="37" t="s">
        <v>11</v>
      </c>
      <c r="B186">
        <v>2</v>
      </c>
      <c r="C186">
        <v>4</v>
      </c>
      <c r="D186">
        <v>17.7</v>
      </c>
      <c r="T186">
        <v>2</v>
      </c>
      <c r="U186">
        <v>4</v>
      </c>
      <c r="V186">
        <v>17.7</v>
      </c>
      <c r="AC186">
        <v>1</v>
      </c>
      <c r="AD186">
        <v>2</v>
      </c>
      <c r="AE186">
        <v>17.7</v>
      </c>
      <c r="AI186">
        <v>0.5</v>
      </c>
      <c r="AJ186">
        <v>1</v>
      </c>
      <c r="AK186">
        <v>17.7</v>
      </c>
      <c r="AO186">
        <v>6</v>
      </c>
      <c r="AP186">
        <v>12</v>
      </c>
      <c r="AQ186">
        <v>17.7</v>
      </c>
    </row>
    <row r="187" spans="1:43" x14ac:dyDescent="0.35">
      <c r="A187" s="37" t="s">
        <v>13</v>
      </c>
      <c r="B187">
        <v>1</v>
      </c>
      <c r="C187">
        <v>2</v>
      </c>
      <c r="D187">
        <v>17.7</v>
      </c>
      <c r="AC187">
        <v>0.5</v>
      </c>
      <c r="AD187">
        <v>1</v>
      </c>
      <c r="AE187">
        <v>17.7</v>
      </c>
    </row>
    <row r="188" spans="1:43" x14ac:dyDescent="0.35">
      <c r="A188" s="14">
        <v>7.3</v>
      </c>
      <c r="B188">
        <v>2.5</v>
      </c>
      <c r="C188">
        <v>5</v>
      </c>
      <c r="D188">
        <v>35.4</v>
      </c>
      <c r="T188">
        <v>3.5</v>
      </c>
      <c r="U188">
        <v>7</v>
      </c>
      <c r="V188">
        <v>53.099999999999994</v>
      </c>
      <c r="AC188">
        <v>1.5</v>
      </c>
      <c r="AD188">
        <v>3</v>
      </c>
      <c r="AE188">
        <v>35.4</v>
      </c>
      <c r="AI188">
        <v>0.5</v>
      </c>
      <c r="AJ188">
        <v>1</v>
      </c>
      <c r="AK188">
        <v>17.7</v>
      </c>
      <c r="AO188">
        <v>3</v>
      </c>
      <c r="AP188">
        <v>6</v>
      </c>
      <c r="AQ188">
        <v>17.7</v>
      </c>
    </row>
    <row r="189" spans="1:43" x14ac:dyDescent="0.35">
      <c r="A189" s="37" t="s">
        <v>3</v>
      </c>
      <c r="B189">
        <v>1</v>
      </c>
      <c r="C189">
        <v>2</v>
      </c>
      <c r="D189">
        <v>17.7</v>
      </c>
      <c r="T189">
        <v>1</v>
      </c>
      <c r="U189">
        <v>2</v>
      </c>
      <c r="V189">
        <v>17.7</v>
      </c>
      <c r="AC189">
        <v>0.5</v>
      </c>
      <c r="AD189">
        <v>1</v>
      </c>
      <c r="AE189">
        <v>17.7</v>
      </c>
    </row>
    <row r="190" spans="1:43" x14ac:dyDescent="0.35">
      <c r="A190" s="37" t="s">
        <v>11</v>
      </c>
      <c r="B190">
        <v>1.5</v>
      </c>
      <c r="C190">
        <v>3</v>
      </c>
      <c r="D190">
        <v>17.7</v>
      </c>
      <c r="T190">
        <v>2</v>
      </c>
      <c r="U190">
        <v>4</v>
      </c>
      <c r="V190">
        <v>17.7</v>
      </c>
      <c r="AC190">
        <v>1</v>
      </c>
      <c r="AD190">
        <v>2</v>
      </c>
      <c r="AE190">
        <v>17.7</v>
      </c>
      <c r="AI190">
        <v>0.5</v>
      </c>
      <c r="AJ190">
        <v>1</v>
      </c>
      <c r="AK190">
        <v>17.7</v>
      </c>
      <c r="AO190">
        <v>3</v>
      </c>
      <c r="AP190">
        <v>6</v>
      </c>
      <c r="AQ190">
        <v>17.7</v>
      </c>
    </row>
    <row r="191" spans="1:43" x14ac:dyDescent="0.35">
      <c r="A191" s="37" t="s">
        <v>13</v>
      </c>
      <c r="T191">
        <v>0.5</v>
      </c>
      <c r="U191">
        <v>1</v>
      </c>
      <c r="V191">
        <v>17.7</v>
      </c>
    </row>
    <row r="192" spans="1:43" x14ac:dyDescent="0.35">
      <c r="A192" s="14">
        <v>7.4</v>
      </c>
      <c r="AC192">
        <v>0.5</v>
      </c>
      <c r="AD192">
        <v>1</v>
      </c>
      <c r="AE192">
        <v>17.7</v>
      </c>
      <c r="AI192">
        <v>0.5</v>
      </c>
      <c r="AJ192">
        <v>1</v>
      </c>
      <c r="AK192">
        <v>17.7</v>
      </c>
      <c r="AO192">
        <v>2</v>
      </c>
      <c r="AP192">
        <v>4</v>
      </c>
      <c r="AQ192">
        <v>17.7</v>
      </c>
    </row>
    <row r="193" spans="1:43" x14ac:dyDescent="0.35">
      <c r="A193" s="37" t="s">
        <v>3</v>
      </c>
      <c r="AC193">
        <v>0.5</v>
      </c>
      <c r="AD193">
        <v>1</v>
      </c>
      <c r="AE193">
        <v>17.7</v>
      </c>
      <c r="AI193">
        <v>0.5</v>
      </c>
      <c r="AJ193">
        <v>1</v>
      </c>
      <c r="AK193">
        <v>17.7</v>
      </c>
    </row>
    <row r="194" spans="1:43" x14ac:dyDescent="0.35">
      <c r="A194" s="37" t="s">
        <v>11</v>
      </c>
      <c r="AO194">
        <v>2</v>
      </c>
      <c r="AP194">
        <v>4</v>
      </c>
      <c r="AQ194">
        <v>17.7</v>
      </c>
    </row>
    <row r="195" spans="1:43" x14ac:dyDescent="0.35">
      <c r="A195" s="14">
        <v>7.5</v>
      </c>
      <c r="B195">
        <v>5.5</v>
      </c>
      <c r="C195">
        <v>11</v>
      </c>
      <c r="D195">
        <v>53.099999999999994</v>
      </c>
      <c r="T195">
        <v>4</v>
      </c>
      <c r="U195">
        <v>8</v>
      </c>
      <c r="V195">
        <v>35.4</v>
      </c>
      <c r="AC195">
        <v>5.5</v>
      </c>
      <c r="AD195">
        <v>11</v>
      </c>
      <c r="AE195">
        <v>35.4</v>
      </c>
      <c r="AI195">
        <v>4</v>
      </c>
      <c r="AJ195">
        <v>8</v>
      </c>
      <c r="AK195">
        <v>35.4</v>
      </c>
      <c r="AL195">
        <v>7</v>
      </c>
      <c r="AM195">
        <v>14</v>
      </c>
      <c r="AN195">
        <v>35.4</v>
      </c>
      <c r="AO195">
        <v>11.5</v>
      </c>
      <c r="AP195">
        <v>23</v>
      </c>
      <c r="AQ195">
        <v>35.4</v>
      </c>
    </row>
    <row r="196" spans="1:43" x14ac:dyDescent="0.35">
      <c r="A196" s="37" t="s">
        <v>31</v>
      </c>
      <c r="B196">
        <v>0.5</v>
      </c>
      <c r="C196">
        <v>1</v>
      </c>
      <c r="D196">
        <v>17.7</v>
      </c>
      <c r="T196">
        <v>1</v>
      </c>
      <c r="U196">
        <v>2</v>
      </c>
      <c r="V196">
        <v>17.7</v>
      </c>
      <c r="AC196">
        <v>1.5</v>
      </c>
      <c r="AD196">
        <v>3</v>
      </c>
      <c r="AE196">
        <v>17.7</v>
      </c>
      <c r="AI196">
        <v>1.5</v>
      </c>
      <c r="AJ196">
        <v>3</v>
      </c>
      <c r="AK196">
        <v>17.7</v>
      </c>
      <c r="AL196">
        <v>1.5</v>
      </c>
      <c r="AM196">
        <v>3</v>
      </c>
      <c r="AN196">
        <v>17.7</v>
      </c>
      <c r="AO196">
        <v>2</v>
      </c>
      <c r="AP196">
        <v>4</v>
      </c>
      <c r="AQ196">
        <v>17.7</v>
      </c>
    </row>
    <row r="197" spans="1:43" x14ac:dyDescent="0.35">
      <c r="A197" s="37" t="s">
        <v>11</v>
      </c>
      <c r="B197">
        <v>4.5</v>
      </c>
      <c r="C197">
        <v>9</v>
      </c>
      <c r="D197">
        <v>17.7</v>
      </c>
      <c r="T197">
        <v>3</v>
      </c>
      <c r="U197">
        <v>6</v>
      </c>
      <c r="V197">
        <v>17.7</v>
      </c>
      <c r="AC197">
        <v>4</v>
      </c>
      <c r="AD197">
        <v>8</v>
      </c>
      <c r="AE197">
        <v>17.7</v>
      </c>
      <c r="AI197">
        <v>2.5</v>
      </c>
      <c r="AJ197">
        <v>5</v>
      </c>
      <c r="AK197">
        <v>17.7</v>
      </c>
      <c r="AL197">
        <v>5.5</v>
      </c>
      <c r="AM197">
        <v>11</v>
      </c>
      <c r="AN197">
        <v>17.7</v>
      </c>
      <c r="AO197">
        <v>9.5</v>
      </c>
      <c r="AP197">
        <v>19</v>
      </c>
      <c r="AQ197">
        <v>17.7</v>
      </c>
    </row>
    <row r="198" spans="1:43" x14ac:dyDescent="0.35">
      <c r="A198" s="37" t="s">
        <v>2</v>
      </c>
      <c r="B198">
        <v>0.5</v>
      </c>
      <c r="C198">
        <v>1</v>
      </c>
      <c r="D198">
        <v>17.7</v>
      </c>
    </row>
    <row r="199" spans="1:43" x14ac:dyDescent="0.35">
      <c r="A199" s="14">
        <v>7.6</v>
      </c>
      <c r="B199">
        <v>0.5</v>
      </c>
      <c r="C199">
        <v>1</v>
      </c>
      <c r="D199">
        <v>17.7</v>
      </c>
      <c r="T199">
        <v>3</v>
      </c>
      <c r="U199">
        <v>6</v>
      </c>
      <c r="V199">
        <v>17.7</v>
      </c>
      <c r="AC199">
        <v>2</v>
      </c>
      <c r="AD199">
        <v>4</v>
      </c>
      <c r="AE199">
        <v>17.7</v>
      </c>
      <c r="AL199">
        <v>1</v>
      </c>
      <c r="AM199">
        <v>2</v>
      </c>
      <c r="AN199">
        <v>17.7</v>
      </c>
      <c r="AO199">
        <v>5</v>
      </c>
      <c r="AP199">
        <v>10</v>
      </c>
      <c r="AQ199">
        <v>17.7</v>
      </c>
    </row>
    <row r="200" spans="1:43" x14ac:dyDescent="0.35">
      <c r="A200" s="37" t="s">
        <v>11</v>
      </c>
      <c r="B200">
        <v>0.5</v>
      </c>
      <c r="C200">
        <v>1</v>
      </c>
      <c r="D200">
        <v>17.7</v>
      </c>
      <c r="T200">
        <v>3</v>
      </c>
      <c r="U200">
        <v>6</v>
      </c>
      <c r="V200">
        <v>17.7</v>
      </c>
      <c r="AC200">
        <v>2</v>
      </c>
      <c r="AD200">
        <v>4</v>
      </c>
      <c r="AE200">
        <v>17.7</v>
      </c>
      <c r="AL200">
        <v>1</v>
      </c>
      <c r="AM200">
        <v>2</v>
      </c>
      <c r="AN200">
        <v>17.7</v>
      </c>
      <c r="AO200">
        <v>5</v>
      </c>
      <c r="AP200">
        <v>10</v>
      </c>
      <c r="AQ200">
        <v>17.7</v>
      </c>
    </row>
    <row r="201" spans="1:43" x14ac:dyDescent="0.35">
      <c r="A201" s="14">
        <v>7.7</v>
      </c>
      <c r="B201">
        <v>23.5</v>
      </c>
      <c r="C201">
        <v>47</v>
      </c>
      <c r="D201">
        <v>35.4</v>
      </c>
      <c r="T201">
        <v>21.5</v>
      </c>
      <c r="U201">
        <v>43</v>
      </c>
      <c r="V201">
        <v>53.099999999999994</v>
      </c>
      <c r="AC201">
        <v>21.5</v>
      </c>
      <c r="AD201">
        <v>43</v>
      </c>
      <c r="AE201">
        <v>70.8</v>
      </c>
      <c r="AI201">
        <v>4</v>
      </c>
      <c r="AJ201">
        <v>8</v>
      </c>
      <c r="AK201">
        <v>35.4</v>
      </c>
      <c r="AL201">
        <v>6</v>
      </c>
      <c r="AM201">
        <v>12</v>
      </c>
      <c r="AN201">
        <v>53.099999999999994</v>
      </c>
      <c r="AO201">
        <v>13</v>
      </c>
      <c r="AP201">
        <v>26</v>
      </c>
      <c r="AQ201">
        <v>53.099999999999994</v>
      </c>
    </row>
    <row r="202" spans="1:43" x14ac:dyDescent="0.35">
      <c r="A202" s="37" t="s">
        <v>31</v>
      </c>
      <c r="T202">
        <v>0.5</v>
      </c>
      <c r="U202">
        <v>1</v>
      </c>
      <c r="V202">
        <v>17.7</v>
      </c>
      <c r="AC202">
        <v>2.5</v>
      </c>
      <c r="AD202">
        <v>5</v>
      </c>
      <c r="AE202">
        <v>17.7</v>
      </c>
    </row>
    <row r="203" spans="1:43" x14ac:dyDescent="0.35">
      <c r="A203" s="37" t="s">
        <v>3</v>
      </c>
      <c r="B203">
        <v>22.5</v>
      </c>
      <c r="C203">
        <v>45</v>
      </c>
      <c r="D203">
        <v>17.7</v>
      </c>
      <c r="T203">
        <v>18.5</v>
      </c>
      <c r="U203">
        <v>37</v>
      </c>
      <c r="V203">
        <v>17.7</v>
      </c>
      <c r="AC203">
        <v>13.5</v>
      </c>
      <c r="AD203">
        <v>27</v>
      </c>
      <c r="AE203">
        <v>17.7</v>
      </c>
      <c r="AI203">
        <v>3</v>
      </c>
      <c r="AJ203">
        <v>6</v>
      </c>
      <c r="AK203">
        <v>17.7</v>
      </c>
      <c r="AL203">
        <v>4</v>
      </c>
      <c r="AM203">
        <v>8</v>
      </c>
      <c r="AN203">
        <v>17.7</v>
      </c>
      <c r="AO203">
        <v>9.5</v>
      </c>
      <c r="AP203">
        <v>19</v>
      </c>
      <c r="AQ203">
        <v>17.7</v>
      </c>
    </row>
    <row r="204" spans="1:43" x14ac:dyDescent="0.35">
      <c r="A204" s="37" t="s">
        <v>11</v>
      </c>
      <c r="B204">
        <v>1</v>
      </c>
      <c r="C204">
        <v>2</v>
      </c>
      <c r="D204">
        <v>17.7</v>
      </c>
      <c r="T204">
        <v>2.5</v>
      </c>
      <c r="U204">
        <v>5</v>
      </c>
      <c r="V204">
        <v>17.7</v>
      </c>
      <c r="AC204">
        <v>2</v>
      </c>
      <c r="AD204">
        <v>4</v>
      </c>
      <c r="AE204">
        <v>17.7</v>
      </c>
      <c r="AL204">
        <v>1.5</v>
      </c>
      <c r="AM204">
        <v>3</v>
      </c>
      <c r="AN204">
        <v>17.7</v>
      </c>
      <c r="AO204">
        <v>1.5</v>
      </c>
      <c r="AP204">
        <v>3</v>
      </c>
      <c r="AQ204">
        <v>17.7</v>
      </c>
    </row>
    <row r="205" spans="1:43" x14ac:dyDescent="0.35">
      <c r="A205" s="37" t="s">
        <v>14</v>
      </c>
      <c r="AC205">
        <v>3.5000000000000004</v>
      </c>
      <c r="AD205">
        <v>7</v>
      </c>
      <c r="AE205">
        <v>17.7</v>
      </c>
      <c r="AI205">
        <v>1</v>
      </c>
      <c r="AJ205">
        <v>2</v>
      </c>
      <c r="AK205">
        <v>17.7</v>
      </c>
      <c r="AL205">
        <v>0.5</v>
      </c>
      <c r="AM205">
        <v>1</v>
      </c>
      <c r="AN205">
        <v>17.7</v>
      </c>
      <c r="AO205">
        <v>2</v>
      </c>
      <c r="AP205">
        <v>4</v>
      </c>
      <c r="AQ205">
        <v>17.7</v>
      </c>
    </row>
    <row r="206" spans="1:43" x14ac:dyDescent="0.35">
      <c r="A206" s="14">
        <v>8.1</v>
      </c>
      <c r="B206">
        <v>6</v>
      </c>
      <c r="C206">
        <v>12</v>
      </c>
      <c r="D206">
        <v>53.099999999999994</v>
      </c>
      <c r="T206">
        <v>17</v>
      </c>
      <c r="U206">
        <v>34</v>
      </c>
      <c r="V206">
        <v>53.099999999999994</v>
      </c>
      <c r="AC206">
        <v>11</v>
      </c>
      <c r="AD206">
        <v>22</v>
      </c>
      <c r="AE206">
        <v>17.7</v>
      </c>
      <c r="AI206">
        <v>7.5</v>
      </c>
      <c r="AJ206">
        <v>15</v>
      </c>
      <c r="AK206">
        <v>17.7</v>
      </c>
      <c r="AL206">
        <v>16</v>
      </c>
      <c r="AM206">
        <v>32</v>
      </c>
      <c r="AN206">
        <v>35.4</v>
      </c>
      <c r="AO206">
        <v>19</v>
      </c>
      <c r="AP206">
        <v>38</v>
      </c>
      <c r="AQ206">
        <v>17.7</v>
      </c>
    </row>
    <row r="207" spans="1:43" x14ac:dyDescent="0.35">
      <c r="A207" s="37" t="s">
        <v>5</v>
      </c>
      <c r="B207">
        <v>1</v>
      </c>
      <c r="C207">
        <v>2</v>
      </c>
      <c r="D207">
        <v>17.7</v>
      </c>
    </row>
    <row r="208" spans="1:43" x14ac:dyDescent="0.35">
      <c r="A208" s="37" t="s">
        <v>3</v>
      </c>
      <c r="B208">
        <v>0.5</v>
      </c>
      <c r="C208">
        <v>1</v>
      </c>
      <c r="D208">
        <v>17.7</v>
      </c>
      <c r="T208">
        <v>0.5</v>
      </c>
      <c r="U208">
        <v>1</v>
      </c>
      <c r="V208">
        <v>17.7</v>
      </c>
    </row>
    <row r="209" spans="1:43" x14ac:dyDescent="0.35">
      <c r="A209" s="37" t="s">
        <v>14</v>
      </c>
      <c r="B209">
        <v>4.5</v>
      </c>
      <c r="C209">
        <v>9</v>
      </c>
      <c r="D209">
        <v>17.7</v>
      </c>
      <c r="T209">
        <v>15.5</v>
      </c>
      <c r="U209">
        <v>31</v>
      </c>
      <c r="V209">
        <v>17.7</v>
      </c>
      <c r="AC209">
        <v>11</v>
      </c>
      <c r="AD209">
        <v>22</v>
      </c>
      <c r="AE209">
        <v>17.7</v>
      </c>
      <c r="AI209">
        <v>7.5</v>
      </c>
      <c r="AJ209">
        <v>15</v>
      </c>
      <c r="AK209">
        <v>17.7</v>
      </c>
      <c r="AL209">
        <v>15.5</v>
      </c>
      <c r="AM209">
        <v>31</v>
      </c>
      <c r="AN209">
        <v>17.7</v>
      </c>
      <c r="AO209">
        <v>19</v>
      </c>
      <c r="AP209">
        <v>38</v>
      </c>
      <c r="AQ209">
        <v>17.7</v>
      </c>
    </row>
    <row r="210" spans="1:43" x14ac:dyDescent="0.35">
      <c r="A210" s="37" t="s">
        <v>2</v>
      </c>
      <c r="T210">
        <v>1</v>
      </c>
      <c r="U210">
        <v>2</v>
      </c>
      <c r="V210">
        <v>17.7</v>
      </c>
      <c r="AL210">
        <v>0.5</v>
      </c>
      <c r="AM210">
        <v>1</v>
      </c>
      <c r="AN210">
        <v>17.7</v>
      </c>
    </row>
    <row r="211" spans="1:43" x14ac:dyDescent="0.35">
      <c r="A211" s="14">
        <v>8.1999999999999993</v>
      </c>
      <c r="B211">
        <v>3</v>
      </c>
      <c r="C211">
        <v>6</v>
      </c>
      <c r="D211">
        <v>35.4</v>
      </c>
      <c r="T211">
        <v>9.5</v>
      </c>
      <c r="U211">
        <v>19</v>
      </c>
      <c r="V211">
        <v>35.4</v>
      </c>
      <c r="AC211">
        <v>2.5</v>
      </c>
      <c r="AD211">
        <v>5</v>
      </c>
      <c r="AE211">
        <v>17.7</v>
      </c>
      <c r="AI211">
        <v>2</v>
      </c>
      <c r="AJ211">
        <v>4</v>
      </c>
      <c r="AK211">
        <v>17.7</v>
      </c>
      <c r="AL211">
        <v>3</v>
      </c>
      <c r="AM211">
        <v>6</v>
      </c>
      <c r="AN211">
        <v>35.4</v>
      </c>
      <c r="AO211">
        <v>3.5</v>
      </c>
      <c r="AP211">
        <v>7</v>
      </c>
      <c r="AQ211">
        <v>35.4</v>
      </c>
    </row>
    <row r="212" spans="1:43" x14ac:dyDescent="0.35">
      <c r="A212" s="37" t="s">
        <v>3</v>
      </c>
      <c r="B212">
        <v>2.5</v>
      </c>
      <c r="C212">
        <v>5</v>
      </c>
      <c r="D212">
        <v>17.7</v>
      </c>
      <c r="T212">
        <v>7.0000000000000009</v>
      </c>
      <c r="U212">
        <v>14</v>
      </c>
      <c r="V212">
        <v>17.7</v>
      </c>
      <c r="AC212">
        <v>2.5</v>
      </c>
      <c r="AD212">
        <v>5</v>
      </c>
      <c r="AE212">
        <v>17.7</v>
      </c>
      <c r="AI212">
        <v>2</v>
      </c>
      <c r="AJ212">
        <v>4</v>
      </c>
      <c r="AK212">
        <v>17.7</v>
      </c>
      <c r="AL212">
        <v>2.5</v>
      </c>
      <c r="AM212">
        <v>5</v>
      </c>
      <c r="AN212">
        <v>17.7</v>
      </c>
      <c r="AO212">
        <v>3</v>
      </c>
      <c r="AP212">
        <v>6</v>
      </c>
      <c r="AQ212">
        <v>17.7</v>
      </c>
    </row>
    <row r="213" spans="1:43" x14ac:dyDescent="0.35">
      <c r="A213" s="37" t="s">
        <v>32</v>
      </c>
      <c r="AL213">
        <v>0.5</v>
      </c>
      <c r="AM213">
        <v>1</v>
      </c>
      <c r="AN213">
        <v>17.7</v>
      </c>
    </row>
    <row r="214" spans="1:43" x14ac:dyDescent="0.35">
      <c r="A214" s="37" t="s">
        <v>2</v>
      </c>
      <c r="B214">
        <v>0.5</v>
      </c>
      <c r="C214">
        <v>1</v>
      </c>
      <c r="D214">
        <v>17.7</v>
      </c>
      <c r="T214">
        <v>2.5</v>
      </c>
      <c r="U214">
        <v>5</v>
      </c>
      <c r="V214">
        <v>17.7</v>
      </c>
      <c r="AO214">
        <v>0.5</v>
      </c>
      <c r="AP214">
        <v>1</v>
      </c>
      <c r="AQ214">
        <v>17.7</v>
      </c>
    </row>
    <row r="215" spans="1:43" x14ac:dyDescent="0.35">
      <c r="A215" s="14">
        <v>8.3000000000000007</v>
      </c>
      <c r="B215">
        <v>5.5</v>
      </c>
      <c r="C215">
        <v>11</v>
      </c>
      <c r="D215">
        <v>35.4</v>
      </c>
      <c r="T215">
        <v>12.5</v>
      </c>
      <c r="U215">
        <v>25</v>
      </c>
      <c r="V215">
        <v>17.7</v>
      </c>
      <c r="AC215">
        <v>6</v>
      </c>
      <c r="AD215">
        <v>12</v>
      </c>
      <c r="AE215">
        <v>35.4</v>
      </c>
      <c r="AI215">
        <v>1.5</v>
      </c>
      <c r="AJ215">
        <v>3</v>
      </c>
      <c r="AK215">
        <v>17.7</v>
      </c>
      <c r="AL215">
        <v>2</v>
      </c>
      <c r="AM215">
        <v>4</v>
      </c>
      <c r="AN215">
        <v>35.4</v>
      </c>
      <c r="AO215">
        <v>2</v>
      </c>
      <c r="AP215">
        <v>4</v>
      </c>
      <c r="AQ215">
        <v>35.4</v>
      </c>
    </row>
    <row r="216" spans="1:43" x14ac:dyDescent="0.35">
      <c r="A216" s="37" t="s">
        <v>6</v>
      </c>
      <c r="AC216">
        <v>0.5</v>
      </c>
      <c r="AD216">
        <v>1</v>
      </c>
      <c r="AE216">
        <v>17.7</v>
      </c>
      <c r="AL216">
        <v>1</v>
      </c>
      <c r="AM216">
        <v>2</v>
      </c>
      <c r="AN216">
        <v>17.7</v>
      </c>
      <c r="AO216">
        <v>1</v>
      </c>
      <c r="AP216">
        <v>2</v>
      </c>
      <c r="AQ216">
        <v>17.7</v>
      </c>
    </row>
    <row r="217" spans="1:43" x14ac:dyDescent="0.35">
      <c r="A217" s="37" t="s">
        <v>3</v>
      </c>
      <c r="B217">
        <v>5</v>
      </c>
      <c r="C217">
        <v>10</v>
      </c>
      <c r="D217">
        <v>17.7</v>
      </c>
      <c r="T217">
        <v>12.5</v>
      </c>
      <c r="U217">
        <v>25</v>
      </c>
      <c r="V217">
        <v>17.7</v>
      </c>
      <c r="AC217">
        <v>5.5</v>
      </c>
      <c r="AD217">
        <v>11</v>
      </c>
      <c r="AE217">
        <v>17.7</v>
      </c>
      <c r="AI217">
        <v>1.5</v>
      </c>
      <c r="AJ217">
        <v>3</v>
      </c>
      <c r="AK217">
        <v>17.7</v>
      </c>
      <c r="AL217">
        <v>1</v>
      </c>
      <c r="AM217">
        <v>2</v>
      </c>
      <c r="AN217">
        <v>17.7</v>
      </c>
      <c r="AO217">
        <v>1</v>
      </c>
      <c r="AP217">
        <v>2</v>
      </c>
      <c r="AQ217">
        <v>17.7</v>
      </c>
    </row>
    <row r="218" spans="1:43" x14ac:dyDescent="0.35">
      <c r="A218" s="37" t="s">
        <v>11</v>
      </c>
      <c r="B218">
        <v>0.5</v>
      </c>
      <c r="C218">
        <v>1</v>
      </c>
      <c r="D218">
        <v>17.7</v>
      </c>
    </row>
    <row r="219" spans="1:43" x14ac:dyDescent="0.35">
      <c r="A219" s="14">
        <v>8.4</v>
      </c>
      <c r="B219">
        <v>6</v>
      </c>
      <c r="C219">
        <v>12</v>
      </c>
      <c r="D219">
        <v>35.4</v>
      </c>
      <c r="T219">
        <v>14</v>
      </c>
      <c r="U219">
        <v>28</v>
      </c>
      <c r="V219">
        <v>35.4</v>
      </c>
      <c r="AC219">
        <v>9</v>
      </c>
      <c r="AD219">
        <v>18</v>
      </c>
      <c r="AE219">
        <v>35.4</v>
      </c>
      <c r="AI219">
        <v>5</v>
      </c>
      <c r="AJ219">
        <v>10</v>
      </c>
      <c r="AK219">
        <v>35.4</v>
      </c>
      <c r="AL219">
        <v>14.999999999999998</v>
      </c>
      <c r="AM219">
        <v>30</v>
      </c>
      <c r="AN219">
        <v>35.4</v>
      </c>
      <c r="AO219">
        <v>22</v>
      </c>
      <c r="AP219">
        <v>44</v>
      </c>
      <c r="AQ219">
        <v>35.4</v>
      </c>
    </row>
    <row r="220" spans="1:43" x14ac:dyDescent="0.35">
      <c r="A220" s="37" t="s">
        <v>6</v>
      </c>
      <c r="B220">
        <v>2.5</v>
      </c>
      <c r="C220">
        <v>5</v>
      </c>
      <c r="D220">
        <v>17.7</v>
      </c>
      <c r="T220">
        <v>9</v>
      </c>
      <c r="U220">
        <v>18</v>
      </c>
      <c r="V220">
        <v>17.7</v>
      </c>
      <c r="AC220">
        <v>6.5</v>
      </c>
      <c r="AD220">
        <v>13</v>
      </c>
      <c r="AE220">
        <v>17.7</v>
      </c>
      <c r="AI220">
        <v>4.5</v>
      </c>
      <c r="AJ220">
        <v>9</v>
      </c>
      <c r="AK220">
        <v>17.7</v>
      </c>
      <c r="AL220">
        <v>14.499999999999998</v>
      </c>
      <c r="AM220">
        <v>29</v>
      </c>
      <c r="AN220">
        <v>17.7</v>
      </c>
      <c r="AO220">
        <v>21.5</v>
      </c>
      <c r="AP220">
        <v>43</v>
      </c>
      <c r="AQ220">
        <v>17.7</v>
      </c>
    </row>
    <row r="221" spans="1:43" x14ac:dyDescent="0.35">
      <c r="A221" s="37" t="s">
        <v>3</v>
      </c>
      <c r="B221">
        <v>3.5000000000000004</v>
      </c>
      <c r="C221">
        <v>7</v>
      </c>
      <c r="D221">
        <v>17.7</v>
      </c>
      <c r="T221">
        <v>5</v>
      </c>
      <c r="U221">
        <v>10</v>
      </c>
      <c r="V221">
        <v>17.7</v>
      </c>
      <c r="AC221">
        <v>2.5</v>
      </c>
      <c r="AD221">
        <v>5</v>
      </c>
      <c r="AE221">
        <v>17.7</v>
      </c>
      <c r="AI221">
        <v>0.5</v>
      </c>
      <c r="AJ221">
        <v>1</v>
      </c>
      <c r="AK221">
        <v>17.7</v>
      </c>
      <c r="AL221">
        <v>0.5</v>
      </c>
      <c r="AM221">
        <v>1</v>
      </c>
      <c r="AN221">
        <v>17.7</v>
      </c>
      <c r="AO221">
        <v>0.5</v>
      </c>
      <c r="AP221">
        <v>1</v>
      </c>
      <c r="AQ221">
        <v>17.7</v>
      </c>
    </row>
    <row r="222" spans="1:43" x14ac:dyDescent="0.35">
      <c r="A222" s="14">
        <v>8.5</v>
      </c>
      <c r="B222">
        <v>8</v>
      </c>
      <c r="C222">
        <v>16</v>
      </c>
      <c r="D222">
        <v>35.4</v>
      </c>
      <c r="T222">
        <v>12</v>
      </c>
      <c r="U222">
        <v>24</v>
      </c>
      <c r="V222">
        <v>53.099999999999994</v>
      </c>
      <c r="AC222">
        <v>6.5</v>
      </c>
      <c r="AD222">
        <v>13</v>
      </c>
      <c r="AE222">
        <v>35.4</v>
      </c>
      <c r="AI222">
        <v>3.5</v>
      </c>
      <c r="AJ222">
        <v>7</v>
      </c>
      <c r="AK222">
        <v>53.099999999999994</v>
      </c>
      <c r="AL222">
        <v>9.5</v>
      </c>
      <c r="AM222">
        <v>19</v>
      </c>
      <c r="AN222">
        <v>53.099999999999994</v>
      </c>
      <c r="AO222">
        <v>13.5</v>
      </c>
      <c r="AP222">
        <v>27</v>
      </c>
      <c r="AQ222">
        <v>53.099999999999994</v>
      </c>
    </row>
    <row r="223" spans="1:43" x14ac:dyDescent="0.35">
      <c r="A223" s="37" t="s">
        <v>6</v>
      </c>
      <c r="T223">
        <v>5.5</v>
      </c>
      <c r="U223">
        <v>11</v>
      </c>
      <c r="V223">
        <v>17.7</v>
      </c>
      <c r="AC223">
        <v>2</v>
      </c>
      <c r="AD223">
        <v>4</v>
      </c>
      <c r="AE223">
        <v>17.7</v>
      </c>
      <c r="AI223">
        <v>2.5</v>
      </c>
      <c r="AJ223">
        <v>5</v>
      </c>
      <c r="AK223">
        <v>17.7</v>
      </c>
      <c r="AL223">
        <v>7.0000000000000009</v>
      </c>
      <c r="AM223">
        <v>14</v>
      </c>
      <c r="AN223">
        <v>17.7</v>
      </c>
      <c r="AO223">
        <v>10</v>
      </c>
      <c r="AP223">
        <v>20</v>
      </c>
      <c r="AQ223">
        <v>17.7</v>
      </c>
    </row>
    <row r="224" spans="1:43" x14ac:dyDescent="0.35">
      <c r="A224" s="37" t="s">
        <v>3</v>
      </c>
      <c r="B224">
        <v>7.5</v>
      </c>
      <c r="C224">
        <v>15</v>
      </c>
      <c r="D224">
        <v>17.7</v>
      </c>
      <c r="T224">
        <v>6</v>
      </c>
      <c r="U224">
        <v>12</v>
      </c>
      <c r="V224">
        <v>17.7</v>
      </c>
      <c r="AC224">
        <v>4.5</v>
      </c>
      <c r="AD224">
        <v>9</v>
      </c>
      <c r="AE224">
        <v>17.7</v>
      </c>
      <c r="AI224">
        <v>0.5</v>
      </c>
      <c r="AJ224">
        <v>1</v>
      </c>
      <c r="AK224">
        <v>17.7</v>
      </c>
      <c r="AL224">
        <v>2</v>
      </c>
      <c r="AM224">
        <v>4</v>
      </c>
      <c r="AN224">
        <v>17.7</v>
      </c>
      <c r="AO224">
        <v>3</v>
      </c>
      <c r="AP224">
        <v>6</v>
      </c>
      <c r="AQ224">
        <v>17.7</v>
      </c>
    </row>
    <row r="225" spans="1:43" x14ac:dyDescent="0.35">
      <c r="A225" s="37" t="s">
        <v>15</v>
      </c>
      <c r="B225">
        <v>0.5</v>
      </c>
      <c r="C225">
        <v>1</v>
      </c>
      <c r="D225">
        <v>17.7</v>
      </c>
      <c r="T225">
        <v>0.5</v>
      </c>
      <c r="U225">
        <v>1</v>
      </c>
      <c r="V225">
        <v>17.7</v>
      </c>
      <c r="AI225">
        <v>0.5</v>
      </c>
      <c r="AJ225">
        <v>1</v>
      </c>
      <c r="AK225">
        <v>17.7</v>
      </c>
      <c r="AL225">
        <v>0.5</v>
      </c>
      <c r="AM225">
        <v>1</v>
      </c>
      <c r="AN225">
        <v>17.7</v>
      </c>
      <c r="AO225">
        <v>0.5</v>
      </c>
      <c r="AP225">
        <v>1</v>
      </c>
      <c r="AQ225">
        <v>17.7</v>
      </c>
    </row>
    <row r="226" spans="1:43" x14ac:dyDescent="0.35">
      <c r="A226" s="1" t="s">
        <v>161</v>
      </c>
      <c r="AF226">
        <v>10.295674869500374</v>
      </c>
      <c r="AG226">
        <v>19</v>
      </c>
      <c r="AH226">
        <v>70.8</v>
      </c>
      <c r="AI226">
        <v>11.322520507084265</v>
      </c>
      <c r="AJ226">
        <v>19</v>
      </c>
      <c r="AK226">
        <v>70.8</v>
      </c>
      <c r="AL226">
        <v>20.789336316181952</v>
      </c>
      <c r="AM226">
        <v>36</v>
      </c>
      <c r="AN226">
        <v>88.5</v>
      </c>
      <c r="AO226">
        <v>26.839054637514963</v>
      </c>
      <c r="AP226">
        <v>48</v>
      </c>
      <c r="AQ226">
        <v>159.29999999999998</v>
      </c>
    </row>
    <row r="227" spans="1:43" x14ac:dyDescent="0.35">
      <c r="A227" s="14">
        <v>1.1000000000000001</v>
      </c>
      <c r="AF227">
        <v>1.1111111111111112</v>
      </c>
      <c r="AG227">
        <v>2</v>
      </c>
      <c r="AH227">
        <v>17.7</v>
      </c>
      <c r="AI227">
        <v>1.1111111111111112</v>
      </c>
      <c r="AJ227">
        <v>2</v>
      </c>
      <c r="AK227">
        <v>17.7</v>
      </c>
      <c r="AL227">
        <v>2.2222222222222223</v>
      </c>
      <c r="AM227">
        <v>4</v>
      </c>
      <c r="AN227">
        <v>17.7</v>
      </c>
      <c r="AO227">
        <v>8</v>
      </c>
      <c r="AP227">
        <v>16</v>
      </c>
      <c r="AQ227">
        <v>17.7</v>
      </c>
    </row>
    <row r="228" spans="1:43" x14ac:dyDescent="0.35">
      <c r="A228" s="37" t="s">
        <v>11</v>
      </c>
      <c r="AF228">
        <v>1.1111111111111112</v>
      </c>
      <c r="AG228">
        <v>2</v>
      </c>
      <c r="AH228">
        <v>17.7</v>
      </c>
      <c r="AI228">
        <v>1.1111111111111112</v>
      </c>
      <c r="AJ228">
        <v>2</v>
      </c>
      <c r="AK228">
        <v>17.7</v>
      </c>
      <c r="AL228">
        <v>2.2222222222222223</v>
      </c>
      <c r="AM228">
        <v>4</v>
      </c>
      <c r="AN228">
        <v>17.7</v>
      </c>
      <c r="AO228">
        <v>8</v>
      </c>
      <c r="AP228">
        <v>16</v>
      </c>
      <c r="AQ228">
        <v>17.7</v>
      </c>
    </row>
    <row r="229" spans="1:43" x14ac:dyDescent="0.35">
      <c r="A229" s="14">
        <v>1.2</v>
      </c>
      <c r="AO229">
        <v>2.7777777777777777</v>
      </c>
      <c r="AP229">
        <v>5</v>
      </c>
      <c r="AQ229">
        <v>17.7</v>
      </c>
    </row>
    <row r="230" spans="1:43" x14ac:dyDescent="0.35">
      <c r="A230" s="37" t="s">
        <v>11</v>
      </c>
      <c r="AO230">
        <v>2.7777777777777777</v>
      </c>
      <c r="AP230">
        <v>5</v>
      </c>
      <c r="AQ230">
        <v>17.7</v>
      </c>
    </row>
    <row r="231" spans="1:43" x14ac:dyDescent="0.35">
      <c r="A231" s="14">
        <v>2.1</v>
      </c>
      <c r="AF231">
        <v>2.6845637583892619</v>
      </c>
      <c r="AG231">
        <v>4</v>
      </c>
      <c r="AH231">
        <v>17.7</v>
      </c>
      <c r="AI231">
        <v>6.7114093959731544</v>
      </c>
      <c r="AJ231">
        <v>10</v>
      </c>
      <c r="AK231">
        <v>17.7</v>
      </c>
      <c r="AL231">
        <v>10.067114093959731</v>
      </c>
      <c r="AM231">
        <v>15</v>
      </c>
      <c r="AN231">
        <v>17.7</v>
      </c>
      <c r="AO231">
        <v>4</v>
      </c>
      <c r="AP231">
        <v>8</v>
      </c>
      <c r="AQ231">
        <v>17.7</v>
      </c>
    </row>
    <row r="232" spans="1:43" x14ac:dyDescent="0.35">
      <c r="A232" s="37" t="s">
        <v>11</v>
      </c>
      <c r="AF232">
        <v>2.6845637583892619</v>
      </c>
      <c r="AG232">
        <v>4</v>
      </c>
      <c r="AH232">
        <v>17.7</v>
      </c>
      <c r="AI232">
        <v>6.7114093959731544</v>
      </c>
      <c r="AJ232">
        <v>10</v>
      </c>
      <c r="AK232">
        <v>17.7</v>
      </c>
      <c r="AL232">
        <v>10.067114093959731</v>
      </c>
      <c r="AM232">
        <v>15</v>
      </c>
      <c r="AN232">
        <v>17.7</v>
      </c>
      <c r="AO232">
        <v>4</v>
      </c>
      <c r="AP232">
        <v>8</v>
      </c>
      <c r="AQ232">
        <v>17.7</v>
      </c>
    </row>
    <row r="233" spans="1:43" x14ac:dyDescent="0.35">
      <c r="A233" s="14">
        <v>2.2000000000000002</v>
      </c>
      <c r="AO233">
        <v>6.0402684563758395</v>
      </c>
      <c r="AP233">
        <v>9</v>
      </c>
      <c r="AQ233">
        <v>17.7</v>
      </c>
    </row>
    <row r="234" spans="1:43" x14ac:dyDescent="0.35">
      <c r="A234" s="37" t="s">
        <v>11</v>
      </c>
      <c r="AO234">
        <v>6.0402684563758395</v>
      </c>
      <c r="AP234">
        <v>9</v>
      </c>
      <c r="AQ234">
        <v>17.7</v>
      </c>
    </row>
    <row r="235" spans="1:43" x14ac:dyDescent="0.35">
      <c r="A235" s="14">
        <v>3.1</v>
      </c>
      <c r="AO235">
        <v>2.5</v>
      </c>
      <c r="AP235">
        <v>5</v>
      </c>
      <c r="AQ235">
        <v>35.4</v>
      </c>
    </row>
    <row r="236" spans="1:43" x14ac:dyDescent="0.35">
      <c r="A236" s="37" t="s">
        <v>12</v>
      </c>
      <c r="AO236">
        <v>2</v>
      </c>
      <c r="AP236">
        <v>4</v>
      </c>
      <c r="AQ236">
        <v>17.7</v>
      </c>
    </row>
    <row r="237" spans="1:43" x14ac:dyDescent="0.35">
      <c r="A237" s="37" t="s">
        <v>6</v>
      </c>
      <c r="AO237">
        <v>0.5</v>
      </c>
      <c r="AP237">
        <v>1</v>
      </c>
      <c r="AQ237">
        <v>17.7</v>
      </c>
    </row>
    <row r="238" spans="1:43" x14ac:dyDescent="0.35">
      <c r="A238" s="14">
        <v>3.2</v>
      </c>
      <c r="AO238">
        <v>2.5210084033613445</v>
      </c>
      <c r="AP238">
        <v>3</v>
      </c>
      <c r="AQ238">
        <v>17.7</v>
      </c>
    </row>
    <row r="239" spans="1:43" x14ac:dyDescent="0.35">
      <c r="A239" s="37" t="s">
        <v>6</v>
      </c>
      <c r="AO239">
        <v>2.5210084033613445</v>
      </c>
      <c r="AP239">
        <v>3</v>
      </c>
      <c r="AQ239">
        <v>17.7</v>
      </c>
    </row>
    <row r="240" spans="1:43" x14ac:dyDescent="0.35">
      <c r="A240" s="14">
        <v>4.0999999999999996</v>
      </c>
      <c r="AO240">
        <v>1</v>
      </c>
      <c r="AP240">
        <v>2</v>
      </c>
      <c r="AQ240">
        <v>35.4</v>
      </c>
    </row>
    <row r="241" spans="1:43" x14ac:dyDescent="0.35">
      <c r="A241" s="37" t="s">
        <v>12</v>
      </c>
      <c r="AO241">
        <v>0.5</v>
      </c>
      <c r="AP241">
        <v>1</v>
      </c>
      <c r="AQ241">
        <v>17.7</v>
      </c>
    </row>
    <row r="242" spans="1:43" x14ac:dyDescent="0.35">
      <c r="A242" s="37" t="s">
        <v>6</v>
      </c>
      <c r="AO242">
        <v>0.5</v>
      </c>
      <c r="AP242">
        <v>1</v>
      </c>
      <c r="AQ242">
        <v>17.7</v>
      </c>
    </row>
    <row r="243" spans="1:43" x14ac:dyDescent="0.35">
      <c r="A243" s="14" t="s">
        <v>166</v>
      </c>
      <c r="AF243">
        <v>5</v>
      </c>
      <c r="AG243">
        <v>10</v>
      </c>
      <c r="AH243">
        <v>17.7</v>
      </c>
      <c r="AI243">
        <v>2.5</v>
      </c>
      <c r="AJ243">
        <v>5</v>
      </c>
      <c r="AK243">
        <v>17.7</v>
      </c>
      <c r="AL243">
        <v>6</v>
      </c>
      <c r="AM243">
        <v>12</v>
      </c>
      <c r="AN243">
        <v>17.7</v>
      </c>
    </row>
    <row r="244" spans="1:43" x14ac:dyDescent="0.35">
      <c r="A244" s="37" t="s">
        <v>11</v>
      </c>
      <c r="AF244">
        <v>5</v>
      </c>
      <c r="AG244">
        <v>10</v>
      </c>
      <c r="AH244">
        <v>17.7</v>
      </c>
      <c r="AI244">
        <v>2.5</v>
      </c>
      <c r="AJ244">
        <v>5</v>
      </c>
      <c r="AK244">
        <v>17.7</v>
      </c>
      <c r="AL244">
        <v>6</v>
      </c>
      <c r="AM244">
        <v>12</v>
      </c>
      <c r="AN244">
        <v>17.7</v>
      </c>
    </row>
    <row r="245" spans="1:43" x14ac:dyDescent="0.35">
      <c r="A245" s="14" t="s">
        <v>167</v>
      </c>
      <c r="AI245">
        <v>1</v>
      </c>
      <c r="AJ245">
        <v>2</v>
      </c>
      <c r="AK245">
        <v>17.7</v>
      </c>
      <c r="AL245">
        <v>2</v>
      </c>
      <c r="AM245">
        <v>4</v>
      </c>
      <c r="AN245">
        <v>17.7</v>
      </c>
    </row>
    <row r="246" spans="1:43" x14ac:dyDescent="0.35">
      <c r="A246" s="37" t="s">
        <v>11</v>
      </c>
      <c r="AI246">
        <v>1</v>
      </c>
      <c r="AJ246">
        <v>2</v>
      </c>
      <c r="AK246">
        <v>17.7</v>
      </c>
      <c r="AL246">
        <v>2</v>
      </c>
      <c r="AM246">
        <v>4</v>
      </c>
      <c r="AN246">
        <v>17.7</v>
      </c>
    </row>
    <row r="247" spans="1:43" x14ac:dyDescent="0.35">
      <c r="A247" s="14" t="s">
        <v>168</v>
      </c>
      <c r="AF247">
        <v>1.5</v>
      </c>
      <c r="AG247">
        <v>3</v>
      </c>
      <c r="AH247">
        <v>17.7</v>
      </c>
    </row>
    <row r="248" spans="1:43" x14ac:dyDescent="0.35">
      <c r="A248" s="37" t="s">
        <v>11</v>
      </c>
      <c r="AF248">
        <v>1.5</v>
      </c>
      <c r="AG248">
        <v>3</v>
      </c>
      <c r="AH248">
        <v>17.7</v>
      </c>
    </row>
    <row r="249" spans="1:43" x14ac:dyDescent="0.35">
      <c r="A249" s="14" t="s">
        <v>169</v>
      </c>
      <c r="AL249">
        <v>0.5</v>
      </c>
      <c r="AM249">
        <v>1</v>
      </c>
      <c r="AN249">
        <v>17.7</v>
      </c>
    </row>
    <row r="250" spans="1:43" x14ac:dyDescent="0.35">
      <c r="A250" s="37" t="s">
        <v>11</v>
      </c>
      <c r="AL250">
        <v>0.5</v>
      </c>
      <c r="AM250">
        <v>1</v>
      </c>
      <c r="AN250">
        <v>17.7</v>
      </c>
    </row>
    <row r="251" spans="1:43" x14ac:dyDescent="0.35">
      <c r="A251" s="1" t="s">
        <v>18</v>
      </c>
      <c r="B251">
        <v>130.9383425061817</v>
      </c>
      <c r="C251">
        <v>260</v>
      </c>
      <c r="D251">
        <v>570</v>
      </c>
      <c r="K251">
        <v>157.85670415569913</v>
      </c>
      <c r="L251">
        <v>314</v>
      </c>
      <c r="M251">
        <v>555</v>
      </c>
      <c r="W251">
        <v>137.52763819095478</v>
      </c>
      <c r="X251">
        <v>275</v>
      </c>
      <c r="Y251">
        <v>510</v>
      </c>
      <c r="AC251">
        <v>210.03535353535352</v>
      </c>
      <c r="AD251">
        <v>420</v>
      </c>
      <c r="AE251">
        <v>705</v>
      </c>
      <c r="AI251">
        <v>256</v>
      </c>
      <c r="AJ251">
        <v>512</v>
      </c>
      <c r="AK251">
        <v>705</v>
      </c>
      <c r="AL251">
        <v>403.22751322751321</v>
      </c>
      <c r="AM251">
        <v>805</v>
      </c>
      <c r="AN251">
        <v>705</v>
      </c>
      <c r="AO251">
        <v>602</v>
      </c>
      <c r="AP251">
        <v>1204</v>
      </c>
      <c r="AQ251">
        <v>765</v>
      </c>
    </row>
    <row r="252" spans="1:43" x14ac:dyDescent="0.35">
      <c r="A252" s="14">
        <v>1.1000000000000001</v>
      </c>
      <c r="B252">
        <v>5</v>
      </c>
      <c r="C252">
        <v>10</v>
      </c>
      <c r="D252">
        <v>30</v>
      </c>
      <c r="K252">
        <v>1.5</v>
      </c>
      <c r="L252">
        <v>3</v>
      </c>
      <c r="M252">
        <v>15</v>
      </c>
      <c r="W252">
        <v>3</v>
      </c>
      <c r="X252">
        <v>6</v>
      </c>
      <c r="Y252">
        <v>15</v>
      </c>
      <c r="AC252">
        <v>7.0000000000000009</v>
      </c>
      <c r="AD252">
        <v>14</v>
      </c>
      <c r="AE252">
        <v>15</v>
      </c>
      <c r="AI252">
        <v>10</v>
      </c>
      <c r="AJ252">
        <v>20</v>
      </c>
      <c r="AK252">
        <v>15</v>
      </c>
      <c r="AL252">
        <v>16.5</v>
      </c>
      <c r="AM252">
        <v>33</v>
      </c>
      <c r="AN252">
        <v>15</v>
      </c>
      <c r="AO252">
        <v>21.5</v>
      </c>
      <c r="AP252">
        <v>43</v>
      </c>
      <c r="AQ252">
        <v>15</v>
      </c>
    </row>
    <row r="253" spans="1:43" x14ac:dyDescent="0.35">
      <c r="A253" s="37" t="s">
        <v>11</v>
      </c>
      <c r="B253">
        <v>2.5</v>
      </c>
      <c r="C253">
        <v>5</v>
      </c>
      <c r="D253">
        <v>15</v>
      </c>
      <c r="K253">
        <v>1.5</v>
      </c>
      <c r="L253">
        <v>3</v>
      </c>
      <c r="M253">
        <v>15</v>
      </c>
      <c r="W253">
        <v>3</v>
      </c>
      <c r="X253">
        <v>6</v>
      </c>
      <c r="Y253">
        <v>15</v>
      </c>
      <c r="AC253">
        <v>7.0000000000000009</v>
      </c>
      <c r="AD253">
        <v>14</v>
      </c>
      <c r="AE253">
        <v>15</v>
      </c>
      <c r="AI253">
        <v>10</v>
      </c>
      <c r="AJ253">
        <v>20</v>
      </c>
      <c r="AK253">
        <v>15</v>
      </c>
      <c r="AL253">
        <v>16.5</v>
      </c>
      <c r="AM253">
        <v>33</v>
      </c>
      <c r="AN253">
        <v>15</v>
      </c>
      <c r="AO253">
        <v>21.5</v>
      </c>
      <c r="AP253">
        <v>43</v>
      </c>
      <c r="AQ253">
        <v>15</v>
      </c>
    </row>
    <row r="254" spans="1:43" x14ac:dyDescent="0.35">
      <c r="A254" s="37" t="s">
        <v>170</v>
      </c>
      <c r="B254">
        <v>2.5</v>
      </c>
      <c r="C254">
        <v>5</v>
      </c>
      <c r="D254">
        <v>15</v>
      </c>
    </row>
    <row r="255" spans="1:43" x14ac:dyDescent="0.35">
      <c r="A255" s="14">
        <v>1.2</v>
      </c>
      <c r="B255">
        <v>1</v>
      </c>
      <c r="C255">
        <v>2</v>
      </c>
      <c r="D255">
        <v>15</v>
      </c>
      <c r="K255">
        <v>1</v>
      </c>
      <c r="L255">
        <v>2</v>
      </c>
      <c r="M255">
        <v>15</v>
      </c>
      <c r="W255">
        <v>0.5</v>
      </c>
      <c r="X255">
        <v>1</v>
      </c>
      <c r="Y255">
        <v>15</v>
      </c>
      <c r="AC255">
        <v>2</v>
      </c>
      <c r="AD255">
        <v>4</v>
      </c>
      <c r="AE255">
        <v>15</v>
      </c>
      <c r="AI255">
        <v>5</v>
      </c>
      <c r="AJ255">
        <v>10</v>
      </c>
      <c r="AK255">
        <v>15</v>
      </c>
      <c r="AL255">
        <v>8.5</v>
      </c>
      <c r="AM255">
        <v>17</v>
      </c>
      <c r="AN255">
        <v>15</v>
      </c>
      <c r="AO255">
        <v>14.499999999999998</v>
      </c>
      <c r="AP255">
        <v>29</v>
      </c>
      <c r="AQ255">
        <v>15</v>
      </c>
    </row>
    <row r="256" spans="1:43" x14ac:dyDescent="0.35">
      <c r="A256" s="37" t="s">
        <v>11</v>
      </c>
      <c r="B256">
        <v>1</v>
      </c>
      <c r="C256">
        <v>2</v>
      </c>
      <c r="D256">
        <v>15</v>
      </c>
      <c r="K256">
        <v>1</v>
      </c>
      <c r="L256">
        <v>2</v>
      </c>
      <c r="M256">
        <v>15</v>
      </c>
      <c r="W256">
        <v>0.5</v>
      </c>
      <c r="X256">
        <v>1</v>
      </c>
      <c r="Y256">
        <v>15</v>
      </c>
      <c r="AC256">
        <v>2</v>
      </c>
      <c r="AD256">
        <v>4</v>
      </c>
      <c r="AE256">
        <v>15</v>
      </c>
      <c r="AI256">
        <v>5</v>
      </c>
      <c r="AJ256">
        <v>10</v>
      </c>
      <c r="AK256">
        <v>15</v>
      </c>
      <c r="AL256">
        <v>8.5</v>
      </c>
      <c r="AM256">
        <v>17</v>
      </c>
      <c r="AN256">
        <v>15</v>
      </c>
      <c r="AO256">
        <v>14.499999999999998</v>
      </c>
      <c r="AP256">
        <v>29</v>
      </c>
      <c r="AQ256">
        <v>15</v>
      </c>
    </row>
    <row r="257" spans="1:43" x14ac:dyDescent="0.35">
      <c r="A257" s="14">
        <v>1.3</v>
      </c>
      <c r="B257">
        <v>4</v>
      </c>
      <c r="C257">
        <v>8</v>
      </c>
      <c r="D257">
        <v>15</v>
      </c>
      <c r="K257">
        <v>5.5</v>
      </c>
      <c r="L257">
        <v>11</v>
      </c>
      <c r="M257">
        <v>15</v>
      </c>
      <c r="W257">
        <v>2.5</v>
      </c>
      <c r="X257">
        <v>5</v>
      </c>
      <c r="Y257">
        <v>15</v>
      </c>
      <c r="AC257">
        <v>3.5000000000000004</v>
      </c>
      <c r="AD257">
        <v>7</v>
      </c>
      <c r="AE257">
        <v>15</v>
      </c>
      <c r="AI257">
        <v>8.5</v>
      </c>
      <c r="AJ257">
        <v>17</v>
      </c>
      <c r="AK257">
        <v>15</v>
      </c>
      <c r="AL257">
        <v>12.5</v>
      </c>
      <c r="AM257">
        <v>25</v>
      </c>
      <c r="AN257">
        <v>15</v>
      </c>
      <c r="AO257">
        <v>19</v>
      </c>
      <c r="AP257">
        <v>38</v>
      </c>
      <c r="AQ257">
        <v>15</v>
      </c>
    </row>
    <row r="258" spans="1:43" x14ac:dyDescent="0.35">
      <c r="A258" s="37" t="s">
        <v>11</v>
      </c>
      <c r="B258">
        <v>4</v>
      </c>
      <c r="C258">
        <v>8</v>
      </c>
      <c r="D258">
        <v>15</v>
      </c>
      <c r="K258">
        <v>5.5</v>
      </c>
      <c r="L258">
        <v>11</v>
      </c>
      <c r="M258">
        <v>15</v>
      </c>
      <c r="W258">
        <v>2.5</v>
      </c>
      <c r="X258">
        <v>5</v>
      </c>
      <c r="Y258">
        <v>15</v>
      </c>
      <c r="AC258">
        <v>3.5000000000000004</v>
      </c>
      <c r="AD258">
        <v>7</v>
      </c>
      <c r="AE258">
        <v>15</v>
      </c>
      <c r="AI258">
        <v>8.5</v>
      </c>
      <c r="AJ258">
        <v>17</v>
      </c>
      <c r="AK258">
        <v>15</v>
      </c>
      <c r="AL258">
        <v>12.5</v>
      </c>
      <c r="AM258">
        <v>25</v>
      </c>
      <c r="AN258">
        <v>15</v>
      </c>
      <c r="AO258">
        <v>19</v>
      </c>
      <c r="AP258">
        <v>38</v>
      </c>
      <c r="AQ258">
        <v>15</v>
      </c>
    </row>
    <row r="259" spans="1:43" x14ac:dyDescent="0.35">
      <c r="A259" s="14">
        <v>1.4</v>
      </c>
      <c r="AC259">
        <v>8.5</v>
      </c>
      <c r="AD259">
        <v>17</v>
      </c>
      <c r="AE259">
        <v>15</v>
      </c>
      <c r="AI259">
        <v>17</v>
      </c>
      <c r="AJ259">
        <v>34</v>
      </c>
      <c r="AK259">
        <v>15</v>
      </c>
      <c r="AL259">
        <v>27.500000000000004</v>
      </c>
      <c r="AM259">
        <v>55</v>
      </c>
      <c r="AN259">
        <v>15</v>
      </c>
      <c r="AO259">
        <v>26</v>
      </c>
      <c r="AP259">
        <v>52</v>
      </c>
      <c r="AQ259">
        <v>15</v>
      </c>
    </row>
    <row r="260" spans="1:43" x14ac:dyDescent="0.35">
      <c r="A260" s="37" t="s">
        <v>11</v>
      </c>
      <c r="AC260">
        <v>8.5</v>
      </c>
      <c r="AD260">
        <v>17</v>
      </c>
      <c r="AE260">
        <v>15</v>
      </c>
      <c r="AI260">
        <v>17</v>
      </c>
      <c r="AJ260">
        <v>34</v>
      </c>
      <c r="AK260">
        <v>15</v>
      </c>
      <c r="AL260">
        <v>27.500000000000004</v>
      </c>
      <c r="AM260">
        <v>55</v>
      </c>
      <c r="AN260">
        <v>15</v>
      </c>
      <c r="AO260">
        <v>26</v>
      </c>
      <c r="AP260">
        <v>52</v>
      </c>
      <c r="AQ260">
        <v>15</v>
      </c>
    </row>
    <row r="261" spans="1:43" x14ac:dyDescent="0.35">
      <c r="A261" s="14">
        <v>1.5</v>
      </c>
      <c r="B261">
        <v>8.5</v>
      </c>
      <c r="C261">
        <v>17</v>
      </c>
      <c r="D261">
        <v>15</v>
      </c>
      <c r="K261">
        <v>6</v>
      </c>
      <c r="L261">
        <v>12</v>
      </c>
      <c r="M261">
        <v>15</v>
      </c>
      <c r="W261">
        <v>3.5000000000000004</v>
      </c>
      <c r="X261">
        <v>7</v>
      </c>
      <c r="Y261">
        <v>15</v>
      </c>
      <c r="AC261">
        <v>9.5</v>
      </c>
      <c r="AD261">
        <v>19</v>
      </c>
      <c r="AE261">
        <v>15</v>
      </c>
      <c r="AI261">
        <v>9</v>
      </c>
      <c r="AJ261">
        <v>18</v>
      </c>
      <c r="AK261">
        <v>15</v>
      </c>
      <c r="AL261">
        <v>12.5</v>
      </c>
      <c r="AM261">
        <v>25</v>
      </c>
      <c r="AN261">
        <v>15</v>
      </c>
      <c r="AO261">
        <v>16.5</v>
      </c>
      <c r="AP261">
        <v>33</v>
      </c>
      <c r="AQ261">
        <v>15</v>
      </c>
    </row>
    <row r="262" spans="1:43" x14ac:dyDescent="0.35">
      <c r="A262" s="37" t="s">
        <v>11</v>
      </c>
      <c r="B262">
        <v>8.5</v>
      </c>
      <c r="C262">
        <v>17</v>
      </c>
      <c r="D262">
        <v>15</v>
      </c>
      <c r="K262">
        <v>6</v>
      </c>
      <c r="L262">
        <v>12</v>
      </c>
      <c r="M262">
        <v>15</v>
      </c>
      <c r="W262">
        <v>3.5000000000000004</v>
      </c>
      <c r="X262">
        <v>7</v>
      </c>
      <c r="Y262">
        <v>15</v>
      </c>
      <c r="AC262">
        <v>9.5</v>
      </c>
      <c r="AD262">
        <v>19</v>
      </c>
      <c r="AE262">
        <v>15</v>
      </c>
      <c r="AI262">
        <v>9</v>
      </c>
      <c r="AJ262">
        <v>18</v>
      </c>
      <c r="AK262">
        <v>15</v>
      </c>
      <c r="AL262">
        <v>12.5</v>
      </c>
      <c r="AM262">
        <v>25</v>
      </c>
      <c r="AN262">
        <v>15</v>
      </c>
      <c r="AO262">
        <v>16.5</v>
      </c>
      <c r="AP262">
        <v>33</v>
      </c>
      <c r="AQ262">
        <v>15</v>
      </c>
    </row>
    <row r="263" spans="1:43" x14ac:dyDescent="0.35">
      <c r="A263" s="14">
        <v>2.1</v>
      </c>
      <c r="B263">
        <v>4</v>
      </c>
      <c r="C263">
        <v>8</v>
      </c>
      <c r="D263">
        <v>15</v>
      </c>
      <c r="K263">
        <v>6.5</v>
      </c>
      <c r="L263">
        <v>13</v>
      </c>
      <c r="M263">
        <v>15</v>
      </c>
      <c r="W263">
        <v>2</v>
      </c>
      <c r="X263">
        <v>4</v>
      </c>
      <c r="Y263">
        <v>15</v>
      </c>
      <c r="AC263">
        <v>2.5</v>
      </c>
      <c r="AD263">
        <v>5</v>
      </c>
      <c r="AE263">
        <v>15</v>
      </c>
      <c r="AI263">
        <v>5</v>
      </c>
      <c r="AJ263">
        <v>10</v>
      </c>
      <c r="AK263">
        <v>15</v>
      </c>
      <c r="AL263">
        <v>5.5</v>
      </c>
      <c r="AM263">
        <v>11</v>
      </c>
      <c r="AN263">
        <v>15</v>
      </c>
      <c r="AO263">
        <v>8.5</v>
      </c>
      <c r="AP263">
        <v>17</v>
      </c>
      <c r="AQ263">
        <v>15</v>
      </c>
    </row>
    <row r="264" spans="1:43" x14ac:dyDescent="0.35">
      <c r="A264" s="37" t="s">
        <v>11</v>
      </c>
      <c r="B264">
        <v>4</v>
      </c>
      <c r="C264">
        <v>8</v>
      </c>
      <c r="D264">
        <v>15</v>
      </c>
      <c r="K264">
        <v>6.5</v>
      </c>
      <c r="L264">
        <v>13</v>
      </c>
      <c r="M264">
        <v>15</v>
      </c>
      <c r="W264">
        <v>2</v>
      </c>
      <c r="X264">
        <v>4</v>
      </c>
      <c r="Y264">
        <v>15</v>
      </c>
      <c r="AC264">
        <v>2.5</v>
      </c>
      <c r="AD264">
        <v>5</v>
      </c>
      <c r="AE264">
        <v>15</v>
      </c>
      <c r="AI264">
        <v>5</v>
      </c>
      <c r="AJ264">
        <v>10</v>
      </c>
      <c r="AK264">
        <v>15</v>
      </c>
      <c r="AL264">
        <v>5.5</v>
      </c>
      <c r="AM264">
        <v>11</v>
      </c>
      <c r="AN264">
        <v>15</v>
      </c>
      <c r="AO264">
        <v>8.5</v>
      </c>
      <c r="AP264">
        <v>17</v>
      </c>
      <c r="AQ264">
        <v>15</v>
      </c>
    </row>
    <row r="265" spans="1:43" x14ac:dyDescent="0.35">
      <c r="A265" s="14">
        <v>2.2000000000000002</v>
      </c>
      <c r="B265">
        <v>1</v>
      </c>
      <c r="C265">
        <v>2</v>
      </c>
      <c r="D265">
        <v>15</v>
      </c>
      <c r="K265">
        <v>2</v>
      </c>
      <c r="L265">
        <v>4</v>
      </c>
      <c r="M265">
        <v>15</v>
      </c>
      <c r="AC265">
        <v>1.5</v>
      </c>
      <c r="AD265">
        <v>3</v>
      </c>
      <c r="AE265">
        <v>15</v>
      </c>
      <c r="AI265">
        <v>4</v>
      </c>
      <c r="AJ265">
        <v>8</v>
      </c>
      <c r="AK265">
        <v>15</v>
      </c>
      <c r="AL265">
        <v>6.5</v>
      </c>
      <c r="AM265">
        <v>13</v>
      </c>
      <c r="AN265">
        <v>15</v>
      </c>
      <c r="AO265">
        <v>5</v>
      </c>
      <c r="AP265">
        <v>10</v>
      </c>
      <c r="AQ265">
        <v>30</v>
      </c>
    </row>
    <row r="266" spans="1:43" x14ac:dyDescent="0.35">
      <c r="A266" s="37" t="s">
        <v>12</v>
      </c>
      <c r="AO266">
        <v>0.5</v>
      </c>
      <c r="AP266">
        <v>1</v>
      </c>
      <c r="AQ266">
        <v>15</v>
      </c>
    </row>
    <row r="267" spans="1:43" x14ac:dyDescent="0.35">
      <c r="A267" s="37" t="s">
        <v>11</v>
      </c>
      <c r="B267">
        <v>1</v>
      </c>
      <c r="C267">
        <v>2</v>
      </c>
      <c r="D267">
        <v>15</v>
      </c>
      <c r="K267">
        <v>2</v>
      </c>
      <c r="L267">
        <v>4</v>
      </c>
      <c r="M267">
        <v>15</v>
      </c>
      <c r="AC267">
        <v>1.5</v>
      </c>
      <c r="AD267">
        <v>3</v>
      </c>
      <c r="AE267">
        <v>15</v>
      </c>
      <c r="AI267">
        <v>4</v>
      </c>
      <c r="AJ267">
        <v>8</v>
      </c>
      <c r="AK267">
        <v>15</v>
      </c>
      <c r="AL267">
        <v>6.5</v>
      </c>
      <c r="AM267">
        <v>13</v>
      </c>
      <c r="AN267">
        <v>15</v>
      </c>
      <c r="AO267">
        <v>4.5</v>
      </c>
      <c r="AP267">
        <v>9</v>
      </c>
      <c r="AQ267">
        <v>15</v>
      </c>
    </row>
    <row r="268" spans="1:43" x14ac:dyDescent="0.35">
      <c r="A268" s="14">
        <v>2.2999999999999998</v>
      </c>
      <c r="B268">
        <v>3.5000000000000004</v>
      </c>
      <c r="C268">
        <v>7</v>
      </c>
      <c r="D268">
        <v>15</v>
      </c>
      <c r="K268">
        <v>4</v>
      </c>
      <c r="L268">
        <v>8</v>
      </c>
      <c r="M268">
        <v>15</v>
      </c>
      <c r="W268">
        <v>4</v>
      </c>
      <c r="X268">
        <v>8</v>
      </c>
      <c r="Y268">
        <v>15</v>
      </c>
      <c r="AC268">
        <v>7.5</v>
      </c>
      <c r="AD268">
        <v>15</v>
      </c>
      <c r="AE268">
        <v>15</v>
      </c>
      <c r="AI268">
        <v>7.5</v>
      </c>
      <c r="AJ268">
        <v>15</v>
      </c>
      <c r="AK268">
        <v>15</v>
      </c>
      <c r="AL268">
        <v>7.0000000000000009</v>
      </c>
      <c r="AM268">
        <v>14</v>
      </c>
      <c r="AN268">
        <v>15</v>
      </c>
      <c r="AO268">
        <v>8.5</v>
      </c>
      <c r="AP268">
        <v>17</v>
      </c>
      <c r="AQ268">
        <v>15</v>
      </c>
    </row>
    <row r="269" spans="1:43" x14ac:dyDescent="0.35">
      <c r="A269" s="37" t="s">
        <v>11</v>
      </c>
      <c r="B269">
        <v>3.5000000000000004</v>
      </c>
      <c r="C269">
        <v>7</v>
      </c>
      <c r="D269">
        <v>15</v>
      </c>
      <c r="K269">
        <v>4</v>
      </c>
      <c r="L269">
        <v>8</v>
      </c>
      <c r="M269">
        <v>15</v>
      </c>
      <c r="W269">
        <v>4</v>
      </c>
      <c r="X269">
        <v>8</v>
      </c>
      <c r="Y269">
        <v>15</v>
      </c>
      <c r="AC269">
        <v>7.5</v>
      </c>
      <c r="AD269">
        <v>15</v>
      </c>
      <c r="AE269">
        <v>15</v>
      </c>
      <c r="AI269">
        <v>7.5</v>
      </c>
      <c r="AJ269">
        <v>15</v>
      </c>
      <c r="AK269">
        <v>15</v>
      </c>
      <c r="AL269">
        <v>7.0000000000000009</v>
      </c>
      <c r="AM269">
        <v>14</v>
      </c>
      <c r="AN269">
        <v>15</v>
      </c>
      <c r="AO269">
        <v>8.5</v>
      </c>
      <c r="AP269">
        <v>17</v>
      </c>
      <c r="AQ269">
        <v>15</v>
      </c>
    </row>
    <row r="270" spans="1:43" x14ac:dyDescent="0.35">
      <c r="A270" s="14">
        <v>2.4</v>
      </c>
      <c r="K270">
        <v>0.5</v>
      </c>
      <c r="L270">
        <v>1</v>
      </c>
      <c r="M270">
        <v>15</v>
      </c>
      <c r="W270">
        <v>1</v>
      </c>
      <c r="X270">
        <v>2</v>
      </c>
      <c r="Y270">
        <v>15</v>
      </c>
      <c r="AC270">
        <v>3.5000000000000004</v>
      </c>
      <c r="AD270">
        <v>7</v>
      </c>
      <c r="AE270">
        <v>15</v>
      </c>
      <c r="AI270">
        <v>12.5</v>
      </c>
      <c r="AJ270">
        <v>25</v>
      </c>
      <c r="AK270">
        <v>15</v>
      </c>
      <c r="AL270">
        <v>14.499999999999998</v>
      </c>
      <c r="AM270">
        <v>29</v>
      </c>
      <c r="AN270">
        <v>15</v>
      </c>
      <c r="AO270">
        <v>15</v>
      </c>
      <c r="AP270">
        <v>30</v>
      </c>
      <c r="AQ270">
        <v>15</v>
      </c>
    </row>
    <row r="271" spans="1:43" x14ac:dyDescent="0.35">
      <c r="A271" s="37" t="s">
        <v>11</v>
      </c>
      <c r="K271">
        <v>0.5</v>
      </c>
      <c r="L271">
        <v>1</v>
      </c>
      <c r="M271">
        <v>15</v>
      </c>
      <c r="W271">
        <v>1</v>
      </c>
      <c r="X271">
        <v>2</v>
      </c>
      <c r="Y271">
        <v>15</v>
      </c>
      <c r="AC271">
        <v>3.5000000000000004</v>
      </c>
      <c r="AD271">
        <v>7</v>
      </c>
      <c r="AE271">
        <v>15</v>
      </c>
      <c r="AI271">
        <v>12.5</v>
      </c>
      <c r="AJ271">
        <v>25</v>
      </c>
      <c r="AK271">
        <v>15</v>
      </c>
      <c r="AL271">
        <v>14.499999999999998</v>
      </c>
      <c r="AM271">
        <v>29</v>
      </c>
      <c r="AN271">
        <v>15</v>
      </c>
      <c r="AO271">
        <v>15</v>
      </c>
      <c r="AP271">
        <v>30</v>
      </c>
      <c r="AQ271">
        <v>15</v>
      </c>
    </row>
    <row r="272" spans="1:43" x14ac:dyDescent="0.35">
      <c r="A272" s="14">
        <v>2.5</v>
      </c>
      <c r="AC272">
        <v>2</v>
      </c>
      <c r="AD272">
        <v>4</v>
      </c>
      <c r="AE272">
        <v>15</v>
      </c>
      <c r="AI272">
        <v>8</v>
      </c>
      <c r="AJ272">
        <v>16</v>
      </c>
      <c r="AK272">
        <v>15</v>
      </c>
      <c r="AL272">
        <v>8.5</v>
      </c>
      <c r="AM272">
        <v>17</v>
      </c>
      <c r="AN272">
        <v>15</v>
      </c>
      <c r="AO272">
        <v>15</v>
      </c>
      <c r="AP272">
        <v>30</v>
      </c>
      <c r="AQ272">
        <v>15</v>
      </c>
    </row>
    <row r="273" spans="1:43" x14ac:dyDescent="0.35">
      <c r="A273" s="37" t="s">
        <v>11</v>
      </c>
      <c r="AC273">
        <v>2</v>
      </c>
      <c r="AD273">
        <v>4</v>
      </c>
      <c r="AE273">
        <v>15</v>
      </c>
      <c r="AI273">
        <v>8</v>
      </c>
      <c r="AJ273">
        <v>16</v>
      </c>
      <c r="AK273">
        <v>15</v>
      </c>
      <c r="AL273">
        <v>8.5</v>
      </c>
      <c r="AM273">
        <v>17</v>
      </c>
      <c r="AN273">
        <v>15</v>
      </c>
      <c r="AO273">
        <v>15</v>
      </c>
      <c r="AP273">
        <v>30</v>
      </c>
      <c r="AQ273">
        <v>15</v>
      </c>
    </row>
    <row r="274" spans="1:43" x14ac:dyDescent="0.35">
      <c r="A274" s="14">
        <v>2.6</v>
      </c>
      <c r="AC274">
        <v>0.5</v>
      </c>
      <c r="AD274">
        <v>1</v>
      </c>
      <c r="AE274">
        <v>15</v>
      </c>
      <c r="AI274">
        <v>6</v>
      </c>
      <c r="AJ274">
        <v>12</v>
      </c>
      <c r="AK274">
        <v>15</v>
      </c>
      <c r="AL274">
        <v>9</v>
      </c>
      <c r="AM274">
        <v>18</v>
      </c>
      <c r="AN274">
        <v>15</v>
      </c>
      <c r="AO274">
        <v>14.000000000000002</v>
      </c>
      <c r="AP274">
        <v>28</v>
      </c>
      <c r="AQ274">
        <v>15</v>
      </c>
    </row>
    <row r="275" spans="1:43" x14ac:dyDescent="0.35">
      <c r="A275" s="37" t="s">
        <v>11</v>
      </c>
      <c r="AC275">
        <v>0.5</v>
      </c>
      <c r="AD275">
        <v>1</v>
      </c>
      <c r="AE275">
        <v>15</v>
      </c>
      <c r="AI275">
        <v>6</v>
      </c>
      <c r="AJ275">
        <v>12</v>
      </c>
      <c r="AK275">
        <v>15</v>
      </c>
      <c r="AL275">
        <v>9</v>
      </c>
      <c r="AM275">
        <v>18</v>
      </c>
      <c r="AN275">
        <v>15</v>
      </c>
      <c r="AO275">
        <v>14.000000000000002</v>
      </c>
      <c r="AP275">
        <v>28</v>
      </c>
      <c r="AQ275">
        <v>15</v>
      </c>
    </row>
    <row r="276" spans="1:43" x14ac:dyDescent="0.35">
      <c r="A276" s="14">
        <v>2.7</v>
      </c>
      <c r="AC276">
        <v>3.5000000000000004</v>
      </c>
      <c r="AD276">
        <v>7</v>
      </c>
      <c r="AE276">
        <v>15</v>
      </c>
      <c r="AI276">
        <v>8</v>
      </c>
      <c r="AJ276">
        <v>16</v>
      </c>
      <c r="AK276">
        <v>15</v>
      </c>
      <c r="AL276">
        <v>12</v>
      </c>
      <c r="AM276">
        <v>24</v>
      </c>
      <c r="AN276">
        <v>15</v>
      </c>
      <c r="AO276">
        <v>15</v>
      </c>
      <c r="AP276">
        <v>30</v>
      </c>
      <c r="AQ276">
        <v>15</v>
      </c>
    </row>
    <row r="277" spans="1:43" x14ac:dyDescent="0.35">
      <c r="A277" s="37" t="s">
        <v>11</v>
      </c>
      <c r="AC277">
        <v>3.5000000000000004</v>
      </c>
      <c r="AD277">
        <v>7</v>
      </c>
      <c r="AE277">
        <v>15</v>
      </c>
      <c r="AI277">
        <v>8</v>
      </c>
      <c r="AJ277">
        <v>16</v>
      </c>
      <c r="AK277">
        <v>15</v>
      </c>
      <c r="AL277">
        <v>12</v>
      </c>
      <c r="AM277">
        <v>24</v>
      </c>
      <c r="AN277">
        <v>15</v>
      </c>
      <c r="AO277">
        <v>15</v>
      </c>
      <c r="AP277">
        <v>30</v>
      </c>
      <c r="AQ277">
        <v>15</v>
      </c>
    </row>
    <row r="278" spans="1:43" x14ac:dyDescent="0.35">
      <c r="A278" s="14">
        <v>2.8</v>
      </c>
      <c r="B278">
        <v>8.542713567839197</v>
      </c>
      <c r="C278">
        <v>17</v>
      </c>
      <c r="D278">
        <v>30</v>
      </c>
      <c r="K278">
        <v>16.08040201005025</v>
      </c>
      <c r="L278">
        <v>32</v>
      </c>
      <c r="M278">
        <v>30</v>
      </c>
      <c r="W278">
        <v>11</v>
      </c>
      <c r="X278">
        <v>22</v>
      </c>
      <c r="Y278">
        <v>30</v>
      </c>
      <c r="AC278">
        <v>16</v>
      </c>
      <c r="AD278">
        <v>32</v>
      </c>
      <c r="AE278">
        <v>30</v>
      </c>
      <c r="AI278">
        <v>15</v>
      </c>
      <c r="AJ278">
        <v>30</v>
      </c>
      <c r="AK278">
        <v>30</v>
      </c>
      <c r="AL278">
        <v>18</v>
      </c>
      <c r="AM278">
        <v>36</v>
      </c>
      <c r="AN278">
        <v>30</v>
      </c>
      <c r="AO278">
        <v>19.5</v>
      </c>
      <c r="AP278">
        <v>39</v>
      </c>
      <c r="AQ278">
        <v>15</v>
      </c>
    </row>
    <row r="279" spans="1:43" x14ac:dyDescent="0.35">
      <c r="A279" s="37" t="s">
        <v>11</v>
      </c>
      <c r="B279">
        <v>4.5226130653266337</v>
      </c>
      <c r="C279">
        <v>9</v>
      </c>
      <c r="D279">
        <v>15</v>
      </c>
      <c r="K279">
        <v>8.0402010050251249</v>
      </c>
      <c r="L279">
        <v>16</v>
      </c>
      <c r="M279">
        <v>15</v>
      </c>
      <c r="W279">
        <v>8</v>
      </c>
      <c r="X279">
        <v>16</v>
      </c>
      <c r="Y279">
        <v>15</v>
      </c>
      <c r="AC279">
        <v>12</v>
      </c>
      <c r="AD279">
        <v>24</v>
      </c>
      <c r="AE279">
        <v>15</v>
      </c>
      <c r="AI279">
        <v>13</v>
      </c>
      <c r="AJ279">
        <v>26</v>
      </c>
      <c r="AK279">
        <v>15</v>
      </c>
      <c r="AL279">
        <v>14.499999999999998</v>
      </c>
      <c r="AM279">
        <v>29</v>
      </c>
      <c r="AN279">
        <v>15</v>
      </c>
      <c r="AO279">
        <v>19.5</v>
      </c>
      <c r="AP279">
        <v>39</v>
      </c>
      <c r="AQ279">
        <v>15</v>
      </c>
    </row>
    <row r="280" spans="1:43" x14ac:dyDescent="0.35">
      <c r="A280" s="37" t="s">
        <v>170</v>
      </c>
      <c r="B280">
        <v>4.0201005025125625</v>
      </c>
      <c r="C280">
        <v>8</v>
      </c>
      <c r="D280">
        <v>15</v>
      </c>
      <c r="K280">
        <v>8.0402010050251249</v>
      </c>
      <c r="L280">
        <v>16</v>
      </c>
      <c r="M280">
        <v>15</v>
      </c>
      <c r="W280">
        <v>3</v>
      </c>
      <c r="X280">
        <v>6</v>
      </c>
      <c r="Y280">
        <v>15</v>
      </c>
      <c r="AC280">
        <v>4</v>
      </c>
      <c r="AD280">
        <v>8</v>
      </c>
      <c r="AE280">
        <v>15</v>
      </c>
      <c r="AI280">
        <v>2</v>
      </c>
      <c r="AJ280">
        <v>4</v>
      </c>
      <c r="AK280">
        <v>15</v>
      </c>
      <c r="AL280">
        <v>3.5000000000000004</v>
      </c>
      <c r="AM280">
        <v>7</v>
      </c>
      <c r="AN280">
        <v>15</v>
      </c>
    </row>
    <row r="281" spans="1:43" x14ac:dyDescent="0.35">
      <c r="A281" s="14">
        <v>3.1</v>
      </c>
      <c r="AC281">
        <v>3</v>
      </c>
      <c r="AD281">
        <v>6</v>
      </c>
      <c r="AE281">
        <v>15</v>
      </c>
      <c r="AI281">
        <v>2.5</v>
      </c>
      <c r="AJ281">
        <v>5</v>
      </c>
      <c r="AK281">
        <v>15</v>
      </c>
      <c r="AL281">
        <v>6</v>
      </c>
      <c r="AM281">
        <v>12</v>
      </c>
      <c r="AN281">
        <v>15</v>
      </c>
      <c r="AO281">
        <v>11.5</v>
      </c>
      <c r="AP281">
        <v>23</v>
      </c>
      <c r="AQ281">
        <v>15</v>
      </c>
    </row>
    <row r="282" spans="1:43" x14ac:dyDescent="0.35">
      <c r="A282" s="37" t="s">
        <v>11</v>
      </c>
      <c r="AC282">
        <v>3</v>
      </c>
      <c r="AD282">
        <v>6</v>
      </c>
      <c r="AE282">
        <v>15</v>
      </c>
      <c r="AI282">
        <v>2.5</v>
      </c>
      <c r="AJ282">
        <v>5</v>
      </c>
      <c r="AK282">
        <v>15</v>
      </c>
      <c r="AL282">
        <v>6</v>
      </c>
      <c r="AM282">
        <v>12</v>
      </c>
      <c r="AN282">
        <v>15</v>
      </c>
      <c r="AO282">
        <v>11.5</v>
      </c>
      <c r="AP282">
        <v>23</v>
      </c>
      <c r="AQ282">
        <v>15</v>
      </c>
    </row>
    <row r="283" spans="1:43" x14ac:dyDescent="0.35">
      <c r="A283" s="14">
        <v>3.2</v>
      </c>
      <c r="AI283">
        <v>8</v>
      </c>
      <c r="AJ283">
        <v>16</v>
      </c>
      <c r="AK283">
        <v>15</v>
      </c>
      <c r="AL283">
        <v>12</v>
      </c>
      <c r="AM283">
        <v>24</v>
      </c>
      <c r="AN283">
        <v>15</v>
      </c>
      <c r="AO283">
        <v>17.5</v>
      </c>
      <c r="AP283">
        <v>35</v>
      </c>
      <c r="AQ283">
        <v>15</v>
      </c>
    </row>
    <row r="284" spans="1:43" x14ac:dyDescent="0.35">
      <c r="A284" s="37" t="s">
        <v>11</v>
      </c>
      <c r="AI284">
        <v>8</v>
      </c>
      <c r="AJ284">
        <v>16</v>
      </c>
      <c r="AK284">
        <v>15</v>
      </c>
      <c r="AL284">
        <v>12</v>
      </c>
      <c r="AM284">
        <v>24</v>
      </c>
      <c r="AN284">
        <v>15</v>
      </c>
      <c r="AO284">
        <v>17.5</v>
      </c>
      <c r="AP284">
        <v>35</v>
      </c>
      <c r="AQ284">
        <v>15</v>
      </c>
    </row>
    <row r="285" spans="1:43" x14ac:dyDescent="0.35">
      <c r="A285" s="14">
        <v>3.3</v>
      </c>
      <c r="B285">
        <v>0.5</v>
      </c>
      <c r="C285">
        <v>1</v>
      </c>
      <c r="D285">
        <v>15</v>
      </c>
      <c r="AI285">
        <v>0.5</v>
      </c>
      <c r="AJ285">
        <v>1</v>
      </c>
      <c r="AK285">
        <v>15</v>
      </c>
      <c r="AL285">
        <v>3</v>
      </c>
      <c r="AM285">
        <v>6</v>
      </c>
      <c r="AN285">
        <v>15</v>
      </c>
      <c r="AO285">
        <v>7.5</v>
      </c>
      <c r="AP285">
        <v>15</v>
      </c>
      <c r="AQ285">
        <v>15</v>
      </c>
    </row>
    <row r="286" spans="1:43" x14ac:dyDescent="0.35">
      <c r="A286" s="37" t="s">
        <v>11</v>
      </c>
      <c r="B286">
        <v>0.5</v>
      </c>
      <c r="C286">
        <v>1</v>
      </c>
      <c r="D286">
        <v>15</v>
      </c>
      <c r="AI286">
        <v>0.5</v>
      </c>
      <c r="AJ286">
        <v>1</v>
      </c>
      <c r="AK286">
        <v>15</v>
      </c>
      <c r="AL286">
        <v>3</v>
      </c>
      <c r="AM286">
        <v>6</v>
      </c>
      <c r="AN286">
        <v>15</v>
      </c>
      <c r="AO286">
        <v>7.5</v>
      </c>
      <c r="AP286">
        <v>15</v>
      </c>
      <c r="AQ286">
        <v>15</v>
      </c>
    </row>
    <row r="287" spans="1:43" x14ac:dyDescent="0.35">
      <c r="A287" s="14">
        <v>3.4</v>
      </c>
      <c r="AC287">
        <v>1.5</v>
      </c>
      <c r="AD287">
        <v>3</v>
      </c>
      <c r="AE287">
        <v>15</v>
      </c>
      <c r="AI287">
        <v>6</v>
      </c>
      <c r="AJ287">
        <v>12</v>
      </c>
      <c r="AK287">
        <v>15</v>
      </c>
      <c r="AL287">
        <v>10.5</v>
      </c>
      <c r="AM287">
        <v>21</v>
      </c>
      <c r="AN287">
        <v>15</v>
      </c>
      <c r="AO287">
        <v>18</v>
      </c>
      <c r="AP287">
        <v>36</v>
      </c>
      <c r="AQ287">
        <v>15</v>
      </c>
    </row>
    <row r="288" spans="1:43" x14ac:dyDescent="0.35">
      <c r="A288" s="37" t="s">
        <v>11</v>
      </c>
      <c r="AC288">
        <v>1.5</v>
      </c>
      <c r="AD288">
        <v>3</v>
      </c>
      <c r="AE288">
        <v>15</v>
      </c>
      <c r="AI288">
        <v>6</v>
      </c>
      <c r="AJ288">
        <v>12</v>
      </c>
      <c r="AK288">
        <v>15</v>
      </c>
      <c r="AL288">
        <v>10.5</v>
      </c>
      <c r="AM288">
        <v>21</v>
      </c>
      <c r="AN288">
        <v>15</v>
      </c>
      <c r="AO288">
        <v>18</v>
      </c>
      <c r="AP288">
        <v>36</v>
      </c>
      <c r="AQ288">
        <v>15</v>
      </c>
    </row>
    <row r="289" spans="1:43" x14ac:dyDescent="0.35">
      <c r="A289" s="14">
        <v>3.5</v>
      </c>
      <c r="AC289">
        <v>0.5</v>
      </c>
      <c r="AD289">
        <v>1</v>
      </c>
      <c r="AE289">
        <v>15</v>
      </c>
      <c r="AI289">
        <v>0.5</v>
      </c>
      <c r="AJ289">
        <v>1</v>
      </c>
      <c r="AK289">
        <v>15</v>
      </c>
      <c r="AL289">
        <v>1</v>
      </c>
      <c r="AM289">
        <v>2</v>
      </c>
      <c r="AN289">
        <v>15</v>
      </c>
      <c r="AO289">
        <v>2</v>
      </c>
      <c r="AP289">
        <v>4</v>
      </c>
      <c r="AQ289">
        <v>15</v>
      </c>
    </row>
    <row r="290" spans="1:43" x14ac:dyDescent="0.35">
      <c r="A290" s="37" t="s">
        <v>11</v>
      </c>
      <c r="AC290">
        <v>0.5</v>
      </c>
      <c r="AD290">
        <v>1</v>
      </c>
      <c r="AE290">
        <v>15</v>
      </c>
      <c r="AI290">
        <v>0.5</v>
      </c>
      <c r="AJ290">
        <v>1</v>
      </c>
      <c r="AK290">
        <v>15</v>
      </c>
      <c r="AL290">
        <v>1</v>
      </c>
      <c r="AM290">
        <v>2</v>
      </c>
      <c r="AN290">
        <v>15</v>
      </c>
      <c r="AO290">
        <v>2</v>
      </c>
      <c r="AP290">
        <v>4</v>
      </c>
      <c r="AQ290">
        <v>15</v>
      </c>
    </row>
    <row r="291" spans="1:43" x14ac:dyDescent="0.35">
      <c r="A291" s="14">
        <v>3.6</v>
      </c>
      <c r="B291">
        <v>1</v>
      </c>
      <c r="C291">
        <v>2</v>
      </c>
      <c r="D291">
        <v>15</v>
      </c>
      <c r="AC291">
        <v>1.5</v>
      </c>
      <c r="AD291">
        <v>3</v>
      </c>
      <c r="AE291">
        <v>15</v>
      </c>
      <c r="AI291">
        <v>3</v>
      </c>
      <c r="AJ291">
        <v>6</v>
      </c>
      <c r="AK291">
        <v>15</v>
      </c>
      <c r="AL291">
        <v>1</v>
      </c>
      <c r="AM291">
        <v>2</v>
      </c>
      <c r="AN291">
        <v>15</v>
      </c>
      <c r="AO291">
        <v>2.5</v>
      </c>
      <c r="AP291">
        <v>5</v>
      </c>
      <c r="AQ291">
        <v>15</v>
      </c>
    </row>
    <row r="292" spans="1:43" x14ac:dyDescent="0.35">
      <c r="A292" s="37" t="s">
        <v>11</v>
      </c>
      <c r="B292">
        <v>1</v>
      </c>
      <c r="C292">
        <v>2</v>
      </c>
      <c r="D292">
        <v>15</v>
      </c>
      <c r="AC292">
        <v>1.5</v>
      </c>
      <c r="AD292">
        <v>3</v>
      </c>
      <c r="AE292">
        <v>15</v>
      </c>
      <c r="AI292">
        <v>3</v>
      </c>
      <c r="AJ292">
        <v>6</v>
      </c>
      <c r="AK292">
        <v>15</v>
      </c>
      <c r="AL292">
        <v>1</v>
      </c>
      <c r="AM292">
        <v>2</v>
      </c>
      <c r="AN292">
        <v>15</v>
      </c>
      <c r="AO292">
        <v>2.5</v>
      </c>
      <c r="AP292">
        <v>5</v>
      </c>
      <c r="AQ292">
        <v>15</v>
      </c>
    </row>
    <row r="293" spans="1:43" x14ac:dyDescent="0.35">
      <c r="A293" s="14">
        <v>3.7</v>
      </c>
      <c r="B293">
        <v>4.5226130653266328</v>
      </c>
      <c r="C293">
        <v>9</v>
      </c>
      <c r="D293">
        <v>30</v>
      </c>
      <c r="K293">
        <v>15.57788944723618</v>
      </c>
      <c r="L293">
        <v>31</v>
      </c>
      <c r="M293">
        <v>30</v>
      </c>
      <c r="W293">
        <v>5.5276381909547743</v>
      </c>
      <c r="X293">
        <v>11</v>
      </c>
      <c r="Y293">
        <v>30</v>
      </c>
      <c r="AC293">
        <v>9.5</v>
      </c>
      <c r="AD293">
        <v>19</v>
      </c>
      <c r="AE293">
        <v>45</v>
      </c>
      <c r="AI293">
        <v>10.5</v>
      </c>
      <c r="AJ293">
        <v>21</v>
      </c>
      <c r="AK293">
        <v>30</v>
      </c>
      <c r="AL293">
        <v>17</v>
      </c>
      <c r="AM293">
        <v>34</v>
      </c>
      <c r="AN293">
        <v>30</v>
      </c>
      <c r="AO293">
        <v>26.5</v>
      </c>
      <c r="AP293">
        <v>53</v>
      </c>
      <c r="AQ293">
        <v>45</v>
      </c>
    </row>
    <row r="294" spans="1:43" x14ac:dyDescent="0.35">
      <c r="A294" s="37" t="s">
        <v>31</v>
      </c>
      <c r="K294">
        <v>1.0050251256281406</v>
      </c>
      <c r="L294">
        <v>2</v>
      </c>
      <c r="M294">
        <v>15</v>
      </c>
      <c r="W294">
        <v>0.50251256281407031</v>
      </c>
      <c r="X294">
        <v>1</v>
      </c>
      <c r="Y294">
        <v>15</v>
      </c>
      <c r="AC294">
        <v>1</v>
      </c>
      <c r="AD294">
        <v>2</v>
      </c>
      <c r="AE294">
        <v>15</v>
      </c>
      <c r="AI294">
        <v>0.5</v>
      </c>
      <c r="AJ294">
        <v>1</v>
      </c>
      <c r="AK294">
        <v>15</v>
      </c>
      <c r="AL294">
        <v>1.5</v>
      </c>
      <c r="AM294">
        <v>3</v>
      </c>
      <c r="AN294">
        <v>15</v>
      </c>
      <c r="AO294">
        <v>3</v>
      </c>
      <c r="AP294">
        <v>6</v>
      </c>
      <c r="AQ294">
        <v>15</v>
      </c>
    </row>
    <row r="295" spans="1:43" x14ac:dyDescent="0.35">
      <c r="A295" s="37" t="s">
        <v>12</v>
      </c>
      <c r="B295">
        <v>1.0050251256281406</v>
      </c>
      <c r="C295">
        <v>2</v>
      </c>
      <c r="D295">
        <v>15</v>
      </c>
      <c r="AC295">
        <v>0.5</v>
      </c>
      <c r="AD295">
        <v>1</v>
      </c>
      <c r="AE295">
        <v>15</v>
      </c>
      <c r="AO295">
        <v>0.5</v>
      </c>
      <c r="AP295">
        <v>1</v>
      </c>
      <c r="AQ295">
        <v>15</v>
      </c>
    </row>
    <row r="296" spans="1:43" x14ac:dyDescent="0.35">
      <c r="A296" s="37" t="s">
        <v>11</v>
      </c>
      <c r="B296">
        <v>3.5175879396984926</v>
      </c>
      <c r="C296">
        <v>7</v>
      </c>
      <c r="D296">
        <v>15</v>
      </c>
      <c r="K296">
        <v>14.572864321608039</v>
      </c>
      <c r="L296">
        <v>29</v>
      </c>
      <c r="M296">
        <v>15</v>
      </c>
      <c r="W296">
        <v>5.025125628140704</v>
      </c>
      <c r="X296">
        <v>10</v>
      </c>
      <c r="Y296">
        <v>15</v>
      </c>
      <c r="AC296">
        <v>8</v>
      </c>
      <c r="AD296">
        <v>16</v>
      </c>
      <c r="AE296">
        <v>15</v>
      </c>
      <c r="AI296">
        <v>10</v>
      </c>
      <c r="AJ296">
        <v>20</v>
      </c>
      <c r="AK296">
        <v>15</v>
      </c>
      <c r="AL296">
        <v>15.5</v>
      </c>
      <c r="AM296">
        <v>31</v>
      </c>
      <c r="AN296">
        <v>15</v>
      </c>
      <c r="AO296">
        <v>23</v>
      </c>
      <c r="AP296">
        <v>46</v>
      </c>
      <c r="AQ296">
        <v>15</v>
      </c>
    </row>
    <row r="297" spans="1:43" x14ac:dyDescent="0.35">
      <c r="A297" s="14">
        <v>4.0999999999999996</v>
      </c>
      <c r="B297">
        <v>1.5</v>
      </c>
      <c r="C297">
        <v>3</v>
      </c>
      <c r="D297">
        <v>15</v>
      </c>
      <c r="K297">
        <v>1</v>
      </c>
      <c r="L297">
        <v>2</v>
      </c>
      <c r="M297">
        <v>15</v>
      </c>
      <c r="W297">
        <v>1</v>
      </c>
      <c r="X297">
        <v>2</v>
      </c>
      <c r="Y297">
        <v>15</v>
      </c>
      <c r="AC297">
        <v>8</v>
      </c>
      <c r="AD297">
        <v>16</v>
      </c>
      <c r="AE297">
        <v>15</v>
      </c>
      <c r="AI297">
        <v>9.5</v>
      </c>
      <c r="AJ297">
        <v>19</v>
      </c>
      <c r="AK297">
        <v>15</v>
      </c>
      <c r="AL297">
        <v>17.5</v>
      </c>
      <c r="AM297">
        <v>35</v>
      </c>
      <c r="AN297">
        <v>15</v>
      </c>
      <c r="AO297">
        <v>28.000000000000004</v>
      </c>
      <c r="AP297">
        <v>56</v>
      </c>
      <c r="AQ297">
        <v>15</v>
      </c>
    </row>
    <row r="298" spans="1:43" x14ac:dyDescent="0.35">
      <c r="A298" s="37" t="s">
        <v>11</v>
      </c>
      <c r="B298">
        <v>1.5</v>
      </c>
      <c r="C298">
        <v>3</v>
      </c>
      <c r="D298">
        <v>15</v>
      </c>
      <c r="K298">
        <v>1</v>
      </c>
      <c r="L298">
        <v>2</v>
      </c>
      <c r="M298">
        <v>15</v>
      </c>
      <c r="W298">
        <v>1</v>
      </c>
      <c r="X298">
        <v>2</v>
      </c>
      <c r="Y298">
        <v>15</v>
      </c>
      <c r="AC298">
        <v>8</v>
      </c>
      <c r="AD298">
        <v>16</v>
      </c>
      <c r="AE298">
        <v>15</v>
      </c>
      <c r="AI298">
        <v>9.5</v>
      </c>
      <c r="AJ298">
        <v>19</v>
      </c>
      <c r="AK298">
        <v>15</v>
      </c>
      <c r="AL298">
        <v>17.5</v>
      </c>
      <c r="AM298">
        <v>35</v>
      </c>
      <c r="AN298">
        <v>15</v>
      </c>
      <c r="AO298">
        <v>28.000000000000004</v>
      </c>
      <c r="AP298">
        <v>56</v>
      </c>
      <c r="AQ298">
        <v>15</v>
      </c>
    </row>
    <row r="299" spans="1:43" x14ac:dyDescent="0.35">
      <c r="A299" s="14">
        <v>4.2</v>
      </c>
      <c r="K299">
        <v>2</v>
      </c>
      <c r="L299">
        <v>4</v>
      </c>
      <c r="M299">
        <v>15</v>
      </c>
      <c r="W299">
        <v>3</v>
      </c>
      <c r="X299">
        <v>6</v>
      </c>
      <c r="Y299">
        <v>15</v>
      </c>
      <c r="AC299">
        <v>6.5</v>
      </c>
      <c r="AD299">
        <v>13</v>
      </c>
      <c r="AE299">
        <v>15</v>
      </c>
      <c r="AI299">
        <v>4</v>
      </c>
      <c r="AJ299">
        <v>8</v>
      </c>
      <c r="AK299">
        <v>15</v>
      </c>
      <c r="AL299">
        <v>7.5</v>
      </c>
      <c r="AM299">
        <v>15</v>
      </c>
      <c r="AN299">
        <v>15</v>
      </c>
      <c r="AO299">
        <v>11.5</v>
      </c>
      <c r="AP299">
        <v>23</v>
      </c>
      <c r="AQ299">
        <v>15</v>
      </c>
    </row>
    <row r="300" spans="1:43" x14ac:dyDescent="0.35">
      <c r="A300" s="37" t="s">
        <v>11</v>
      </c>
      <c r="K300">
        <v>2</v>
      </c>
      <c r="L300">
        <v>4</v>
      </c>
      <c r="M300">
        <v>15</v>
      </c>
      <c r="W300">
        <v>3</v>
      </c>
      <c r="X300">
        <v>6</v>
      </c>
      <c r="Y300">
        <v>15</v>
      </c>
      <c r="AC300">
        <v>6.5</v>
      </c>
      <c r="AD300">
        <v>13</v>
      </c>
      <c r="AE300">
        <v>15</v>
      </c>
      <c r="AI300">
        <v>4</v>
      </c>
      <c r="AJ300">
        <v>8</v>
      </c>
      <c r="AK300">
        <v>15</v>
      </c>
      <c r="AL300">
        <v>7.5</v>
      </c>
      <c r="AM300">
        <v>15</v>
      </c>
      <c r="AN300">
        <v>15</v>
      </c>
      <c r="AO300">
        <v>11.5</v>
      </c>
      <c r="AP300">
        <v>23</v>
      </c>
      <c r="AQ300">
        <v>15</v>
      </c>
    </row>
    <row r="301" spans="1:43" x14ac:dyDescent="0.35">
      <c r="A301" s="14">
        <v>4.3</v>
      </c>
      <c r="K301">
        <v>1</v>
      </c>
      <c r="L301">
        <v>2</v>
      </c>
      <c r="M301">
        <v>15</v>
      </c>
      <c r="AC301">
        <v>5</v>
      </c>
      <c r="AD301">
        <v>10</v>
      </c>
      <c r="AE301">
        <v>15</v>
      </c>
      <c r="AI301">
        <v>7.0000000000000009</v>
      </c>
      <c r="AJ301">
        <v>14</v>
      </c>
      <c r="AK301">
        <v>15</v>
      </c>
      <c r="AL301">
        <v>13.5</v>
      </c>
      <c r="AM301">
        <v>27</v>
      </c>
      <c r="AN301">
        <v>15</v>
      </c>
      <c r="AO301">
        <v>22</v>
      </c>
      <c r="AP301">
        <v>44</v>
      </c>
      <c r="AQ301">
        <v>15</v>
      </c>
    </row>
    <row r="302" spans="1:43" x14ac:dyDescent="0.35">
      <c r="A302" s="37" t="s">
        <v>11</v>
      </c>
      <c r="K302">
        <v>1</v>
      </c>
      <c r="L302">
        <v>2</v>
      </c>
      <c r="M302">
        <v>15</v>
      </c>
      <c r="AC302">
        <v>5</v>
      </c>
      <c r="AD302">
        <v>10</v>
      </c>
      <c r="AE302">
        <v>15</v>
      </c>
      <c r="AI302">
        <v>7.0000000000000009</v>
      </c>
      <c r="AJ302">
        <v>14</v>
      </c>
      <c r="AK302">
        <v>15</v>
      </c>
      <c r="AL302">
        <v>13.5</v>
      </c>
      <c r="AM302">
        <v>27</v>
      </c>
      <c r="AN302">
        <v>15</v>
      </c>
      <c r="AO302">
        <v>22</v>
      </c>
      <c r="AP302">
        <v>44</v>
      </c>
      <c r="AQ302">
        <v>15</v>
      </c>
    </row>
    <row r="303" spans="1:43" x14ac:dyDescent="0.35">
      <c r="A303" s="14">
        <v>4.4000000000000004</v>
      </c>
      <c r="K303">
        <v>4.5</v>
      </c>
      <c r="L303">
        <v>9</v>
      </c>
      <c r="M303">
        <v>15</v>
      </c>
      <c r="W303">
        <v>6</v>
      </c>
      <c r="X303">
        <v>12</v>
      </c>
      <c r="Y303">
        <v>15</v>
      </c>
      <c r="AC303">
        <v>6</v>
      </c>
      <c r="AD303">
        <v>12</v>
      </c>
      <c r="AE303">
        <v>15</v>
      </c>
      <c r="AI303">
        <v>8</v>
      </c>
      <c r="AJ303">
        <v>16</v>
      </c>
      <c r="AK303">
        <v>15</v>
      </c>
      <c r="AL303">
        <v>7.5</v>
      </c>
      <c r="AM303">
        <v>15</v>
      </c>
      <c r="AN303">
        <v>15</v>
      </c>
      <c r="AO303">
        <v>11</v>
      </c>
      <c r="AP303">
        <v>22</v>
      </c>
      <c r="AQ303">
        <v>15</v>
      </c>
    </row>
    <row r="304" spans="1:43" x14ac:dyDescent="0.35">
      <c r="A304" s="37" t="s">
        <v>11</v>
      </c>
      <c r="K304">
        <v>4.5</v>
      </c>
      <c r="L304">
        <v>9</v>
      </c>
      <c r="M304">
        <v>15</v>
      </c>
      <c r="W304">
        <v>6</v>
      </c>
      <c r="X304">
        <v>12</v>
      </c>
      <c r="Y304">
        <v>15</v>
      </c>
      <c r="AC304">
        <v>6</v>
      </c>
      <c r="AD304">
        <v>12</v>
      </c>
      <c r="AE304">
        <v>15</v>
      </c>
      <c r="AI304">
        <v>8</v>
      </c>
      <c r="AJ304">
        <v>16</v>
      </c>
      <c r="AK304">
        <v>15</v>
      </c>
      <c r="AL304">
        <v>7.5</v>
      </c>
      <c r="AM304">
        <v>15</v>
      </c>
      <c r="AN304">
        <v>15</v>
      </c>
      <c r="AO304">
        <v>11</v>
      </c>
      <c r="AP304">
        <v>22</v>
      </c>
      <c r="AQ304">
        <v>15</v>
      </c>
    </row>
    <row r="305" spans="1:43" x14ac:dyDescent="0.35">
      <c r="A305" s="14">
        <v>4.5</v>
      </c>
      <c r="K305">
        <v>2.5</v>
      </c>
      <c r="L305">
        <v>5</v>
      </c>
      <c r="M305">
        <v>15</v>
      </c>
      <c r="W305">
        <v>5.5</v>
      </c>
      <c r="X305">
        <v>11</v>
      </c>
      <c r="Y305">
        <v>15</v>
      </c>
      <c r="AC305">
        <v>7.5</v>
      </c>
      <c r="AD305">
        <v>15</v>
      </c>
      <c r="AE305">
        <v>15</v>
      </c>
      <c r="AI305">
        <v>10</v>
      </c>
      <c r="AJ305">
        <v>20</v>
      </c>
      <c r="AK305">
        <v>15</v>
      </c>
      <c r="AL305">
        <v>15</v>
      </c>
      <c r="AM305">
        <v>30</v>
      </c>
      <c r="AN305">
        <v>15</v>
      </c>
      <c r="AO305">
        <v>17</v>
      </c>
      <c r="AP305">
        <v>34</v>
      </c>
      <c r="AQ305">
        <v>15</v>
      </c>
    </row>
    <row r="306" spans="1:43" x14ac:dyDescent="0.35">
      <c r="A306" s="37" t="s">
        <v>11</v>
      </c>
      <c r="K306">
        <v>2.5</v>
      </c>
      <c r="L306">
        <v>5</v>
      </c>
      <c r="M306">
        <v>15</v>
      </c>
      <c r="W306">
        <v>5.5</v>
      </c>
      <c r="X306">
        <v>11</v>
      </c>
      <c r="Y306">
        <v>15</v>
      </c>
      <c r="AC306">
        <v>7.5</v>
      </c>
      <c r="AD306">
        <v>15</v>
      </c>
      <c r="AE306">
        <v>15</v>
      </c>
      <c r="AI306">
        <v>10</v>
      </c>
      <c r="AJ306">
        <v>20</v>
      </c>
      <c r="AK306">
        <v>15</v>
      </c>
      <c r="AL306">
        <v>15</v>
      </c>
      <c r="AM306">
        <v>30</v>
      </c>
      <c r="AN306">
        <v>15</v>
      </c>
      <c r="AO306">
        <v>17</v>
      </c>
      <c r="AP306">
        <v>34</v>
      </c>
      <c r="AQ306">
        <v>15</v>
      </c>
    </row>
    <row r="307" spans="1:43" x14ac:dyDescent="0.35">
      <c r="A307" s="14">
        <v>4.5999999999999996</v>
      </c>
      <c r="B307">
        <v>3</v>
      </c>
      <c r="C307">
        <v>6</v>
      </c>
      <c r="D307">
        <v>15</v>
      </c>
      <c r="K307">
        <v>2</v>
      </c>
      <c r="L307">
        <v>4</v>
      </c>
      <c r="M307">
        <v>15</v>
      </c>
      <c r="W307">
        <v>2.5</v>
      </c>
      <c r="X307">
        <v>5</v>
      </c>
      <c r="Y307">
        <v>15</v>
      </c>
      <c r="AC307">
        <v>2.5</v>
      </c>
      <c r="AD307">
        <v>5</v>
      </c>
      <c r="AE307">
        <v>15</v>
      </c>
      <c r="AI307">
        <v>1.5</v>
      </c>
      <c r="AJ307">
        <v>3</v>
      </c>
      <c r="AK307">
        <v>15</v>
      </c>
      <c r="AL307">
        <v>3</v>
      </c>
      <c r="AM307">
        <v>6</v>
      </c>
      <c r="AN307">
        <v>15</v>
      </c>
      <c r="AO307">
        <v>4.5</v>
      </c>
      <c r="AP307">
        <v>9</v>
      </c>
      <c r="AQ307">
        <v>15</v>
      </c>
    </row>
    <row r="308" spans="1:43" x14ac:dyDescent="0.35">
      <c r="A308" s="37" t="s">
        <v>11</v>
      </c>
      <c r="B308">
        <v>3</v>
      </c>
      <c r="C308">
        <v>6</v>
      </c>
      <c r="D308">
        <v>15</v>
      </c>
      <c r="K308">
        <v>2</v>
      </c>
      <c r="L308">
        <v>4</v>
      </c>
      <c r="M308">
        <v>15</v>
      </c>
      <c r="W308">
        <v>2.5</v>
      </c>
      <c r="X308">
        <v>5</v>
      </c>
      <c r="Y308">
        <v>15</v>
      </c>
      <c r="AC308">
        <v>2.5</v>
      </c>
      <c r="AD308">
        <v>5</v>
      </c>
      <c r="AE308">
        <v>15</v>
      </c>
      <c r="AI308">
        <v>1.5</v>
      </c>
      <c r="AJ308">
        <v>3</v>
      </c>
      <c r="AK308">
        <v>15</v>
      </c>
      <c r="AL308">
        <v>3</v>
      </c>
      <c r="AM308">
        <v>6</v>
      </c>
      <c r="AN308">
        <v>15</v>
      </c>
      <c r="AO308">
        <v>4.5</v>
      </c>
      <c r="AP308">
        <v>9</v>
      </c>
      <c r="AQ308">
        <v>15</v>
      </c>
    </row>
    <row r="309" spans="1:43" x14ac:dyDescent="0.35">
      <c r="A309" s="14">
        <v>4.7</v>
      </c>
      <c r="B309">
        <v>15.873015873015872</v>
      </c>
      <c r="C309">
        <v>30</v>
      </c>
      <c r="D309">
        <v>30</v>
      </c>
      <c r="K309">
        <v>12.698412698412696</v>
      </c>
      <c r="L309">
        <v>24</v>
      </c>
      <c r="M309">
        <v>30</v>
      </c>
      <c r="W309">
        <v>8</v>
      </c>
      <c r="X309">
        <v>16</v>
      </c>
      <c r="Y309">
        <v>15</v>
      </c>
      <c r="AC309">
        <v>7.5000000000000009</v>
      </c>
      <c r="AD309">
        <v>15</v>
      </c>
      <c r="AE309">
        <v>30</v>
      </c>
      <c r="AI309">
        <v>4</v>
      </c>
      <c r="AJ309">
        <v>8</v>
      </c>
      <c r="AK309">
        <v>15</v>
      </c>
      <c r="AL309">
        <v>13.227513227513228</v>
      </c>
      <c r="AM309">
        <v>25</v>
      </c>
      <c r="AN309">
        <v>30</v>
      </c>
      <c r="AO309">
        <v>15</v>
      </c>
      <c r="AP309">
        <v>30</v>
      </c>
      <c r="AQ309">
        <v>45</v>
      </c>
    </row>
    <row r="310" spans="1:43" x14ac:dyDescent="0.35">
      <c r="A310" s="37" t="s">
        <v>12</v>
      </c>
      <c r="B310">
        <v>2.6455026455026456</v>
      </c>
      <c r="C310">
        <v>5</v>
      </c>
      <c r="D310">
        <v>15</v>
      </c>
      <c r="K310">
        <v>3.7037037037037033</v>
      </c>
      <c r="L310">
        <v>7</v>
      </c>
      <c r="M310">
        <v>15</v>
      </c>
      <c r="AC310">
        <v>0.5</v>
      </c>
      <c r="AD310">
        <v>1</v>
      </c>
      <c r="AE310">
        <v>15</v>
      </c>
      <c r="AL310">
        <v>6.3492063492063489</v>
      </c>
      <c r="AM310">
        <v>12</v>
      </c>
      <c r="AN310">
        <v>15</v>
      </c>
      <c r="AO310">
        <v>3</v>
      </c>
      <c r="AP310">
        <v>6</v>
      </c>
      <c r="AQ310">
        <v>15</v>
      </c>
    </row>
    <row r="311" spans="1:43" x14ac:dyDescent="0.35">
      <c r="A311" s="37" t="s">
        <v>11</v>
      </c>
      <c r="B311">
        <v>13.227513227513226</v>
      </c>
      <c r="C311">
        <v>25</v>
      </c>
      <c r="D311">
        <v>15</v>
      </c>
      <c r="K311">
        <v>8.9947089947089935</v>
      </c>
      <c r="L311">
        <v>17</v>
      </c>
      <c r="M311">
        <v>15</v>
      </c>
      <c r="W311">
        <v>8</v>
      </c>
      <c r="X311">
        <v>16</v>
      </c>
      <c r="Y311">
        <v>15</v>
      </c>
      <c r="AC311">
        <v>7.0000000000000009</v>
      </c>
      <c r="AD311">
        <v>14</v>
      </c>
      <c r="AE311">
        <v>15</v>
      </c>
      <c r="AI311">
        <v>4</v>
      </c>
      <c r="AJ311">
        <v>8</v>
      </c>
      <c r="AK311">
        <v>15</v>
      </c>
      <c r="AL311">
        <v>6.8783068783068781</v>
      </c>
      <c r="AM311">
        <v>13</v>
      </c>
      <c r="AN311">
        <v>15</v>
      </c>
      <c r="AO311">
        <v>11.5</v>
      </c>
      <c r="AP311">
        <v>23</v>
      </c>
      <c r="AQ311">
        <v>15</v>
      </c>
    </row>
    <row r="312" spans="1:43" x14ac:dyDescent="0.35">
      <c r="A312" s="37" t="s">
        <v>139</v>
      </c>
      <c r="AO312">
        <v>0.5</v>
      </c>
      <c r="AP312">
        <v>1</v>
      </c>
      <c r="AQ312">
        <v>15</v>
      </c>
    </row>
    <row r="313" spans="1:43" x14ac:dyDescent="0.35">
      <c r="A313" s="14">
        <v>5.0999999999999996</v>
      </c>
      <c r="B313">
        <v>10.5</v>
      </c>
      <c r="C313">
        <v>21</v>
      </c>
      <c r="D313">
        <v>30</v>
      </c>
      <c r="K313">
        <v>16</v>
      </c>
      <c r="L313">
        <v>32</v>
      </c>
      <c r="M313">
        <v>30</v>
      </c>
      <c r="W313">
        <v>7.5</v>
      </c>
      <c r="X313">
        <v>15</v>
      </c>
      <c r="Y313">
        <v>30</v>
      </c>
      <c r="AC313">
        <v>10.5</v>
      </c>
      <c r="AD313">
        <v>21</v>
      </c>
      <c r="AE313">
        <v>30</v>
      </c>
      <c r="AI313">
        <v>2</v>
      </c>
      <c r="AJ313">
        <v>4</v>
      </c>
      <c r="AK313">
        <v>30</v>
      </c>
      <c r="AL313">
        <v>7.5</v>
      </c>
      <c r="AM313">
        <v>15</v>
      </c>
      <c r="AN313">
        <v>30</v>
      </c>
      <c r="AO313">
        <v>16.5</v>
      </c>
      <c r="AP313">
        <v>33</v>
      </c>
      <c r="AQ313">
        <v>30</v>
      </c>
    </row>
    <row r="314" spans="1:43" x14ac:dyDescent="0.35">
      <c r="A314" s="37" t="s">
        <v>12</v>
      </c>
      <c r="B314">
        <v>2</v>
      </c>
      <c r="C314">
        <v>4</v>
      </c>
      <c r="D314">
        <v>15</v>
      </c>
      <c r="K314">
        <v>5.5</v>
      </c>
      <c r="L314">
        <v>11</v>
      </c>
      <c r="M314">
        <v>15</v>
      </c>
      <c r="W314">
        <v>1</v>
      </c>
      <c r="X314">
        <v>2</v>
      </c>
      <c r="Y314">
        <v>15</v>
      </c>
      <c r="AC314">
        <v>2</v>
      </c>
      <c r="AD314">
        <v>4</v>
      </c>
      <c r="AE314">
        <v>15</v>
      </c>
      <c r="AI314">
        <v>0.5</v>
      </c>
      <c r="AJ314">
        <v>1</v>
      </c>
      <c r="AK314">
        <v>15</v>
      </c>
      <c r="AL314">
        <v>4.5</v>
      </c>
      <c r="AM314">
        <v>9</v>
      </c>
      <c r="AN314">
        <v>15</v>
      </c>
      <c r="AO314">
        <v>10</v>
      </c>
      <c r="AP314">
        <v>20</v>
      </c>
      <c r="AQ314">
        <v>15</v>
      </c>
    </row>
    <row r="315" spans="1:43" x14ac:dyDescent="0.35">
      <c r="A315" s="37" t="s">
        <v>11</v>
      </c>
      <c r="B315">
        <v>8.5</v>
      </c>
      <c r="C315">
        <v>17</v>
      </c>
      <c r="D315">
        <v>15</v>
      </c>
      <c r="K315">
        <v>10.5</v>
      </c>
      <c r="L315">
        <v>21</v>
      </c>
      <c r="M315">
        <v>15</v>
      </c>
      <c r="W315">
        <v>6.5</v>
      </c>
      <c r="X315">
        <v>13</v>
      </c>
      <c r="Y315">
        <v>15</v>
      </c>
      <c r="AC315">
        <v>8.5</v>
      </c>
      <c r="AD315">
        <v>17</v>
      </c>
      <c r="AE315">
        <v>15</v>
      </c>
      <c r="AI315">
        <v>1.5</v>
      </c>
      <c r="AJ315">
        <v>3</v>
      </c>
      <c r="AK315">
        <v>15</v>
      </c>
      <c r="AL315">
        <v>3</v>
      </c>
      <c r="AM315">
        <v>6</v>
      </c>
      <c r="AN315">
        <v>15</v>
      </c>
      <c r="AO315">
        <v>6.5</v>
      </c>
      <c r="AP315">
        <v>13</v>
      </c>
      <c r="AQ315">
        <v>15</v>
      </c>
    </row>
    <row r="316" spans="1:43" x14ac:dyDescent="0.35">
      <c r="A316" s="14">
        <v>5.2</v>
      </c>
      <c r="B316">
        <v>15</v>
      </c>
      <c r="C316">
        <v>30</v>
      </c>
      <c r="D316">
        <v>45</v>
      </c>
      <c r="K316">
        <v>16.5</v>
      </c>
      <c r="L316">
        <v>33</v>
      </c>
      <c r="M316">
        <v>45</v>
      </c>
      <c r="W316">
        <v>9.5</v>
      </c>
      <c r="X316">
        <v>19</v>
      </c>
      <c r="Y316">
        <v>30</v>
      </c>
      <c r="AC316">
        <v>5</v>
      </c>
      <c r="AD316">
        <v>10</v>
      </c>
      <c r="AE316">
        <v>45</v>
      </c>
      <c r="AI316">
        <v>9.5</v>
      </c>
      <c r="AJ316">
        <v>19</v>
      </c>
      <c r="AK316">
        <v>30</v>
      </c>
      <c r="AL316">
        <v>19</v>
      </c>
      <c r="AM316">
        <v>38</v>
      </c>
      <c r="AN316">
        <v>30</v>
      </c>
      <c r="AO316">
        <v>10.5</v>
      </c>
      <c r="AP316">
        <v>21</v>
      </c>
      <c r="AQ316">
        <v>45</v>
      </c>
    </row>
    <row r="317" spans="1:43" x14ac:dyDescent="0.35">
      <c r="A317" s="37" t="s">
        <v>12</v>
      </c>
      <c r="B317">
        <v>3</v>
      </c>
      <c r="C317">
        <v>6</v>
      </c>
      <c r="D317">
        <v>15</v>
      </c>
      <c r="K317">
        <v>3</v>
      </c>
      <c r="L317">
        <v>6</v>
      </c>
      <c r="M317">
        <v>15</v>
      </c>
      <c r="W317">
        <v>1.5</v>
      </c>
      <c r="X317">
        <v>3</v>
      </c>
      <c r="Y317">
        <v>15</v>
      </c>
      <c r="AC317">
        <v>0.5</v>
      </c>
      <c r="AD317">
        <v>1</v>
      </c>
      <c r="AE317">
        <v>15</v>
      </c>
      <c r="AO317">
        <v>0.5</v>
      </c>
      <c r="AP317">
        <v>1</v>
      </c>
      <c r="AQ317">
        <v>15</v>
      </c>
    </row>
    <row r="318" spans="1:43" x14ac:dyDescent="0.35">
      <c r="A318" s="37" t="s">
        <v>11</v>
      </c>
      <c r="B318">
        <v>4.5</v>
      </c>
      <c r="C318">
        <v>9</v>
      </c>
      <c r="D318">
        <v>15</v>
      </c>
      <c r="K318">
        <v>4.5</v>
      </c>
      <c r="L318">
        <v>9</v>
      </c>
      <c r="M318">
        <v>15</v>
      </c>
      <c r="W318">
        <v>8</v>
      </c>
      <c r="X318">
        <v>16</v>
      </c>
      <c r="Y318">
        <v>15</v>
      </c>
      <c r="AC318">
        <v>0.5</v>
      </c>
      <c r="AD318">
        <v>1</v>
      </c>
      <c r="AE318">
        <v>15</v>
      </c>
      <c r="AI318">
        <v>5.5</v>
      </c>
      <c r="AJ318">
        <v>11</v>
      </c>
      <c r="AK318">
        <v>15</v>
      </c>
      <c r="AL318">
        <v>14.000000000000002</v>
      </c>
      <c r="AM318">
        <v>28</v>
      </c>
      <c r="AN318">
        <v>15</v>
      </c>
      <c r="AO318">
        <v>9.5</v>
      </c>
      <c r="AP318">
        <v>19</v>
      </c>
      <c r="AQ318">
        <v>15</v>
      </c>
    </row>
    <row r="319" spans="1:43" x14ac:dyDescent="0.35">
      <c r="A319" s="37" t="s">
        <v>139</v>
      </c>
      <c r="AO319">
        <v>0.5</v>
      </c>
      <c r="AP319">
        <v>1</v>
      </c>
      <c r="AQ319">
        <v>15</v>
      </c>
    </row>
    <row r="320" spans="1:43" x14ac:dyDescent="0.35">
      <c r="A320" s="37" t="s">
        <v>170</v>
      </c>
      <c r="B320">
        <v>7.5</v>
      </c>
      <c r="C320">
        <v>15</v>
      </c>
      <c r="D320">
        <v>15</v>
      </c>
      <c r="K320">
        <v>9</v>
      </c>
      <c r="L320">
        <v>18</v>
      </c>
      <c r="M320">
        <v>15</v>
      </c>
      <c r="AC320">
        <v>4</v>
      </c>
      <c r="AD320">
        <v>8</v>
      </c>
      <c r="AE320">
        <v>15</v>
      </c>
      <c r="AI320">
        <v>4</v>
      </c>
      <c r="AJ320">
        <v>8</v>
      </c>
      <c r="AK320">
        <v>15</v>
      </c>
      <c r="AL320">
        <v>5</v>
      </c>
      <c r="AM320">
        <v>10</v>
      </c>
      <c r="AN320">
        <v>15</v>
      </c>
    </row>
    <row r="321" spans="1:43" x14ac:dyDescent="0.35">
      <c r="A321" s="14">
        <v>5.3</v>
      </c>
      <c r="B321">
        <v>1.5</v>
      </c>
      <c r="C321">
        <v>3</v>
      </c>
      <c r="D321">
        <v>15</v>
      </c>
      <c r="W321">
        <v>1.5</v>
      </c>
      <c r="X321">
        <v>3</v>
      </c>
      <c r="Y321">
        <v>15</v>
      </c>
      <c r="AC321">
        <v>6.5</v>
      </c>
      <c r="AD321">
        <v>13</v>
      </c>
      <c r="AE321">
        <v>15</v>
      </c>
      <c r="AI321">
        <v>7.5</v>
      </c>
      <c r="AJ321">
        <v>15</v>
      </c>
      <c r="AK321">
        <v>15</v>
      </c>
      <c r="AL321">
        <v>9</v>
      </c>
      <c r="AM321">
        <v>18</v>
      </c>
      <c r="AN321">
        <v>15</v>
      </c>
      <c r="AO321">
        <v>13</v>
      </c>
      <c r="AP321">
        <v>26</v>
      </c>
      <c r="AQ321">
        <v>15</v>
      </c>
    </row>
    <row r="322" spans="1:43" x14ac:dyDescent="0.35">
      <c r="A322" s="37" t="s">
        <v>11</v>
      </c>
      <c r="B322">
        <v>1.5</v>
      </c>
      <c r="C322">
        <v>3</v>
      </c>
      <c r="D322">
        <v>15</v>
      </c>
      <c r="W322">
        <v>1.5</v>
      </c>
      <c r="X322">
        <v>3</v>
      </c>
      <c r="Y322">
        <v>15</v>
      </c>
      <c r="AC322">
        <v>6.5</v>
      </c>
      <c r="AD322">
        <v>13</v>
      </c>
      <c r="AE322">
        <v>15</v>
      </c>
      <c r="AI322">
        <v>7.5</v>
      </c>
      <c r="AJ322">
        <v>15</v>
      </c>
      <c r="AK322">
        <v>15</v>
      </c>
      <c r="AL322">
        <v>9</v>
      </c>
      <c r="AM322">
        <v>18</v>
      </c>
      <c r="AN322">
        <v>15</v>
      </c>
      <c r="AO322">
        <v>13</v>
      </c>
      <c r="AP322">
        <v>26</v>
      </c>
      <c r="AQ322">
        <v>15</v>
      </c>
    </row>
    <row r="323" spans="1:43" x14ac:dyDescent="0.35">
      <c r="A323" s="14">
        <v>5.4</v>
      </c>
      <c r="B323">
        <v>0.5</v>
      </c>
      <c r="C323">
        <v>1</v>
      </c>
      <c r="D323">
        <v>15</v>
      </c>
      <c r="K323">
        <v>1.5</v>
      </c>
      <c r="L323">
        <v>3</v>
      </c>
      <c r="M323">
        <v>15</v>
      </c>
      <c r="W323">
        <v>4</v>
      </c>
      <c r="X323">
        <v>8</v>
      </c>
      <c r="Y323">
        <v>15</v>
      </c>
      <c r="AC323">
        <v>2.5</v>
      </c>
      <c r="AD323">
        <v>5</v>
      </c>
      <c r="AE323">
        <v>15</v>
      </c>
      <c r="AI323">
        <v>6.5</v>
      </c>
      <c r="AJ323">
        <v>13</v>
      </c>
      <c r="AK323">
        <v>15</v>
      </c>
      <c r="AL323">
        <v>8</v>
      </c>
      <c r="AM323">
        <v>16</v>
      </c>
      <c r="AN323">
        <v>15</v>
      </c>
      <c r="AO323">
        <v>11.5</v>
      </c>
      <c r="AP323">
        <v>23</v>
      </c>
      <c r="AQ323">
        <v>15</v>
      </c>
    </row>
    <row r="324" spans="1:43" x14ac:dyDescent="0.35">
      <c r="A324" s="37" t="s">
        <v>11</v>
      </c>
      <c r="B324">
        <v>0.5</v>
      </c>
      <c r="C324">
        <v>1</v>
      </c>
      <c r="D324">
        <v>15</v>
      </c>
      <c r="K324">
        <v>1.5</v>
      </c>
      <c r="L324">
        <v>3</v>
      </c>
      <c r="M324">
        <v>15</v>
      </c>
      <c r="W324">
        <v>4</v>
      </c>
      <c r="X324">
        <v>8</v>
      </c>
      <c r="Y324">
        <v>15</v>
      </c>
      <c r="AC324">
        <v>2.5</v>
      </c>
      <c r="AD324">
        <v>5</v>
      </c>
      <c r="AE324">
        <v>15</v>
      </c>
      <c r="AI324">
        <v>6.5</v>
      </c>
      <c r="AJ324">
        <v>13</v>
      </c>
      <c r="AK324">
        <v>15</v>
      </c>
      <c r="AL324">
        <v>8</v>
      </c>
      <c r="AM324">
        <v>16</v>
      </c>
      <c r="AN324">
        <v>15</v>
      </c>
      <c r="AO324">
        <v>11.5</v>
      </c>
      <c r="AP324">
        <v>23</v>
      </c>
      <c r="AQ324">
        <v>15</v>
      </c>
    </row>
    <row r="325" spans="1:43" x14ac:dyDescent="0.35">
      <c r="A325" s="14">
        <v>5.5</v>
      </c>
      <c r="B325">
        <v>4.5</v>
      </c>
      <c r="C325">
        <v>9</v>
      </c>
      <c r="D325">
        <v>15</v>
      </c>
      <c r="K325">
        <v>4</v>
      </c>
      <c r="L325">
        <v>8</v>
      </c>
      <c r="M325">
        <v>15</v>
      </c>
      <c r="W325">
        <v>2.5</v>
      </c>
      <c r="X325">
        <v>5</v>
      </c>
      <c r="Y325">
        <v>15</v>
      </c>
      <c r="AC325">
        <v>2.5</v>
      </c>
      <c r="AD325">
        <v>5</v>
      </c>
      <c r="AE325">
        <v>15</v>
      </c>
      <c r="AI325">
        <v>1.5</v>
      </c>
      <c r="AJ325">
        <v>3</v>
      </c>
      <c r="AK325">
        <v>15</v>
      </c>
      <c r="AL325">
        <v>3.5000000000000004</v>
      </c>
      <c r="AM325">
        <v>7</v>
      </c>
      <c r="AN325">
        <v>15</v>
      </c>
      <c r="AO325">
        <v>9.5</v>
      </c>
      <c r="AP325">
        <v>19</v>
      </c>
      <c r="AQ325">
        <v>15</v>
      </c>
    </row>
    <row r="326" spans="1:43" x14ac:dyDescent="0.35">
      <c r="A326" s="37" t="s">
        <v>11</v>
      </c>
      <c r="B326">
        <v>4.5</v>
      </c>
      <c r="C326">
        <v>9</v>
      </c>
      <c r="D326">
        <v>15</v>
      </c>
      <c r="K326">
        <v>4</v>
      </c>
      <c r="L326">
        <v>8</v>
      </c>
      <c r="M326">
        <v>15</v>
      </c>
      <c r="W326">
        <v>2.5</v>
      </c>
      <c r="X326">
        <v>5</v>
      </c>
      <c r="Y326">
        <v>15</v>
      </c>
      <c r="AC326">
        <v>2.5</v>
      </c>
      <c r="AD326">
        <v>5</v>
      </c>
      <c r="AE326">
        <v>15</v>
      </c>
      <c r="AI326">
        <v>1.5</v>
      </c>
      <c r="AJ326">
        <v>3</v>
      </c>
      <c r="AK326">
        <v>15</v>
      </c>
      <c r="AL326">
        <v>3.5000000000000004</v>
      </c>
      <c r="AM326">
        <v>7</v>
      </c>
      <c r="AN326">
        <v>15</v>
      </c>
      <c r="AO326">
        <v>9.5</v>
      </c>
      <c r="AP326">
        <v>19</v>
      </c>
      <c r="AQ326">
        <v>15</v>
      </c>
    </row>
    <row r="327" spans="1:43" x14ac:dyDescent="0.35">
      <c r="A327" s="14">
        <v>5.6</v>
      </c>
      <c r="B327">
        <v>0.5</v>
      </c>
      <c r="C327">
        <v>1</v>
      </c>
      <c r="D327">
        <v>15</v>
      </c>
      <c r="W327">
        <v>1.5</v>
      </c>
      <c r="X327">
        <v>3</v>
      </c>
      <c r="Y327">
        <v>15</v>
      </c>
      <c r="AC327">
        <v>5</v>
      </c>
      <c r="AD327">
        <v>10</v>
      </c>
      <c r="AE327">
        <v>15</v>
      </c>
      <c r="AI327">
        <v>5</v>
      </c>
      <c r="AJ327">
        <v>10</v>
      </c>
      <c r="AK327">
        <v>15</v>
      </c>
      <c r="AL327">
        <v>10</v>
      </c>
      <c r="AM327">
        <v>20</v>
      </c>
      <c r="AN327">
        <v>15</v>
      </c>
      <c r="AO327">
        <v>24</v>
      </c>
      <c r="AP327">
        <v>48</v>
      </c>
      <c r="AQ327">
        <v>15</v>
      </c>
    </row>
    <row r="328" spans="1:43" x14ac:dyDescent="0.35">
      <c r="A328" s="37" t="s">
        <v>11</v>
      </c>
      <c r="B328">
        <v>0.5</v>
      </c>
      <c r="C328">
        <v>1</v>
      </c>
      <c r="D328">
        <v>15</v>
      </c>
      <c r="W328">
        <v>1.5</v>
      </c>
      <c r="X328">
        <v>3</v>
      </c>
      <c r="Y328">
        <v>15</v>
      </c>
      <c r="AC328">
        <v>5</v>
      </c>
      <c r="AD328">
        <v>10</v>
      </c>
      <c r="AE328">
        <v>15</v>
      </c>
      <c r="AI328">
        <v>5</v>
      </c>
      <c r="AJ328">
        <v>10</v>
      </c>
      <c r="AK328">
        <v>15</v>
      </c>
      <c r="AL328">
        <v>10</v>
      </c>
      <c r="AM328">
        <v>20</v>
      </c>
      <c r="AN328">
        <v>15</v>
      </c>
      <c r="AO328">
        <v>24</v>
      </c>
      <c r="AP328">
        <v>48</v>
      </c>
      <c r="AQ328">
        <v>15</v>
      </c>
    </row>
    <row r="329" spans="1:43" x14ac:dyDescent="0.35">
      <c r="A329" s="14">
        <v>6.1</v>
      </c>
      <c r="B329">
        <v>2</v>
      </c>
      <c r="C329">
        <v>4</v>
      </c>
      <c r="D329">
        <v>15</v>
      </c>
      <c r="K329">
        <v>3</v>
      </c>
      <c r="L329">
        <v>6</v>
      </c>
      <c r="M329">
        <v>15</v>
      </c>
      <c r="W329">
        <v>5</v>
      </c>
      <c r="X329">
        <v>10</v>
      </c>
      <c r="Y329">
        <v>15</v>
      </c>
      <c r="AC329">
        <v>3.5000000000000004</v>
      </c>
      <c r="AD329">
        <v>7</v>
      </c>
      <c r="AE329">
        <v>15</v>
      </c>
      <c r="AI329">
        <v>2</v>
      </c>
      <c r="AJ329">
        <v>4</v>
      </c>
      <c r="AK329">
        <v>15</v>
      </c>
      <c r="AL329">
        <v>3.5000000000000004</v>
      </c>
      <c r="AM329">
        <v>7</v>
      </c>
      <c r="AN329">
        <v>15</v>
      </c>
      <c r="AO329">
        <v>7.0000000000000009</v>
      </c>
      <c r="AP329">
        <v>14</v>
      </c>
      <c r="AQ329">
        <v>15</v>
      </c>
    </row>
    <row r="330" spans="1:43" x14ac:dyDescent="0.35">
      <c r="A330" s="37" t="s">
        <v>11</v>
      </c>
      <c r="B330">
        <v>2</v>
      </c>
      <c r="C330">
        <v>4</v>
      </c>
      <c r="D330">
        <v>15</v>
      </c>
      <c r="K330">
        <v>3</v>
      </c>
      <c r="L330">
        <v>6</v>
      </c>
      <c r="M330">
        <v>15</v>
      </c>
      <c r="W330">
        <v>5</v>
      </c>
      <c r="X330">
        <v>10</v>
      </c>
      <c r="Y330">
        <v>15</v>
      </c>
      <c r="AC330">
        <v>3.5000000000000004</v>
      </c>
      <c r="AD330">
        <v>7</v>
      </c>
      <c r="AE330">
        <v>15</v>
      </c>
      <c r="AI330">
        <v>2</v>
      </c>
      <c r="AJ330">
        <v>4</v>
      </c>
      <c r="AK330">
        <v>15</v>
      </c>
      <c r="AL330">
        <v>3.5000000000000004</v>
      </c>
      <c r="AM330">
        <v>7</v>
      </c>
      <c r="AN330">
        <v>15</v>
      </c>
      <c r="AO330">
        <v>7.0000000000000009</v>
      </c>
      <c r="AP330">
        <v>14</v>
      </c>
      <c r="AQ330">
        <v>15</v>
      </c>
    </row>
    <row r="331" spans="1:43" x14ac:dyDescent="0.35">
      <c r="A331" s="14">
        <v>6.2</v>
      </c>
      <c r="B331">
        <v>4.5</v>
      </c>
      <c r="C331">
        <v>9</v>
      </c>
      <c r="D331">
        <v>15</v>
      </c>
      <c r="K331">
        <v>5.5</v>
      </c>
      <c r="L331">
        <v>11</v>
      </c>
      <c r="M331">
        <v>15</v>
      </c>
      <c r="W331">
        <v>14.000000000000002</v>
      </c>
      <c r="X331">
        <v>28</v>
      </c>
      <c r="Y331">
        <v>15</v>
      </c>
      <c r="AC331">
        <v>3.535353535353535</v>
      </c>
      <c r="AD331">
        <v>7</v>
      </c>
      <c r="AE331">
        <v>15</v>
      </c>
      <c r="AI331">
        <v>5</v>
      </c>
      <c r="AJ331">
        <v>10</v>
      </c>
      <c r="AK331">
        <v>15</v>
      </c>
      <c r="AL331">
        <v>8.5</v>
      </c>
      <c r="AM331">
        <v>17</v>
      </c>
      <c r="AN331">
        <v>15</v>
      </c>
      <c r="AO331">
        <v>21</v>
      </c>
      <c r="AP331">
        <v>42</v>
      </c>
      <c r="AQ331">
        <v>15</v>
      </c>
    </row>
    <row r="332" spans="1:43" x14ac:dyDescent="0.35">
      <c r="A332" s="37" t="s">
        <v>11</v>
      </c>
      <c r="B332">
        <v>4.5</v>
      </c>
      <c r="C332">
        <v>9</v>
      </c>
      <c r="D332">
        <v>15</v>
      </c>
      <c r="K332">
        <v>5.5</v>
      </c>
      <c r="L332">
        <v>11</v>
      </c>
      <c r="M332">
        <v>15</v>
      </c>
      <c r="W332">
        <v>14.000000000000002</v>
      </c>
      <c r="X332">
        <v>28</v>
      </c>
      <c r="Y332">
        <v>15</v>
      </c>
      <c r="AC332">
        <v>3.535353535353535</v>
      </c>
      <c r="AD332">
        <v>7</v>
      </c>
      <c r="AE332">
        <v>15</v>
      </c>
      <c r="AI332">
        <v>5</v>
      </c>
      <c r="AJ332">
        <v>10</v>
      </c>
      <c r="AK332">
        <v>15</v>
      </c>
      <c r="AL332">
        <v>8.5</v>
      </c>
      <c r="AM332">
        <v>17</v>
      </c>
      <c r="AN332">
        <v>15</v>
      </c>
      <c r="AO332">
        <v>21</v>
      </c>
      <c r="AP332">
        <v>42</v>
      </c>
      <c r="AQ332">
        <v>15</v>
      </c>
    </row>
    <row r="333" spans="1:43" x14ac:dyDescent="0.35">
      <c r="A333" s="14">
        <v>6.3</v>
      </c>
      <c r="B333">
        <v>2</v>
      </c>
      <c r="C333">
        <v>4</v>
      </c>
      <c r="D333">
        <v>15</v>
      </c>
      <c r="K333">
        <v>2.5</v>
      </c>
      <c r="L333">
        <v>5</v>
      </c>
      <c r="M333">
        <v>15</v>
      </c>
      <c r="W333">
        <v>4</v>
      </c>
      <c r="X333">
        <v>8</v>
      </c>
      <c r="Y333">
        <v>15</v>
      </c>
      <c r="AC333">
        <v>5.5</v>
      </c>
      <c r="AD333">
        <v>11</v>
      </c>
      <c r="AE333">
        <v>15</v>
      </c>
      <c r="AI333">
        <v>5</v>
      </c>
      <c r="AJ333">
        <v>10</v>
      </c>
      <c r="AK333">
        <v>15</v>
      </c>
      <c r="AL333">
        <v>9.5</v>
      </c>
      <c r="AM333">
        <v>19</v>
      </c>
      <c r="AN333">
        <v>15</v>
      </c>
      <c r="AO333">
        <v>16</v>
      </c>
      <c r="AP333">
        <v>32</v>
      </c>
      <c r="AQ333">
        <v>15</v>
      </c>
    </row>
    <row r="334" spans="1:43" x14ac:dyDescent="0.35">
      <c r="A334" s="37" t="s">
        <v>11</v>
      </c>
      <c r="B334">
        <v>2</v>
      </c>
      <c r="C334">
        <v>4</v>
      </c>
      <c r="D334">
        <v>15</v>
      </c>
      <c r="K334">
        <v>2.5</v>
      </c>
      <c r="L334">
        <v>5</v>
      </c>
      <c r="M334">
        <v>15</v>
      </c>
      <c r="W334">
        <v>4</v>
      </c>
      <c r="X334">
        <v>8</v>
      </c>
      <c r="Y334">
        <v>15</v>
      </c>
      <c r="AC334">
        <v>5.5</v>
      </c>
      <c r="AD334">
        <v>11</v>
      </c>
      <c r="AE334">
        <v>15</v>
      </c>
      <c r="AI334">
        <v>5</v>
      </c>
      <c r="AJ334">
        <v>10</v>
      </c>
      <c r="AK334">
        <v>15</v>
      </c>
      <c r="AL334">
        <v>9.5</v>
      </c>
      <c r="AM334">
        <v>19</v>
      </c>
      <c r="AN334">
        <v>15</v>
      </c>
      <c r="AO334">
        <v>16</v>
      </c>
      <c r="AP334">
        <v>32</v>
      </c>
      <c r="AQ334">
        <v>15</v>
      </c>
    </row>
    <row r="335" spans="1:43" x14ac:dyDescent="0.35">
      <c r="A335" s="14">
        <v>6.4</v>
      </c>
      <c r="B335">
        <v>0.5</v>
      </c>
      <c r="C335">
        <v>1</v>
      </c>
      <c r="D335">
        <v>15</v>
      </c>
      <c r="W335">
        <v>3</v>
      </c>
      <c r="X335">
        <v>6</v>
      </c>
      <c r="Y335">
        <v>15</v>
      </c>
      <c r="AC335">
        <v>2</v>
      </c>
      <c r="AD335">
        <v>4</v>
      </c>
      <c r="AE335">
        <v>15</v>
      </c>
      <c r="AI335">
        <v>2.5</v>
      </c>
      <c r="AJ335">
        <v>5</v>
      </c>
      <c r="AK335">
        <v>15</v>
      </c>
      <c r="AL335">
        <v>6</v>
      </c>
      <c r="AM335">
        <v>12</v>
      </c>
      <c r="AN335">
        <v>15</v>
      </c>
      <c r="AO335">
        <v>9.5</v>
      </c>
      <c r="AP335">
        <v>19</v>
      </c>
      <c r="AQ335">
        <v>15</v>
      </c>
    </row>
    <row r="336" spans="1:43" x14ac:dyDescent="0.35">
      <c r="A336" s="37" t="s">
        <v>11</v>
      </c>
      <c r="B336">
        <v>0.5</v>
      </c>
      <c r="C336">
        <v>1</v>
      </c>
      <c r="D336">
        <v>15</v>
      </c>
      <c r="W336">
        <v>3</v>
      </c>
      <c r="X336">
        <v>6</v>
      </c>
      <c r="Y336">
        <v>15</v>
      </c>
      <c r="AC336">
        <v>2</v>
      </c>
      <c r="AD336">
        <v>4</v>
      </c>
      <c r="AE336">
        <v>15</v>
      </c>
      <c r="AI336">
        <v>2.5</v>
      </c>
      <c r="AJ336">
        <v>5</v>
      </c>
      <c r="AK336">
        <v>15</v>
      </c>
      <c r="AL336">
        <v>6</v>
      </c>
      <c r="AM336">
        <v>12</v>
      </c>
      <c r="AN336">
        <v>15</v>
      </c>
      <c r="AO336">
        <v>9.5</v>
      </c>
      <c r="AP336">
        <v>19</v>
      </c>
      <c r="AQ336">
        <v>15</v>
      </c>
    </row>
    <row r="337" spans="1:43" x14ac:dyDescent="0.35">
      <c r="A337" s="14">
        <v>6.5</v>
      </c>
      <c r="AI337">
        <v>0.5</v>
      </c>
      <c r="AJ337">
        <v>1</v>
      </c>
      <c r="AK337">
        <v>15</v>
      </c>
      <c r="AL337">
        <v>1.5</v>
      </c>
      <c r="AM337">
        <v>3</v>
      </c>
      <c r="AN337">
        <v>15</v>
      </c>
      <c r="AO337">
        <v>3</v>
      </c>
      <c r="AP337">
        <v>6</v>
      </c>
      <c r="AQ337">
        <v>15</v>
      </c>
    </row>
    <row r="338" spans="1:43" x14ac:dyDescent="0.35">
      <c r="A338" s="37" t="s">
        <v>11</v>
      </c>
      <c r="AI338">
        <v>0.5</v>
      </c>
      <c r="AJ338">
        <v>1</v>
      </c>
      <c r="AK338">
        <v>15</v>
      </c>
      <c r="AL338">
        <v>1.5</v>
      </c>
      <c r="AM338">
        <v>3</v>
      </c>
      <c r="AN338">
        <v>15</v>
      </c>
      <c r="AO338">
        <v>3</v>
      </c>
      <c r="AP338">
        <v>6</v>
      </c>
      <c r="AQ338">
        <v>15</v>
      </c>
    </row>
    <row r="339" spans="1:43" x14ac:dyDescent="0.35">
      <c r="A339" s="14">
        <v>7.1</v>
      </c>
      <c r="B339">
        <v>6</v>
      </c>
      <c r="C339">
        <v>12</v>
      </c>
      <c r="D339">
        <v>45</v>
      </c>
      <c r="K339">
        <v>7.5</v>
      </c>
      <c r="L339">
        <v>15</v>
      </c>
      <c r="M339">
        <v>45</v>
      </c>
      <c r="W339">
        <v>2.5</v>
      </c>
      <c r="X339">
        <v>5</v>
      </c>
      <c r="Y339">
        <v>15</v>
      </c>
      <c r="AC339">
        <v>3</v>
      </c>
      <c r="AD339">
        <v>6</v>
      </c>
      <c r="AE339">
        <v>30</v>
      </c>
      <c r="AI339">
        <v>2</v>
      </c>
      <c r="AJ339">
        <v>4</v>
      </c>
      <c r="AK339">
        <v>15</v>
      </c>
      <c r="AL339">
        <v>1</v>
      </c>
      <c r="AM339">
        <v>2</v>
      </c>
      <c r="AN339">
        <v>15</v>
      </c>
      <c r="AO339">
        <v>2.5</v>
      </c>
      <c r="AP339">
        <v>5</v>
      </c>
      <c r="AQ339">
        <v>30</v>
      </c>
    </row>
    <row r="340" spans="1:43" x14ac:dyDescent="0.35">
      <c r="A340" s="37" t="s">
        <v>12</v>
      </c>
      <c r="B340">
        <v>4.5</v>
      </c>
      <c r="C340">
        <v>9</v>
      </c>
      <c r="D340">
        <v>15</v>
      </c>
      <c r="K340">
        <v>5.5</v>
      </c>
      <c r="L340">
        <v>11</v>
      </c>
      <c r="M340">
        <v>15</v>
      </c>
      <c r="AC340">
        <v>2</v>
      </c>
      <c r="AD340">
        <v>4</v>
      </c>
      <c r="AE340">
        <v>15</v>
      </c>
      <c r="AI340">
        <v>2</v>
      </c>
      <c r="AJ340">
        <v>4</v>
      </c>
      <c r="AK340">
        <v>15</v>
      </c>
      <c r="AL340">
        <v>1</v>
      </c>
      <c r="AM340">
        <v>2</v>
      </c>
      <c r="AN340">
        <v>15</v>
      </c>
      <c r="AO340">
        <v>1.5</v>
      </c>
      <c r="AP340">
        <v>3</v>
      </c>
      <c r="AQ340">
        <v>15</v>
      </c>
    </row>
    <row r="341" spans="1:43" x14ac:dyDescent="0.35">
      <c r="A341" s="37" t="s">
        <v>11</v>
      </c>
      <c r="B341">
        <v>0.5</v>
      </c>
      <c r="C341">
        <v>1</v>
      </c>
      <c r="D341">
        <v>15</v>
      </c>
      <c r="K341">
        <v>0.5</v>
      </c>
      <c r="L341">
        <v>1</v>
      </c>
      <c r="M341">
        <v>15</v>
      </c>
      <c r="W341">
        <v>2.5</v>
      </c>
      <c r="X341">
        <v>5</v>
      </c>
      <c r="Y341">
        <v>15</v>
      </c>
      <c r="AC341">
        <v>1</v>
      </c>
      <c r="AD341">
        <v>2</v>
      </c>
      <c r="AE341">
        <v>15</v>
      </c>
      <c r="AO341">
        <v>1</v>
      </c>
      <c r="AP341">
        <v>2</v>
      </c>
      <c r="AQ341">
        <v>15</v>
      </c>
    </row>
    <row r="342" spans="1:43" x14ac:dyDescent="0.35">
      <c r="A342" s="37" t="s">
        <v>170</v>
      </c>
      <c r="B342">
        <v>1</v>
      </c>
      <c r="C342">
        <v>2</v>
      </c>
      <c r="D342">
        <v>15</v>
      </c>
      <c r="K342">
        <v>1.5</v>
      </c>
      <c r="L342">
        <v>3</v>
      </c>
      <c r="M342">
        <v>15</v>
      </c>
    </row>
    <row r="343" spans="1:43" x14ac:dyDescent="0.35">
      <c r="A343" s="14">
        <v>7.2</v>
      </c>
      <c r="B343">
        <v>2.5</v>
      </c>
      <c r="C343">
        <v>5</v>
      </c>
      <c r="D343">
        <v>15</v>
      </c>
      <c r="K343">
        <v>2</v>
      </c>
      <c r="L343">
        <v>4</v>
      </c>
      <c r="M343">
        <v>15</v>
      </c>
      <c r="W343">
        <v>2.5</v>
      </c>
      <c r="X343">
        <v>5</v>
      </c>
      <c r="Y343">
        <v>15</v>
      </c>
      <c r="AI343">
        <v>2</v>
      </c>
      <c r="AJ343">
        <v>4</v>
      </c>
      <c r="AK343">
        <v>15</v>
      </c>
      <c r="AL343">
        <v>6</v>
      </c>
      <c r="AM343">
        <v>12</v>
      </c>
      <c r="AN343">
        <v>15</v>
      </c>
      <c r="AO343">
        <v>8</v>
      </c>
      <c r="AP343">
        <v>16</v>
      </c>
      <c r="AQ343">
        <v>15</v>
      </c>
    </row>
    <row r="344" spans="1:43" x14ac:dyDescent="0.35">
      <c r="A344" s="37" t="s">
        <v>11</v>
      </c>
      <c r="W344">
        <v>2.5</v>
      </c>
      <c r="X344">
        <v>5</v>
      </c>
      <c r="Y344">
        <v>15</v>
      </c>
      <c r="AI344">
        <v>2</v>
      </c>
      <c r="AJ344">
        <v>4</v>
      </c>
      <c r="AK344">
        <v>15</v>
      </c>
      <c r="AL344">
        <v>6</v>
      </c>
      <c r="AM344">
        <v>12</v>
      </c>
      <c r="AN344">
        <v>15</v>
      </c>
      <c r="AO344">
        <v>8</v>
      </c>
      <c r="AP344">
        <v>16</v>
      </c>
      <c r="AQ344">
        <v>15</v>
      </c>
    </row>
    <row r="345" spans="1:43" x14ac:dyDescent="0.35">
      <c r="A345" s="37" t="s">
        <v>170</v>
      </c>
      <c r="B345">
        <v>2.5</v>
      </c>
      <c r="C345">
        <v>5</v>
      </c>
      <c r="D345">
        <v>15</v>
      </c>
      <c r="K345">
        <v>2</v>
      </c>
      <c r="L345">
        <v>4</v>
      </c>
      <c r="M345">
        <v>15</v>
      </c>
    </row>
    <row r="346" spans="1:43" x14ac:dyDescent="0.35">
      <c r="A346" s="14">
        <v>7.3</v>
      </c>
      <c r="B346">
        <v>7</v>
      </c>
      <c r="C346">
        <v>14</v>
      </c>
      <c r="D346">
        <v>30</v>
      </c>
      <c r="K346">
        <v>2.5</v>
      </c>
      <c r="L346">
        <v>5</v>
      </c>
      <c r="M346">
        <v>30</v>
      </c>
      <c r="W346">
        <v>7.5</v>
      </c>
      <c r="X346">
        <v>15</v>
      </c>
      <c r="Y346">
        <v>30</v>
      </c>
      <c r="AC346">
        <v>9.5</v>
      </c>
      <c r="AD346">
        <v>19</v>
      </c>
      <c r="AE346">
        <v>30</v>
      </c>
      <c r="AI346">
        <v>9</v>
      </c>
      <c r="AJ346">
        <v>18</v>
      </c>
      <c r="AK346">
        <v>30</v>
      </c>
      <c r="AL346">
        <v>9</v>
      </c>
      <c r="AM346">
        <v>18</v>
      </c>
      <c r="AN346">
        <v>15</v>
      </c>
      <c r="AO346">
        <v>22.5</v>
      </c>
      <c r="AP346">
        <v>45</v>
      </c>
      <c r="AQ346">
        <v>15</v>
      </c>
    </row>
    <row r="347" spans="1:43" x14ac:dyDescent="0.35">
      <c r="A347" s="37" t="s">
        <v>11</v>
      </c>
      <c r="B347">
        <v>2</v>
      </c>
      <c r="C347">
        <v>4</v>
      </c>
      <c r="D347">
        <v>15</v>
      </c>
      <c r="K347">
        <v>2</v>
      </c>
      <c r="L347">
        <v>4</v>
      </c>
      <c r="M347">
        <v>15</v>
      </c>
      <c r="W347">
        <v>6.5</v>
      </c>
      <c r="X347">
        <v>13</v>
      </c>
      <c r="Y347">
        <v>15</v>
      </c>
      <c r="AC347">
        <v>7.5</v>
      </c>
      <c r="AD347">
        <v>15</v>
      </c>
      <c r="AE347">
        <v>15</v>
      </c>
      <c r="AI347">
        <v>8</v>
      </c>
      <c r="AJ347">
        <v>16</v>
      </c>
      <c r="AK347">
        <v>15</v>
      </c>
      <c r="AL347">
        <v>9</v>
      </c>
      <c r="AM347">
        <v>18</v>
      </c>
      <c r="AN347">
        <v>15</v>
      </c>
      <c r="AO347">
        <v>22.5</v>
      </c>
      <c r="AP347">
        <v>45</v>
      </c>
      <c r="AQ347">
        <v>15</v>
      </c>
    </row>
    <row r="348" spans="1:43" x14ac:dyDescent="0.35">
      <c r="A348" s="37" t="s">
        <v>170</v>
      </c>
      <c r="B348">
        <v>5</v>
      </c>
      <c r="C348">
        <v>10</v>
      </c>
      <c r="D348">
        <v>15</v>
      </c>
      <c r="K348">
        <v>0.5</v>
      </c>
      <c r="L348">
        <v>1</v>
      </c>
      <c r="M348">
        <v>15</v>
      </c>
      <c r="W348">
        <v>1</v>
      </c>
      <c r="X348">
        <v>2</v>
      </c>
      <c r="Y348">
        <v>15</v>
      </c>
      <c r="AC348">
        <v>2</v>
      </c>
      <c r="AD348">
        <v>4</v>
      </c>
      <c r="AE348">
        <v>15</v>
      </c>
      <c r="AI348">
        <v>1</v>
      </c>
      <c r="AJ348">
        <v>2</v>
      </c>
      <c r="AK348">
        <v>15</v>
      </c>
    </row>
    <row r="349" spans="1:43" x14ac:dyDescent="0.35">
      <c r="A349" s="14">
        <v>7.4</v>
      </c>
      <c r="B349">
        <v>12</v>
      </c>
      <c r="C349">
        <v>24</v>
      </c>
      <c r="D349">
        <v>15</v>
      </c>
      <c r="K349">
        <v>12.5</v>
      </c>
      <c r="L349">
        <v>25</v>
      </c>
      <c r="M349">
        <v>15</v>
      </c>
      <c r="W349">
        <v>13.5</v>
      </c>
      <c r="X349">
        <v>27</v>
      </c>
      <c r="Y349">
        <v>15</v>
      </c>
      <c r="AC349">
        <v>24.5</v>
      </c>
      <c r="AD349">
        <v>49</v>
      </c>
      <c r="AE349">
        <v>15</v>
      </c>
      <c r="AI349">
        <v>5.5</v>
      </c>
      <c r="AJ349">
        <v>11</v>
      </c>
      <c r="AK349">
        <v>15</v>
      </c>
      <c r="AL349">
        <v>15</v>
      </c>
      <c r="AM349">
        <v>30</v>
      </c>
      <c r="AN349">
        <v>15</v>
      </c>
      <c r="AO349">
        <v>35</v>
      </c>
      <c r="AP349">
        <v>70</v>
      </c>
      <c r="AQ349">
        <v>15</v>
      </c>
    </row>
    <row r="350" spans="1:43" x14ac:dyDescent="0.35">
      <c r="A350" s="37" t="s">
        <v>11</v>
      </c>
      <c r="B350">
        <v>12</v>
      </c>
      <c r="C350">
        <v>24</v>
      </c>
      <c r="D350">
        <v>15</v>
      </c>
      <c r="K350">
        <v>12.5</v>
      </c>
      <c r="L350">
        <v>25</v>
      </c>
      <c r="M350">
        <v>15</v>
      </c>
      <c r="W350">
        <v>13.5</v>
      </c>
      <c r="X350">
        <v>27</v>
      </c>
      <c r="Y350">
        <v>15</v>
      </c>
      <c r="AC350">
        <v>24.5</v>
      </c>
      <c r="AD350">
        <v>49</v>
      </c>
      <c r="AE350">
        <v>15</v>
      </c>
      <c r="AI350">
        <v>5.5</v>
      </c>
      <c r="AJ350">
        <v>11</v>
      </c>
      <c r="AK350">
        <v>15</v>
      </c>
      <c r="AL350">
        <v>15</v>
      </c>
      <c r="AM350">
        <v>30</v>
      </c>
      <c r="AN350">
        <v>15</v>
      </c>
      <c r="AO350">
        <v>35</v>
      </c>
      <c r="AP350">
        <v>70</v>
      </c>
      <c r="AQ350">
        <v>15</v>
      </c>
    </row>
    <row r="351" spans="1:43" x14ac:dyDescent="0.35">
      <c r="A351" s="1" t="s">
        <v>24</v>
      </c>
      <c r="B351">
        <v>60.892916026434911</v>
      </c>
      <c r="C351">
        <v>56</v>
      </c>
      <c r="D351">
        <v>782</v>
      </c>
      <c r="H351">
        <v>128.65128345163325</v>
      </c>
      <c r="I351">
        <v>128</v>
      </c>
      <c r="J351">
        <v>782</v>
      </c>
      <c r="Q351">
        <v>71.054327534794368</v>
      </c>
      <c r="R351">
        <v>87</v>
      </c>
      <c r="S351">
        <v>782</v>
      </c>
      <c r="Z351">
        <v>324.14015761759282</v>
      </c>
      <c r="AA351">
        <v>317</v>
      </c>
      <c r="AB351">
        <v>1122</v>
      </c>
    </row>
    <row r="352" spans="1:43" x14ac:dyDescent="0.35">
      <c r="A352" s="14">
        <v>1.1000000000000001</v>
      </c>
      <c r="B352">
        <v>6.9444444444444446</v>
      </c>
      <c r="C352">
        <v>10</v>
      </c>
      <c r="D352">
        <v>102</v>
      </c>
      <c r="H352">
        <v>11.111111111111111</v>
      </c>
      <c r="I352">
        <v>16</v>
      </c>
      <c r="J352">
        <v>68</v>
      </c>
      <c r="Q352">
        <v>2.083333333333333</v>
      </c>
      <c r="R352">
        <v>3</v>
      </c>
      <c r="S352">
        <v>68</v>
      </c>
      <c r="Z352">
        <v>24.64788732394366</v>
      </c>
      <c r="AA352">
        <v>35</v>
      </c>
      <c r="AB352">
        <v>136</v>
      </c>
    </row>
    <row r="353" spans="1:28" x14ac:dyDescent="0.35">
      <c r="A353" s="37" t="s">
        <v>3</v>
      </c>
      <c r="B353">
        <v>0.69444444444444442</v>
      </c>
      <c r="C353">
        <v>1</v>
      </c>
      <c r="D353">
        <v>34</v>
      </c>
      <c r="Q353">
        <v>1.3888888888888888</v>
      </c>
      <c r="R353">
        <v>2</v>
      </c>
      <c r="S353">
        <v>34</v>
      </c>
      <c r="Z353">
        <v>21.830985915492956</v>
      </c>
      <c r="AA353">
        <v>31</v>
      </c>
      <c r="AB353">
        <v>34</v>
      </c>
    </row>
    <row r="354" spans="1:28" x14ac:dyDescent="0.35">
      <c r="A354" s="37" t="s">
        <v>23</v>
      </c>
      <c r="B354">
        <v>1.3888888888888888</v>
      </c>
      <c r="C354">
        <v>2</v>
      </c>
      <c r="D354">
        <v>34</v>
      </c>
      <c r="H354">
        <v>2.083333333333333</v>
      </c>
      <c r="I354">
        <v>3</v>
      </c>
      <c r="J354">
        <v>34</v>
      </c>
      <c r="Q354">
        <v>0.69444444444444442</v>
      </c>
      <c r="R354">
        <v>1</v>
      </c>
      <c r="S354">
        <v>34</v>
      </c>
      <c r="Z354">
        <v>1.4084507042253522</v>
      </c>
      <c r="AA354">
        <v>2</v>
      </c>
      <c r="AB354">
        <v>34</v>
      </c>
    </row>
    <row r="355" spans="1:28" x14ac:dyDescent="0.35">
      <c r="A355" s="37" t="s">
        <v>134</v>
      </c>
      <c r="Z355">
        <v>0.70422535211267612</v>
      </c>
      <c r="AA355">
        <v>1</v>
      </c>
      <c r="AB355">
        <v>34</v>
      </c>
    </row>
    <row r="356" spans="1:28" x14ac:dyDescent="0.35">
      <c r="A356" s="37" t="s">
        <v>32</v>
      </c>
      <c r="B356">
        <v>4.8611111111111116</v>
      </c>
      <c r="C356">
        <v>7</v>
      </c>
      <c r="D356">
        <v>34</v>
      </c>
      <c r="H356">
        <v>9.0277777777777768</v>
      </c>
      <c r="I356">
        <v>13</v>
      </c>
      <c r="J356">
        <v>34</v>
      </c>
    </row>
    <row r="357" spans="1:28" x14ac:dyDescent="0.35">
      <c r="A357" s="37" t="s">
        <v>2</v>
      </c>
      <c r="Z357">
        <v>0.70422535211267612</v>
      </c>
      <c r="AA357">
        <v>1</v>
      </c>
      <c r="AB357">
        <v>34</v>
      </c>
    </row>
    <row r="358" spans="1:28" x14ac:dyDescent="0.35">
      <c r="A358" s="14">
        <v>2.1</v>
      </c>
      <c r="B358">
        <v>1.5384615384615385</v>
      </c>
      <c r="C358">
        <v>2</v>
      </c>
      <c r="D358">
        <v>34</v>
      </c>
      <c r="H358">
        <v>10.76923076923077</v>
      </c>
      <c r="I358">
        <v>14</v>
      </c>
      <c r="J358">
        <v>102</v>
      </c>
      <c r="Q358">
        <v>6.9230769230769234</v>
      </c>
      <c r="R358">
        <v>9</v>
      </c>
      <c r="S358">
        <v>102</v>
      </c>
      <c r="Z358">
        <v>30.769230769230774</v>
      </c>
      <c r="AA358">
        <v>40</v>
      </c>
      <c r="AB358">
        <v>102</v>
      </c>
    </row>
    <row r="359" spans="1:28" x14ac:dyDescent="0.35">
      <c r="A359" s="37" t="s">
        <v>3</v>
      </c>
      <c r="Q359">
        <v>4.6153846153846159</v>
      </c>
      <c r="R359">
        <v>6</v>
      </c>
      <c r="S359">
        <v>34</v>
      </c>
      <c r="Z359">
        <v>26.153846153846157</v>
      </c>
      <c r="AA359">
        <v>34</v>
      </c>
      <c r="AB359">
        <v>34</v>
      </c>
    </row>
    <row r="360" spans="1:28" x14ac:dyDescent="0.35">
      <c r="A360" s="37" t="s">
        <v>23</v>
      </c>
      <c r="Q360">
        <v>0.76923076923076927</v>
      </c>
      <c r="R360">
        <v>1</v>
      </c>
      <c r="S360">
        <v>34</v>
      </c>
    </row>
    <row r="361" spans="1:28" x14ac:dyDescent="0.35">
      <c r="A361" s="37" t="s">
        <v>13</v>
      </c>
      <c r="H361">
        <v>3.0769230769230771</v>
      </c>
      <c r="I361">
        <v>4</v>
      </c>
      <c r="J361">
        <v>34</v>
      </c>
      <c r="Z361">
        <v>3.8461538461538463</v>
      </c>
      <c r="AA361">
        <v>5</v>
      </c>
      <c r="AB361">
        <v>34</v>
      </c>
    </row>
    <row r="362" spans="1:28" x14ac:dyDescent="0.35">
      <c r="A362" s="37" t="s">
        <v>32</v>
      </c>
      <c r="H362">
        <v>4.6153846153846159</v>
      </c>
      <c r="I362">
        <v>6</v>
      </c>
      <c r="J362">
        <v>34</v>
      </c>
    </row>
    <row r="363" spans="1:28" x14ac:dyDescent="0.35">
      <c r="A363" s="37" t="s">
        <v>2</v>
      </c>
      <c r="B363">
        <v>1.5384615384615385</v>
      </c>
      <c r="C363">
        <v>2</v>
      </c>
      <c r="D363">
        <v>34</v>
      </c>
      <c r="H363">
        <v>3.0769230769230771</v>
      </c>
      <c r="I363">
        <v>4</v>
      </c>
      <c r="J363">
        <v>34</v>
      </c>
      <c r="Q363">
        <v>1.5384615384615385</v>
      </c>
      <c r="R363">
        <v>2</v>
      </c>
      <c r="S363">
        <v>34</v>
      </c>
      <c r="Z363">
        <v>0.76923076923076927</v>
      </c>
      <c r="AA363">
        <v>1</v>
      </c>
      <c r="AB363">
        <v>34</v>
      </c>
    </row>
    <row r="364" spans="1:28" x14ac:dyDescent="0.35">
      <c r="A364" s="14">
        <v>2.2000000000000002</v>
      </c>
      <c r="B364">
        <v>7.5757575757575761</v>
      </c>
      <c r="C364">
        <v>5</v>
      </c>
      <c r="D364">
        <v>68</v>
      </c>
      <c r="H364">
        <v>16.666666666666668</v>
      </c>
      <c r="I364">
        <v>11</v>
      </c>
      <c r="J364">
        <v>68</v>
      </c>
      <c r="Q364">
        <v>4.545454545454545</v>
      </c>
      <c r="R364">
        <v>3</v>
      </c>
      <c r="S364">
        <v>68</v>
      </c>
      <c r="Z364">
        <v>62.121212121212125</v>
      </c>
      <c r="AA364">
        <v>41</v>
      </c>
      <c r="AB364">
        <v>136</v>
      </c>
    </row>
    <row r="365" spans="1:28" x14ac:dyDescent="0.35">
      <c r="A365" s="37" t="s">
        <v>3</v>
      </c>
      <c r="Q365">
        <v>1.5151515151515151</v>
      </c>
      <c r="R365">
        <v>1</v>
      </c>
      <c r="S365">
        <v>34</v>
      </c>
      <c r="Z365">
        <v>50</v>
      </c>
      <c r="AA365">
        <v>33</v>
      </c>
      <c r="AB365">
        <v>34</v>
      </c>
    </row>
    <row r="366" spans="1:28" x14ac:dyDescent="0.35">
      <c r="A366" s="37" t="s">
        <v>11</v>
      </c>
      <c r="Z366">
        <v>3.0303030303030303</v>
      </c>
      <c r="AA366">
        <v>2</v>
      </c>
      <c r="AB366">
        <v>34</v>
      </c>
    </row>
    <row r="367" spans="1:28" x14ac:dyDescent="0.35">
      <c r="A367" s="37" t="s">
        <v>32</v>
      </c>
      <c r="B367">
        <v>3.0303030303030303</v>
      </c>
      <c r="C367">
        <v>2</v>
      </c>
      <c r="D367">
        <v>34</v>
      </c>
      <c r="H367">
        <v>12.121212121212121</v>
      </c>
      <c r="I367">
        <v>8</v>
      </c>
      <c r="J367">
        <v>34</v>
      </c>
      <c r="Z367">
        <v>4.5454545454545459</v>
      </c>
      <c r="AA367">
        <v>3</v>
      </c>
      <c r="AB367">
        <v>34</v>
      </c>
    </row>
    <row r="368" spans="1:28" x14ac:dyDescent="0.35">
      <c r="A368" s="37" t="s">
        <v>2</v>
      </c>
      <c r="B368">
        <v>4.5454545454545459</v>
      </c>
      <c r="C368">
        <v>3</v>
      </c>
      <c r="D368">
        <v>34</v>
      </c>
      <c r="H368">
        <v>4.5454545454545459</v>
      </c>
      <c r="I368">
        <v>3</v>
      </c>
      <c r="J368">
        <v>34</v>
      </c>
      <c r="Q368">
        <v>3.0303030303030303</v>
      </c>
      <c r="R368">
        <v>2</v>
      </c>
      <c r="S368">
        <v>34</v>
      </c>
      <c r="Z368">
        <v>4.5454545454545459</v>
      </c>
      <c r="AA368">
        <v>3</v>
      </c>
      <c r="AB368">
        <v>34</v>
      </c>
    </row>
    <row r="369" spans="1:28" x14ac:dyDescent="0.35">
      <c r="A369" s="14">
        <v>3.1</v>
      </c>
      <c r="B369">
        <v>1.2048192771084338</v>
      </c>
      <c r="C369">
        <v>1</v>
      </c>
      <c r="D369">
        <v>34</v>
      </c>
      <c r="H369">
        <v>20.481927710843372</v>
      </c>
      <c r="I369">
        <v>17</v>
      </c>
      <c r="J369">
        <v>102</v>
      </c>
      <c r="Q369">
        <v>3.6144578313253009</v>
      </c>
      <c r="R369">
        <v>3</v>
      </c>
      <c r="S369">
        <v>34</v>
      </c>
      <c r="Z369">
        <v>36.144578313253014</v>
      </c>
      <c r="AA369">
        <v>30</v>
      </c>
      <c r="AB369">
        <v>102</v>
      </c>
    </row>
    <row r="370" spans="1:28" x14ac:dyDescent="0.35">
      <c r="A370" s="37" t="s">
        <v>3</v>
      </c>
      <c r="Q370">
        <v>3.6144578313253009</v>
      </c>
      <c r="R370">
        <v>3</v>
      </c>
      <c r="S370">
        <v>34</v>
      </c>
      <c r="Z370">
        <v>33.734939759036145</v>
      </c>
      <c r="AA370">
        <v>28</v>
      </c>
      <c r="AB370">
        <v>34</v>
      </c>
    </row>
    <row r="371" spans="1:28" x14ac:dyDescent="0.35">
      <c r="A371" s="37" t="s">
        <v>23</v>
      </c>
      <c r="H371">
        <v>8.4337349397590362</v>
      </c>
      <c r="I371">
        <v>7</v>
      </c>
      <c r="J371">
        <v>34</v>
      </c>
    </row>
    <row r="372" spans="1:28" x14ac:dyDescent="0.35">
      <c r="A372" s="37" t="s">
        <v>32</v>
      </c>
      <c r="H372">
        <v>8.4337349397590362</v>
      </c>
      <c r="I372">
        <v>7</v>
      </c>
      <c r="J372">
        <v>34</v>
      </c>
      <c r="Z372">
        <v>1.2048192771084338</v>
      </c>
      <c r="AA372">
        <v>1</v>
      </c>
      <c r="AB372">
        <v>34</v>
      </c>
    </row>
    <row r="373" spans="1:28" x14ac:dyDescent="0.35">
      <c r="A373" s="37" t="s">
        <v>2</v>
      </c>
      <c r="B373">
        <v>1.2048192771084338</v>
      </c>
      <c r="C373">
        <v>1</v>
      </c>
      <c r="D373">
        <v>34</v>
      </c>
      <c r="H373">
        <v>3.6144578313253009</v>
      </c>
      <c r="I373">
        <v>3</v>
      </c>
      <c r="J373">
        <v>34</v>
      </c>
      <c r="Z373">
        <v>1.2048192771084338</v>
      </c>
      <c r="AA373">
        <v>1</v>
      </c>
      <c r="AB373">
        <v>34</v>
      </c>
    </row>
    <row r="374" spans="1:28" x14ac:dyDescent="0.35">
      <c r="A374" s="14">
        <v>3.2</v>
      </c>
      <c r="B374">
        <v>22.857142857142858</v>
      </c>
      <c r="C374">
        <v>8</v>
      </c>
      <c r="D374">
        <v>68</v>
      </c>
      <c r="H374">
        <v>31.428571428571431</v>
      </c>
      <c r="I374">
        <v>11</v>
      </c>
      <c r="J374">
        <v>68</v>
      </c>
      <c r="Q374">
        <v>14.285714285714285</v>
      </c>
      <c r="R374">
        <v>5</v>
      </c>
      <c r="S374">
        <v>34</v>
      </c>
      <c r="Z374">
        <v>74.999999999999986</v>
      </c>
      <c r="AA374">
        <v>27</v>
      </c>
      <c r="AB374">
        <v>68</v>
      </c>
    </row>
    <row r="375" spans="1:28" x14ac:dyDescent="0.35">
      <c r="A375" s="37" t="s">
        <v>3</v>
      </c>
      <c r="Q375">
        <v>14.285714285714285</v>
      </c>
      <c r="R375">
        <v>5</v>
      </c>
      <c r="S375">
        <v>34</v>
      </c>
      <c r="Z375">
        <v>72.222222222222214</v>
      </c>
      <c r="AA375">
        <v>26</v>
      </c>
      <c r="AB375">
        <v>34</v>
      </c>
    </row>
    <row r="376" spans="1:28" x14ac:dyDescent="0.35">
      <c r="A376" s="37" t="s">
        <v>23</v>
      </c>
      <c r="B376">
        <v>5.7142857142857144</v>
      </c>
      <c r="C376">
        <v>2</v>
      </c>
      <c r="D376">
        <v>34</v>
      </c>
      <c r="H376">
        <v>20</v>
      </c>
      <c r="I376">
        <v>7</v>
      </c>
      <c r="J376">
        <v>34</v>
      </c>
      <c r="Z376">
        <v>2.7777777777777777</v>
      </c>
      <c r="AA376">
        <v>1</v>
      </c>
      <c r="AB376">
        <v>34</v>
      </c>
    </row>
    <row r="377" spans="1:28" x14ac:dyDescent="0.35">
      <c r="A377" s="37" t="s">
        <v>32</v>
      </c>
      <c r="B377">
        <v>17.142857142857142</v>
      </c>
      <c r="C377">
        <v>6</v>
      </c>
      <c r="D377">
        <v>34</v>
      </c>
      <c r="H377">
        <v>11.428571428571429</v>
      </c>
      <c r="I377">
        <v>4</v>
      </c>
      <c r="J377">
        <v>34</v>
      </c>
    </row>
    <row r="378" spans="1:28" x14ac:dyDescent="0.35">
      <c r="A378" s="14">
        <v>4.0999999999999996</v>
      </c>
      <c r="B378">
        <v>4.3859649122807012</v>
      </c>
      <c r="C378">
        <v>5</v>
      </c>
      <c r="D378">
        <v>102</v>
      </c>
      <c r="H378">
        <v>6.140350877192982</v>
      </c>
      <c r="I378">
        <v>7</v>
      </c>
      <c r="J378">
        <v>68</v>
      </c>
      <c r="Q378">
        <v>3.5087719298245612</v>
      </c>
      <c r="R378">
        <v>4</v>
      </c>
      <c r="S378">
        <v>68</v>
      </c>
      <c r="Z378">
        <v>27.826086956521742</v>
      </c>
      <c r="AA378">
        <v>32</v>
      </c>
      <c r="AB378">
        <v>102</v>
      </c>
    </row>
    <row r="379" spans="1:28" x14ac:dyDescent="0.35">
      <c r="A379" s="37" t="s">
        <v>12</v>
      </c>
      <c r="B379">
        <v>2.6315789473684208</v>
      </c>
      <c r="C379">
        <v>3</v>
      </c>
      <c r="D379">
        <v>34</v>
      </c>
      <c r="Q379">
        <v>1.7543859649122806</v>
      </c>
      <c r="R379">
        <v>2</v>
      </c>
      <c r="S379">
        <v>34</v>
      </c>
    </row>
    <row r="380" spans="1:28" x14ac:dyDescent="0.35">
      <c r="A380" s="37" t="s">
        <v>3</v>
      </c>
      <c r="Z380">
        <v>20.869565217391305</v>
      </c>
      <c r="AA380">
        <v>24</v>
      </c>
      <c r="AB380">
        <v>34</v>
      </c>
    </row>
    <row r="381" spans="1:28" x14ac:dyDescent="0.35">
      <c r="A381" s="37" t="s">
        <v>23</v>
      </c>
      <c r="B381">
        <v>0.8771929824561403</v>
      </c>
      <c r="C381">
        <v>1</v>
      </c>
      <c r="D381">
        <v>34</v>
      </c>
      <c r="H381">
        <v>4.3859649122807012</v>
      </c>
      <c r="I381">
        <v>5</v>
      </c>
      <c r="J381">
        <v>34</v>
      </c>
      <c r="Q381">
        <v>1.7543859649122806</v>
      </c>
      <c r="R381">
        <v>2</v>
      </c>
      <c r="S381">
        <v>34</v>
      </c>
      <c r="Z381">
        <v>5.2173913043478262</v>
      </c>
      <c r="AA381">
        <v>6</v>
      </c>
      <c r="AB381">
        <v>34</v>
      </c>
    </row>
    <row r="382" spans="1:28" x14ac:dyDescent="0.35">
      <c r="A382" s="37" t="s">
        <v>32</v>
      </c>
      <c r="B382">
        <v>0.8771929824561403</v>
      </c>
      <c r="C382">
        <v>1</v>
      </c>
      <c r="D382">
        <v>34</v>
      </c>
      <c r="H382">
        <v>1.7543859649122806</v>
      </c>
      <c r="I382">
        <v>2</v>
      </c>
      <c r="J382">
        <v>34</v>
      </c>
      <c r="Z382">
        <v>1.7391304347826086</v>
      </c>
      <c r="AA382">
        <v>2</v>
      </c>
      <c r="AB382">
        <v>34</v>
      </c>
    </row>
    <row r="383" spans="1:28" x14ac:dyDescent="0.35">
      <c r="A383" s="14">
        <v>5.0999999999999996</v>
      </c>
      <c r="B383">
        <v>5.48780487804878</v>
      </c>
      <c r="C383">
        <v>9</v>
      </c>
      <c r="D383">
        <v>170</v>
      </c>
      <c r="H383">
        <v>21.341463414634145</v>
      </c>
      <c r="I383">
        <v>35</v>
      </c>
      <c r="J383">
        <v>136</v>
      </c>
      <c r="Q383">
        <v>17.073170731707318</v>
      </c>
      <c r="R383">
        <v>28</v>
      </c>
      <c r="S383">
        <v>204</v>
      </c>
      <c r="Z383">
        <v>30.487804878048784</v>
      </c>
      <c r="AA383">
        <v>50</v>
      </c>
      <c r="AB383">
        <v>204</v>
      </c>
    </row>
    <row r="384" spans="1:28" x14ac:dyDescent="0.35">
      <c r="A384" s="37" t="s">
        <v>31</v>
      </c>
      <c r="Q384">
        <v>0.6097560975609756</v>
      </c>
      <c r="R384">
        <v>1</v>
      </c>
      <c r="S384">
        <v>34</v>
      </c>
      <c r="Z384">
        <v>1.2195121951219512</v>
      </c>
      <c r="AA384">
        <v>2</v>
      </c>
      <c r="AB384">
        <v>34</v>
      </c>
    </row>
    <row r="385" spans="1:28" x14ac:dyDescent="0.35">
      <c r="A385" s="37" t="s">
        <v>12</v>
      </c>
      <c r="Z385">
        <v>0.6097560975609756</v>
      </c>
      <c r="AA385">
        <v>1</v>
      </c>
      <c r="AB385">
        <v>34</v>
      </c>
    </row>
    <row r="386" spans="1:28" x14ac:dyDescent="0.35">
      <c r="A386" s="37" t="s">
        <v>3</v>
      </c>
      <c r="B386">
        <v>1.2195121951219512</v>
      </c>
      <c r="C386">
        <v>2</v>
      </c>
      <c r="D386">
        <v>34</v>
      </c>
      <c r="H386">
        <v>6.0975609756097562</v>
      </c>
      <c r="I386">
        <v>10</v>
      </c>
      <c r="J386">
        <v>34</v>
      </c>
      <c r="Q386">
        <v>8.536585365853659</v>
      </c>
      <c r="R386">
        <v>14</v>
      </c>
      <c r="S386">
        <v>34</v>
      </c>
      <c r="Z386">
        <v>13.414634146341465</v>
      </c>
      <c r="AA386">
        <v>22</v>
      </c>
      <c r="AB386">
        <v>34</v>
      </c>
    </row>
    <row r="387" spans="1:28" x14ac:dyDescent="0.35">
      <c r="A387" s="37" t="s">
        <v>23</v>
      </c>
      <c r="B387">
        <v>0.6097560975609756</v>
      </c>
      <c r="C387">
        <v>1</v>
      </c>
      <c r="D387">
        <v>34</v>
      </c>
      <c r="H387">
        <v>7.9268292682926829</v>
      </c>
      <c r="I387">
        <v>13</v>
      </c>
      <c r="J387">
        <v>34</v>
      </c>
      <c r="Q387">
        <v>1.8292682926829267</v>
      </c>
      <c r="R387">
        <v>3</v>
      </c>
      <c r="S387">
        <v>34</v>
      </c>
      <c r="Z387">
        <v>5.4878048780487809</v>
      </c>
      <c r="AA387">
        <v>9</v>
      </c>
      <c r="AB387">
        <v>34</v>
      </c>
    </row>
    <row r="388" spans="1:28" x14ac:dyDescent="0.35">
      <c r="A388" s="37" t="s">
        <v>32</v>
      </c>
      <c r="B388">
        <v>1.2195121951219512</v>
      </c>
      <c r="C388">
        <v>2</v>
      </c>
      <c r="D388">
        <v>34</v>
      </c>
      <c r="H388">
        <v>2.4390243902439024</v>
      </c>
      <c r="I388">
        <v>4</v>
      </c>
      <c r="J388">
        <v>34</v>
      </c>
    </row>
    <row r="389" spans="1:28" x14ac:dyDescent="0.35">
      <c r="A389" s="37" t="s">
        <v>107</v>
      </c>
      <c r="Q389">
        <v>0.6097560975609756</v>
      </c>
      <c r="R389">
        <v>1</v>
      </c>
      <c r="S389">
        <v>34</v>
      </c>
    </row>
    <row r="390" spans="1:28" x14ac:dyDescent="0.35">
      <c r="A390" s="37" t="s">
        <v>14</v>
      </c>
      <c r="B390">
        <v>1.8292682926829267</v>
      </c>
      <c r="C390">
        <v>3</v>
      </c>
      <c r="D390">
        <v>34</v>
      </c>
      <c r="Q390">
        <v>4.8780487804878048</v>
      </c>
      <c r="R390">
        <v>8</v>
      </c>
      <c r="S390">
        <v>34</v>
      </c>
      <c r="Z390">
        <v>6.0975609756097562</v>
      </c>
      <c r="AA390">
        <v>10</v>
      </c>
      <c r="AB390">
        <v>34</v>
      </c>
    </row>
    <row r="391" spans="1:28" x14ac:dyDescent="0.35">
      <c r="A391" s="37" t="s">
        <v>2</v>
      </c>
      <c r="B391">
        <v>0.6097560975609756</v>
      </c>
      <c r="C391">
        <v>1</v>
      </c>
      <c r="D391">
        <v>34</v>
      </c>
      <c r="H391">
        <v>4.8780487804878048</v>
      </c>
      <c r="I391">
        <v>8</v>
      </c>
      <c r="J391">
        <v>34</v>
      </c>
      <c r="Q391">
        <v>0.6097560975609756</v>
      </c>
      <c r="R391">
        <v>1</v>
      </c>
      <c r="S391">
        <v>34</v>
      </c>
      <c r="Z391">
        <v>3.6585365853658534</v>
      </c>
      <c r="AA391">
        <v>6</v>
      </c>
      <c r="AB391">
        <v>34</v>
      </c>
    </row>
    <row r="392" spans="1:28" x14ac:dyDescent="0.35">
      <c r="A392" s="14">
        <v>6.1</v>
      </c>
      <c r="B392">
        <v>4.0609137055837561</v>
      </c>
      <c r="C392">
        <v>8</v>
      </c>
      <c r="D392">
        <v>136</v>
      </c>
      <c r="H392">
        <v>5.5837563451776653</v>
      </c>
      <c r="I392">
        <v>11</v>
      </c>
      <c r="J392">
        <v>102</v>
      </c>
      <c r="Q392">
        <v>12.18274111675127</v>
      </c>
      <c r="R392">
        <v>24</v>
      </c>
      <c r="S392">
        <v>102</v>
      </c>
      <c r="Z392">
        <v>23.350253807106597</v>
      </c>
      <c r="AA392">
        <v>46</v>
      </c>
      <c r="AB392">
        <v>170</v>
      </c>
    </row>
    <row r="393" spans="1:28" x14ac:dyDescent="0.35">
      <c r="A393" s="37" t="s">
        <v>31</v>
      </c>
      <c r="B393">
        <v>2.030456852791878</v>
      </c>
      <c r="C393">
        <v>4</v>
      </c>
      <c r="D393">
        <v>34</v>
      </c>
      <c r="Q393">
        <v>1.015228426395939</v>
      </c>
      <c r="R393">
        <v>2</v>
      </c>
      <c r="S393">
        <v>34</v>
      </c>
      <c r="Z393">
        <v>2.030456852791878</v>
      </c>
      <c r="AA393">
        <v>4</v>
      </c>
      <c r="AB393">
        <v>34</v>
      </c>
    </row>
    <row r="394" spans="1:28" x14ac:dyDescent="0.35">
      <c r="A394" s="37" t="s">
        <v>12</v>
      </c>
      <c r="Z394">
        <v>0.50761421319796951</v>
      </c>
      <c r="AA394">
        <v>1</v>
      </c>
      <c r="AB394">
        <v>34</v>
      </c>
    </row>
    <row r="395" spans="1:28" x14ac:dyDescent="0.35">
      <c r="A395" s="37" t="s">
        <v>3</v>
      </c>
      <c r="B395">
        <v>0.50761421319796951</v>
      </c>
      <c r="C395">
        <v>1</v>
      </c>
      <c r="D395">
        <v>34</v>
      </c>
      <c r="H395">
        <v>2.5380710659898478</v>
      </c>
      <c r="I395">
        <v>5</v>
      </c>
      <c r="J395">
        <v>34</v>
      </c>
      <c r="Q395">
        <v>10.152284263959391</v>
      </c>
      <c r="R395">
        <v>20</v>
      </c>
      <c r="S395">
        <v>34</v>
      </c>
      <c r="Z395">
        <v>18.781725888324875</v>
      </c>
      <c r="AA395">
        <v>37</v>
      </c>
      <c r="AB395">
        <v>34</v>
      </c>
    </row>
    <row r="396" spans="1:28" x14ac:dyDescent="0.35">
      <c r="A396" s="37" t="s">
        <v>23</v>
      </c>
      <c r="B396">
        <v>0.50761421319796951</v>
      </c>
      <c r="C396">
        <v>1</v>
      </c>
      <c r="D396">
        <v>34</v>
      </c>
      <c r="H396">
        <v>2.5380710659898478</v>
      </c>
      <c r="I396">
        <v>5</v>
      </c>
      <c r="J396">
        <v>34</v>
      </c>
      <c r="Q396">
        <v>1.015228426395939</v>
      </c>
      <c r="R396">
        <v>2</v>
      </c>
      <c r="S396">
        <v>34</v>
      </c>
      <c r="Z396">
        <v>1.5228426395939088</v>
      </c>
      <c r="AA396">
        <v>3</v>
      </c>
      <c r="AB396">
        <v>34</v>
      </c>
    </row>
    <row r="397" spans="1:28" x14ac:dyDescent="0.35">
      <c r="A397" s="37" t="s">
        <v>32</v>
      </c>
      <c r="B397">
        <v>1.015228426395939</v>
      </c>
      <c r="C397">
        <v>2</v>
      </c>
      <c r="D397">
        <v>34</v>
      </c>
      <c r="H397">
        <v>0.50761421319796951</v>
      </c>
      <c r="I397">
        <v>1</v>
      </c>
      <c r="J397">
        <v>34</v>
      </c>
    </row>
    <row r="398" spans="1:28" x14ac:dyDescent="0.35">
      <c r="A398" s="37" t="s">
        <v>139</v>
      </c>
      <c r="Z398">
        <v>0.50761421319796951</v>
      </c>
      <c r="AA398">
        <v>1</v>
      </c>
      <c r="AB398">
        <v>34</v>
      </c>
    </row>
    <row r="399" spans="1:28" x14ac:dyDescent="0.35">
      <c r="A399" s="14">
        <v>7.1</v>
      </c>
      <c r="B399">
        <v>6.8376068376068382</v>
      </c>
      <c r="C399">
        <v>8</v>
      </c>
      <c r="D399">
        <v>68</v>
      </c>
      <c r="H399">
        <v>5.1282051282051277</v>
      </c>
      <c r="I399">
        <v>6</v>
      </c>
      <c r="J399">
        <v>68</v>
      </c>
      <c r="Q399">
        <v>6.8376068376068382</v>
      </c>
      <c r="R399">
        <v>8</v>
      </c>
      <c r="S399">
        <v>102</v>
      </c>
      <c r="Z399">
        <v>13.793103448275861</v>
      </c>
      <c r="AA399">
        <v>16</v>
      </c>
      <c r="AB399">
        <v>102</v>
      </c>
    </row>
    <row r="400" spans="1:28" x14ac:dyDescent="0.35">
      <c r="A400" s="37" t="s">
        <v>3</v>
      </c>
      <c r="Q400">
        <v>2.5641025641025639</v>
      </c>
      <c r="R400">
        <v>3</v>
      </c>
      <c r="S400">
        <v>34</v>
      </c>
      <c r="Z400">
        <v>2.5862068965517242</v>
      </c>
      <c r="AA400">
        <v>3</v>
      </c>
      <c r="AB400">
        <v>34</v>
      </c>
    </row>
    <row r="401" spans="1:40" x14ac:dyDescent="0.35">
      <c r="A401" s="37" t="s">
        <v>23</v>
      </c>
      <c r="B401">
        <v>0.85470085470085477</v>
      </c>
      <c r="C401">
        <v>1</v>
      </c>
      <c r="D401">
        <v>34</v>
      </c>
      <c r="H401">
        <v>0.85470085470085477</v>
      </c>
      <c r="I401">
        <v>1</v>
      </c>
      <c r="J401">
        <v>34</v>
      </c>
      <c r="Z401">
        <v>0.86206896551724133</v>
      </c>
      <c r="AA401">
        <v>1</v>
      </c>
      <c r="AB401">
        <v>34</v>
      </c>
    </row>
    <row r="402" spans="1:40" x14ac:dyDescent="0.35">
      <c r="A402" s="37" t="s">
        <v>14</v>
      </c>
      <c r="B402">
        <v>5.982905982905983</v>
      </c>
      <c r="C402">
        <v>7</v>
      </c>
      <c r="D402">
        <v>34</v>
      </c>
      <c r="H402">
        <v>4.2735042735042734</v>
      </c>
      <c r="I402">
        <v>5</v>
      </c>
      <c r="J402">
        <v>34</v>
      </c>
      <c r="Q402">
        <v>3.4188034188034191</v>
      </c>
      <c r="R402">
        <v>4</v>
      </c>
      <c r="S402">
        <v>34</v>
      </c>
      <c r="Z402">
        <v>10.344827586206897</v>
      </c>
      <c r="AA402">
        <v>12</v>
      </c>
      <c r="AB402">
        <v>34</v>
      </c>
    </row>
    <row r="403" spans="1:40" x14ac:dyDescent="0.35">
      <c r="A403" s="37" t="s">
        <v>2</v>
      </c>
      <c r="Q403">
        <v>0.85470085470085477</v>
      </c>
      <c r="R403">
        <v>1</v>
      </c>
      <c r="S403">
        <v>34</v>
      </c>
    </row>
    <row r="404" spans="1:40" x14ac:dyDescent="0.35">
      <c r="A404" s="1" t="s">
        <v>19</v>
      </c>
      <c r="B404">
        <v>99.963054925809971</v>
      </c>
      <c r="C404">
        <v>184</v>
      </c>
      <c r="D404">
        <v>374</v>
      </c>
      <c r="E404">
        <v>148.55423109063938</v>
      </c>
      <c r="F404">
        <v>270</v>
      </c>
      <c r="G404">
        <v>374</v>
      </c>
      <c r="AL404">
        <v>272.53166789594491</v>
      </c>
      <c r="AM404">
        <v>504</v>
      </c>
      <c r="AN404">
        <v>425</v>
      </c>
    </row>
    <row r="405" spans="1:40" x14ac:dyDescent="0.35">
      <c r="A405" s="14">
        <v>1.1000000000000001</v>
      </c>
      <c r="B405" s="16">
        <v>4.5</v>
      </c>
      <c r="C405" s="16">
        <v>9</v>
      </c>
      <c r="D405" s="16">
        <v>34</v>
      </c>
      <c r="E405" s="16">
        <v>4.5</v>
      </c>
      <c r="F405" s="16">
        <v>9</v>
      </c>
      <c r="G405" s="16">
        <v>34</v>
      </c>
      <c r="AL405">
        <v>19.5</v>
      </c>
      <c r="AM405">
        <v>39</v>
      </c>
      <c r="AN405">
        <v>17</v>
      </c>
    </row>
    <row r="406" spans="1:40" x14ac:dyDescent="0.35">
      <c r="A406" s="37" t="s">
        <v>6</v>
      </c>
      <c r="B406">
        <v>3</v>
      </c>
      <c r="C406">
        <v>6</v>
      </c>
      <c r="D406">
        <v>17</v>
      </c>
      <c r="E406">
        <v>3.5000000000000004</v>
      </c>
      <c r="F406">
        <v>7</v>
      </c>
      <c r="G406">
        <v>17</v>
      </c>
      <c r="AL406">
        <v>19.5</v>
      </c>
      <c r="AM406">
        <v>39</v>
      </c>
      <c r="AN406">
        <v>17</v>
      </c>
    </row>
    <row r="407" spans="1:40" x14ac:dyDescent="0.35">
      <c r="A407" s="37" t="s">
        <v>3</v>
      </c>
      <c r="B407">
        <v>1.5</v>
      </c>
      <c r="C407">
        <v>3</v>
      </c>
      <c r="D407">
        <v>17</v>
      </c>
      <c r="E407">
        <v>1</v>
      </c>
      <c r="F407">
        <v>2</v>
      </c>
      <c r="G407">
        <v>17</v>
      </c>
    </row>
    <row r="408" spans="1:40" x14ac:dyDescent="0.35">
      <c r="A408" s="14">
        <v>1.2</v>
      </c>
      <c r="B408" s="16">
        <v>6.5</v>
      </c>
      <c r="C408" s="16">
        <v>13</v>
      </c>
      <c r="D408" s="16">
        <v>17</v>
      </c>
      <c r="E408" s="16">
        <v>7.0000000000000009</v>
      </c>
      <c r="F408" s="16">
        <v>14</v>
      </c>
      <c r="G408" s="16">
        <v>17</v>
      </c>
      <c r="AL408">
        <v>21.363636363636363</v>
      </c>
      <c r="AM408">
        <v>47</v>
      </c>
      <c r="AN408">
        <v>34</v>
      </c>
    </row>
    <row r="409" spans="1:40" x14ac:dyDescent="0.35">
      <c r="A409" s="37" t="s">
        <v>6</v>
      </c>
      <c r="AL409">
        <v>15</v>
      </c>
      <c r="AM409">
        <v>33</v>
      </c>
      <c r="AN409">
        <v>17</v>
      </c>
    </row>
    <row r="410" spans="1:40" x14ac:dyDescent="0.35">
      <c r="A410" s="37" t="s">
        <v>3</v>
      </c>
      <c r="B410">
        <v>6.5</v>
      </c>
      <c r="C410">
        <v>13</v>
      </c>
      <c r="D410">
        <v>17</v>
      </c>
      <c r="E410">
        <v>7.0000000000000009</v>
      </c>
      <c r="F410">
        <v>14</v>
      </c>
      <c r="G410">
        <v>17</v>
      </c>
      <c r="AL410">
        <v>6.3636363636363633</v>
      </c>
      <c r="AM410">
        <v>14</v>
      </c>
      <c r="AN410">
        <v>17</v>
      </c>
    </row>
    <row r="411" spans="1:40" x14ac:dyDescent="0.35">
      <c r="A411" s="14">
        <v>2.1</v>
      </c>
      <c r="B411" s="16">
        <v>7</v>
      </c>
      <c r="C411" s="16">
        <v>14</v>
      </c>
      <c r="D411" s="16">
        <v>34</v>
      </c>
      <c r="E411" s="16">
        <v>9.5</v>
      </c>
      <c r="F411" s="16">
        <v>19</v>
      </c>
      <c r="G411" s="16">
        <v>34</v>
      </c>
      <c r="AL411">
        <v>11</v>
      </c>
      <c r="AM411">
        <v>22</v>
      </c>
      <c r="AN411">
        <v>51</v>
      </c>
    </row>
    <row r="412" spans="1:40" x14ac:dyDescent="0.35">
      <c r="A412" s="37" t="s">
        <v>12</v>
      </c>
      <c r="B412">
        <v>1</v>
      </c>
      <c r="C412">
        <v>2</v>
      </c>
      <c r="D412">
        <v>17</v>
      </c>
      <c r="E412">
        <v>2</v>
      </c>
      <c r="F412">
        <v>4</v>
      </c>
      <c r="G412">
        <v>17</v>
      </c>
      <c r="AL412">
        <v>1.5</v>
      </c>
      <c r="AM412">
        <v>3</v>
      </c>
      <c r="AN412">
        <v>17</v>
      </c>
    </row>
    <row r="413" spans="1:40" x14ac:dyDescent="0.35">
      <c r="A413" s="37" t="s">
        <v>6</v>
      </c>
      <c r="AL413">
        <v>2</v>
      </c>
      <c r="AM413">
        <v>4</v>
      </c>
      <c r="AN413">
        <v>17</v>
      </c>
    </row>
    <row r="414" spans="1:40" x14ac:dyDescent="0.35">
      <c r="A414" s="37" t="s">
        <v>3</v>
      </c>
      <c r="B414">
        <v>6</v>
      </c>
      <c r="C414">
        <v>12</v>
      </c>
      <c r="D414">
        <v>17</v>
      </c>
      <c r="E414">
        <v>7.5</v>
      </c>
      <c r="F414">
        <v>15</v>
      </c>
      <c r="G414">
        <v>17</v>
      </c>
      <c r="AL414">
        <v>7.5</v>
      </c>
      <c r="AM414">
        <v>15</v>
      </c>
      <c r="AN414">
        <v>17</v>
      </c>
    </row>
    <row r="415" spans="1:40" x14ac:dyDescent="0.35">
      <c r="A415" s="14">
        <v>2.2000000000000002</v>
      </c>
      <c r="B415" s="16">
        <v>5.5</v>
      </c>
      <c r="C415" s="16">
        <v>11</v>
      </c>
      <c r="D415" s="16">
        <v>51</v>
      </c>
      <c r="E415" s="16">
        <v>8.5</v>
      </c>
      <c r="F415" s="16">
        <v>17</v>
      </c>
      <c r="G415" s="16">
        <v>51</v>
      </c>
      <c r="AL415">
        <v>20.673076923076923</v>
      </c>
      <c r="AM415">
        <v>43</v>
      </c>
      <c r="AN415">
        <v>34</v>
      </c>
    </row>
    <row r="416" spans="1:40" x14ac:dyDescent="0.35">
      <c r="A416" s="37" t="s">
        <v>12</v>
      </c>
      <c r="B416">
        <v>0.5</v>
      </c>
      <c r="C416">
        <v>1</v>
      </c>
      <c r="D416">
        <v>17</v>
      </c>
      <c r="E416">
        <v>0.5</v>
      </c>
      <c r="F416">
        <v>1</v>
      </c>
      <c r="G416">
        <v>17</v>
      </c>
    </row>
    <row r="417" spans="1:40" x14ac:dyDescent="0.35">
      <c r="A417" s="37" t="s">
        <v>6</v>
      </c>
      <c r="B417">
        <v>1.5</v>
      </c>
      <c r="C417">
        <v>3</v>
      </c>
      <c r="D417">
        <v>17</v>
      </c>
      <c r="E417">
        <v>4</v>
      </c>
      <c r="F417">
        <v>8</v>
      </c>
      <c r="G417">
        <v>17</v>
      </c>
      <c r="AL417">
        <v>15.865384615384615</v>
      </c>
      <c r="AM417">
        <v>33</v>
      </c>
      <c r="AN417">
        <v>17</v>
      </c>
    </row>
    <row r="418" spans="1:40" x14ac:dyDescent="0.35">
      <c r="A418" s="37" t="s">
        <v>3</v>
      </c>
      <c r="B418">
        <v>3.5000000000000004</v>
      </c>
      <c r="C418">
        <v>7</v>
      </c>
      <c r="D418">
        <v>17</v>
      </c>
      <c r="E418">
        <v>4</v>
      </c>
      <c r="F418">
        <v>8</v>
      </c>
      <c r="G418">
        <v>17</v>
      </c>
      <c r="AL418">
        <v>4.8076923076923084</v>
      </c>
      <c r="AM418">
        <v>10</v>
      </c>
      <c r="AN418">
        <v>17</v>
      </c>
    </row>
    <row r="419" spans="1:40" x14ac:dyDescent="0.35">
      <c r="A419" s="14">
        <v>3.1</v>
      </c>
      <c r="B419" s="16">
        <v>6</v>
      </c>
      <c r="C419" s="16">
        <v>12</v>
      </c>
      <c r="D419" s="16">
        <v>17</v>
      </c>
      <c r="E419" s="16">
        <v>5.5</v>
      </c>
      <c r="F419" s="16">
        <v>11</v>
      </c>
      <c r="G419" s="16">
        <v>17</v>
      </c>
      <c r="AL419">
        <v>14</v>
      </c>
      <c r="AM419">
        <v>28</v>
      </c>
      <c r="AN419">
        <v>34</v>
      </c>
    </row>
    <row r="420" spans="1:40" x14ac:dyDescent="0.35">
      <c r="A420" s="37" t="s">
        <v>6</v>
      </c>
      <c r="AL420">
        <v>5</v>
      </c>
      <c r="AM420">
        <v>10</v>
      </c>
      <c r="AN420">
        <v>17</v>
      </c>
    </row>
    <row r="421" spans="1:40" x14ac:dyDescent="0.35">
      <c r="A421" s="37" t="s">
        <v>3</v>
      </c>
      <c r="B421">
        <v>6</v>
      </c>
      <c r="C421">
        <v>12</v>
      </c>
      <c r="D421">
        <v>17</v>
      </c>
      <c r="E421">
        <v>5.5</v>
      </c>
      <c r="F421">
        <v>11</v>
      </c>
      <c r="G421">
        <v>17</v>
      </c>
      <c r="AL421">
        <v>9</v>
      </c>
      <c r="AM421">
        <v>18</v>
      </c>
      <c r="AN421">
        <v>17</v>
      </c>
    </row>
    <row r="422" spans="1:40" x14ac:dyDescent="0.35">
      <c r="A422" s="14">
        <v>3.2</v>
      </c>
      <c r="B422" s="16">
        <v>4.1666666666666661</v>
      </c>
      <c r="C422" s="16">
        <v>8</v>
      </c>
      <c r="D422" s="16">
        <v>17</v>
      </c>
      <c r="E422" s="16">
        <v>10.416666666666666</v>
      </c>
      <c r="F422" s="16">
        <v>20</v>
      </c>
      <c r="G422" s="16">
        <v>34</v>
      </c>
      <c r="AL422">
        <v>32.460732984293195</v>
      </c>
      <c r="AM422">
        <v>62</v>
      </c>
      <c r="AN422">
        <v>34</v>
      </c>
    </row>
    <row r="423" spans="1:40" x14ac:dyDescent="0.35">
      <c r="A423" s="37" t="s">
        <v>6</v>
      </c>
      <c r="E423">
        <v>6.25</v>
      </c>
      <c r="F423">
        <v>12</v>
      </c>
      <c r="G423">
        <v>17</v>
      </c>
      <c r="AL423">
        <v>28.795811518324609</v>
      </c>
      <c r="AM423">
        <v>55</v>
      </c>
      <c r="AN423">
        <v>17</v>
      </c>
    </row>
    <row r="424" spans="1:40" x14ac:dyDescent="0.35">
      <c r="A424" s="37" t="s">
        <v>3</v>
      </c>
      <c r="B424">
        <v>4.1666666666666661</v>
      </c>
      <c r="C424">
        <v>8</v>
      </c>
      <c r="D424">
        <v>17</v>
      </c>
      <c r="E424">
        <v>4.1666666666666661</v>
      </c>
      <c r="F424">
        <v>8</v>
      </c>
      <c r="G424">
        <v>17</v>
      </c>
      <c r="AL424">
        <v>3.664921465968586</v>
      </c>
      <c r="AM424">
        <v>7</v>
      </c>
      <c r="AN424">
        <v>17</v>
      </c>
    </row>
    <row r="425" spans="1:40" x14ac:dyDescent="0.35">
      <c r="A425" s="14">
        <v>4.0999999999999996</v>
      </c>
      <c r="B425" s="16">
        <v>7</v>
      </c>
      <c r="C425" s="16">
        <v>14</v>
      </c>
      <c r="D425" s="16">
        <v>34</v>
      </c>
      <c r="E425" s="16">
        <v>9</v>
      </c>
      <c r="F425" s="16">
        <v>18</v>
      </c>
      <c r="G425" s="16">
        <v>34</v>
      </c>
      <c r="AL425">
        <v>12.5</v>
      </c>
      <c r="AM425">
        <v>25</v>
      </c>
      <c r="AN425">
        <v>51</v>
      </c>
    </row>
    <row r="426" spans="1:40" x14ac:dyDescent="0.35">
      <c r="A426" s="37" t="s">
        <v>12</v>
      </c>
      <c r="B426">
        <v>2</v>
      </c>
      <c r="C426">
        <v>4</v>
      </c>
      <c r="D426">
        <v>17</v>
      </c>
      <c r="E426">
        <v>2</v>
      </c>
      <c r="F426">
        <v>4</v>
      </c>
      <c r="G426">
        <v>17</v>
      </c>
      <c r="AL426">
        <v>1.5</v>
      </c>
      <c r="AM426">
        <v>3</v>
      </c>
      <c r="AN426">
        <v>17</v>
      </c>
    </row>
    <row r="427" spans="1:40" x14ac:dyDescent="0.35">
      <c r="A427" s="37" t="s">
        <v>6</v>
      </c>
      <c r="AL427">
        <v>2</v>
      </c>
      <c r="AM427">
        <v>4</v>
      </c>
      <c r="AN427">
        <v>17</v>
      </c>
    </row>
    <row r="428" spans="1:40" x14ac:dyDescent="0.35">
      <c r="A428" s="37" t="s">
        <v>3</v>
      </c>
      <c r="B428">
        <v>5</v>
      </c>
      <c r="C428">
        <v>10</v>
      </c>
      <c r="D428">
        <v>17</v>
      </c>
      <c r="E428">
        <v>7.0000000000000009</v>
      </c>
      <c r="F428">
        <v>14</v>
      </c>
      <c r="G428">
        <v>17</v>
      </c>
      <c r="AL428">
        <v>9</v>
      </c>
      <c r="AM428">
        <v>18</v>
      </c>
      <c r="AN428">
        <v>17</v>
      </c>
    </row>
    <row r="429" spans="1:40" x14ac:dyDescent="0.35">
      <c r="A429" s="14">
        <v>4.2</v>
      </c>
      <c r="B429" s="16">
        <v>10.734463276836157</v>
      </c>
      <c r="C429" s="16">
        <v>19</v>
      </c>
      <c r="D429" s="16">
        <v>34</v>
      </c>
      <c r="E429" s="16">
        <v>12.429378531073448</v>
      </c>
      <c r="F429" s="16">
        <v>22</v>
      </c>
      <c r="G429" s="16">
        <v>34</v>
      </c>
      <c r="AL429">
        <v>34.659090909090907</v>
      </c>
      <c r="AM429">
        <v>61</v>
      </c>
      <c r="AN429">
        <v>51</v>
      </c>
    </row>
    <row r="430" spans="1:40" x14ac:dyDescent="0.35">
      <c r="A430" s="37" t="s">
        <v>12</v>
      </c>
      <c r="B430">
        <v>2.2598870056497176</v>
      </c>
      <c r="C430">
        <v>4</v>
      </c>
      <c r="D430">
        <v>17</v>
      </c>
      <c r="E430">
        <v>2.2598870056497176</v>
      </c>
      <c r="F430">
        <v>4</v>
      </c>
      <c r="G430">
        <v>17</v>
      </c>
      <c r="AL430">
        <v>0.56818181818181823</v>
      </c>
      <c r="AM430">
        <v>1</v>
      </c>
      <c r="AN430">
        <v>17</v>
      </c>
    </row>
    <row r="431" spans="1:40" x14ac:dyDescent="0.35">
      <c r="A431" s="37" t="s">
        <v>6</v>
      </c>
      <c r="AL431">
        <v>23.863636363636363</v>
      </c>
      <c r="AM431">
        <v>42</v>
      </c>
      <c r="AN431">
        <v>17</v>
      </c>
    </row>
    <row r="432" spans="1:40" x14ac:dyDescent="0.35">
      <c r="A432" s="37" t="s">
        <v>3</v>
      </c>
      <c r="B432">
        <v>8.4745762711864394</v>
      </c>
      <c r="C432">
        <v>15</v>
      </c>
      <c r="D432">
        <v>17</v>
      </c>
      <c r="E432">
        <v>10.16949152542373</v>
      </c>
      <c r="F432">
        <v>18</v>
      </c>
      <c r="G432">
        <v>17</v>
      </c>
      <c r="AL432">
        <v>10.227272727272728</v>
      </c>
      <c r="AM432">
        <v>18</v>
      </c>
      <c r="AN432">
        <v>17</v>
      </c>
    </row>
    <row r="433" spans="1:40" x14ac:dyDescent="0.35">
      <c r="A433" s="14">
        <v>5.0999999999999996</v>
      </c>
      <c r="B433" s="16">
        <v>14.500000000000002</v>
      </c>
      <c r="C433" s="16">
        <v>29</v>
      </c>
      <c r="D433" s="16">
        <v>34</v>
      </c>
      <c r="E433" s="16">
        <v>22</v>
      </c>
      <c r="F433" s="16">
        <v>44</v>
      </c>
      <c r="G433" s="16">
        <v>17</v>
      </c>
      <c r="AL433">
        <v>23</v>
      </c>
      <c r="AM433">
        <v>46</v>
      </c>
      <c r="AN433">
        <v>17</v>
      </c>
    </row>
    <row r="434" spans="1:40" x14ac:dyDescent="0.35">
      <c r="A434" s="37" t="s">
        <v>5</v>
      </c>
      <c r="B434">
        <v>0.5</v>
      </c>
      <c r="C434">
        <v>1</v>
      </c>
      <c r="D434">
        <v>17</v>
      </c>
    </row>
    <row r="435" spans="1:40" x14ac:dyDescent="0.35">
      <c r="A435" s="37" t="s">
        <v>3</v>
      </c>
      <c r="B435">
        <v>14.000000000000002</v>
      </c>
      <c r="C435">
        <v>28</v>
      </c>
      <c r="D435">
        <v>17</v>
      </c>
      <c r="E435">
        <v>22</v>
      </c>
      <c r="F435">
        <v>44</v>
      </c>
      <c r="G435">
        <v>17</v>
      </c>
      <c r="AL435">
        <v>23</v>
      </c>
      <c r="AM435">
        <v>46</v>
      </c>
      <c r="AN435">
        <v>17</v>
      </c>
    </row>
    <row r="436" spans="1:40" x14ac:dyDescent="0.35">
      <c r="A436" s="14">
        <v>5.2</v>
      </c>
      <c r="B436" s="16">
        <v>7.0063694267515926</v>
      </c>
      <c r="C436" s="16">
        <v>11</v>
      </c>
      <c r="D436" s="16">
        <v>34</v>
      </c>
      <c r="E436" s="16">
        <v>19.745222929936304</v>
      </c>
      <c r="F436" s="16">
        <v>31</v>
      </c>
      <c r="G436" s="16">
        <v>34</v>
      </c>
      <c r="AL436">
        <v>35.031847133757964</v>
      </c>
      <c r="AM436">
        <v>55</v>
      </c>
      <c r="AN436">
        <v>51</v>
      </c>
    </row>
    <row r="437" spans="1:40" x14ac:dyDescent="0.35">
      <c r="A437" s="37" t="s">
        <v>12</v>
      </c>
      <c r="B437">
        <v>0.63694267515923575</v>
      </c>
      <c r="C437">
        <v>1</v>
      </c>
      <c r="D437">
        <v>17</v>
      </c>
      <c r="E437">
        <v>3.8216560509554141</v>
      </c>
      <c r="F437">
        <v>6</v>
      </c>
      <c r="G437">
        <v>17</v>
      </c>
      <c r="AL437">
        <v>3.1847133757961785</v>
      </c>
      <c r="AM437">
        <v>5</v>
      </c>
      <c r="AN437">
        <v>17</v>
      </c>
    </row>
    <row r="438" spans="1:40" x14ac:dyDescent="0.35">
      <c r="A438" s="37" t="s">
        <v>6</v>
      </c>
      <c r="AL438">
        <v>3.1847133757961785</v>
      </c>
      <c r="AM438">
        <v>5</v>
      </c>
      <c r="AN438">
        <v>17</v>
      </c>
    </row>
    <row r="439" spans="1:40" x14ac:dyDescent="0.35">
      <c r="A439" s="37" t="s">
        <v>3</v>
      </c>
      <c r="B439">
        <v>6.369426751592357</v>
      </c>
      <c r="C439">
        <v>10</v>
      </c>
      <c r="D439">
        <v>17</v>
      </c>
      <c r="E439">
        <v>15.923566878980891</v>
      </c>
      <c r="F439">
        <v>25</v>
      </c>
      <c r="G439">
        <v>17</v>
      </c>
      <c r="AL439">
        <v>28.662420382165603</v>
      </c>
      <c r="AM439">
        <v>45</v>
      </c>
      <c r="AN439">
        <v>17</v>
      </c>
    </row>
    <row r="440" spans="1:40" x14ac:dyDescent="0.35">
      <c r="A440" s="14">
        <v>6.1</v>
      </c>
      <c r="B440" s="16">
        <v>11.5</v>
      </c>
      <c r="C440" s="16">
        <v>23</v>
      </c>
      <c r="D440" s="16">
        <v>34</v>
      </c>
      <c r="E440" s="16">
        <v>17</v>
      </c>
      <c r="F440" s="16">
        <v>34</v>
      </c>
      <c r="G440" s="16">
        <v>34</v>
      </c>
      <c r="AL440">
        <v>17</v>
      </c>
      <c r="AM440">
        <v>34</v>
      </c>
      <c r="AN440">
        <v>34</v>
      </c>
    </row>
    <row r="441" spans="1:40" x14ac:dyDescent="0.35">
      <c r="A441" s="37" t="s">
        <v>12</v>
      </c>
      <c r="B441">
        <v>2</v>
      </c>
      <c r="C441">
        <v>4</v>
      </c>
      <c r="D441">
        <v>17</v>
      </c>
      <c r="E441">
        <v>2</v>
      </c>
      <c r="F441">
        <v>4</v>
      </c>
      <c r="G441">
        <v>17</v>
      </c>
      <c r="AL441">
        <v>1</v>
      </c>
      <c r="AM441">
        <v>2</v>
      </c>
      <c r="AN441">
        <v>17</v>
      </c>
    </row>
    <row r="442" spans="1:40" x14ac:dyDescent="0.35">
      <c r="A442" s="37" t="s">
        <v>3</v>
      </c>
      <c r="B442">
        <v>9.5</v>
      </c>
      <c r="C442">
        <v>19</v>
      </c>
      <c r="D442">
        <v>17</v>
      </c>
      <c r="E442">
        <v>15</v>
      </c>
      <c r="F442">
        <v>30</v>
      </c>
      <c r="G442">
        <v>17</v>
      </c>
      <c r="AL442">
        <v>16</v>
      </c>
      <c r="AM442">
        <v>32</v>
      </c>
      <c r="AN442">
        <v>17</v>
      </c>
    </row>
    <row r="443" spans="1:40" x14ac:dyDescent="0.35">
      <c r="A443" s="14">
        <v>6.2</v>
      </c>
      <c r="B443" s="16">
        <v>15.555555555555555</v>
      </c>
      <c r="C443" s="16">
        <v>21</v>
      </c>
      <c r="D443" s="16">
        <v>34</v>
      </c>
      <c r="E443" s="16">
        <v>22.962962962962962</v>
      </c>
      <c r="F443" s="16">
        <v>31</v>
      </c>
      <c r="G443" s="16">
        <v>34</v>
      </c>
      <c r="AL443">
        <v>31.343283582089555</v>
      </c>
      <c r="AM443">
        <v>42</v>
      </c>
      <c r="AN443">
        <v>17</v>
      </c>
    </row>
    <row r="444" spans="1:40" x14ac:dyDescent="0.35">
      <c r="A444" s="37" t="s">
        <v>12</v>
      </c>
      <c r="B444">
        <v>1.4814814814814816</v>
      </c>
      <c r="C444">
        <v>2</v>
      </c>
      <c r="D444">
        <v>17</v>
      </c>
      <c r="E444">
        <v>1.4814814814814816</v>
      </c>
      <c r="F444">
        <v>2</v>
      </c>
      <c r="G444">
        <v>17</v>
      </c>
    </row>
    <row r="445" spans="1:40" x14ac:dyDescent="0.35">
      <c r="A445" s="37" t="s">
        <v>3</v>
      </c>
      <c r="B445">
        <v>14.074074074074074</v>
      </c>
      <c r="C445">
        <v>19</v>
      </c>
      <c r="D445">
        <v>17</v>
      </c>
      <c r="E445">
        <v>21.481481481481481</v>
      </c>
      <c r="F445">
        <v>29</v>
      </c>
      <c r="G445">
        <v>17</v>
      </c>
      <c r="AL445">
        <v>31.343283582089555</v>
      </c>
      <c r="AM445">
        <v>42</v>
      </c>
      <c r="AN445">
        <v>17</v>
      </c>
    </row>
    <row r="446" spans="1:40" x14ac:dyDescent="0.35">
      <c r="A446" s="1" t="s">
        <v>35</v>
      </c>
      <c r="B446" s="16"/>
      <c r="C446" s="16"/>
      <c r="D446" s="16"/>
      <c r="E446" s="16">
        <v>89.357480571278003</v>
      </c>
      <c r="F446" s="16">
        <v>150</v>
      </c>
      <c r="G446" s="16">
        <v>340</v>
      </c>
      <c r="T446">
        <v>297.81760236571296</v>
      </c>
      <c r="U446">
        <v>519</v>
      </c>
      <c r="V446">
        <v>442</v>
      </c>
    </row>
    <row r="447" spans="1:40" x14ac:dyDescent="0.35">
      <c r="A447" s="14">
        <v>1.1000000000000001</v>
      </c>
      <c r="E447">
        <v>0.5</v>
      </c>
      <c r="F447">
        <v>1</v>
      </c>
      <c r="G447">
        <v>17</v>
      </c>
      <c r="T447">
        <v>7.5</v>
      </c>
      <c r="U447">
        <v>15</v>
      </c>
      <c r="V447">
        <v>51</v>
      </c>
    </row>
    <row r="448" spans="1:40" x14ac:dyDescent="0.35">
      <c r="A448" s="37" t="s">
        <v>5</v>
      </c>
      <c r="T448">
        <v>1</v>
      </c>
      <c r="U448">
        <v>2</v>
      </c>
      <c r="V448">
        <v>17</v>
      </c>
    </row>
    <row r="449" spans="1:22" x14ac:dyDescent="0.35">
      <c r="A449" s="37" t="s">
        <v>6</v>
      </c>
      <c r="T449">
        <v>5</v>
      </c>
      <c r="U449">
        <v>10</v>
      </c>
      <c r="V449">
        <v>17</v>
      </c>
    </row>
    <row r="450" spans="1:22" x14ac:dyDescent="0.35">
      <c r="A450" s="37" t="s">
        <v>3</v>
      </c>
      <c r="E450">
        <v>0.5</v>
      </c>
      <c r="F450">
        <v>1</v>
      </c>
      <c r="G450">
        <v>17</v>
      </c>
      <c r="T450">
        <v>1.5</v>
      </c>
      <c r="U450">
        <v>3</v>
      </c>
      <c r="V450">
        <v>17</v>
      </c>
    </row>
    <row r="451" spans="1:22" x14ac:dyDescent="0.35">
      <c r="A451" s="14">
        <v>1.2</v>
      </c>
      <c r="E451">
        <v>0.5</v>
      </c>
      <c r="F451">
        <v>1</v>
      </c>
      <c r="G451">
        <v>17</v>
      </c>
      <c r="T451">
        <v>5</v>
      </c>
      <c r="U451">
        <v>10</v>
      </c>
      <c r="V451">
        <v>17</v>
      </c>
    </row>
    <row r="452" spans="1:22" x14ac:dyDescent="0.35">
      <c r="A452" s="37" t="s">
        <v>5</v>
      </c>
      <c r="E452">
        <v>0.5</v>
      </c>
      <c r="F452">
        <v>1</v>
      </c>
      <c r="G452">
        <v>17</v>
      </c>
    </row>
    <row r="453" spans="1:22" x14ac:dyDescent="0.35">
      <c r="A453" s="37" t="s">
        <v>6</v>
      </c>
      <c r="T453">
        <v>5</v>
      </c>
      <c r="U453">
        <v>10</v>
      </c>
      <c r="V453">
        <v>17</v>
      </c>
    </row>
    <row r="454" spans="1:22" x14ac:dyDescent="0.35">
      <c r="A454" s="14">
        <v>1.3</v>
      </c>
      <c r="E454">
        <v>7.4380165289256208</v>
      </c>
      <c r="F454">
        <v>9</v>
      </c>
      <c r="G454">
        <v>34</v>
      </c>
      <c r="T454">
        <v>17.21311475409836</v>
      </c>
      <c r="U454">
        <v>21</v>
      </c>
      <c r="V454">
        <v>34</v>
      </c>
    </row>
    <row r="455" spans="1:22" x14ac:dyDescent="0.35">
      <c r="A455" s="37" t="s">
        <v>6</v>
      </c>
      <c r="E455">
        <v>4.9586776859504136</v>
      </c>
      <c r="F455">
        <v>6</v>
      </c>
      <c r="G455">
        <v>17</v>
      </c>
      <c r="T455">
        <v>15.573770491803279</v>
      </c>
      <c r="U455">
        <v>19</v>
      </c>
      <c r="V455">
        <v>17</v>
      </c>
    </row>
    <row r="456" spans="1:22" x14ac:dyDescent="0.35">
      <c r="A456" s="37" t="s">
        <v>3</v>
      </c>
      <c r="E456">
        <v>2.4793388429752068</v>
      </c>
      <c r="F456">
        <v>3</v>
      </c>
      <c r="G456">
        <v>17</v>
      </c>
      <c r="T456">
        <v>1.639344262295082</v>
      </c>
      <c r="U456">
        <v>2</v>
      </c>
      <c r="V456">
        <v>17</v>
      </c>
    </row>
    <row r="457" spans="1:22" x14ac:dyDescent="0.35">
      <c r="A457" s="14">
        <v>2.1</v>
      </c>
      <c r="E457">
        <v>2</v>
      </c>
      <c r="F457">
        <v>4</v>
      </c>
      <c r="G457">
        <v>17</v>
      </c>
      <c r="T457">
        <v>10</v>
      </c>
      <c r="U457">
        <v>20</v>
      </c>
      <c r="V457">
        <v>34</v>
      </c>
    </row>
    <row r="458" spans="1:22" x14ac:dyDescent="0.35">
      <c r="A458" s="37" t="s">
        <v>6</v>
      </c>
      <c r="T458">
        <v>0.5</v>
      </c>
      <c r="U458">
        <v>1</v>
      </c>
      <c r="V458">
        <v>17</v>
      </c>
    </row>
    <row r="459" spans="1:22" x14ac:dyDescent="0.35">
      <c r="A459" s="37" t="s">
        <v>3</v>
      </c>
      <c r="E459">
        <v>2</v>
      </c>
      <c r="F459">
        <v>4</v>
      </c>
      <c r="G459">
        <v>17</v>
      </c>
      <c r="T459">
        <v>9.5</v>
      </c>
      <c r="U459">
        <v>19</v>
      </c>
      <c r="V459">
        <v>17</v>
      </c>
    </row>
    <row r="460" spans="1:22" x14ac:dyDescent="0.35">
      <c r="A460" s="14">
        <v>2.2000000000000002</v>
      </c>
      <c r="E460">
        <v>1.5</v>
      </c>
      <c r="F460">
        <v>3</v>
      </c>
      <c r="G460">
        <v>17</v>
      </c>
      <c r="T460">
        <v>5.5</v>
      </c>
      <c r="U460">
        <v>11</v>
      </c>
      <c r="V460">
        <v>17</v>
      </c>
    </row>
    <row r="461" spans="1:22" x14ac:dyDescent="0.35">
      <c r="A461" s="37" t="s">
        <v>3</v>
      </c>
      <c r="E461">
        <v>1.5</v>
      </c>
      <c r="F461">
        <v>3</v>
      </c>
      <c r="G461">
        <v>17</v>
      </c>
      <c r="T461">
        <v>5.5</v>
      </c>
      <c r="U461">
        <v>11</v>
      </c>
      <c r="V461">
        <v>17</v>
      </c>
    </row>
    <row r="462" spans="1:22" x14ac:dyDescent="0.35">
      <c r="A462" s="14">
        <v>2.2999999999999998</v>
      </c>
      <c r="E462">
        <v>1.5</v>
      </c>
      <c r="F462">
        <v>3</v>
      </c>
      <c r="G462">
        <v>17</v>
      </c>
      <c r="T462">
        <v>10</v>
      </c>
      <c r="U462">
        <v>20</v>
      </c>
      <c r="V462">
        <v>34</v>
      </c>
    </row>
    <row r="463" spans="1:22" x14ac:dyDescent="0.35">
      <c r="A463" s="37" t="s">
        <v>6</v>
      </c>
      <c r="T463">
        <v>1</v>
      </c>
      <c r="U463">
        <v>2</v>
      </c>
      <c r="V463">
        <v>17</v>
      </c>
    </row>
    <row r="464" spans="1:22" x14ac:dyDescent="0.35">
      <c r="A464" s="37" t="s">
        <v>3</v>
      </c>
      <c r="E464">
        <v>1.5</v>
      </c>
      <c r="F464">
        <v>3</v>
      </c>
      <c r="G464">
        <v>17</v>
      </c>
      <c r="T464">
        <v>9</v>
      </c>
      <c r="U464">
        <v>18</v>
      </c>
      <c r="V464">
        <v>17</v>
      </c>
    </row>
    <row r="465" spans="1:22" x14ac:dyDescent="0.35">
      <c r="A465" s="14">
        <v>2.4</v>
      </c>
      <c r="E465">
        <v>1.4084507042253522</v>
      </c>
      <c r="F465">
        <v>1</v>
      </c>
      <c r="G465">
        <v>17</v>
      </c>
      <c r="T465">
        <v>2.7777777777777777</v>
      </c>
      <c r="U465">
        <v>2</v>
      </c>
      <c r="V465">
        <v>34</v>
      </c>
    </row>
    <row r="466" spans="1:22" x14ac:dyDescent="0.35">
      <c r="A466" s="37" t="s">
        <v>12</v>
      </c>
      <c r="T466">
        <v>1.3888888888888888</v>
      </c>
      <c r="U466">
        <v>1</v>
      </c>
      <c r="V466">
        <v>17</v>
      </c>
    </row>
    <row r="467" spans="1:22" x14ac:dyDescent="0.35">
      <c r="A467" s="37" t="s">
        <v>3</v>
      </c>
      <c r="E467">
        <v>1.4084507042253522</v>
      </c>
      <c r="F467">
        <v>1</v>
      </c>
      <c r="G467">
        <v>17</v>
      </c>
      <c r="T467">
        <v>1.3888888888888888</v>
      </c>
      <c r="U467">
        <v>1</v>
      </c>
      <c r="V467">
        <v>17</v>
      </c>
    </row>
    <row r="468" spans="1:22" x14ac:dyDescent="0.35">
      <c r="A468" s="14">
        <v>3.1</v>
      </c>
      <c r="E468">
        <v>13</v>
      </c>
      <c r="F468">
        <v>26</v>
      </c>
      <c r="G468">
        <v>17</v>
      </c>
      <c r="T468">
        <v>25</v>
      </c>
      <c r="U468">
        <v>50</v>
      </c>
      <c r="V468">
        <v>17</v>
      </c>
    </row>
    <row r="469" spans="1:22" x14ac:dyDescent="0.35">
      <c r="A469" s="37" t="s">
        <v>3</v>
      </c>
      <c r="E469">
        <v>13</v>
      </c>
      <c r="F469">
        <v>26</v>
      </c>
      <c r="G469">
        <v>17</v>
      </c>
      <c r="T469">
        <v>25</v>
      </c>
      <c r="U469">
        <v>50</v>
      </c>
      <c r="V469">
        <v>17</v>
      </c>
    </row>
    <row r="470" spans="1:22" x14ac:dyDescent="0.35">
      <c r="A470" s="14">
        <v>3.2</v>
      </c>
      <c r="E470">
        <v>6.5</v>
      </c>
      <c r="F470">
        <v>13</v>
      </c>
      <c r="G470">
        <v>17</v>
      </c>
      <c r="T470">
        <v>18.5</v>
      </c>
      <c r="U470">
        <v>37</v>
      </c>
      <c r="V470">
        <v>17</v>
      </c>
    </row>
    <row r="471" spans="1:22" x14ac:dyDescent="0.35">
      <c r="A471" s="37" t="s">
        <v>3</v>
      </c>
      <c r="E471">
        <v>6.5</v>
      </c>
      <c r="F471">
        <v>13</v>
      </c>
      <c r="G471">
        <v>17</v>
      </c>
      <c r="T471">
        <v>18.5</v>
      </c>
      <c r="U471">
        <v>37</v>
      </c>
      <c r="V471">
        <v>17</v>
      </c>
    </row>
    <row r="472" spans="1:22" x14ac:dyDescent="0.35">
      <c r="A472" s="14">
        <v>3.3</v>
      </c>
      <c r="E472">
        <v>9.5</v>
      </c>
      <c r="F472">
        <v>19</v>
      </c>
      <c r="G472">
        <v>17</v>
      </c>
      <c r="T472">
        <v>16</v>
      </c>
      <c r="U472">
        <v>32</v>
      </c>
      <c r="V472">
        <v>17</v>
      </c>
    </row>
    <row r="473" spans="1:22" x14ac:dyDescent="0.35">
      <c r="A473" s="37" t="s">
        <v>3</v>
      </c>
      <c r="E473">
        <v>9.5</v>
      </c>
      <c r="F473">
        <v>19</v>
      </c>
      <c r="G473">
        <v>17</v>
      </c>
      <c r="T473">
        <v>16</v>
      </c>
      <c r="U473">
        <v>32</v>
      </c>
      <c r="V473">
        <v>17</v>
      </c>
    </row>
    <row r="474" spans="1:22" x14ac:dyDescent="0.35">
      <c r="A474" s="14">
        <v>3.4</v>
      </c>
      <c r="E474">
        <v>4.3478260869565215</v>
      </c>
      <c r="F474">
        <v>1</v>
      </c>
      <c r="G474">
        <v>17</v>
      </c>
      <c r="T474">
        <v>17.391304347826086</v>
      </c>
      <c r="U474">
        <v>4</v>
      </c>
      <c r="V474">
        <v>17</v>
      </c>
    </row>
    <row r="475" spans="1:22" x14ac:dyDescent="0.35">
      <c r="A475" s="37" t="s">
        <v>3</v>
      </c>
      <c r="E475">
        <v>4.3478260869565215</v>
      </c>
      <c r="F475">
        <v>1</v>
      </c>
      <c r="G475">
        <v>17</v>
      </c>
      <c r="T475">
        <v>17.391304347826086</v>
      </c>
      <c r="U475">
        <v>4</v>
      </c>
      <c r="V475">
        <v>17</v>
      </c>
    </row>
    <row r="476" spans="1:22" x14ac:dyDescent="0.35">
      <c r="A476" s="14">
        <v>4.0999999999999996</v>
      </c>
      <c r="T476">
        <v>18.5</v>
      </c>
      <c r="U476">
        <v>37</v>
      </c>
      <c r="V476">
        <v>17</v>
      </c>
    </row>
    <row r="477" spans="1:22" x14ac:dyDescent="0.35">
      <c r="A477" s="37" t="s">
        <v>3</v>
      </c>
      <c r="T477">
        <v>18.5</v>
      </c>
      <c r="U477">
        <v>37</v>
      </c>
      <c r="V477">
        <v>17</v>
      </c>
    </row>
    <row r="478" spans="1:22" x14ac:dyDescent="0.35">
      <c r="A478" s="14">
        <v>4.2</v>
      </c>
      <c r="E478">
        <v>3</v>
      </c>
      <c r="F478">
        <v>6</v>
      </c>
      <c r="G478">
        <v>17</v>
      </c>
      <c r="T478">
        <v>19</v>
      </c>
      <c r="U478">
        <v>38</v>
      </c>
      <c r="V478">
        <v>17</v>
      </c>
    </row>
    <row r="479" spans="1:22" x14ac:dyDescent="0.35">
      <c r="A479" s="37" t="s">
        <v>3</v>
      </c>
      <c r="E479">
        <v>3</v>
      </c>
      <c r="F479">
        <v>6</v>
      </c>
      <c r="G479">
        <v>17</v>
      </c>
      <c r="T479">
        <v>19</v>
      </c>
      <c r="U479">
        <v>38</v>
      </c>
      <c r="V479">
        <v>17</v>
      </c>
    </row>
    <row r="480" spans="1:22" x14ac:dyDescent="0.35">
      <c r="A480" s="14">
        <v>4.3</v>
      </c>
      <c r="E480">
        <v>8.2840236686390529</v>
      </c>
      <c r="F480">
        <v>14</v>
      </c>
      <c r="G480">
        <v>34</v>
      </c>
      <c r="T480">
        <v>15.204678362573098</v>
      </c>
      <c r="U480">
        <v>26</v>
      </c>
      <c r="V480">
        <v>34</v>
      </c>
    </row>
    <row r="481" spans="1:31" x14ac:dyDescent="0.35">
      <c r="A481" s="37" t="s">
        <v>12</v>
      </c>
      <c r="E481">
        <v>1.7751479289940828</v>
      </c>
      <c r="F481">
        <v>3</v>
      </c>
      <c r="G481">
        <v>17</v>
      </c>
      <c r="T481">
        <v>3.5087719298245612</v>
      </c>
      <c r="U481">
        <v>6</v>
      </c>
      <c r="V481">
        <v>17</v>
      </c>
    </row>
    <row r="482" spans="1:31" x14ac:dyDescent="0.35">
      <c r="A482" s="37" t="s">
        <v>3</v>
      </c>
      <c r="E482">
        <v>6.5088757396449708</v>
      </c>
      <c r="F482">
        <v>11</v>
      </c>
      <c r="G482">
        <v>17</v>
      </c>
      <c r="T482">
        <v>11.695906432748536</v>
      </c>
      <c r="U482">
        <v>20</v>
      </c>
      <c r="V482">
        <v>17</v>
      </c>
    </row>
    <row r="483" spans="1:31" x14ac:dyDescent="0.35">
      <c r="A483" s="14">
        <v>5.0999999999999996</v>
      </c>
      <c r="E483">
        <v>3.5000000000000004</v>
      </c>
      <c r="F483">
        <v>7</v>
      </c>
      <c r="G483">
        <v>17</v>
      </c>
      <c r="T483">
        <v>28.999999999999996</v>
      </c>
      <c r="U483">
        <v>58</v>
      </c>
      <c r="V483">
        <v>17</v>
      </c>
    </row>
    <row r="484" spans="1:31" x14ac:dyDescent="0.35">
      <c r="A484" s="37" t="s">
        <v>3</v>
      </c>
      <c r="E484">
        <v>3.5000000000000004</v>
      </c>
      <c r="F484">
        <v>7</v>
      </c>
      <c r="G484">
        <v>17</v>
      </c>
      <c r="T484">
        <v>28.999999999999996</v>
      </c>
      <c r="U484">
        <v>58</v>
      </c>
      <c r="V484">
        <v>17</v>
      </c>
    </row>
    <row r="485" spans="1:31" x14ac:dyDescent="0.35">
      <c r="A485" s="14">
        <v>5.2</v>
      </c>
      <c r="E485">
        <v>7</v>
      </c>
      <c r="F485">
        <v>14</v>
      </c>
      <c r="G485">
        <v>34</v>
      </c>
      <c r="T485">
        <v>20</v>
      </c>
      <c r="U485">
        <v>40</v>
      </c>
      <c r="V485">
        <v>34</v>
      </c>
    </row>
    <row r="486" spans="1:31" x14ac:dyDescent="0.35">
      <c r="A486" s="37" t="s">
        <v>12</v>
      </c>
      <c r="E486">
        <v>1.5</v>
      </c>
      <c r="F486">
        <v>3</v>
      </c>
      <c r="G486">
        <v>17</v>
      </c>
      <c r="T486">
        <v>6</v>
      </c>
      <c r="U486">
        <v>12</v>
      </c>
      <c r="V486">
        <v>17</v>
      </c>
    </row>
    <row r="487" spans="1:31" x14ac:dyDescent="0.35">
      <c r="A487" s="37" t="s">
        <v>3</v>
      </c>
      <c r="E487">
        <v>5.5</v>
      </c>
      <c r="F487">
        <v>11</v>
      </c>
      <c r="G487">
        <v>17</v>
      </c>
      <c r="T487">
        <v>14.000000000000002</v>
      </c>
      <c r="U487">
        <v>28</v>
      </c>
      <c r="V487">
        <v>17</v>
      </c>
    </row>
    <row r="488" spans="1:31" x14ac:dyDescent="0.35">
      <c r="A488" s="14">
        <v>5.3</v>
      </c>
      <c r="E488">
        <v>11.607142857142858</v>
      </c>
      <c r="F488">
        <v>13</v>
      </c>
      <c r="G488">
        <v>17</v>
      </c>
      <c r="T488">
        <v>25.663716814159294</v>
      </c>
      <c r="U488">
        <v>29</v>
      </c>
      <c r="V488">
        <v>17</v>
      </c>
    </row>
    <row r="489" spans="1:31" x14ac:dyDescent="0.35">
      <c r="A489" s="37" t="s">
        <v>3</v>
      </c>
      <c r="E489">
        <v>11.607142857142858</v>
      </c>
      <c r="F489">
        <v>13</v>
      </c>
      <c r="G489">
        <v>17</v>
      </c>
      <c r="T489">
        <v>25.663716814159294</v>
      </c>
      <c r="U489">
        <v>29</v>
      </c>
      <c r="V489">
        <v>17</v>
      </c>
    </row>
    <row r="490" spans="1:31" x14ac:dyDescent="0.35">
      <c r="A490" s="14">
        <v>6.1</v>
      </c>
      <c r="E490">
        <v>7.7720207253886011</v>
      </c>
      <c r="F490">
        <v>15</v>
      </c>
      <c r="G490">
        <v>17</v>
      </c>
      <c r="T490">
        <v>35.567010309278352</v>
      </c>
      <c r="U490">
        <v>69</v>
      </c>
      <c r="V490">
        <v>17</v>
      </c>
    </row>
    <row r="491" spans="1:31" x14ac:dyDescent="0.35">
      <c r="A491" s="37" t="s">
        <v>3</v>
      </c>
      <c r="E491">
        <v>7.7720207253886011</v>
      </c>
      <c r="F491">
        <v>15</v>
      </c>
      <c r="G491">
        <v>17</v>
      </c>
      <c r="T491">
        <v>35.567010309278352</v>
      </c>
      <c r="U491">
        <v>69</v>
      </c>
      <c r="V491">
        <v>17</v>
      </c>
    </row>
    <row r="492" spans="1:31" x14ac:dyDescent="0.35">
      <c r="A492" s="1" t="s">
        <v>99</v>
      </c>
      <c r="E492">
        <v>35.949275362318843</v>
      </c>
      <c r="F492">
        <v>70</v>
      </c>
      <c r="G492">
        <v>187</v>
      </c>
      <c r="T492">
        <v>121.34782608695653</v>
      </c>
      <c r="U492">
        <v>237</v>
      </c>
      <c r="V492">
        <v>255</v>
      </c>
      <c r="AC492">
        <v>138.24637681159419</v>
      </c>
      <c r="AD492">
        <v>267</v>
      </c>
      <c r="AE492">
        <v>289</v>
      </c>
    </row>
    <row r="493" spans="1:31" x14ac:dyDescent="0.35">
      <c r="A493" s="14">
        <v>1.1000000000000001</v>
      </c>
      <c r="E493">
        <v>2</v>
      </c>
      <c r="F493">
        <v>4</v>
      </c>
      <c r="G493">
        <v>34</v>
      </c>
      <c r="T493">
        <v>9.5</v>
      </c>
      <c r="U493">
        <v>19</v>
      </c>
      <c r="V493">
        <v>51</v>
      </c>
      <c r="AC493">
        <v>10</v>
      </c>
      <c r="AD493">
        <v>20</v>
      </c>
      <c r="AE493">
        <v>34</v>
      </c>
    </row>
    <row r="494" spans="1:31" x14ac:dyDescent="0.35">
      <c r="A494" s="37" t="s">
        <v>6</v>
      </c>
      <c r="T494">
        <v>1.5</v>
      </c>
      <c r="U494">
        <v>3</v>
      </c>
      <c r="V494">
        <v>17</v>
      </c>
      <c r="AC494">
        <v>1</v>
      </c>
      <c r="AD494">
        <v>2</v>
      </c>
      <c r="AE494">
        <v>17</v>
      </c>
    </row>
    <row r="495" spans="1:31" x14ac:dyDescent="0.35">
      <c r="A495" s="37" t="s">
        <v>3</v>
      </c>
      <c r="E495">
        <v>1.5</v>
      </c>
      <c r="F495">
        <v>3</v>
      </c>
      <c r="G495">
        <v>17</v>
      </c>
      <c r="T495">
        <v>7.0000000000000009</v>
      </c>
      <c r="U495">
        <v>14</v>
      </c>
      <c r="V495">
        <v>17</v>
      </c>
      <c r="AC495">
        <v>9</v>
      </c>
      <c r="AD495">
        <v>18</v>
      </c>
      <c r="AE495">
        <v>17</v>
      </c>
    </row>
    <row r="496" spans="1:31" x14ac:dyDescent="0.35">
      <c r="A496" s="37" t="s">
        <v>97</v>
      </c>
      <c r="E496">
        <v>0.5</v>
      </c>
      <c r="F496">
        <v>1</v>
      </c>
      <c r="G496">
        <v>17</v>
      </c>
      <c r="T496">
        <v>1</v>
      </c>
      <c r="U496">
        <v>2</v>
      </c>
      <c r="V496">
        <v>17</v>
      </c>
    </row>
    <row r="497" spans="1:31" x14ac:dyDescent="0.35">
      <c r="A497" s="14">
        <v>1.2</v>
      </c>
      <c r="E497">
        <v>0.5</v>
      </c>
      <c r="F497">
        <v>1</v>
      </c>
      <c r="G497">
        <v>17</v>
      </c>
      <c r="T497">
        <v>6.5</v>
      </c>
      <c r="U497">
        <v>13</v>
      </c>
      <c r="V497">
        <v>17</v>
      </c>
      <c r="AC497">
        <v>8.5</v>
      </c>
      <c r="AD497">
        <v>17</v>
      </c>
      <c r="AE497">
        <v>34</v>
      </c>
    </row>
    <row r="498" spans="1:31" x14ac:dyDescent="0.35">
      <c r="A498" s="37" t="s">
        <v>6</v>
      </c>
      <c r="AC498">
        <v>1.5</v>
      </c>
      <c r="AD498">
        <v>3</v>
      </c>
      <c r="AE498">
        <v>17</v>
      </c>
    </row>
    <row r="499" spans="1:31" x14ac:dyDescent="0.35">
      <c r="A499" s="37" t="s">
        <v>3</v>
      </c>
      <c r="E499">
        <v>0.5</v>
      </c>
      <c r="F499">
        <v>1</v>
      </c>
      <c r="G499">
        <v>17</v>
      </c>
      <c r="T499">
        <v>6.5</v>
      </c>
      <c r="U499">
        <v>13</v>
      </c>
      <c r="V499">
        <v>17</v>
      </c>
      <c r="AC499">
        <v>7.0000000000000009</v>
      </c>
      <c r="AD499">
        <v>14</v>
      </c>
      <c r="AE499">
        <v>17</v>
      </c>
    </row>
    <row r="500" spans="1:31" x14ac:dyDescent="0.35">
      <c r="A500" s="14">
        <v>1.3</v>
      </c>
      <c r="E500">
        <v>1.4492753623188406</v>
      </c>
      <c r="F500">
        <v>1</v>
      </c>
      <c r="G500">
        <v>17</v>
      </c>
      <c r="T500">
        <v>4.3478260869565215</v>
      </c>
      <c r="U500">
        <v>3</v>
      </c>
      <c r="V500">
        <v>17</v>
      </c>
      <c r="AC500">
        <v>7.2463768115942031</v>
      </c>
      <c r="AD500">
        <v>5</v>
      </c>
      <c r="AE500">
        <v>34</v>
      </c>
    </row>
    <row r="501" spans="1:31" x14ac:dyDescent="0.35">
      <c r="A501" s="37" t="s">
        <v>12</v>
      </c>
      <c r="E501">
        <v>1.4492753623188406</v>
      </c>
      <c r="F501">
        <v>1</v>
      </c>
      <c r="G501">
        <v>17</v>
      </c>
      <c r="T501">
        <v>4.3478260869565215</v>
      </c>
      <c r="U501">
        <v>3</v>
      </c>
      <c r="V501">
        <v>17</v>
      </c>
      <c r="AC501">
        <v>4.3478260869565215</v>
      </c>
      <c r="AD501">
        <v>3</v>
      </c>
      <c r="AE501">
        <v>17</v>
      </c>
    </row>
    <row r="502" spans="1:31" x14ac:dyDescent="0.35">
      <c r="A502" s="37" t="s">
        <v>3</v>
      </c>
      <c r="AC502">
        <v>2.8985507246376812</v>
      </c>
      <c r="AD502">
        <v>2</v>
      </c>
      <c r="AE502">
        <v>17</v>
      </c>
    </row>
    <row r="503" spans="1:31" x14ac:dyDescent="0.35">
      <c r="A503" s="14">
        <v>2.1</v>
      </c>
      <c r="E503">
        <v>4.5</v>
      </c>
      <c r="F503">
        <v>9</v>
      </c>
      <c r="G503">
        <v>17</v>
      </c>
      <c r="T503">
        <v>18</v>
      </c>
      <c r="U503">
        <v>36</v>
      </c>
      <c r="V503">
        <v>17</v>
      </c>
      <c r="AC503">
        <v>25.5</v>
      </c>
      <c r="AD503">
        <v>51</v>
      </c>
      <c r="AE503">
        <v>17</v>
      </c>
    </row>
    <row r="504" spans="1:31" x14ac:dyDescent="0.35">
      <c r="A504" s="37" t="s">
        <v>3</v>
      </c>
      <c r="E504">
        <v>4.5</v>
      </c>
      <c r="F504">
        <v>9</v>
      </c>
      <c r="G504">
        <v>17</v>
      </c>
      <c r="T504">
        <v>18</v>
      </c>
      <c r="U504">
        <v>36</v>
      </c>
      <c r="V504">
        <v>17</v>
      </c>
      <c r="AC504">
        <v>25.5</v>
      </c>
      <c r="AD504">
        <v>51</v>
      </c>
      <c r="AE504">
        <v>17</v>
      </c>
    </row>
    <row r="505" spans="1:31" x14ac:dyDescent="0.35">
      <c r="A505" s="14">
        <v>2.2000000000000002</v>
      </c>
      <c r="E505">
        <v>1</v>
      </c>
      <c r="F505">
        <v>2</v>
      </c>
      <c r="G505">
        <v>17</v>
      </c>
      <c r="T505">
        <v>14.5</v>
      </c>
      <c r="U505">
        <v>29</v>
      </c>
      <c r="V505">
        <v>34</v>
      </c>
      <c r="AC505">
        <v>21.5</v>
      </c>
      <c r="AD505">
        <v>43</v>
      </c>
      <c r="AE505">
        <v>34</v>
      </c>
    </row>
    <row r="506" spans="1:31" x14ac:dyDescent="0.35">
      <c r="A506" s="37" t="s">
        <v>3</v>
      </c>
      <c r="T506">
        <v>13.5</v>
      </c>
      <c r="U506">
        <v>27</v>
      </c>
      <c r="V506">
        <v>17</v>
      </c>
      <c r="AC506">
        <v>21</v>
      </c>
      <c r="AD506">
        <v>42</v>
      </c>
      <c r="AE506">
        <v>17</v>
      </c>
    </row>
    <row r="507" spans="1:31" x14ac:dyDescent="0.35">
      <c r="A507" s="37" t="s">
        <v>97</v>
      </c>
      <c r="E507">
        <v>1</v>
      </c>
      <c r="F507">
        <v>2</v>
      </c>
      <c r="G507">
        <v>17</v>
      </c>
      <c r="T507">
        <v>1</v>
      </c>
      <c r="U507">
        <v>2</v>
      </c>
      <c r="V507">
        <v>17</v>
      </c>
      <c r="AC507">
        <v>0.5</v>
      </c>
      <c r="AD507">
        <v>1</v>
      </c>
      <c r="AE507">
        <v>17</v>
      </c>
    </row>
    <row r="508" spans="1:31" x14ac:dyDescent="0.35">
      <c r="A508" s="14">
        <v>2.2999999999999998</v>
      </c>
      <c r="T508">
        <v>7.5</v>
      </c>
      <c r="U508">
        <v>15</v>
      </c>
      <c r="V508">
        <v>51</v>
      </c>
      <c r="AC508">
        <v>11.5</v>
      </c>
      <c r="AD508">
        <v>23</v>
      </c>
      <c r="AE508">
        <v>51</v>
      </c>
    </row>
    <row r="509" spans="1:31" x14ac:dyDescent="0.35">
      <c r="A509" s="37" t="s">
        <v>12</v>
      </c>
      <c r="T509">
        <v>3</v>
      </c>
      <c r="U509">
        <v>6</v>
      </c>
      <c r="V509">
        <v>17</v>
      </c>
      <c r="AC509">
        <v>4.5</v>
      </c>
      <c r="AD509">
        <v>9</v>
      </c>
      <c r="AE509">
        <v>17</v>
      </c>
    </row>
    <row r="510" spans="1:31" x14ac:dyDescent="0.35">
      <c r="A510" s="37" t="s">
        <v>6</v>
      </c>
      <c r="AC510">
        <v>1</v>
      </c>
      <c r="AD510">
        <v>2</v>
      </c>
      <c r="AE510">
        <v>17</v>
      </c>
    </row>
    <row r="511" spans="1:31" x14ac:dyDescent="0.35">
      <c r="A511" s="37" t="s">
        <v>3</v>
      </c>
      <c r="T511">
        <v>4</v>
      </c>
      <c r="U511">
        <v>8</v>
      </c>
      <c r="V511">
        <v>17</v>
      </c>
      <c r="AC511">
        <v>6</v>
      </c>
      <c r="AD511">
        <v>12</v>
      </c>
      <c r="AE511">
        <v>17</v>
      </c>
    </row>
    <row r="512" spans="1:31" x14ac:dyDescent="0.35">
      <c r="A512" s="37" t="s">
        <v>14</v>
      </c>
      <c r="T512">
        <v>0.5</v>
      </c>
      <c r="U512">
        <v>1</v>
      </c>
      <c r="V512">
        <v>17</v>
      </c>
    </row>
    <row r="513" spans="1:40" x14ac:dyDescent="0.35">
      <c r="A513" s="14">
        <v>2.4</v>
      </c>
      <c r="E513">
        <v>6.5</v>
      </c>
      <c r="F513">
        <v>13</v>
      </c>
      <c r="G513">
        <v>51</v>
      </c>
      <c r="T513">
        <v>9.5</v>
      </c>
      <c r="U513">
        <v>19</v>
      </c>
      <c r="V513">
        <v>51</v>
      </c>
      <c r="AC513">
        <v>11.5</v>
      </c>
      <c r="AD513">
        <v>23</v>
      </c>
      <c r="AE513">
        <v>51</v>
      </c>
    </row>
    <row r="514" spans="1:40" x14ac:dyDescent="0.35">
      <c r="A514" s="37" t="s">
        <v>12</v>
      </c>
      <c r="E514">
        <v>3.5</v>
      </c>
      <c r="F514">
        <v>7</v>
      </c>
      <c r="G514">
        <v>34</v>
      </c>
      <c r="T514">
        <v>4.5</v>
      </c>
      <c r="U514">
        <v>9</v>
      </c>
      <c r="V514">
        <v>17</v>
      </c>
      <c r="AC514">
        <v>7.0000000000000009</v>
      </c>
      <c r="AD514">
        <v>14</v>
      </c>
      <c r="AE514">
        <v>17</v>
      </c>
    </row>
    <row r="515" spans="1:40" x14ac:dyDescent="0.35">
      <c r="A515" s="37" t="s">
        <v>3</v>
      </c>
      <c r="T515">
        <v>1</v>
      </c>
      <c r="U515">
        <v>2</v>
      </c>
      <c r="V515">
        <v>17</v>
      </c>
      <c r="AC515">
        <v>1.5</v>
      </c>
      <c r="AD515">
        <v>3</v>
      </c>
      <c r="AE515">
        <v>17</v>
      </c>
    </row>
    <row r="516" spans="1:40" x14ac:dyDescent="0.35">
      <c r="A516" s="37" t="s">
        <v>98</v>
      </c>
      <c r="E516">
        <v>3</v>
      </c>
      <c r="F516">
        <v>6</v>
      </c>
      <c r="G516">
        <v>17</v>
      </c>
      <c r="T516">
        <v>4</v>
      </c>
      <c r="U516">
        <v>8</v>
      </c>
      <c r="V516">
        <v>17</v>
      </c>
      <c r="AC516">
        <v>3</v>
      </c>
      <c r="AD516">
        <v>6</v>
      </c>
      <c r="AE516">
        <v>17</v>
      </c>
    </row>
    <row r="517" spans="1:40" x14ac:dyDescent="0.35">
      <c r="A517" s="14">
        <v>3.1</v>
      </c>
      <c r="E517">
        <v>18</v>
      </c>
      <c r="F517">
        <v>36</v>
      </c>
      <c r="G517">
        <v>17</v>
      </c>
      <c r="T517">
        <v>51.5</v>
      </c>
      <c r="U517">
        <v>103</v>
      </c>
      <c r="V517">
        <v>17</v>
      </c>
      <c r="AC517">
        <v>40</v>
      </c>
      <c r="AD517">
        <v>80</v>
      </c>
      <c r="AE517">
        <v>17</v>
      </c>
    </row>
    <row r="518" spans="1:40" x14ac:dyDescent="0.35">
      <c r="A518" s="37" t="s">
        <v>3</v>
      </c>
      <c r="E518">
        <v>18</v>
      </c>
      <c r="F518">
        <v>36</v>
      </c>
      <c r="G518">
        <v>17</v>
      </c>
      <c r="T518">
        <v>51.5</v>
      </c>
      <c r="U518">
        <v>103</v>
      </c>
      <c r="V518">
        <v>17</v>
      </c>
      <c r="AC518">
        <v>40</v>
      </c>
      <c r="AD518">
        <v>80</v>
      </c>
      <c r="AE518">
        <v>17</v>
      </c>
    </row>
    <row r="519" spans="1:40" x14ac:dyDescent="0.35">
      <c r="A519" s="14">
        <v>3.2</v>
      </c>
      <c r="E519">
        <v>2</v>
      </c>
      <c r="F519">
        <v>4</v>
      </c>
      <c r="G519">
        <v>17</v>
      </c>
      <c r="AC519">
        <v>2.5</v>
      </c>
      <c r="AD519">
        <v>5</v>
      </c>
      <c r="AE519">
        <v>17</v>
      </c>
    </row>
    <row r="520" spans="1:40" x14ac:dyDescent="0.35">
      <c r="A520" s="37" t="s">
        <v>3</v>
      </c>
      <c r="E520">
        <v>2</v>
      </c>
      <c r="F520">
        <v>4</v>
      </c>
      <c r="G520">
        <v>17</v>
      </c>
      <c r="AC520">
        <v>2.5</v>
      </c>
      <c r="AD520">
        <v>5</v>
      </c>
      <c r="AE520">
        <v>17</v>
      </c>
    </row>
    <row r="521" spans="1:40" x14ac:dyDescent="0.35">
      <c r="A521" s="1" t="s">
        <v>105</v>
      </c>
      <c r="E521">
        <v>59.043478260869563</v>
      </c>
      <c r="F521">
        <v>98</v>
      </c>
      <c r="G521">
        <v>187</v>
      </c>
      <c r="T521">
        <v>157.17190625557544</v>
      </c>
      <c r="U521">
        <v>246</v>
      </c>
      <c r="V521">
        <v>510</v>
      </c>
      <c r="AC521">
        <v>170.83911741896611</v>
      </c>
      <c r="AD521">
        <v>254</v>
      </c>
      <c r="AE521">
        <v>578</v>
      </c>
      <c r="AI521">
        <v>154.58333019020483</v>
      </c>
      <c r="AJ521">
        <v>267</v>
      </c>
      <c r="AK521">
        <v>578</v>
      </c>
      <c r="AL521">
        <v>213.35447176936538</v>
      </c>
      <c r="AM521">
        <v>355</v>
      </c>
      <c r="AN521">
        <v>612</v>
      </c>
    </row>
    <row r="522" spans="1:40" x14ac:dyDescent="0.35">
      <c r="A522" s="14">
        <v>1.1000000000000001</v>
      </c>
      <c r="T522">
        <v>10</v>
      </c>
      <c r="U522">
        <v>20</v>
      </c>
      <c r="V522">
        <v>34</v>
      </c>
      <c r="AC522">
        <v>11.616161616161616</v>
      </c>
      <c r="AD522">
        <v>23</v>
      </c>
      <c r="AE522">
        <v>17</v>
      </c>
      <c r="AI522">
        <v>16</v>
      </c>
      <c r="AJ522">
        <v>32</v>
      </c>
      <c r="AK522">
        <v>34</v>
      </c>
      <c r="AL522">
        <v>23</v>
      </c>
      <c r="AM522">
        <v>46</v>
      </c>
      <c r="AN522">
        <v>17</v>
      </c>
    </row>
    <row r="523" spans="1:40" x14ac:dyDescent="0.35">
      <c r="A523" s="37" t="s">
        <v>12</v>
      </c>
      <c r="AI523">
        <v>1</v>
      </c>
      <c r="AJ523">
        <v>2</v>
      </c>
      <c r="AK523">
        <v>17</v>
      </c>
    </row>
    <row r="524" spans="1:40" x14ac:dyDescent="0.35">
      <c r="A524" s="37" t="s">
        <v>6</v>
      </c>
      <c r="T524">
        <v>8</v>
      </c>
      <c r="U524">
        <v>16</v>
      </c>
      <c r="V524">
        <v>17</v>
      </c>
      <c r="AC524">
        <v>11.616161616161616</v>
      </c>
      <c r="AD524">
        <v>23</v>
      </c>
      <c r="AE524">
        <v>17</v>
      </c>
      <c r="AI524">
        <v>15</v>
      </c>
      <c r="AJ524">
        <v>30</v>
      </c>
      <c r="AK524">
        <v>17</v>
      </c>
      <c r="AL524">
        <v>23</v>
      </c>
      <c r="AM524">
        <v>46</v>
      </c>
      <c r="AN524">
        <v>17</v>
      </c>
    </row>
    <row r="525" spans="1:40" x14ac:dyDescent="0.35">
      <c r="A525" s="37" t="s">
        <v>11</v>
      </c>
      <c r="T525">
        <v>2</v>
      </c>
      <c r="U525">
        <v>4</v>
      </c>
      <c r="V525">
        <v>17</v>
      </c>
    </row>
    <row r="526" spans="1:40" x14ac:dyDescent="0.35">
      <c r="A526" s="14">
        <v>1.2</v>
      </c>
      <c r="T526">
        <v>1.5</v>
      </c>
      <c r="U526">
        <v>3</v>
      </c>
      <c r="V526">
        <v>17</v>
      </c>
      <c r="AC526">
        <v>1.0101010101010102</v>
      </c>
      <c r="AD526">
        <v>2</v>
      </c>
      <c r="AE526">
        <v>17</v>
      </c>
      <c r="AI526">
        <v>0.5</v>
      </c>
      <c r="AJ526">
        <v>1</v>
      </c>
      <c r="AK526">
        <v>17</v>
      </c>
      <c r="AL526">
        <v>4.5</v>
      </c>
      <c r="AM526">
        <v>9</v>
      </c>
      <c r="AN526">
        <v>34</v>
      </c>
    </row>
    <row r="527" spans="1:40" x14ac:dyDescent="0.35">
      <c r="A527" s="37" t="s">
        <v>6</v>
      </c>
      <c r="AL527">
        <v>2.5</v>
      </c>
      <c r="AM527">
        <v>5</v>
      </c>
      <c r="AN527">
        <v>17</v>
      </c>
    </row>
    <row r="528" spans="1:40" x14ac:dyDescent="0.35">
      <c r="A528" s="37" t="s">
        <v>11</v>
      </c>
      <c r="T528">
        <v>1.5</v>
      </c>
      <c r="U528">
        <v>3</v>
      </c>
      <c r="V528">
        <v>17</v>
      </c>
      <c r="AC528">
        <v>1.0101010101010102</v>
      </c>
      <c r="AD528">
        <v>2</v>
      </c>
      <c r="AE528">
        <v>17</v>
      </c>
      <c r="AI528">
        <v>0.5</v>
      </c>
      <c r="AJ528">
        <v>1</v>
      </c>
      <c r="AK528">
        <v>17</v>
      </c>
      <c r="AL528">
        <v>2</v>
      </c>
      <c r="AM528">
        <v>4</v>
      </c>
      <c r="AN528">
        <v>17</v>
      </c>
    </row>
    <row r="529" spans="1:40" x14ac:dyDescent="0.35">
      <c r="A529" s="14">
        <v>1.3</v>
      </c>
      <c r="T529">
        <v>4</v>
      </c>
      <c r="U529">
        <v>8</v>
      </c>
      <c r="V529">
        <v>17</v>
      </c>
      <c r="AC529">
        <v>3.0303030303030303</v>
      </c>
      <c r="AD529">
        <v>6</v>
      </c>
      <c r="AE529">
        <v>17</v>
      </c>
      <c r="AI529">
        <v>4.5</v>
      </c>
      <c r="AJ529">
        <v>9</v>
      </c>
      <c r="AK529">
        <v>17</v>
      </c>
      <c r="AL529">
        <v>2.5</v>
      </c>
      <c r="AM529">
        <v>5</v>
      </c>
      <c r="AN529">
        <v>17</v>
      </c>
    </row>
    <row r="530" spans="1:40" x14ac:dyDescent="0.35">
      <c r="A530" s="37" t="s">
        <v>11</v>
      </c>
      <c r="T530">
        <v>4</v>
      </c>
      <c r="U530">
        <v>8</v>
      </c>
      <c r="V530">
        <v>17</v>
      </c>
      <c r="AC530">
        <v>3.0303030303030303</v>
      </c>
      <c r="AD530">
        <v>6</v>
      </c>
      <c r="AE530">
        <v>17</v>
      </c>
      <c r="AI530">
        <v>4.5</v>
      </c>
      <c r="AJ530">
        <v>9</v>
      </c>
      <c r="AK530">
        <v>17</v>
      </c>
      <c r="AL530">
        <v>2.5</v>
      </c>
      <c r="AM530">
        <v>5</v>
      </c>
      <c r="AN530">
        <v>17</v>
      </c>
    </row>
    <row r="531" spans="1:40" x14ac:dyDescent="0.35">
      <c r="A531" s="14">
        <v>1.5</v>
      </c>
      <c r="T531">
        <v>1.5</v>
      </c>
      <c r="U531">
        <v>3</v>
      </c>
      <c r="V531">
        <v>17</v>
      </c>
      <c r="AC531">
        <v>1.5151515151515151</v>
      </c>
      <c r="AD531">
        <v>3</v>
      </c>
      <c r="AE531">
        <v>17</v>
      </c>
      <c r="AI531">
        <v>1</v>
      </c>
      <c r="AJ531">
        <v>2</v>
      </c>
      <c r="AK531">
        <v>17</v>
      </c>
      <c r="AL531">
        <v>3</v>
      </c>
      <c r="AM531">
        <v>6</v>
      </c>
      <c r="AN531">
        <v>34</v>
      </c>
    </row>
    <row r="532" spans="1:40" x14ac:dyDescent="0.35">
      <c r="A532" s="37" t="s">
        <v>31</v>
      </c>
      <c r="AI532">
        <v>1</v>
      </c>
      <c r="AJ532">
        <v>2</v>
      </c>
      <c r="AK532">
        <v>17</v>
      </c>
      <c r="AL532">
        <v>1.5</v>
      </c>
      <c r="AM532">
        <v>3</v>
      </c>
      <c r="AN532">
        <v>17</v>
      </c>
    </row>
    <row r="533" spans="1:40" x14ac:dyDescent="0.35">
      <c r="A533" s="37" t="s">
        <v>11</v>
      </c>
      <c r="T533">
        <v>1.5</v>
      </c>
      <c r="U533">
        <v>3</v>
      </c>
      <c r="V533">
        <v>17</v>
      </c>
      <c r="AC533">
        <v>1.5151515151515151</v>
      </c>
      <c r="AD533">
        <v>3</v>
      </c>
      <c r="AE533">
        <v>17</v>
      </c>
      <c r="AL533">
        <v>1.5</v>
      </c>
      <c r="AM533">
        <v>3</v>
      </c>
      <c r="AN533">
        <v>17</v>
      </c>
    </row>
    <row r="534" spans="1:40" x14ac:dyDescent="0.35">
      <c r="A534" s="14">
        <v>1.6</v>
      </c>
      <c r="T534">
        <v>6.8965517241379306</v>
      </c>
      <c r="U534">
        <v>12</v>
      </c>
      <c r="V534">
        <v>34</v>
      </c>
      <c r="AC534">
        <v>3.5087719298245612</v>
      </c>
      <c r="AD534">
        <v>6</v>
      </c>
      <c r="AE534">
        <v>34</v>
      </c>
      <c r="AI534">
        <v>5.8479532163742682</v>
      </c>
      <c r="AJ534">
        <v>10</v>
      </c>
      <c r="AK534">
        <v>34</v>
      </c>
      <c r="AL534">
        <v>3.5714285714285712</v>
      </c>
      <c r="AM534">
        <v>6</v>
      </c>
      <c r="AN534">
        <v>34</v>
      </c>
    </row>
    <row r="535" spans="1:40" x14ac:dyDescent="0.35">
      <c r="A535" s="37" t="s">
        <v>31</v>
      </c>
      <c r="T535">
        <v>4.5977011494252871</v>
      </c>
      <c r="U535">
        <v>8</v>
      </c>
      <c r="V535">
        <v>17</v>
      </c>
      <c r="AI535">
        <v>2.9239766081871341</v>
      </c>
      <c r="AJ535">
        <v>5</v>
      </c>
      <c r="AK535">
        <v>17</v>
      </c>
      <c r="AL535">
        <v>0.59523809523809523</v>
      </c>
      <c r="AM535">
        <v>1</v>
      </c>
      <c r="AN535">
        <v>17</v>
      </c>
    </row>
    <row r="536" spans="1:40" x14ac:dyDescent="0.35">
      <c r="A536" s="37" t="s">
        <v>6</v>
      </c>
      <c r="AC536">
        <v>1.7543859649122806</v>
      </c>
      <c r="AD536">
        <v>3</v>
      </c>
      <c r="AE536">
        <v>17</v>
      </c>
    </row>
    <row r="537" spans="1:40" x14ac:dyDescent="0.35">
      <c r="A537" s="37" t="s">
        <v>11</v>
      </c>
      <c r="T537">
        <v>2.2988505747126435</v>
      </c>
      <c r="U537">
        <v>4</v>
      </c>
      <c r="V537">
        <v>17</v>
      </c>
      <c r="AC537">
        <v>1.7543859649122806</v>
      </c>
      <c r="AD537">
        <v>3</v>
      </c>
      <c r="AE537">
        <v>17</v>
      </c>
      <c r="AI537">
        <v>2.9239766081871341</v>
      </c>
      <c r="AJ537">
        <v>5</v>
      </c>
      <c r="AK537">
        <v>17</v>
      </c>
      <c r="AL537">
        <v>2.9761904761904758</v>
      </c>
      <c r="AM537">
        <v>5</v>
      </c>
      <c r="AN537">
        <v>17</v>
      </c>
    </row>
    <row r="538" spans="1:40" x14ac:dyDescent="0.35">
      <c r="A538" s="14">
        <v>2.1</v>
      </c>
      <c r="T538">
        <v>10.256410256410255</v>
      </c>
      <c r="U538">
        <v>8</v>
      </c>
      <c r="V538">
        <v>17</v>
      </c>
      <c r="AC538">
        <v>5.5555555555555554</v>
      </c>
      <c r="AD538">
        <v>11</v>
      </c>
      <c r="AE538">
        <v>68</v>
      </c>
      <c r="AI538">
        <v>4.5</v>
      </c>
      <c r="AJ538">
        <v>9</v>
      </c>
      <c r="AK538">
        <v>34</v>
      </c>
      <c r="AL538">
        <v>13</v>
      </c>
      <c r="AM538">
        <v>26</v>
      </c>
      <c r="AN538">
        <v>34</v>
      </c>
    </row>
    <row r="539" spans="1:40" x14ac:dyDescent="0.35">
      <c r="A539" s="37" t="s">
        <v>12</v>
      </c>
      <c r="AC539">
        <v>1.5151515151515151</v>
      </c>
      <c r="AD539">
        <v>3</v>
      </c>
      <c r="AE539">
        <v>17</v>
      </c>
      <c r="AI539">
        <v>2</v>
      </c>
      <c r="AJ539">
        <v>4</v>
      </c>
      <c r="AK539">
        <v>17</v>
      </c>
      <c r="AL539">
        <v>2.5</v>
      </c>
      <c r="AM539">
        <v>5</v>
      </c>
      <c r="AN539">
        <v>17</v>
      </c>
    </row>
    <row r="540" spans="1:40" x14ac:dyDescent="0.35">
      <c r="A540" s="37" t="s">
        <v>6</v>
      </c>
      <c r="AC540">
        <v>0.50505050505050508</v>
      </c>
      <c r="AD540">
        <v>1</v>
      </c>
      <c r="AE540">
        <v>17</v>
      </c>
      <c r="AI540">
        <v>2.5</v>
      </c>
      <c r="AJ540">
        <v>5</v>
      </c>
      <c r="AK540">
        <v>17</v>
      </c>
      <c r="AL540">
        <v>10.5</v>
      </c>
      <c r="AM540">
        <v>21</v>
      </c>
      <c r="AN540">
        <v>17</v>
      </c>
    </row>
    <row r="541" spans="1:40" x14ac:dyDescent="0.35">
      <c r="A541" s="37" t="s">
        <v>3</v>
      </c>
      <c r="T541">
        <v>10.256410256410255</v>
      </c>
      <c r="U541">
        <v>8</v>
      </c>
      <c r="V541">
        <v>17</v>
      </c>
    </row>
    <row r="542" spans="1:40" x14ac:dyDescent="0.35">
      <c r="A542" s="37" t="s">
        <v>11</v>
      </c>
      <c r="AC542">
        <v>2.5252525252525251</v>
      </c>
      <c r="AD542">
        <v>5</v>
      </c>
      <c r="AE542">
        <v>17</v>
      </c>
    </row>
    <row r="543" spans="1:40" x14ac:dyDescent="0.35">
      <c r="A543" s="37" t="s">
        <v>98</v>
      </c>
      <c r="AC543">
        <v>1.0101010101010102</v>
      </c>
      <c r="AD543">
        <v>2</v>
      </c>
      <c r="AE543">
        <v>17</v>
      </c>
    </row>
    <row r="544" spans="1:40" x14ac:dyDescent="0.35">
      <c r="A544" s="14">
        <v>2.2000000000000002</v>
      </c>
      <c r="T544">
        <v>7</v>
      </c>
      <c r="U544">
        <v>14</v>
      </c>
      <c r="V544">
        <v>34</v>
      </c>
      <c r="AC544">
        <v>2.0202020202020203</v>
      </c>
      <c r="AD544">
        <v>4</v>
      </c>
      <c r="AE544">
        <v>17</v>
      </c>
      <c r="AI544">
        <v>0.5</v>
      </c>
      <c r="AJ544">
        <v>1</v>
      </c>
      <c r="AK544">
        <v>17</v>
      </c>
      <c r="AL544">
        <v>5.5</v>
      </c>
      <c r="AM544">
        <v>11</v>
      </c>
      <c r="AN544">
        <v>51</v>
      </c>
    </row>
    <row r="545" spans="1:40" x14ac:dyDescent="0.35">
      <c r="A545" s="37" t="s">
        <v>31</v>
      </c>
      <c r="T545">
        <v>2.5</v>
      </c>
      <c r="U545">
        <v>5</v>
      </c>
      <c r="V545">
        <v>17</v>
      </c>
    </row>
    <row r="546" spans="1:40" x14ac:dyDescent="0.35">
      <c r="A546" s="37" t="s">
        <v>6</v>
      </c>
      <c r="AI546">
        <v>0.5</v>
      </c>
      <c r="AJ546">
        <v>1</v>
      </c>
      <c r="AK546">
        <v>17</v>
      </c>
      <c r="AL546">
        <v>4</v>
      </c>
      <c r="AM546">
        <v>8</v>
      </c>
      <c r="AN546">
        <v>17</v>
      </c>
    </row>
    <row r="547" spans="1:40" x14ac:dyDescent="0.35">
      <c r="A547" s="37" t="s">
        <v>3</v>
      </c>
      <c r="AL547">
        <v>0.5</v>
      </c>
      <c r="AM547">
        <v>1</v>
      </c>
      <c r="AN547">
        <v>17</v>
      </c>
    </row>
    <row r="548" spans="1:40" x14ac:dyDescent="0.35">
      <c r="A548" s="37" t="s">
        <v>11</v>
      </c>
      <c r="T548">
        <v>4.5</v>
      </c>
      <c r="U548">
        <v>9</v>
      </c>
      <c r="V548">
        <v>17</v>
      </c>
      <c r="AC548">
        <v>2.0202020202020203</v>
      </c>
      <c r="AD548">
        <v>4</v>
      </c>
      <c r="AE548">
        <v>17</v>
      </c>
      <c r="AL548">
        <v>1</v>
      </c>
      <c r="AM548">
        <v>2</v>
      </c>
      <c r="AN548">
        <v>17</v>
      </c>
    </row>
    <row r="549" spans="1:40" x14ac:dyDescent="0.35">
      <c r="A549" s="14">
        <v>2.2999999999999998</v>
      </c>
      <c r="T549">
        <v>1</v>
      </c>
      <c r="U549">
        <v>2</v>
      </c>
      <c r="V549">
        <v>17</v>
      </c>
      <c r="AC549">
        <v>1.5</v>
      </c>
      <c r="AD549">
        <v>3</v>
      </c>
      <c r="AE549">
        <v>17</v>
      </c>
      <c r="AI549">
        <v>2.5</v>
      </c>
      <c r="AJ549">
        <v>5</v>
      </c>
      <c r="AK549">
        <v>17</v>
      </c>
      <c r="AL549">
        <v>4</v>
      </c>
      <c r="AM549">
        <v>8</v>
      </c>
      <c r="AN549">
        <v>34</v>
      </c>
    </row>
    <row r="550" spans="1:40" x14ac:dyDescent="0.35">
      <c r="A550" s="37" t="s">
        <v>12</v>
      </c>
      <c r="AC550">
        <v>1.5</v>
      </c>
      <c r="AD550">
        <v>3</v>
      </c>
      <c r="AE550">
        <v>17</v>
      </c>
      <c r="AI550">
        <v>2.5</v>
      </c>
      <c r="AJ550">
        <v>5</v>
      </c>
      <c r="AK550">
        <v>17</v>
      </c>
      <c r="AL550">
        <v>2.5</v>
      </c>
      <c r="AM550">
        <v>5</v>
      </c>
      <c r="AN550">
        <v>17</v>
      </c>
    </row>
    <row r="551" spans="1:40" x14ac:dyDescent="0.35">
      <c r="A551" s="37" t="s">
        <v>6</v>
      </c>
      <c r="AL551">
        <v>1.5</v>
      </c>
      <c r="AM551">
        <v>3</v>
      </c>
      <c r="AN551">
        <v>17</v>
      </c>
    </row>
    <row r="552" spans="1:40" x14ac:dyDescent="0.35">
      <c r="A552" s="37" t="s">
        <v>11</v>
      </c>
      <c r="T552">
        <v>1</v>
      </c>
      <c r="U552">
        <v>2</v>
      </c>
      <c r="V552">
        <v>17</v>
      </c>
    </row>
    <row r="553" spans="1:40" x14ac:dyDescent="0.35">
      <c r="A553" s="14">
        <v>2.5</v>
      </c>
      <c r="AC553">
        <v>2.0202020202020203</v>
      </c>
      <c r="AD553">
        <v>4</v>
      </c>
      <c r="AE553">
        <v>17</v>
      </c>
      <c r="AL553">
        <v>3</v>
      </c>
      <c r="AM553">
        <v>6</v>
      </c>
      <c r="AN553">
        <v>17</v>
      </c>
    </row>
    <row r="554" spans="1:40" x14ac:dyDescent="0.35">
      <c r="A554" s="37" t="s">
        <v>11</v>
      </c>
      <c r="AC554">
        <v>2.0202020202020203</v>
      </c>
      <c r="AD554">
        <v>4</v>
      </c>
      <c r="AE554">
        <v>17</v>
      </c>
      <c r="AL554">
        <v>3</v>
      </c>
      <c r="AM554">
        <v>6</v>
      </c>
      <c r="AN554">
        <v>17</v>
      </c>
    </row>
    <row r="555" spans="1:40" x14ac:dyDescent="0.35">
      <c r="A555" s="14">
        <v>2.6</v>
      </c>
      <c r="T555">
        <v>1.5</v>
      </c>
      <c r="U555">
        <v>3</v>
      </c>
      <c r="V555">
        <v>17</v>
      </c>
      <c r="AC555">
        <v>3.5353535353535355</v>
      </c>
      <c r="AD555">
        <v>7</v>
      </c>
      <c r="AE555">
        <v>34</v>
      </c>
      <c r="AI555">
        <v>7.0000000000000009</v>
      </c>
      <c r="AJ555">
        <v>14</v>
      </c>
      <c r="AK555">
        <v>17</v>
      </c>
      <c r="AL555">
        <v>5.5</v>
      </c>
      <c r="AM555">
        <v>11</v>
      </c>
      <c r="AN555">
        <v>17</v>
      </c>
    </row>
    <row r="556" spans="1:40" x14ac:dyDescent="0.35">
      <c r="A556" s="37" t="s">
        <v>31</v>
      </c>
      <c r="AC556">
        <v>2.0202020202020203</v>
      </c>
      <c r="AD556">
        <v>4</v>
      </c>
      <c r="AE556">
        <v>17</v>
      </c>
    </row>
    <row r="557" spans="1:40" x14ac:dyDescent="0.35">
      <c r="A557" s="37" t="s">
        <v>11</v>
      </c>
      <c r="T557">
        <v>1.5</v>
      </c>
      <c r="U557">
        <v>3</v>
      </c>
      <c r="V557">
        <v>17</v>
      </c>
      <c r="AC557">
        <v>1.5151515151515151</v>
      </c>
      <c r="AD557">
        <v>3</v>
      </c>
      <c r="AE557">
        <v>17</v>
      </c>
      <c r="AI557">
        <v>7.0000000000000009</v>
      </c>
      <c r="AJ557">
        <v>14</v>
      </c>
      <c r="AK557">
        <v>17</v>
      </c>
      <c r="AL557">
        <v>5.5</v>
      </c>
      <c r="AM557">
        <v>11</v>
      </c>
      <c r="AN557">
        <v>17</v>
      </c>
    </row>
    <row r="558" spans="1:40" x14ac:dyDescent="0.35">
      <c r="A558" s="14">
        <v>2.7</v>
      </c>
      <c r="T558">
        <v>5</v>
      </c>
      <c r="U558">
        <v>10</v>
      </c>
      <c r="V558">
        <v>51</v>
      </c>
      <c r="AC558">
        <v>9.0909090909090917</v>
      </c>
      <c r="AD558">
        <v>7</v>
      </c>
      <c r="AE558">
        <v>17</v>
      </c>
      <c r="AI558">
        <v>14.285714285714285</v>
      </c>
      <c r="AJ558">
        <v>11</v>
      </c>
      <c r="AK558">
        <v>34</v>
      </c>
      <c r="AL558">
        <v>1.3333333333333335</v>
      </c>
      <c r="AM558">
        <v>1</v>
      </c>
      <c r="AN558">
        <v>17</v>
      </c>
    </row>
    <row r="559" spans="1:40" x14ac:dyDescent="0.35">
      <c r="A559" s="37" t="s">
        <v>12</v>
      </c>
      <c r="T559">
        <v>1.5</v>
      </c>
      <c r="U559">
        <v>3</v>
      </c>
      <c r="V559">
        <v>17</v>
      </c>
    </row>
    <row r="560" spans="1:40" x14ac:dyDescent="0.35">
      <c r="A560" s="37" t="s">
        <v>3</v>
      </c>
      <c r="AC560">
        <v>9.0909090909090917</v>
      </c>
      <c r="AD560">
        <v>7</v>
      </c>
      <c r="AE560">
        <v>17</v>
      </c>
      <c r="AI560">
        <v>11.688311688311687</v>
      </c>
      <c r="AJ560">
        <v>9</v>
      </c>
      <c r="AK560">
        <v>17</v>
      </c>
    </row>
    <row r="561" spans="1:40" x14ac:dyDescent="0.35">
      <c r="A561" s="37" t="s">
        <v>11</v>
      </c>
      <c r="T561">
        <v>2.5</v>
      </c>
      <c r="U561">
        <v>5</v>
      </c>
      <c r="V561">
        <v>17</v>
      </c>
      <c r="AI561">
        <v>2.5974025974025974</v>
      </c>
      <c r="AJ561">
        <v>2</v>
      </c>
      <c r="AK561">
        <v>17</v>
      </c>
      <c r="AL561">
        <v>1.3333333333333335</v>
      </c>
      <c r="AM561">
        <v>1</v>
      </c>
      <c r="AN561">
        <v>17</v>
      </c>
    </row>
    <row r="562" spans="1:40" x14ac:dyDescent="0.35">
      <c r="A562" s="37" t="s">
        <v>98</v>
      </c>
      <c r="T562">
        <v>1</v>
      </c>
      <c r="U562">
        <v>2</v>
      </c>
      <c r="V562">
        <v>17</v>
      </c>
    </row>
    <row r="563" spans="1:40" x14ac:dyDescent="0.35">
      <c r="A563" s="14">
        <v>3.1</v>
      </c>
      <c r="E563">
        <v>0.5</v>
      </c>
      <c r="F563">
        <v>1</v>
      </c>
      <c r="G563">
        <v>17</v>
      </c>
      <c r="T563">
        <v>3</v>
      </c>
      <c r="U563">
        <v>6</v>
      </c>
      <c r="V563">
        <v>34</v>
      </c>
      <c r="AC563">
        <v>6</v>
      </c>
      <c r="AD563">
        <v>12</v>
      </c>
      <c r="AE563">
        <v>68</v>
      </c>
      <c r="AI563">
        <v>20.5</v>
      </c>
      <c r="AJ563">
        <v>41</v>
      </c>
      <c r="AK563">
        <v>51</v>
      </c>
      <c r="AL563">
        <v>28</v>
      </c>
      <c r="AM563">
        <v>56</v>
      </c>
      <c r="AN563">
        <v>51</v>
      </c>
    </row>
    <row r="564" spans="1:40" x14ac:dyDescent="0.35">
      <c r="A564" s="37" t="s">
        <v>12</v>
      </c>
      <c r="AC564">
        <v>2</v>
      </c>
      <c r="AD564">
        <v>4</v>
      </c>
      <c r="AE564">
        <v>17</v>
      </c>
      <c r="AI564">
        <v>2</v>
      </c>
      <c r="AJ564">
        <v>4</v>
      </c>
      <c r="AK564">
        <v>17</v>
      </c>
      <c r="AL564">
        <v>2</v>
      </c>
      <c r="AM564">
        <v>4</v>
      </c>
      <c r="AN564">
        <v>17</v>
      </c>
    </row>
    <row r="565" spans="1:40" x14ac:dyDescent="0.35">
      <c r="A565" s="37" t="s">
        <v>6</v>
      </c>
      <c r="T565">
        <v>2</v>
      </c>
      <c r="U565">
        <v>4</v>
      </c>
      <c r="V565">
        <v>17</v>
      </c>
      <c r="AC565">
        <v>2.5</v>
      </c>
      <c r="AD565">
        <v>5</v>
      </c>
      <c r="AE565">
        <v>17</v>
      </c>
      <c r="AI565">
        <v>14.499999999999998</v>
      </c>
      <c r="AJ565">
        <v>29</v>
      </c>
      <c r="AK565">
        <v>17</v>
      </c>
      <c r="AL565">
        <v>22.5</v>
      </c>
      <c r="AM565">
        <v>45</v>
      </c>
      <c r="AN565">
        <v>17</v>
      </c>
    </row>
    <row r="566" spans="1:40" x14ac:dyDescent="0.35">
      <c r="A566" s="37" t="s">
        <v>3</v>
      </c>
      <c r="AC566">
        <v>1</v>
      </c>
      <c r="AD566">
        <v>2</v>
      </c>
      <c r="AE566">
        <v>17</v>
      </c>
    </row>
    <row r="567" spans="1:40" x14ac:dyDescent="0.35">
      <c r="A567" s="37" t="s">
        <v>11</v>
      </c>
      <c r="E567">
        <v>0.5</v>
      </c>
      <c r="F567">
        <v>1</v>
      </c>
      <c r="G567">
        <v>17</v>
      </c>
      <c r="T567">
        <v>1</v>
      </c>
      <c r="U567">
        <v>2</v>
      </c>
      <c r="V567">
        <v>17</v>
      </c>
      <c r="AC567">
        <v>0.5</v>
      </c>
      <c r="AD567">
        <v>1</v>
      </c>
      <c r="AE567">
        <v>17</v>
      </c>
      <c r="AI567">
        <v>4</v>
      </c>
      <c r="AJ567">
        <v>8</v>
      </c>
      <c r="AK567">
        <v>17</v>
      </c>
      <c r="AL567">
        <v>3.5000000000000004</v>
      </c>
      <c r="AM567">
        <v>7</v>
      </c>
      <c r="AN567">
        <v>17</v>
      </c>
    </row>
    <row r="568" spans="1:40" x14ac:dyDescent="0.35">
      <c r="A568" s="14">
        <v>3.2</v>
      </c>
      <c r="E568">
        <v>6.5</v>
      </c>
      <c r="F568">
        <v>13</v>
      </c>
      <c r="G568">
        <v>34</v>
      </c>
      <c r="T568">
        <v>8.5</v>
      </c>
      <c r="U568">
        <v>17</v>
      </c>
      <c r="V568">
        <v>51</v>
      </c>
      <c r="AC568">
        <v>10</v>
      </c>
      <c r="AD568">
        <v>20</v>
      </c>
      <c r="AE568">
        <v>68</v>
      </c>
      <c r="AI568">
        <v>11.5</v>
      </c>
      <c r="AJ568">
        <v>23</v>
      </c>
      <c r="AK568">
        <v>68</v>
      </c>
      <c r="AL568">
        <v>13</v>
      </c>
      <c r="AM568">
        <v>26</v>
      </c>
      <c r="AN568">
        <v>34</v>
      </c>
    </row>
    <row r="569" spans="1:40" x14ac:dyDescent="0.35">
      <c r="A569" s="37" t="s">
        <v>31</v>
      </c>
      <c r="E569">
        <v>1</v>
      </c>
      <c r="F569">
        <v>2</v>
      </c>
      <c r="G569">
        <v>17</v>
      </c>
      <c r="T569">
        <v>1.5</v>
      </c>
      <c r="U569">
        <v>3</v>
      </c>
      <c r="V569">
        <v>17</v>
      </c>
      <c r="AC569">
        <v>2</v>
      </c>
      <c r="AD569">
        <v>4</v>
      </c>
      <c r="AE569">
        <v>17</v>
      </c>
      <c r="AI569">
        <v>0.5</v>
      </c>
      <c r="AJ569">
        <v>1</v>
      </c>
      <c r="AK569">
        <v>17</v>
      </c>
    </row>
    <row r="570" spans="1:40" x14ac:dyDescent="0.35">
      <c r="A570" s="37" t="s">
        <v>12</v>
      </c>
      <c r="T570">
        <v>0.5</v>
      </c>
      <c r="U570">
        <v>1</v>
      </c>
      <c r="V570">
        <v>17</v>
      </c>
      <c r="AC570">
        <v>3</v>
      </c>
      <c r="AD570">
        <v>6</v>
      </c>
      <c r="AE570">
        <v>17</v>
      </c>
      <c r="AI570">
        <v>8</v>
      </c>
      <c r="AJ570">
        <v>16</v>
      </c>
      <c r="AK570">
        <v>17</v>
      </c>
      <c r="AL570">
        <v>11</v>
      </c>
      <c r="AM570">
        <v>22</v>
      </c>
      <c r="AN570">
        <v>17</v>
      </c>
    </row>
    <row r="571" spans="1:40" x14ac:dyDescent="0.35">
      <c r="A571" s="37" t="s">
        <v>3</v>
      </c>
      <c r="AC571">
        <v>1</v>
      </c>
      <c r="AD571">
        <v>2</v>
      </c>
      <c r="AE571">
        <v>17</v>
      </c>
      <c r="AI571">
        <v>1</v>
      </c>
      <c r="AJ571">
        <v>2</v>
      </c>
      <c r="AK571">
        <v>17</v>
      </c>
    </row>
    <row r="572" spans="1:40" x14ac:dyDescent="0.35">
      <c r="A572" s="37" t="s">
        <v>11</v>
      </c>
      <c r="E572">
        <v>5.5</v>
      </c>
      <c r="F572">
        <v>11</v>
      </c>
      <c r="G572">
        <v>17</v>
      </c>
      <c r="T572">
        <v>6.5</v>
      </c>
      <c r="U572">
        <v>13</v>
      </c>
      <c r="V572">
        <v>17</v>
      </c>
      <c r="AC572">
        <v>4</v>
      </c>
      <c r="AD572">
        <v>8</v>
      </c>
      <c r="AE572">
        <v>17</v>
      </c>
      <c r="AI572">
        <v>2</v>
      </c>
      <c r="AJ572">
        <v>4</v>
      </c>
      <c r="AK572">
        <v>17</v>
      </c>
      <c r="AL572">
        <v>2</v>
      </c>
      <c r="AM572">
        <v>4</v>
      </c>
      <c r="AN572">
        <v>17</v>
      </c>
    </row>
    <row r="573" spans="1:40" x14ac:dyDescent="0.35">
      <c r="A573" s="14">
        <v>3.3</v>
      </c>
      <c r="E573">
        <v>0.5</v>
      </c>
      <c r="F573">
        <v>1</v>
      </c>
      <c r="G573">
        <v>17</v>
      </c>
      <c r="T573">
        <v>4</v>
      </c>
      <c r="U573">
        <v>8</v>
      </c>
      <c r="V573">
        <v>17</v>
      </c>
      <c r="AC573">
        <v>2</v>
      </c>
      <c r="AD573">
        <v>4</v>
      </c>
      <c r="AE573">
        <v>17</v>
      </c>
      <c r="AI573">
        <v>3</v>
      </c>
      <c r="AJ573">
        <v>6</v>
      </c>
      <c r="AK573">
        <v>34</v>
      </c>
      <c r="AL573">
        <v>3</v>
      </c>
      <c r="AM573">
        <v>6</v>
      </c>
      <c r="AN573">
        <v>34</v>
      </c>
    </row>
    <row r="574" spans="1:40" x14ac:dyDescent="0.35">
      <c r="A574" s="37" t="s">
        <v>12</v>
      </c>
      <c r="AI574">
        <v>0.5</v>
      </c>
      <c r="AJ574">
        <v>1</v>
      </c>
      <c r="AK574">
        <v>17</v>
      </c>
      <c r="AL574">
        <v>1</v>
      </c>
      <c r="AM574">
        <v>2</v>
      </c>
      <c r="AN574">
        <v>17</v>
      </c>
    </row>
    <row r="575" spans="1:40" x14ac:dyDescent="0.35">
      <c r="A575" s="37" t="s">
        <v>11</v>
      </c>
      <c r="E575">
        <v>0.5</v>
      </c>
      <c r="F575">
        <v>1</v>
      </c>
      <c r="G575">
        <v>17</v>
      </c>
      <c r="T575">
        <v>4</v>
      </c>
      <c r="U575">
        <v>8</v>
      </c>
      <c r="V575">
        <v>17</v>
      </c>
      <c r="AC575">
        <v>2</v>
      </c>
      <c r="AD575">
        <v>4</v>
      </c>
      <c r="AE575">
        <v>17</v>
      </c>
      <c r="AI575">
        <v>2.5</v>
      </c>
      <c r="AJ575">
        <v>5</v>
      </c>
      <c r="AK575">
        <v>17</v>
      </c>
      <c r="AL575">
        <v>2</v>
      </c>
      <c r="AM575">
        <v>4</v>
      </c>
      <c r="AN575">
        <v>17</v>
      </c>
    </row>
    <row r="576" spans="1:40" x14ac:dyDescent="0.35">
      <c r="A576" s="14">
        <v>3.4</v>
      </c>
      <c r="E576">
        <v>9</v>
      </c>
      <c r="F576">
        <v>18</v>
      </c>
      <c r="G576">
        <v>17</v>
      </c>
      <c r="T576">
        <v>9</v>
      </c>
      <c r="U576">
        <v>18</v>
      </c>
      <c r="V576">
        <v>17</v>
      </c>
      <c r="AC576">
        <v>10</v>
      </c>
      <c r="AD576">
        <v>20</v>
      </c>
      <c r="AE576">
        <v>17</v>
      </c>
      <c r="AI576">
        <v>5</v>
      </c>
      <c r="AJ576">
        <v>10</v>
      </c>
      <c r="AK576">
        <v>17</v>
      </c>
      <c r="AL576">
        <v>4.5</v>
      </c>
      <c r="AM576">
        <v>9</v>
      </c>
      <c r="AN576">
        <v>17</v>
      </c>
    </row>
    <row r="577" spans="1:40" x14ac:dyDescent="0.35">
      <c r="A577" s="37" t="s">
        <v>11</v>
      </c>
      <c r="E577">
        <v>9</v>
      </c>
      <c r="F577">
        <v>18</v>
      </c>
      <c r="G577">
        <v>17</v>
      </c>
      <c r="T577">
        <v>9</v>
      </c>
      <c r="U577">
        <v>18</v>
      </c>
      <c r="V577">
        <v>17</v>
      </c>
      <c r="AC577">
        <v>10</v>
      </c>
      <c r="AD577">
        <v>20</v>
      </c>
      <c r="AE577">
        <v>17</v>
      </c>
      <c r="AI577">
        <v>5</v>
      </c>
      <c r="AJ577">
        <v>10</v>
      </c>
      <c r="AK577">
        <v>17</v>
      </c>
      <c r="AL577">
        <v>4.5</v>
      </c>
      <c r="AM577">
        <v>9</v>
      </c>
      <c r="AN577">
        <v>17</v>
      </c>
    </row>
    <row r="578" spans="1:40" x14ac:dyDescent="0.35">
      <c r="A578" s="14">
        <v>3.5</v>
      </c>
      <c r="E578">
        <v>2</v>
      </c>
      <c r="F578">
        <v>4</v>
      </c>
      <c r="G578">
        <v>17</v>
      </c>
      <c r="T578">
        <v>3.5000000000000004</v>
      </c>
      <c r="U578">
        <v>7</v>
      </c>
      <c r="V578">
        <v>17</v>
      </c>
      <c r="AC578">
        <v>4.5</v>
      </c>
      <c r="AD578">
        <v>9</v>
      </c>
      <c r="AE578">
        <v>17</v>
      </c>
      <c r="AI578">
        <v>2</v>
      </c>
      <c r="AJ578">
        <v>4</v>
      </c>
      <c r="AK578">
        <v>17</v>
      </c>
      <c r="AL578">
        <v>2</v>
      </c>
      <c r="AM578">
        <v>4</v>
      </c>
      <c r="AN578">
        <v>17</v>
      </c>
    </row>
    <row r="579" spans="1:40" x14ac:dyDescent="0.35">
      <c r="A579" s="37" t="s">
        <v>11</v>
      </c>
      <c r="E579">
        <v>2</v>
      </c>
      <c r="F579">
        <v>4</v>
      </c>
      <c r="G579">
        <v>17</v>
      </c>
      <c r="T579">
        <v>3.5000000000000004</v>
      </c>
      <c r="U579">
        <v>7</v>
      </c>
      <c r="V579">
        <v>17</v>
      </c>
      <c r="AC579">
        <v>4.5</v>
      </c>
      <c r="AD579">
        <v>9</v>
      </c>
      <c r="AE579">
        <v>17</v>
      </c>
      <c r="AI579">
        <v>2</v>
      </c>
      <c r="AJ579">
        <v>4</v>
      </c>
      <c r="AK579">
        <v>17</v>
      </c>
      <c r="AL579">
        <v>2</v>
      </c>
      <c r="AM579">
        <v>4</v>
      </c>
      <c r="AN579">
        <v>17</v>
      </c>
    </row>
    <row r="580" spans="1:40" x14ac:dyDescent="0.35">
      <c r="A580" s="14">
        <v>3.6</v>
      </c>
      <c r="E580">
        <v>5.5</v>
      </c>
      <c r="F580">
        <v>11</v>
      </c>
      <c r="G580">
        <v>17</v>
      </c>
      <c r="T580">
        <v>10.5</v>
      </c>
      <c r="U580">
        <v>21</v>
      </c>
      <c r="V580">
        <v>17</v>
      </c>
      <c r="AC580">
        <v>7.0000000000000009</v>
      </c>
      <c r="AD580">
        <v>14</v>
      </c>
      <c r="AE580">
        <v>17</v>
      </c>
      <c r="AI580">
        <v>3.5000000000000004</v>
      </c>
      <c r="AJ580">
        <v>7</v>
      </c>
      <c r="AK580">
        <v>17</v>
      </c>
      <c r="AL580">
        <v>6</v>
      </c>
      <c r="AM580">
        <v>12</v>
      </c>
      <c r="AN580">
        <v>17</v>
      </c>
    </row>
    <row r="581" spans="1:40" x14ac:dyDescent="0.35">
      <c r="A581" s="37" t="s">
        <v>3</v>
      </c>
      <c r="E581">
        <v>5.5</v>
      </c>
      <c r="F581">
        <v>11</v>
      </c>
      <c r="G581">
        <v>17</v>
      </c>
      <c r="T581">
        <v>10.5</v>
      </c>
      <c r="U581">
        <v>21</v>
      </c>
      <c r="V581">
        <v>17</v>
      </c>
      <c r="AC581">
        <v>7.0000000000000009</v>
      </c>
      <c r="AD581">
        <v>14</v>
      </c>
      <c r="AE581">
        <v>17</v>
      </c>
      <c r="AI581">
        <v>3.5000000000000004</v>
      </c>
      <c r="AJ581">
        <v>7</v>
      </c>
      <c r="AK581">
        <v>17</v>
      </c>
      <c r="AL581">
        <v>6</v>
      </c>
      <c r="AM581">
        <v>12</v>
      </c>
      <c r="AN581">
        <v>17</v>
      </c>
    </row>
    <row r="582" spans="1:40" x14ac:dyDescent="0.35">
      <c r="A582" s="14">
        <v>3.7</v>
      </c>
      <c r="E582">
        <v>13.043478260869565</v>
      </c>
      <c r="F582">
        <v>6</v>
      </c>
      <c r="G582">
        <v>17</v>
      </c>
      <c r="T582">
        <v>23.404255319148938</v>
      </c>
      <c r="U582">
        <v>11</v>
      </c>
      <c r="V582">
        <v>17</v>
      </c>
      <c r="AC582">
        <v>23.404255319148938</v>
      </c>
      <c r="AD582">
        <v>11</v>
      </c>
      <c r="AE582">
        <v>17</v>
      </c>
      <c r="AI582">
        <v>8.5106382978723403</v>
      </c>
      <c r="AJ582">
        <v>4</v>
      </c>
      <c r="AK582">
        <v>17</v>
      </c>
      <c r="AL582">
        <v>23.404255319148938</v>
      </c>
      <c r="AM582">
        <v>11</v>
      </c>
      <c r="AN582">
        <v>17</v>
      </c>
    </row>
    <row r="583" spans="1:40" x14ac:dyDescent="0.35">
      <c r="A583" s="37" t="s">
        <v>3</v>
      </c>
      <c r="E583">
        <v>13.043478260869565</v>
      </c>
      <c r="F583">
        <v>6</v>
      </c>
      <c r="G583">
        <v>17</v>
      </c>
      <c r="T583">
        <v>23.404255319148938</v>
      </c>
      <c r="U583">
        <v>11</v>
      </c>
      <c r="V583">
        <v>17</v>
      </c>
      <c r="AC583">
        <v>23.404255319148938</v>
      </c>
      <c r="AD583">
        <v>11</v>
      </c>
      <c r="AE583">
        <v>17</v>
      </c>
      <c r="AI583">
        <v>8.5106382978723403</v>
      </c>
      <c r="AJ583">
        <v>4</v>
      </c>
      <c r="AK583">
        <v>17</v>
      </c>
      <c r="AL583">
        <v>23.404255319148938</v>
      </c>
      <c r="AM583">
        <v>11</v>
      </c>
      <c r="AN583">
        <v>17</v>
      </c>
    </row>
    <row r="584" spans="1:40" x14ac:dyDescent="0.35">
      <c r="A584" s="14">
        <v>4.0999999999999996</v>
      </c>
      <c r="E584">
        <v>4.5</v>
      </c>
      <c r="F584">
        <v>9</v>
      </c>
      <c r="G584">
        <v>17</v>
      </c>
      <c r="T584">
        <v>3</v>
      </c>
      <c r="U584">
        <v>6</v>
      </c>
      <c r="V584">
        <v>34</v>
      </c>
      <c r="AC584">
        <v>3</v>
      </c>
      <c r="AD584">
        <v>6</v>
      </c>
      <c r="AE584">
        <v>17</v>
      </c>
      <c r="AI584">
        <v>5.5</v>
      </c>
      <c r="AJ584">
        <v>11</v>
      </c>
      <c r="AK584">
        <v>34</v>
      </c>
      <c r="AL584">
        <v>6.5</v>
      </c>
      <c r="AM584">
        <v>13</v>
      </c>
      <c r="AN584">
        <v>51</v>
      </c>
    </row>
    <row r="585" spans="1:40" x14ac:dyDescent="0.35">
      <c r="A585" s="37" t="s">
        <v>31</v>
      </c>
      <c r="T585">
        <v>0.5</v>
      </c>
      <c r="U585">
        <v>1</v>
      </c>
      <c r="V585">
        <v>17</v>
      </c>
      <c r="AL585">
        <v>0.5</v>
      </c>
      <c r="AM585">
        <v>1</v>
      </c>
      <c r="AN585">
        <v>17</v>
      </c>
    </row>
    <row r="586" spans="1:40" x14ac:dyDescent="0.35">
      <c r="A586" s="37" t="s">
        <v>12</v>
      </c>
      <c r="AI586">
        <v>2.5</v>
      </c>
      <c r="AJ586">
        <v>5</v>
      </c>
      <c r="AK586">
        <v>17</v>
      </c>
      <c r="AL586">
        <v>2.5</v>
      </c>
      <c r="AM586">
        <v>5</v>
      </c>
      <c r="AN586">
        <v>17</v>
      </c>
    </row>
    <row r="587" spans="1:40" x14ac:dyDescent="0.35">
      <c r="A587" s="37" t="s">
        <v>11</v>
      </c>
      <c r="E587">
        <v>4.5</v>
      </c>
      <c r="F587">
        <v>9</v>
      </c>
      <c r="G587">
        <v>17</v>
      </c>
      <c r="T587">
        <v>2.5</v>
      </c>
      <c r="U587">
        <v>5</v>
      </c>
      <c r="V587">
        <v>17</v>
      </c>
      <c r="AC587">
        <v>3</v>
      </c>
      <c r="AD587">
        <v>6</v>
      </c>
      <c r="AE587">
        <v>17</v>
      </c>
      <c r="AI587">
        <v>3</v>
      </c>
      <c r="AJ587">
        <v>6</v>
      </c>
      <c r="AK587">
        <v>17</v>
      </c>
      <c r="AL587">
        <v>3.5000000000000004</v>
      </c>
      <c r="AM587">
        <v>7</v>
      </c>
      <c r="AN587">
        <v>17</v>
      </c>
    </row>
    <row r="588" spans="1:40" x14ac:dyDescent="0.35">
      <c r="A588" s="14">
        <v>4.2</v>
      </c>
      <c r="T588">
        <v>3.3707865168539324</v>
      </c>
      <c r="U588">
        <v>3</v>
      </c>
      <c r="V588">
        <v>17</v>
      </c>
      <c r="AC588">
        <v>22.727272727272727</v>
      </c>
      <c r="AD588">
        <v>20</v>
      </c>
      <c r="AE588">
        <v>17</v>
      </c>
      <c r="AI588">
        <v>11</v>
      </c>
      <c r="AJ588">
        <v>22</v>
      </c>
      <c r="AK588">
        <v>17</v>
      </c>
      <c r="AL588">
        <v>29.545454545454547</v>
      </c>
      <c r="AM588">
        <v>26</v>
      </c>
      <c r="AN588">
        <v>17</v>
      </c>
    </row>
    <row r="589" spans="1:40" x14ac:dyDescent="0.35">
      <c r="A589" s="37" t="s">
        <v>3</v>
      </c>
      <c r="T589">
        <v>3.3707865168539324</v>
      </c>
      <c r="U589">
        <v>3</v>
      </c>
      <c r="V589">
        <v>17</v>
      </c>
      <c r="AC589">
        <v>22.727272727272727</v>
      </c>
      <c r="AD589">
        <v>20</v>
      </c>
      <c r="AE589">
        <v>17</v>
      </c>
      <c r="AI589">
        <v>11</v>
      </c>
      <c r="AJ589">
        <v>22</v>
      </c>
      <c r="AK589">
        <v>17</v>
      </c>
      <c r="AL589">
        <v>29.545454545454547</v>
      </c>
      <c r="AM589">
        <v>26</v>
      </c>
      <c r="AN589">
        <v>17</v>
      </c>
    </row>
    <row r="590" spans="1:40" x14ac:dyDescent="0.35">
      <c r="A590" s="14">
        <v>5.0999999999999996</v>
      </c>
      <c r="E590">
        <v>17.5</v>
      </c>
      <c r="F590">
        <v>35</v>
      </c>
      <c r="G590">
        <v>34</v>
      </c>
      <c r="T590">
        <v>40.243902439024389</v>
      </c>
      <c r="U590">
        <v>66</v>
      </c>
      <c r="V590">
        <v>34</v>
      </c>
      <c r="AC590">
        <v>37.804878048780488</v>
      </c>
      <c r="AD590">
        <v>62</v>
      </c>
      <c r="AE590">
        <v>51</v>
      </c>
      <c r="AI590">
        <v>27.439024390243901</v>
      </c>
      <c r="AJ590">
        <v>45</v>
      </c>
      <c r="AK590">
        <v>68</v>
      </c>
      <c r="AL590">
        <v>28.5</v>
      </c>
      <c r="AM590">
        <v>57</v>
      </c>
      <c r="AN590">
        <v>51</v>
      </c>
    </row>
    <row r="591" spans="1:40" x14ac:dyDescent="0.35">
      <c r="A591" s="37" t="s">
        <v>3</v>
      </c>
      <c r="E591">
        <v>17</v>
      </c>
      <c r="F591">
        <v>34</v>
      </c>
      <c r="G591">
        <v>17</v>
      </c>
      <c r="T591">
        <v>37.804878048780488</v>
      </c>
      <c r="U591">
        <v>62</v>
      </c>
      <c r="V591">
        <v>17</v>
      </c>
      <c r="AC591">
        <v>34.146341463414636</v>
      </c>
      <c r="AD591">
        <v>56</v>
      </c>
      <c r="AE591">
        <v>17</v>
      </c>
      <c r="AI591">
        <v>23.170731707317074</v>
      </c>
      <c r="AJ591">
        <v>38</v>
      </c>
      <c r="AK591">
        <v>17</v>
      </c>
      <c r="AL591">
        <v>22</v>
      </c>
      <c r="AM591">
        <v>44</v>
      </c>
      <c r="AN591">
        <v>17</v>
      </c>
    </row>
    <row r="592" spans="1:40" x14ac:dyDescent="0.35">
      <c r="A592" s="37" t="s">
        <v>11</v>
      </c>
      <c r="AC592">
        <v>2.4390243902439024</v>
      </c>
      <c r="AD592">
        <v>4</v>
      </c>
      <c r="AE592">
        <v>17</v>
      </c>
      <c r="AI592">
        <v>3.0487804878048781</v>
      </c>
      <c r="AJ592">
        <v>5</v>
      </c>
      <c r="AK592">
        <v>17</v>
      </c>
      <c r="AL592">
        <v>5.5</v>
      </c>
      <c r="AM592">
        <v>11</v>
      </c>
      <c r="AN592">
        <v>17</v>
      </c>
    </row>
    <row r="593" spans="1:43" x14ac:dyDescent="0.35">
      <c r="A593" s="37" t="s">
        <v>97</v>
      </c>
      <c r="E593">
        <v>0.5</v>
      </c>
      <c r="F593">
        <v>1</v>
      </c>
      <c r="G593">
        <v>17</v>
      </c>
      <c r="T593">
        <v>2.4390243902439024</v>
      </c>
      <c r="U593">
        <v>4</v>
      </c>
      <c r="V593">
        <v>17</v>
      </c>
      <c r="AC593">
        <v>1.2195121951219512</v>
      </c>
      <c r="AD593">
        <v>2</v>
      </c>
      <c r="AE593">
        <v>17</v>
      </c>
      <c r="AI593">
        <v>0.6097560975609756</v>
      </c>
      <c r="AJ593">
        <v>1</v>
      </c>
      <c r="AK593">
        <v>17</v>
      </c>
      <c r="AL593">
        <v>1</v>
      </c>
      <c r="AM593">
        <v>2</v>
      </c>
      <c r="AN593">
        <v>17</v>
      </c>
    </row>
    <row r="594" spans="1:43" x14ac:dyDescent="0.35">
      <c r="A594" s="37" t="s">
        <v>2</v>
      </c>
      <c r="AI594">
        <v>0.6097560975609756</v>
      </c>
      <c r="AJ594">
        <v>1</v>
      </c>
      <c r="AK594">
        <v>17</v>
      </c>
    </row>
    <row r="595" spans="1:43" x14ac:dyDescent="0.35">
      <c r="A595" s="1" t="s">
        <v>138</v>
      </c>
      <c r="B595">
        <v>17.347338935574228</v>
      </c>
      <c r="C595">
        <v>32</v>
      </c>
      <c r="D595">
        <v>149.5</v>
      </c>
      <c r="T595">
        <v>37.360178970917225</v>
      </c>
      <c r="U595">
        <v>70</v>
      </c>
      <c r="V595">
        <v>218.5</v>
      </c>
      <c r="AC595">
        <v>41.18456375838926</v>
      </c>
      <c r="AD595">
        <v>81</v>
      </c>
      <c r="AE595">
        <v>230</v>
      </c>
      <c r="AI595">
        <v>52.680790960451979</v>
      </c>
      <c r="AJ595">
        <v>103</v>
      </c>
      <c r="AK595">
        <v>253</v>
      </c>
      <c r="AL595">
        <v>144.0280112044818</v>
      </c>
      <c r="AM595">
        <v>284</v>
      </c>
      <c r="AN595">
        <v>609.5</v>
      </c>
      <c r="AO595">
        <v>273.38235294117646</v>
      </c>
      <c r="AP595">
        <v>542</v>
      </c>
      <c r="AQ595">
        <v>678.5</v>
      </c>
    </row>
    <row r="596" spans="1:43" x14ac:dyDescent="0.35">
      <c r="A596" s="14">
        <v>1.1000000000000001</v>
      </c>
      <c r="T596">
        <v>3.3333333333333335</v>
      </c>
      <c r="U596">
        <v>4</v>
      </c>
      <c r="V596">
        <v>11.5</v>
      </c>
      <c r="AI596">
        <v>0.84745762711864403</v>
      </c>
      <c r="AJ596">
        <v>1</v>
      </c>
      <c r="AK596">
        <v>11.5</v>
      </c>
      <c r="AL596">
        <v>3.3613445378151261</v>
      </c>
      <c r="AM596">
        <v>4</v>
      </c>
      <c r="AN596">
        <v>23</v>
      </c>
      <c r="AO596">
        <v>5.882352941176471</v>
      </c>
      <c r="AP596">
        <v>7</v>
      </c>
      <c r="AQ596">
        <v>23</v>
      </c>
    </row>
    <row r="597" spans="1:43" x14ac:dyDescent="0.35">
      <c r="A597" s="37" t="s">
        <v>11</v>
      </c>
      <c r="AL597">
        <v>0.84033613445378152</v>
      </c>
      <c r="AM597">
        <v>1</v>
      </c>
      <c r="AN597">
        <v>11.5</v>
      </c>
      <c r="AO597">
        <v>4.2016806722689077</v>
      </c>
      <c r="AP597">
        <v>5</v>
      </c>
      <c r="AQ597">
        <v>11.5</v>
      </c>
    </row>
    <row r="598" spans="1:43" x14ac:dyDescent="0.35">
      <c r="A598" s="37" t="s">
        <v>29</v>
      </c>
      <c r="T598">
        <v>3.3333333333333335</v>
      </c>
      <c r="U598">
        <v>4</v>
      </c>
      <c r="V598">
        <v>11.5</v>
      </c>
      <c r="AI598">
        <v>0.84745762711864403</v>
      </c>
      <c r="AJ598">
        <v>1</v>
      </c>
      <c r="AK598">
        <v>11.5</v>
      </c>
      <c r="AL598">
        <v>2.5210084033613445</v>
      </c>
      <c r="AM598">
        <v>3</v>
      </c>
      <c r="AN598">
        <v>11.5</v>
      </c>
      <c r="AO598">
        <v>1.680672268907563</v>
      </c>
      <c r="AP598">
        <v>2</v>
      </c>
      <c r="AQ598">
        <v>11.5</v>
      </c>
    </row>
    <row r="599" spans="1:43" x14ac:dyDescent="0.35">
      <c r="A599" s="14">
        <v>1.2</v>
      </c>
      <c r="B599">
        <v>1.680672268907563</v>
      </c>
      <c r="C599">
        <v>2</v>
      </c>
      <c r="D599">
        <v>11.5</v>
      </c>
      <c r="AI599">
        <v>8.5</v>
      </c>
      <c r="AJ599">
        <v>17</v>
      </c>
      <c r="AK599">
        <v>23</v>
      </c>
      <c r="AL599">
        <v>3</v>
      </c>
      <c r="AM599">
        <v>6</v>
      </c>
      <c r="AN599">
        <v>11.5</v>
      </c>
    </row>
    <row r="600" spans="1:43" x14ac:dyDescent="0.35">
      <c r="A600" s="37" t="s">
        <v>3</v>
      </c>
      <c r="AI600">
        <v>1</v>
      </c>
      <c r="AJ600">
        <v>2</v>
      </c>
      <c r="AK600">
        <v>11.5</v>
      </c>
    </row>
    <row r="601" spans="1:43" x14ac:dyDescent="0.35">
      <c r="A601" s="37" t="s">
        <v>11</v>
      </c>
      <c r="AI601">
        <v>7.5</v>
      </c>
      <c r="AJ601">
        <v>15</v>
      </c>
      <c r="AK601">
        <v>11.5</v>
      </c>
    </row>
    <row r="602" spans="1:43" x14ac:dyDescent="0.35">
      <c r="A602" s="37" t="s">
        <v>29</v>
      </c>
      <c r="B602">
        <v>1.680672268907563</v>
      </c>
      <c r="C602">
        <v>2</v>
      </c>
      <c r="D602">
        <v>11.5</v>
      </c>
    </row>
    <row r="603" spans="1:43" x14ac:dyDescent="0.35">
      <c r="A603" s="37" t="s">
        <v>4</v>
      </c>
      <c r="AL603">
        <v>3</v>
      </c>
      <c r="AM603">
        <v>6</v>
      </c>
      <c r="AN603">
        <v>11.5</v>
      </c>
    </row>
    <row r="604" spans="1:43" x14ac:dyDescent="0.35">
      <c r="A604" s="14">
        <v>2.1</v>
      </c>
      <c r="B604">
        <v>2.666666666666667</v>
      </c>
      <c r="C604">
        <v>4</v>
      </c>
      <c r="D604">
        <v>23</v>
      </c>
      <c r="T604">
        <v>4.0268456375838921</v>
      </c>
      <c r="U604">
        <v>6</v>
      </c>
      <c r="V604">
        <v>23</v>
      </c>
      <c r="AC604">
        <v>2.6845637583892614</v>
      </c>
      <c r="AD604">
        <v>4</v>
      </c>
      <c r="AE604">
        <v>23</v>
      </c>
      <c r="AI604">
        <v>3.3333333333333339</v>
      </c>
      <c r="AJ604">
        <v>5</v>
      </c>
      <c r="AK604">
        <v>23</v>
      </c>
      <c r="AL604">
        <v>2.666666666666667</v>
      </c>
      <c r="AM604">
        <v>4</v>
      </c>
      <c r="AN604">
        <v>11.5</v>
      </c>
      <c r="AO604">
        <v>5</v>
      </c>
      <c r="AP604">
        <v>10</v>
      </c>
      <c r="AQ604">
        <v>23</v>
      </c>
    </row>
    <row r="605" spans="1:43" x14ac:dyDescent="0.35">
      <c r="A605" s="37" t="s">
        <v>11</v>
      </c>
      <c r="B605">
        <v>2</v>
      </c>
      <c r="C605">
        <v>3</v>
      </c>
      <c r="D605">
        <v>11.5</v>
      </c>
      <c r="T605">
        <v>2.0134228187919461</v>
      </c>
      <c r="U605">
        <v>3</v>
      </c>
      <c r="V605">
        <v>11.5</v>
      </c>
      <c r="AC605">
        <v>2.0134228187919461</v>
      </c>
      <c r="AD605">
        <v>3</v>
      </c>
      <c r="AE605">
        <v>11.5</v>
      </c>
      <c r="AI605">
        <v>2.666666666666667</v>
      </c>
      <c r="AJ605">
        <v>4</v>
      </c>
      <c r="AK605">
        <v>11.5</v>
      </c>
      <c r="AL605">
        <v>2.666666666666667</v>
      </c>
      <c r="AM605">
        <v>4</v>
      </c>
      <c r="AN605">
        <v>11.5</v>
      </c>
      <c r="AO605">
        <v>3</v>
      </c>
      <c r="AP605">
        <v>6</v>
      </c>
      <c r="AQ605">
        <v>11.5</v>
      </c>
    </row>
    <row r="606" spans="1:43" x14ac:dyDescent="0.35">
      <c r="A606" s="37" t="s">
        <v>29</v>
      </c>
      <c r="B606">
        <v>0.66666666666666674</v>
      </c>
      <c r="C606">
        <v>1</v>
      </c>
      <c r="D606">
        <v>11.5</v>
      </c>
      <c r="T606">
        <v>2.0134228187919461</v>
      </c>
      <c r="U606">
        <v>3</v>
      </c>
      <c r="V606">
        <v>11.5</v>
      </c>
      <c r="AC606">
        <v>0.67114093959731547</v>
      </c>
      <c r="AD606">
        <v>1</v>
      </c>
      <c r="AE606">
        <v>11.5</v>
      </c>
      <c r="AI606">
        <v>0.66666666666666674</v>
      </c>
      <c r="AJ606">
        <v>1</v>
      </c>
      <c r="AK606">
        <v>11.5</v>
      </c>
      <c r="AO606">
        <v>2</v>
      </c>
      <c r="AP606">
        <v>4</v>
      </c>
      <c r="AQ606">
        <v>11.5</v>
      </c>
    </row>
    <row r="607" spans="1:43" x14ac:dyDescent="0.35">
      <c r="A607" s="14">
        <v>2.2000000000000002</v>
      </c>
      <c r="B607">
        <v>0.5</v>
      </c>
      <c r="C607">
        <v>1</v>
      </c>
      <c r="D607">
        <v>11.5</v>
      </c>
    </row>
    <row r="608" spans="1:43" x14ac:dyDescent="0.35">
      <c r="A608" s="37" t="s">
        <v>2</v>
      </c>
      <c r="B608">
        <v>0.5</v>
      </c>
      <c r="C608">
        <v>1</v>
      </c>
      <c r="D608">
        <v>11.5</v>
      </c>
    </row>
    <row r="609" spans="1:43" x14ac:dyDescent="0.35">
      <c r="A609" s="14">
        <v>3.1</v>
      </c>
      <c r="B609">
        <v>1.5</v>
      </c>
      <c r="C609">
        <v>3</v>
      </c>
      <c r="D609">
        <v>11.5</v>
      </c>
      <c r="AC609">
        <v>2</v>
      </c>
      <c r="AD609">
        <v>4</v>
      </c>
      <c r="AE609">
        <v>11.5</v>
      </c>
      <c r="AI609">
        <v>1</v>
      </c>
      <c r="AJ609">
        <v>2</v>
      </c>
      <c r="AK609">
        <v>11.5</v>
      </c>
      <c r="AL609">
        <v>2</v>
      </c>
      <c r="AM609">
        <v>4</v>
      </c>
      <c r="AN609">
        <v>11.5</v>
      </c>
      <c r="AO609">
        <v>4.5</v>
      </c>
      <c r="AP609">
        <v>9</v>
      </c>
      <c r="AQ609">
        <v>11.5</v>
      </c>
    </row>
    <row r="610" spans="1:43" x14ac:dyDescent="0.35">
      <c r="A610" s="37" t="s">
        <v>11</v>
      </c>
      <c r="B610">
        <v>1.5</v>
      </c>
      <c r="C610">
        <v>3</v>
      </c>
      <c r="D610">
        <v>11.5</v>
      </c>
      <c r="AC610">
        <v>2</v>
      </c>
      <c r="AD610">
        <v>4</v>
      </c>
      <c r="AE610">
        <v>11.5</v>
      </c>
      <c r="AI610">
        <v>1</v>
      </c>
      <c r="AJ610">
        <v>2</v>
      </c>
      <c r="AK610">
        <v>11.5</v>
      </c>
      <c r="AL610">
        <v>2</v>
      </c>
      <c r="AM610">
        <v>4</v>
      </c>
      <c r="AN610">
        <v>11.5</v>
      </c>
      <c r="AO610">
        <v>4.5</v>
      </c>
      <c r="AP610">
        <v>9</v>
      </c>
      <c r="AQ610">
        <v>11.5</v>
      </c>
    </row>
    <row r="611" spans="1:43" x14ac:dyDescent="0.35">
      <c r="A611" s="14">
        <v>3.2</v>
      </c>
      <c r="T611">
        <v>0.5</v>
      </c>
      <c r="U611">
        <v>1</v>
      </c>
      <c r="V611">
        <v>11.5</v>
      </c>
      <c r="AL611">
        <v>1</v>
      </c>
      <c r="AM611">
        <v>2</v>
      </c>
      <c r="AN611">
        <v>23</v>
      </c>
    </row>
    <row r="612" spans="1:43" x14ac:dyDescent="0.35">
      <c r="A612" s="37" t="s">
        <v>11</v>
      </c>
      <c r="AL612">
        <v>0.5</v>
      </c>
      <c r="AM612">
        <v>1</v>
      </c>
      <c r="AN612">
        <v>11.5</v>
      </c>
    </row>
    <row r="613" spans="1:43" x14ac:dyDescent="0.35">
      <c r="A613" s="37" t="s">
        <v>29</v>
      </c>
      <c r="AL613">
        <v>0.5</v>
      </c>
      <c r="AM613">
        <v>1</v>
      </c>
      <c r="AN613">
        <v>11.5</v>
      </c>
    </row>
    <row r="614" spans="1:43" x14ac:dyDescent="0.35">
      <c r="A614" s="37" t="s">
        <v>2</v>
      </c>
      <c r="T614">
        <v>0.5</v>
      </c>
      <c r="U614">
        <v>1</v>
      </c>
      <c r="V614">
        <v>11.5</v>
      </c>
    </row>
    <row r="615" spans="1:43" x14ac:dyDescent="0.35">
      <c r="A615" s="14">
        <v>4.0999999999999996</v>
      </c>
      <c r="B615">
        <v>0.5</v>
      </c>
      <c r="C615">
        <v>1</v>
      </c>
      <c r="D615">
        <v>11.5</v>
      </c>
      <c r="T615">
        <v>4</v>
      </c>
      <c r="U615">
        <v>8</v>
      </c>
      <c r="V615">
        <v>34.5</v>
      </c>
      <c r="AC615">
        <v>1</v>
      </c>
      <c r="AD615">
        <v>2</v>
      </c>
      <c r="AE615">
        <v>11.5</v>
      </c>
      <c r="AI615">
        <v>2</v>
      </c>
      <c r="AJ615">
        <v>4</v>
      </c>
      <c r="AK615">
        <v>23</v>
      </c>
      <c r="AL615">
        <v>3</v>
      </c>
      <c r="AM615">
        <v>6</v>
      </c>
      <c r="AN615">
        <v>34.5</v>
      </c>
      <c r="AO615">
        <v>3.5</v>
      </c>
      <c r="AP615">
        <v>7</v>
      </c>
      <c r="AQ615">
        <v>34.5</v>
      </c>
    </row>
    <row r="616" spans="1:43" x14ac:dyDescent="0.35">
      <c r="A616" s="37" t="s">
        <v>12</v>
      </c>
      <c r="T616">
        <v>0.5</v>
      </c>
      <c r="U616">
        <v>1</v>
      </c>
      <c r="V616">
        <v>11.5</v>
      </c>
      <c r="AC616">
        <v>1</v>
      </c>
      <c r="AD616">
        <v>2</v>
      </c>
      <c r="AE616">
        <v>11.5</v>
      </c>
      <c r="AL616">
        <v>0.5</v>
      </c>
      <c r="AM616">
        <v>1</v>
      </c>
      <c r="AN616">
        <v>11.5</v>
      </c>
      <c r="AO616">
        <v>1</v>
      </c>
      <c r="AP616">
        <v>2</v>
      </c>
      <c r="AQ616">
        <v>11.5</v>
      </c>
    </row>
    <row r="617" spans="1:43" x14ac:dyDescent="0.35">
      <c r="A617" s="37" t="s">
        <v>11</v>
      </c>
      <c r="T617">
        <v>0.5</v>
      </c>
      <c r="U617">
        <v>1</v>
      </c>
      <c r="V617">
        <v>11.5</v>
      </c>
      <c r="AI617">
        <v>1</v>
      </c>
      <c r="AJ617">
        <v>2</v>
      </c>
      <c r="AK617">
        <v>11.5</v>
      </c>
      <c r="AL617">
        <v>1.5</v>
      </c>
      <c r="AM617">
        <v>3</v>
      </c>
      <c r="AN617">
        <v>11.5</v>
      </c>
      <c r="AO617">
        <v>1.5</v>
      </c>
      <c r="AP617">
        <v>3</v>
      </c>
      <c r="AQ617">
        <v>11.5</v>
      </c>
    </row>
    <row r="618" spans="1:43" x14ac:dyDescent="0.35">
      <c r="A618" s="37" t="s">
        <v>29</v>
      </c>
      <c r="B618">
        <v>0.5</v>
      </c>
      <c r="C618">
        <v>1</v>
      </c>
      <c r="D618">
        <v>11.5</v>
      </c>
      <c r="T618">
        <v>3</v>
      </c>
      <c r="U618">
        <v>6</v>
      </c>
      <c r="V618">
        <v>11.5</v>
      </c>
      <c r="AI618">
        <v>1</v>
      </c>
      <c r="AJ618">
        <v>2</v>
      </c>
      <c r="AK618">
        <v>11.5</v>
      </c>
      <c r="AL618">
        <v>1</v>
      </c>
      <c r="AM618">
        <v>2</v>
      </c>
      <c r="AN618">
        <v>11.5</v>
      </c>
    </row>
    <row r="619" spans="1:43" x14ac:dyDescent="0.35">
      <c r="A619" s="37" t="s">
        <v>116</v>
      </c>
      <c r="AO619">
        <v>1</v>
      </c>
      <c r="AP619">
        <v>2</v>
      </c>
      <c r="AQ619">
        <v>11.5</v>
      </c>
    </row>
    <row r="620" spans="1:43" x14ac:dyDescent="0.35">
      <c r="A620" s="14">
        <v>5.0999999999999996</v>
      </c>
      <c r="B620">
        <v>0.5</v>
      </c>
      <c r="C620">
        <v>1</v>
      </c>
      <c r="D620">
        <v>11.5</v>
      </c>
      <c r="AC620">
        <v>2</v>
      </c>
      <c r="AD620">
        <v>4</v>
      </c>
      <c r="AE620">
        <v>23</v>
      </c>
      <c r="AI620">
        <v>1</v>
      </c>
      <c r="AJ620">
        <v>2</v>
      </c>
      <c r="AK620">
        <v>23</v>
      </c>
      <c r="AL620">
        <v>2.5</v>
      </c>
      <c r="AM620">
        <v>5</v>
      </c>
      <c r="AN620">
        <v>23</v>
      </c>
      <c r="AO620">
        <v>2.5</v>
      </c>
      <c r="AP620">
        <v>5</v>
      </c>
      <c r="AQ620">
        <v>34.5</v>
      </c>
    </row>
    <row r="621" spans="1:43" x14ac:dyDescent="0.35">
      <c r="A621" s="37" t="s">
        <v>12</v>
      </c>
      <c r="AO621">
        <v>1</v>
      </c>
      <c r="AP621">
        <v>2</v>
      </c>
      <c r="AQ621">
        <v>11.5</v>
      </c>
    </row>
    <row r="622" spans="1:43" x14ac:dyDescent="0.35">
      <c r="A622" s="37" t="s">
        <v>6</v>
      </c>
      <c r="AI622">
        <v>0.5</v>
      </c>
      <c r="AJ622">
        <v>1</v>
      </c>
      <c r="AK622">
        <v>11.5</v>
      </c>
      <c r="AL622">
        <v>1.5</v>
      </c>
      <c r="AM622">
        <v>3</v>
      </c>
      <c r="AN622">
        <v>11.5</v>
      </c>
    </row>
    <row r="623" spans="1:43" x14ac:dyDescent="0.35">
      <c r="A623" s="37" t="s">
        <v>11</v>
      </c>
      <c r="AC623">
        <v>1.5</v>
      </c>
      <c r="AD623">
        <v>3</v>
      </c>
      <c r="AE623">
        <v>11.5</v>
      </c>
      <c r="AL623">
        <v>1</v>
      </c>
      <c r="AM623">
        <v>2</v>
      </c>
      <c r="AN623">
        <v>11.5</v>
      </c>
    </row>
    <row r="624" spans="1:43" x14ac:dyDescent="0.35">
      <c r="A624" s="37" t="s">
        <v>29</v>
      </c>
      <c r="B624">
        <v>0.5</v>
      </c>
      <c r="C624">
        <v>1</v>
      </c>
      <c r="D624">
        <v>11.5</v>
      </c>
      <c r="AC624">
        <v>0.5</v>
      </c>
      <c r="AD624">
        <v>1</v>
      </c>
      <c r="AE624">
        <v>11.5</v>
      </c>
    </row>
    <row r="625" spans="1:43" x14ac:dyDescent="0.35">
      <c r="A625" s="37" t="s">
        <v>116</v>
      </c>
      <c r="AO625">
        <v>0.5</v>
      </c>
      <c r="AP625">
        <v>1</v>
      </c>
      <c r="AQ625">
        <v>11.5</v>
      </c>
    </row>
    <row r="626" spans="1:43" x14ac:dyDescent="0.35">
      <c r="A626" s="37" t="s">
        <v>172</v>
      </c>
      <c r="AI626">
        <v>0.5</v>
      </c>
      <c r="AJ626">
        <v>1</v>
      </c>
      <c r="AK626">
        <v>11.5</v>
      </c>
    </row>
    <row r="627" spans="1:43" x14ac:dyDescent="0.35">
      <c r="A627" s="37" t="s">
        <v>2</v>
      </c>
      <c r="AO627">
        <v>1</v>
      </c>
      <c r="AP627">
        <v>2</v>
      </c>
      <c r="AQ627">
        <v>11.5</v>
      </c>
    </row>
    <row r="628" spans="1:43" x14ac:dyDescent="0.35">
      <c r="A628" s="14">
        <v>5.2</v>
      </c>
      <c r="B628">
        <v>1</v>
      </c>
      <c r="C628">
        <v>2</v>
      </c>
      <c r="D628">
        <v>11.5</v>
      </c>
      <c r="T628">
        <v>2.5</v>
      </c>
      <c r="U628">
        <v>5</v>
      </c>
      <c r="V628">
        <v>23</v>
      </c>
      <c r="AC628">
        <v>4.5</v>
      </c>
      <c r="AD628">
        <v>9</v>
      </c>
      <c r="AE628">
        <v>23</v>
      </c>
      <c r="AI628">
        <v>8.5</v>
      </c>
      <c r="AJ628">
        <v>17</v>
      </c>
      <c r="AK628">
        <v>23</v>
      </c>
      <c r="AL628">
        <v>8</v>
      </c>
      <c r="AM628">
        <v>16</v>
      </c>
      <c r="AN628">
        <v>34.5</v>
      </c>
      <c r="AO628">
        <v>5.5</v>
      </c>
      <c r="AP628">
        <v>11</v>
      </c>
      <c r="AQ628">
        <v>34.5</v>
      </c>
    </row>
    <row r="629" spans="1:43" x14ac:dyDescent="0.35">
      <c r="A629" s="37" t="s">
        <v>12</v>
      </c>
      <c r="T629">
        <v>1.5</v>
      </c>
      <c r="U629">
        <v>3</v>
      </c>
      <c r="V629">
        <v>11.5</v>
      </c>
      <c r="AC629">
        <v>3.5000000000000004</v>
      </c>
      <c r="AD629">
        <v>7</v>
      </c>
      <c r="AE629">
        <v>11.5</v>
      </c>
      <c r="AI629">
        <v>6.5</v>
      </c>
      <c r="AJ629">
        <v>13</v>
      </c>
      <c r="AK629">
        <v>11.5</v>
      </c>
      <c r="AL629">
        <v>5</v>
      </c>
      <c r="AM629">
        <v>10</v>
      </c>
      <c r="AN629">
        <v>11.5</v>
      </c>
      <c r="AO629">
        <v>4</v>
      </c>
      <c r="AP629">
        <v>8</v>
      </c>
      <c r="AQ629">
        <v>11.5</v>
      </c>
    </row>
    <row r="630" spans="1:43" x14ac:dyDescent="0.35">
      <c r="A630" s="37" t="s">
        <v>6</v>
      </c>
      <c r="T630">
        <v>1</v>
      </c>
      <c r="U630">
        <v>2</v>
      </c>
      <c r="V630">
        <v>11.5</v>
      </c>
      <c r="AC630">
        <v>1</v>
      </c>
      <c r="AD630">
        <v>2</v>
      </c>
      <c r="AE630">
        <v>11.5</v>
      </c>
      <c r="AI630">
        <v>2</v>
      </c>
      <c r="AJ630">
        <v>4</v>
      </c>
      <c r="AK630">
        <v>11.5</v>
      </c>
      <c r="AL630">
        <v>2.5</v>
      </c>
      <c r="AM630">
        <v>5</v>
      </c>
      <c r="AN630">
        <v>11.5</v>
      </c>
    </row>
    <row r="631" spans="1:43" x14ac:dyDescent="0.35">
      <c r="A631" s="37" t="s">
        <v>29</v>
      </c>
      <c r="B631">
        <v>1</v>
      </c>
      <c r="C631">
        <v>2</v>
      </c>
      <c r="D631">
        <v>11.5</v>
      </c>
      <c r="AL631">
        <v>0.5</v>
      </c>
      <c r="AM631">
        <v>1</v>
      </c>
      <c r="AN631">
        <v>11.5</v>
      </c>
    </row>
    <row r="632" spans="1:43" x14ac:dyDescent="0.35">
      <c r="A632" s="37" t="s">
        <v>116</v>
      </c>
      <c r="AO632">
        <v>1</v>
      </c>
      <c r="AP632">
        <v>2</v>
      </c>
      <c r="AQ632">
        <v>11.5</v>
      </c>
    </row>
    <row r="633" spans="1:43" x14ac:dyDescent="0.35">
      <c r="A633" s="37" t="s">
        <v>2</v>
      </c>
      <c r="AO633">
        <v>0.5</v>
      </c>
      <c r="AP633">
        <v>1</v>
      </c>
      <c r="AQ633">
        <v>11.5</v>
      </c>
    </row>
    <row r="634" spans="1:43" x14ac:dyDescent="0.35">
      <c r="A634" s="14">
        <v>6.2</v>
      </c>
      <c r="T634">
        <v>0.5</v>
      </c>
      <c r="U634">
        <v>1</v>
      </c>
      <c r="V634">
        <v>11.5</v>
      </c>
    </row>
    <row r="635" spans="1:43" x14ac:dyDescent="0.35">
      <c r="A635" s="37" t="s">
        <v>116</v>
      </c>
      <c r="T635">
        <v>0.5</v>
      </c>
      <c r="U635">
        <v>1</v>
      </c>
      <c r="V635">
        <v>11.5</v>
      </c>
    </row>
    <row r="636" spans="1:43" x14ac:dyDescent="0.35">
      <c r="A636" s="14">
        <v>7.1</v>
      </c>
      <c r="AC636">
        <v>1</v>
      </c>
      <c r="AD636">
        <v>2</v>
      </c>
      <c r="AE636">
        <v>11.5</v>
      </c>
      <c r="AL636">
        <v>0.5</v>
      </c>
      <c r="AM636">
        <v>1</v>
      </c>
      <c r="AN636">
        <v>11.5</v>
      </c>
      <c r="AO636">
        <v>1</v>
      </c>
      <c r="AP636">
        <v>2</v>
      </c>
      <c r="AQ636">
        <v>11.5</v>
      </c>
    </row>
    <row r="637" spans="1:43" x14ac:dyDescent="0.35">
      <c r="A637" s="37" t="s">
        <v>13</v>
      </c>
      <c r="AL637">
        <v>0.5</v>
      </c>
      <c r="AM637">
        <v>1</v>
      </c>
      <c r="AN637">
        <v>11.5</v>
      </c>
    </row>
    <row r="638" spans="1:43" x14ac:dyDescent="0.35">
      <c r="A638" s="37" t="s">
        <v>139</v>
      </c>
      <c r="AC638">
        <v>1</v>
      </c>
      <c r="AD638">
        <v>2</v>
      </c>
      <c r="AE638">
        <v>11.5</v>
      </c>
      <c r="AO638">
        <v>1</v>
      </c>
      <c r="AP638">
        <v>2</v>
      </c>
      <c r="AQ638">
        <v>11.5</v>
      </c>
    </row>
    <row r="639" spans="1:43" x14ac:dyDescent="0.35">
      <c r="A639" s="14">
        <v>7.2</v>
      </c>
      <c r="AC639">
        <v>2</v>
      </c>
      <c r="AD639">
        <v>4</v>
      </c>
      <c r="AE639">
        <v>11.5</v>
      </c>
      <c r="AO639">
        <v>7</v>
      </c>
      <c r="AP639">
        <v>14</v>
      </c>
      <c r="AQ639">
        <v>57.5</v>
      </c>
    </row>
    <row r="640" spans="1:43" x14ac:dyDescent="0.35">
      <c r="A640" s="37" t="s">
        <v>214</v>
      </c>
      <c r="AO640">
        <v>0.5</v>
      </c>
      <c r="AP640">
        <v>1</v>
      </c>
      <c r="AQ640">
        <v>11.5</v>
      </c>
    </row>
    <row r="641" spans="1:43" x14ac:dyDescent="0.35">
      <c r="A641" s="37" t="s">
        <v>12</v>
      </c>
      <c r="AO641">
        <v>2.5</v>
      </c>
      <c r="AP641">
        <v>5</v>
      </c>
      <c r="AQ641">
        <v>11.5</v>
      </c>
    </row>
    <row r="642" spans="1:43" x14ac:dyDescent="0.35">
      <c r="A642" s="37" t="s">
        <v>11</v>
      </c>
      <c r="AC642">
        <v>2</v>
      </c>
      <c r="AD642">
        <v>4</v>
      </c>
      <c r="AE642">
        <v>11.5</v>
      </c>
      <c r="AO642">
        <v>2</v>
      </c>
      <c r="AP642">
        <v>4</v>
      </c>
      <c r="AQ642">
        <v>11.5</v>
      </c>
    </row>
    <row r="643" spans="1:43" x14ac:dyDescent="0.35">
      <c r="A643" s="37" t="s">
        <v>13</v>
      </c>
      <c r="AO643">
        <v>1.5</v>
      </c>
      <c r="AP643">
        <v>3</v>
      </c>
      <c r="AQ643">
        <v>11.5</v>
      </c>
    </row>
    <row r="644" spans="1:43" x14ac:dyDescent="0.35">
      <c r="A644" s="37" t="s">
        <v>2</v>
      </c>
      <c r="AO644">
        <v>0.5</v>
      </c>
      <c r="AP644">
        <v>1</v>
      </c>
      <c r="AQ644">
        <v>11.5</v>
      </c>
    </row>
    <row r="645" spans="1:43" x14ac:dyDescent="0.35">
      <c r="A645" s="14">
        <v>8.1</v>
      </c>
      <c r="B645">
        <v>2.5</v>
      </c>
      <c r="C645">
        <v>5</v>
      </c>
      <c r="D645">
        <v>46</v>
      </c>
      <c r="T645">
        <v>5</v>
      </c>
      <c r="U645">
        <v>10</v>
      </c>
      <c r="V645">
        <v>34.5</v>
      </c>
      <c r="AC645">
        <v>6.5</v>
      </c>
      <c r="AD645">
        <v>13</v>
      </c>
      <c r="AE645">
        <v>34.5</v>
      </c>
      <c r="AI645">
        <v>4</v>
      </c>
      <c r="AJ645">
        <v>8</v>
      </c>
      <c r="AK645">
        <v>23</v>
      </c>
      <c r="AL645">
        <v>14</v>
      </c>
      <c r="AM645">
        <v>28</v>
      </c>
      <c r="AN645">
        <v>46</v>
      </c>
      <c r="AO645">
        <v>13.5</v>
      </c>
      <c r="AP645">
        <v>27</v>
      </c>
      <c r="AQ645">
        <v>69</v>
      </c>
    </row>
    <row r="646" spans="1:43" x14ac:dyDescent="0.35">
      <c r="A646" s="37" t="s">
        <v>3</v>
      </c>
      <c r="AO646">
        <v>1</v>
      </c>
      <c r="AP646">
        <v>2</v>
      </c>
      <c r="AQ646">
        <v>11.5</v>
      </c>
    </row>
    <row r="647" spans="1:43" x14ac:dyDescent="0.35">
      <c r="A647" s="37" t="s">
        <v>173</v>
      </c>
      <c r="AL647">
        <v>2</v>
      </c>
      <c r="AM647">
        <v>4</v>
      </c>
      <c r="AN647">
        <v>11.5</v>
      </c>
    </row>
    <row r="648" spans="1:43" x14ac:dyDescent="0.35">
      <c r="A648" s="37" t="s">
        <v>23</v>
      </c>
      <c r="AL648">
        <v>2</v>
      </c>
      <c r="AM648">
        <v>4</v>
      </c>
      <c r="AN648">
        <v>11.5</v>
      </c>
      <c r="AO648">
        <v>0.5</v>
      </c>
      <c r="AP648">
        <v>1</v>
      </c>
      <c r="AQ648">
        <v>11.5</v>
      </c>
    </row>
    <row r="649" spans="1:43" x14ac:dyDescent="0.35">
      <c r="A649" s="37" t="s">
        <v>11</v>
      </c>
      <c r="B649">
        <v>0.5</v>
      </c>
      <c r="C649">
        <v>1</v>
      </c>
      <c r="D649">
        <v>11.5</v>
      </c>
      <c r="T649">
        <v>1.5</v>
      </c>
      <c r="U649">
        <v>3</v>
      </c>
      <c r="V649">
        <v>11.5</v>
      </c>
      <c r="AC649">
        <v>4.5</v>
      </c>
      <c r="AD649">
        <v>9</v>
      </c>
      <c r="AE649">
        <v>11.5</v>
      </c>
      <c r="AI649">
        <v>3.5000000000000004</v>
      </c>
      <c r="AJ649">
        <v>7</v>
      </c>
      <c r="AK649">
        <v>11.5</v>
      </c>
      <c r="AL649">
        <v>3</v>
      </c>
      <c r="AM649">
        <v>6</v>
      </c>
      <c r="AN649">
        <v>11.5</v>
      </c>
      <c r="AO649">
        <v>5.5</v>
      </c>
      <c r="AP649">
        <v>11</v>
      </c>
      <c r="AQ649">
        <v>11.5</v>
      </c>
    </row>
    <row r="650" spans="1:43" x14ac:dyDescent="0.35">
      <c r="A650" s="37" t="s">
        <v>13</v>
      </c>
      <c r="AO650">
        <v>0.5</v>
      </c>
      <c r="AP650">
        <v>1</v>
      </c>
      <c r="AQ650">
        <v>11.5</v>
      </c>
    </row>
    <row r="651" spans="1:43" x14ac:dyDescent="0.35">
      <c r="A651" s="37" t="s">
        <v>29</v>
      </c>
      <c r="B651">
        <v>0.5</v>
      </c>
      <c r="C651">
        <v>1</v>
      </c>
      <c r="D651">
        <v>11.5</v>
      </c>
      <c r="T651">
        <v>2</v>
      </c>
      <c r="U651">
        <v>4</v>
      </c>
      <c r="V651">
        <v>11.5</v>
      </c>
      <c r="AC651">
        <v>0.5</v>
      </c>
      <c r="AD651">
        <v>1</v>
      </c>
      <c r="AE651">
        <v>11.5</v>
      </c>
      <c r="AL651">
        <v>7.0000000000000009</v>
      </c>
      <c r="AM651">
        <v>14</v>
      </c>
      <c r="AN651">
        <v>11.5</v>
      </c>
      <c r="AO651">
        <v>4.5</v>
      </c>
      <c r="AP651">
        <v>9</v>
      </c>
      <c r="AQ651">
        <v>11.5</v>
      </c>
    </row>
    <row r="652" spans="1:43" x14ac:dyDescent="0.35">
      <c r="A652" s="37" t="s">
        <v>14</v>
      </c>
      <c r="B652">
        <v>0.5</v>
      </c>
      <c r="C652">
        <v>1</v>
      </c>
      <c r="D652">
        <v>11.5</v>
      </c>
      <c r="T652">
        <v>1.5</v>
      </c>
      <c r="U652">
        <v>3</v>
      </c>
      <c r="V652">
        <v>11.5</v>
      </c>
      <c r="AC652">
        <v>1.5</v>
      </c>
      <c r="AD652">
        <v>3</v>
      </c>
      <c r="AE652">
        <v>11.5</v>
      </c>
      <c r="AI652">
        <v>0.5</v>
      </c>
      <c r="AJ652">
        <v>1</v>
      </c>
      <c r="AK652">
        <v>11.5</v>
      </c>
      <c r="AO652">
        <v>1.5</v>
      </c>
      <c r="AP652">
        <v>3</v>
      </c>
      <c r="AQ652">
        <v>11.5</v>
      </c>
    </row>
    <row r="653" spans="1:43" x14ac:dyDescent="0.35">
      <c r="A653" s="37" t="s">
        <v>2</v>
      </c>
      <c r="B653">
        <v>1</v>
      </c>
      <c r="C653">
        <v>2</v>
      </c>
      <c r="D653">
        <v>11.5</v>
      </c>
    </row>
    <row r="654" spans="1:43" x14ac:dyDescent="0.35">
      <c r="A654" s="14">
        <v>8.1999999999999993</v>
      </c>
      <c r="AC654">
        <v>1</v>
      </c>
      <c r="AD654">
        <v>2</v>
      </c>
      <c r="AE654">
        <v>11.5</v>
      </c>
      <c r="AI654">
        <v>0.5</v>
      </c>
      <c r="AJ654">
        <v>1</v>
      </c>
      <c r="AK654">
        <v>11.5</v>
      </c>
      <c r="AL654">
        <v>1.5</v>
      </c>
      <c r="AM654">
        <v>3</v>
      </c>
      <c r="AN654">
        <v>11.5</v>
      </c>
      <c r="AO654">
        <v>0.5</v>
      </c>
      <c r="AP654">
        <v>1</v>
      </c>
      <c r="AQ654">
        <v>11.5</v>
      </c>
    </row>
    <row r="655" spans="1:43" x14ac:dyDescent="0.35">
      <c r="A655" s="37" t="s">
        <v>13</v>
      </c>
      <c r="AC655">
        <v>1</v>
      </c>
      <c r="AD655">
        <v>2</v>
      </c>
      <c r="AE655">
        <v>11.5</v>
      </c>
      <c r="AI655">
        <v>0.5</v>
      </c>
      <c r="AJ655">
        <v>1</v>
      </c>
      <c r="AK655">
        <v>11.5</v>
      </c>
      <c r="AL655">
        <v>1.5</v>
      </c>
      <c r="AM655">
        <v>3</v>
      </c>
      <c r="AN655">
        <v>11.5</v>
      </c>
      <c r="AO655">
        <v>0.5</v>
      </c>
      <c r="AP655">
        <v>1</v>
      </c>
      <c r="AQ655">
        <v>11.5</v>
      </c>
    </row>
    <row r="656" spans="1:43" x14ac:dyDescent="0.35">
      <c r="A656" s="14">
        <v>9.1</v>
      </c>
      <c r="B656">
        <v>6.5</v>
      </c>
      <c r="C656">
        <v>13</v>
      </c>
      <c r="D656">
        <v>11.5</v>
      </c>
      <c r="T656">
        <v>6</v>
      </c>
      <c r="U656">
        <v>12</v>
      </c>
      <c r="V656">
        <v>11.5</v>
      </c>
      <c r="AI656">
        <v>21.5</v>
      </c>
      <c r="AJ656">
        <v>43</v>
      </c>
      <c r="AK656">
        <v>69</v>
      </c>
      <c r="AL656">
        <v>22</v>
      </c>
      <c r="AM656">
        <v>44</v>
      </c>
      <c r="AN656">
        <v>80.5</v>
      </c>
      <c r="AO656">
        <v>60.5</v>
      </c>
      <c r="AP656">
        <v>121</v>
      </c>
      <c r="AQ656">
        <v>69</v>
      </c>
    </row>
    <row r="657" spans="1:43" x14ac:dyDescent="0.35">
      <c r="A657" s="37" t="s">
        <v>175</v>
      </c>
      <c r="AI657">
        <v>3</v>
      </c>
      <c r="AJ657">
        <v>6</v>
      </c>
      <c r="AK657">
        <v>11.5</v>
      </c>
      <c r="AL657">
        <v>1</v>
      </c>
      <c r="AM657">
        <v>2</v>
      </c>
      <c r="AN657">
        <v>11.5</v>
      </c>
      <c r="AO657">
        <v>0.5</v>
      </c>
      <c r="AP657">
        <v>1</v>
      </c>
      <c r="AQ657">
        <v>11.5</v>
      </c>
    </row>
    <row r="658" spans="1:43" x14ac:dyDescent="0.35">
      <c r="A658" s="37" t="s">
        <v>176</v>
      </c>
      <c r="AI658">
        <v>2</v>
      </c>
      <c r="AJ658">
        <v>4</v>
      </c>
      <c r="AK658">
        <v>11.5</v>
      </c>
    </row>
    <row r="659" spans="1:43" x14ac:dyDescent="0.35">
      <c r="A659" s="37" t="s">
        <v>173</v>
      </c>
      <c r="AI659">
        <v>3.5000000000000004</v>
      </c>
      <c r="AJ659">
        <v>7</v>
      </c>
      <c r="AK659">
        <v>11.5</v>
      </c>
      <c r="AL659">
        <v>5</v>
      </c>
      <c r="AM659">
        <v>10</v>
      </c>
      <c r="AN659">
        <v>11.5</v>
      </c>
      <c r="AO659">
        <v>7.5</v>
      </c>
      <c r="AP659">
        <v>15</v>
      </c>
      <c r="AQ659">
        <v>11.5</v>
      </c>
    </row>
    <row r="660" spans="1:43" x14ac:dyDescent="0.35">
      <c r="A660" s="37" t="s">
        <v>23</v>
      </c>
      <c r="AO660">
        <v>2</v>
      </c>
      <c r="AP660">
        <v>4</v>
      </c>
      <c r="AQ660">
        <v>11.5</v>
      </c>
    </row>
    <row r="661" spans="1:43" x14ac:dyDescent="0.35">
      <c r="A661" s="37" t="s">
        <v>11</v>
      </c>
      <c r="B661">
        <v>6.5</v>
      </c>
      <c r="C661">
        <v>13</v>
      </c>
      <c r="D661">
        <v>11.5</v>
      </c>
      <c r="T661">
        <v>6</v>
      </c>
      <c r="U661">
        <v>12</v>
      </c>
      <c r="V661">
        <v>11.5</v>
      </c>
      <c r="AI661">
        <v>8.5</v>
      </c>
      <c r="AJ661">
        <v>17</v>
      </c>
      <c r="AK661">
        <v>11.5</v>
      </c>
      <c r="AL661">
        <v>9</v>
      </c>
      <c r="AM661">
        <v>18</v>
      </c>
      <c r="AN661">
        <v>11.5</v>
      </c>
      <c r="AO661">
        <v>24.5</v>
      </c>
      <c r="AP661">
        <v>49</v>
      </c>
      <c r="AQ661">
        <v>11.5</v>
      </c>
    </row>
    <row r="662" spans="1:43" x14ac:dyDescent="0.35">
      <c r="A662" s="37" t="s">
        <v>29</v>
      </c>
      <c r="AO662">
        <v>0.5</v>
      </c>
      <c r="AP662">
        <v>1</v>
      </c>
      <c r="AQ662">
        <v>11.5</v>
      </c>
    </row>
    <row r="663" spans="1:43" x14ac:dyDescent="0.35">
      <c r="A663" s="37" t="s">
        <v>34</v>
      </c>
      <c r="AI663">
        <v>2</v>
      </c>
      <c r="AJ663">
        <v>4</v>
      </c>
      <c r="AK663">
        <v>11.5</v>
      </c>
    </row>
    <row r="664" spans="1:43" x14ac:dyDescent="0.35">
      <c r="A664" s="37" t="s">
        <v>206</v>
      </c>
      <c r="AL664">
        <v>0.5</v>
      </c>
      <c r="AM664">
        <v>1</v>
      </c>
      <c r="AN664">
        <v>11.5</v>
      </c>
    </row>
    <row r="665" spans="1:43" x14ac:dyDescent="0.35">
      <c r="A665" s="37" t="s">
        <v>174</v>
      </c>
      <c r="AI665">
        <v>2.5</v>
      </c>
      <c r="AJ665">
        <v>5</v>
      </c>
      <c r="AK665">
        <v>11.5</v>
      </c>
      <c r="AL665">
        <v>3</v>
      </c>
      <c r="AM665">
        <v>6</v>
      </c>
      <c r="AN665">
        <v>11.5</v>
      </c>
      <c r="AO665">
        <v>25.5</v>
      </c>
      <c r="AP665">
        <v>51</v>
      </c>
      <c r="AQ665">
        <v>11.5</v>
      </c>
    </row>
    <row r="666" spans="1:43" x14ac:dyDescent="0.35">
      <c r="A666" s="37" t="s">
        <v>208</v>
      </c>
      <c r="AL666">
        <v>0.5</v>
      </c>
      <c r="AM666">
        <v>1</v>
      </c>
      <c r="AN666">
        <v>11.5</v>
      </c>
    </row>
    <row r="667" spans="1:43" x14ac:dyDescent="0.35">
      <c r="A667" s="37" t="s">
        <v>2</v>
      </c>
      <c r="AL667">
        <v>3</v>
      </c>
      <c r="AM667">
        <v>6</v>
      </c>
      <c r="AN667">
        <v>11.5</v>
      </c>
    </row>
    <row r="668" spans="1:43" x14ac:dyDescent="0.35">
      <c r="A668" s="14">
        <v>9.1999999999999993</v>
      </c>
      <c r="T668">
        <v>2</v>
      </c>
      <c r="U668">
        <v>4</v>
      </c>
      <c r="V668">
        <v>11.5</v>
      </c>
      <c r="AC668">
        <v>0.5</v>
      </c>
      <c r="AD668">
        <v>1</v>
      </c>
      <c r="AE668">
        <v>11.5</v>
      </c>
      <c r="AI668">
        <v>1.5</v>
      </c>
      <c r="AJ668">
        <v>3</v>
      </c>
      <c r="AK668">
        <v>11.5</v>
      </c>
      <c r="AL668">
        <v>3.5</v>
      </c>
      <c r="AM668">
        <v>7</v>
      </c>
      <c r="AN668">
        <v>23</v>
      </c>
      <c r="AO668">
        <v>12.5</v>
      </c>
      <c r="AP668">
        <v>25</v>
      </c>
      <c r="AQ668">
        <v>34.5</v>
      </c>
    </row>
    <row r="669" spans="1:43" x14ac:dyDescent="0.35">
      <c r="A669" s="37" t="s">
        <v>173</v>
      </c>
      <c r="AL669">
        <v>0.5</v>
      </c>
      <c r="AM669">
        <v>1</v>
      </c>
      <c r="AN669">
        <v>11.5</v>
      </c>
    </row>
    <row r="670" spans="1:43" x14ac:dyDescent="0.35">
      <c r="A670" s="37" t="s">
        <v>23</v>
      </c>
      <c r="AO670">
        <v>1</v>
      </c>
      <c r="AP670">
        <v>2</v>
      </c>
      <c r="AQ670">
        <v>11.5</v>
      </c>
    </row>
    <row r="671" spans="1:43" x14ac:dyDescent="0.35">
      <c r="A671" s="37" t="s">
        <v>29</v>
      </c>
      <c r="T671">
        <v>2</v>
      </c>
      <c r="U671">
        <v>4</v>
      </c>
      <c r="V671">
        <v>11.5</v>
      </c>
      <c r="AC671">
        <v>0.5</v>
      </c>
      <c r="AD671">
        <v>1</v>
      </c>
      <c r="AE671">
        <v>11.5</v>
      </c>
      <c r="AI671">
        <v>1.5</v>
      </c>
      <c r="AJ671">
        <v>3</v>
      </c>
      <c r="AK671">
        <v>11.5</v>
      </c>
      <c r="AL671">
        <v>3</v>
      </c>
      <c r="AM671">
        <v>6</v>
      </c>
      <c r="AN671">
        <v>11.5</v>
      </c>
      <c r="AO671">
        <v>6.5</v>
      </c>
      <c r="AP671">
        <v>13</v>
      </c>
      <c r="AQ671">
        <v>11.5</v>
      </c>
    </row>
    <row r="672" spans="1:43" x14ac:dyDescent="0.35">
      <c r="A672" s="37" t="s">
        <v>198</v>
      </c>
      <c r="AO672">
        <v>5</v>
      </c>
      <c r="AP672">
        <v>10</v>
      </c>
      <c r="AQ672">
        <v>11.5</v>
      </c>
    </row>
    <row r="673" spans="1:40" x14ac:dyDescent="0.35">
      <c r="A673" s="14">
        <v>10.1</v>
      </c>
      <c r="AL673">
        <v>42.5</v>
      </c>
      <c r="AM673">
        <v>85</v>
      </c>
      <c r="AN673">
        <v>126.5</v>
      </c>
    </row>
    <row r="674" spans="1:40" x14ac:dyDescent="0.35">
      <c r="A674" s="37" t="s">
        <v>175</v>
      </c>
      <c r="AL674">
        <v>2</v>
      </c>
      <c r="AM674">
        <v>4</v>
      </c>
      <c r="AN674">
        <v>11.5</v>
      </c>
    </row>
    <row r="675" spans="1:40" x14ac:dyDescent="0.35">
      <c r="A675" s="37" t="s">
        <v>195</v>
      </c>
      <c r="AL675">
        <v>1.5</v>
      </c>
      <c r="AM675">
        <v>3</v>
      </c>
      <c r="AN675">
        <v>11.5</v>
      </c>
    </row>
    <row r="676" spans="1:40" x14ac:dyDescent="0.35">
      <c r="A676" s="37" t="s">
        <v>194</v>
      </c>
      <c r="AL676">
        <v>2.5</v>
      </c>
      <c r="AM676">
        <v>5</v>
      </c>
      <c r="AN676">
        <v>11.5</v>
      </c>
    </row>
    <row r="677" spans="1:40" x14ac:dyDescent="0.35">
      <c r="A677" s="37" t="s">
        <v>173</v>
      </c>
      <c r="AL677">
        <v>27</v>
      </c>
      <c r="AM677">
        <v>54</v>
      </c>
      <c r="AN677">
        <v>11.5</v>
      </c>
    </row>
    <row r="678" spans="1:40" x14ac:dyDescent="0.35">
      <c r="A678" s="37" t="s">
        <v>23</v>
      </c>
      <c r="AL678">
        <v>1</v>
      </c>
      <c r="AM678">
        <v>2</v>
      </c>
      <c r="AN678">
        <v>11.5</v>
      </c>
    </row>
    <row r="679" spans="1:40" x14ac:dyDescent="0.35">
      <c r="A679" s="37" t="s">
        <v>196</v>
      </c>
      <c r="AL679">
        <v>2.5</v>
      </c>
      <c r="AM679">
        <v>5</v>
      </c>
      <c r="AN679">
        <v>11.5</v>
      </c>
    </row>
    <row r="680" spans="1:40" x14ac:dyDescent="0.35">
      <c r="A680" s="37" t="s">
        <v>190</v>
      </c>
      <c r="AL680">
        <v>3</v>
      </c>
      <c r="AM680">
        <v>6</v>
      </c>
      <c r="AN680">
        <v>11.5</v>
      </c>
    </row>
    <row r="681" spans="1:40" x14ac:dyDescent="0.35">
      <c r="A681" s="37" t="s">
        <v>174</v>
      </c>
      <c r="AL681">
        <v>0.5</v>
      </c>
      <c r="AM681">
        <v>1</v>
      </c>
      <c r="AN681">
        <v>11.5</v>
      </c>
    </row>
    <row r="682" spans="1:40" x14ac:dyDescent="0.35">
      <c r="A682" s="37" t="s">
        <v>198</v>
      </c>
      <c r="AL682">
        <v>0.5</v>
      </c>
      <c r="AM682">
        <v>1</v>
      </c>
      <c r="AN682">
        <v>11.5</v>
      </c>
    </row>
    <row r="683" spans="1:40" x14ac:dyDescent="0.35">
      <c r="A683" s="37" t="s">
        <v>2</v>
      </c>
      <c r="AL683">
        <v>1</v>
      </c>
      <c r="AM683">
        <v>2</v>
      </c>
      <c r="AN683">
        <v>11.5</v>
      </c>
    </row>
    <row r="684" spans="1:40" x14ac:dyDescent="0.35">
      <c r="A684" s="37" t="s">
        <v>170</v>
      </c>
      <c r="AL684">
        <v>1</v>
      </c>
      <c r="AM684">
        <v>2</v>
      </c>
      <c r="AN684">
        <v>11.5</v>
      </c>
    </row>
    <row r="685" spans="1:40" x14ac:dyDescent="0.35">
      <c r="A685" s="14">
        <v>10.199999999999999</v>
      </c>
      <c r="AL685">
        <v>21</v>
      </c>
      <c r="AM685">
        <v>42</v>
      </c>
      <c r="AN685">
        <v>103.5</v>
      </c>
    </row>
    <row r="686" spans="1:40" x14ac:dyDescent="0.35">
      <c r="A686" s="37" t="s">
        <v>194</v>
      </c>
      <c r="AL686">
        <v>0.5</v>
      </c>
      <c r="AM686">
        <v>1</v>
      </c>
      <c r="AN686">
        <v>11.5</v>
      </c>
    </row>
    <row r="687" spans="1:40" x14ac:dyDescent="0.35">
      <c r="A687" s="37" t="s">
        <v>176</v>
      </c>
      <c r="AL687">
        <v>0.5</v>
      </c>
      <c r="AM687">
        <v>1</v>
      </c>
      <c r="AN687">
        <v>11.5</v>
      </c>
    </row>
    <row r="688" spans="1:40" x14ac:dyDescent="0.35">
      <c r="A688" s="37" t="s">
        <v>173</v>
      </c>
      <c r="AL688">
        <v>14.000000000000002</v>
      </c>
      <c r="AM688">
        <v>28</v>
      </c>
      <c r="AN688">
        <v>11.5</v>
      </c>
    </row>
    <row r="689" spans="1:43" x14ac:dyDescent="0.35">
      <c r="A689" s="37" t="s">
        <v>11</v>
      </c>
      <c r="AL689">
        <v>1</v>
      </c>
      <c r="AM689">
        <v>2</v>
      </c>
      <c r="AN689">
        <v>11.5</v>
      </c>
    </row>
    <row r="690" spans="1:43" x14ac:dyDescent="0.35">
      <c r="A690" s="37" t="s">
        <v>207</v>
      </c>
      <c r="AL690">
        <v>0.5</v>
      </c>
      <c r="AM690">
        <v>1</v>
      </c>
      <c r="AN690">
        <v>11.5</v>
      </c>
    </row>
    <row r="691" spans="1:43" x14ac:dyDescent="0.35">
      <c r="A691" s="37" t="s">
        <v>206</v>
      </c>
      <c r="AL691">
        <v>0.5</v>
      </c>
      <c r="AM691">
        <v>1</v>
      </c>
      <c r="AN691">
        <v>11.5</v>
      </c>
    </row>
    <row r="692" spans="1:43" x14ac:dyDescent="0.35">
      <c r="A692" s="37" t="s">
        <v>174</v>
      </c>
      <c r="AL692">
        <v>0.5</v>
      </c>
      <c r="AM692">
        <v>1</v>
      </c>
      <c r="AN692">
        <v>11.5</v>
      </c>
    </row>
    <row r="693" spans="1:43" x14ac:dyDescent="0.35">
      <c r="A693" s="37" t="s">
        <v>202</v>
      </c>
      <c r="AL693">
        <v>0.5</v>
      </c>
      <c r="AM693">
        <v>1</v>
      </c>
      <c r="AN693">
        <v>11.5</v>
      </c>
    </row>
    <row r="694" spans="1:43" x14ac:dyDescent="0.35">
      <c r="A694" s="37" t="s">
        <v>2</v>
      </c>
      <c r="AL694">
        <v>3</v>
      </c>
      <c r="AM694">
        <v>6</v>
      </c>
      <c r="AN694">
        <v>11.5</v>
      </c>
    </row>
    <row r="695" spans="1:43" x14ac:dyDescent="0.35">
      <c r="A695" s="14" t="s">
        <v>141</v>
      </c>
      <c r="T695">
        <v>9.5</v>
      </c>
      <c r="U695">
        <v>19</v>
      </c>
      <c r="V695">
        <v>46</v>
      </c>
      <c r="AC695">
        <v>14</v>
      </c>
      <c r="AD695">
        <v>28</v>
      </c>
      <c r="AE695">
        <v>46</v>
      </c>
      <c r="AL695">
        <v>13.5</v>
      </c>
      <c r="AM695">
        <v>27</v>
      </c>
      <c r="AN695">
        <v>34.5</v>
      </c>
      <c r="AO695">
        <v>16.5</v>
      </c>
      <c r="AP695">
        <v>33</v>
      </c>
      <c r="AQ695">
        <v>34.5</v>
      </c>
    </row>
    <row r="696" spans="1:43" x14ac:dyDescent="0.35">
      <c r="A696" s="37" t="s">
        <v>3</v>
      </c>
      <c r="T696">
        <v>1.5</v>
      </c>
      <c r="U696">
        <v>3</v>
      </c>
      <c r="V696">
        <v>11.5</v>
      </c>
      <c r="AC696">
        <v>1.5</v>
      </c>
      <c r="AD696">
        <v>3</v>
      </c>
      <c r="AE696">
        <v>11.5</v>
      </c>
      <c r="AL696">
        <v>1.5</v>
      </c>
      <c r="AM696">
        <v>3</v>
      </c>
      <c r="AN696">
        <v>11.5</v>
      </c>
      <c r="AO696">
        <v>1</v>
      </c>
      <c r="AP696">
        <v>2</v>
      </c>
      <c r="AQ696">
        <v>11.5</v>
      </c>
    </row>
    <row r="697" spans="1:43" x14ac:dyDescent="0.35">
      <c r="A697" s="37" t="s">
        <v>23</v>
      </c>
      <c r="T697">
        <v>1</v>
      </c>
      <c r="U697">
        <v>2</v>
      </c>
      <c r="V697">
        <v>11.5</v>
      </c>
      <c r="AC697">
        <v>1</v>
      </c>
      <c r="AD697">
        <v>2</v>
      </c>
      <c r="AE697">
        <v>11.5</v>
      </c>
      <c r="AO697">
        <v>0.5</v>
      </c>
      <c r="AP697">
        <v>1</v>
      </c>
      <c r="AQ697">
        <v>11.5</v>
      </c>
    </row>
    <row r="698" spans="1:43" x14ac:dyDescent="0.35">
      <c r="A698" s="37" t="s">
        <v>11</v>
      </c>
      <c r="T698">
        <v>5.5</v>
      </c>
      <c r="U698">
        <v>11</v>
      </c>
      <c r="V698">
        <v>11.5</v>
      </c>
      <c r="AC698">
        <v>11</v>
      </c>
      <c r="AD698">
        <v>22</v>
      </c>
      <c r="AE698">
        <v>11.5</v>
      </c>
      <c r="AL698">
        <v>11.5</v>
      </c>
      <c r="AM698">
        <v>23</v>
      </c>
      <c r="AN698">
        <v>11.5</v>
      </c>
      <c r="AO698">
        <v>15</v>
      </c>
      <c r="AP698">
        <v>30</v>
      </c>
      <c r="AQ698">
        <v>11.5</v>
      </c>
    </row>
    <row r="699" spans="1:43" x14ac:dyDescent="0.35">
      <c r="A699" s="37" t="s">
        <v>29</v>
      </c>
      <c r="T699">
        <v>1.5</v>
      </c>
      <c r="U699">
        <v>3</v>
      </c>
      <c r="V699">
        <v>11.5</v>
      </c>
      <c r="AC699">
        <v>0.5</v>
      </c>
      <c r="AD699">
        <v>1</v>
      </c>
      <c r="AE699">
        <v>11.5</v>
      </c>
      <c r="AL699">
        <v>0.5</v>
      </c>
      <c r="AM699">
        <v>1</v>
      </c>
      <c r="AN699">
        <v>11.5</v>
      </c>
    </row>
    <row r="700" spans="1:43" x14ac:dyDescent="0.35">
      <c r="A700" s="14" t="s">
        <v>143</v>
      </c>
      <c r="AC700">
        <v>4</v>
      </c>
      <c r="AD700">
        <v>8</v>
      </c>
      <c r="AE700">
        <v>11.5</v>
      </c>
      <c r="AO700">
        <v>6</v>
      </c>
      <c r="AP700">
        <v>12</v>
      </c>
      <c r="AQ700">
        <v>23</v>
      </c>
    </row>
    <row r="701" spans="1:43" x14ac:dyDescent="0.35">
      <c r="A701" s="37" t="s">
        <v>11</v>
      </c>
      <c r="AO701">
        <v>1.5</v>
      </c>
      <c r="AP701">
        <v>3</v>
      </c>
      <c r="AQ701">
        <v>11.5</v>
      </c>
    </row>
    <row r="702" spans="1:43" x14ac:dyDescent="0.35">
      <c r="A702" s="37" t="s">
        <v>4</v>
      </c>
      <c r="AC702">
        <v>4</v>
      </c>
      <c r="AD702">
        <v>8</v>
      </c>
      <c r="AE702">
        <v>11.5</v>
      </c>
      <c r="AO702">
        <v>4.5</v>
      </c>
      <c r="AP702">
        <v>9</v>
      </c>
      <c r="AQ702">
        <v>11.5</v>
      </c>
    </row>
    <row r="703" spans="1:43" x14ac:dyDescent="0.35">
      <c r="A703" s="14" t="s">
        <v>145</v>
      </c>
      <c r="AO703">
        <v>2.5</v>
      </c>
      <c r="AP703">
        <v>5</v>
      </c>
      <c r="AQ703">
        <v>11.5</v>
      </c>
    </row>
    <row r="704" spans="1:43" x14ac:dyDescent="0.35">
      <c r="A704" s="37" t="s">
        <v>11</v>
      </c>
      <c r="AO704">
        <v>2.5</v>
      </c>
      <c r="AP704">
        <v>5</v>
      </c>
      <c r="AQ704">
        <v>11.5</v>
      </c>
    </row>
    <row r="705" spans="1:43" x14ac:dyDescent="0.35">
      <c r="A705" s="14" t="s">
        <v>147</v>
      </c>
      <c r="AO705">
        <v>0.5</v>
      </c>
      <c r="AP705">
        <v>1</v>
      </c>
      <c r="AQ705">
        <v>11.5</v>
      </c>
    </row>
    <row r="706" spans="1:43" x14ac:dyDescent="0.35">
      <c r="A706" s="37" t="s">
        <v>11</v>
      </c>
      <c r="AO706">
        <v>0.5</v>
      </c>
      <c r="AP706">
        <v>1</v>
      </c>
      <c r="AQ706">
        <v>11.5</v>
      </c>
    </row>
    <row r="707" spans="1:43" x14ac:dyDescent="0.35">
      <c r="A707" s="14" t="s">
        <v>149</v>
      </c>
      <c r="AO707">
        <v>7</v>
      </c>
      <c r="AP707">
        <v>14</v>
      </c>
      <c r="AQ707">
        <v>34.5</v>
      </c>
    </row>
    <row r="708" spans="1:43" x14ac:dyDescent="0.35">
      <c r="A708" s="37" t="s">
        <v>11</v>
      </c>
      <c r="AO708">
        <v>6</v>
      </c>
      <c r="AP708">
        <v>12</v>
      </c>
      <c r="AQ708">
        <v>11.5</v>
      </c>
    </row>
    <row r="709" spans="1:43" x14ac:dyDescent="0.35">
      <c r="A709" s="37" t="s">
        <v>29</v>
      </c>
      <c r="AO709">
        <v>0.5</v>
      </c>
      <c r="AP709">
        <v>1</v>
      </c>
      <c r="AQ709">
        <v>11.5</v>
      </c>
    </row>
    <row r="710" spans="1:43" x14ac:dyDescent="0.35">
      <c r="A710" s="37" t="s">
        <v>139</v>
      </c>
      <c r="AO710">
        <v>0.5</v>
      </c>
      <c r="AP710">
        <v>1</v>
      </c>
      <c r="AQ710">
        <v>11.5</v>
      </c>
    </row>
    <row r="711" spans="1:43" x14ac:dyDescent="0.35">
      <c r="A711" s="14" t="s">
        <v>297</v>
      </c>
      <c r="AO711">
        <v>41.5</v>
      </c>
      <c r="AP711">
        <v>83</v>
      </c>
      <c r="AQ711">
        <v>57.5</v>
      </c>
    </row>
    <row r="712" spans="1:43" x14ac:dyDescent="0.35">
      <c r="A712" s="37" t="s">
        <v>173</v>
      </c>
      <c r="AO712">
        <v>9</v>
      </c>
      <c r="AP712">
        <v>18</v>
      </c>
      <c r="AQ712">
        <v>11.5</v>
      </c>
    </row>
    <row r="713" spans="1:43" x14ac:dyDescent="0.35">
      <c r="A713" s="37" t="s">
        <v>11</v>
      </c>
      <c r="AO713">
        <v>0.5</v>
      </c>
      <c r="AP713">
        <v>1</v>
      </c>
      <c r="AQ713">
        <v>11.5</v>
      </c>
    </row>
    <row r="714" spans="1:43" x14ac:dyDescent="0.35">
      <c r="A714" s="37" t="s">
        <v>206</v>
      </c>
      <c r="AO714">
        <v>16</v>
      </c>
      <c r="AP714">
        <v>32</v>
      </c>
      <c r="AQ714">
        <v>11.5</v>
      </c>
    </row>
    <row r="715" spans="1:43" x14ac:dyDescent="0.35">
      <c r="A715" s="37" t="s">
        <v>174</v>
      </c>
      <c r="AO715">
        <v>13</v>
      </c>
      <c r="AP715">
        <v>26</v>
      </c>
      <c r="AQ715">
        <v>11.5</v>
      </c>
    </row>
    <row r="716" spans="1:43" x14ac:dyDescent="0.35">
      <c r="A716" s="37" t="s">
        <v>198</v>
      </c>
      <c r="AO716">
        <v>3</v>
      </c>
      <c r="AP716">
        <v>6</v>
      </c>
      <c r="AQ716">
        <v>11.5</v>
      </c>
    </row>
    <row r="717" spans="1:43" x14ac:dyDescent="0.35">
      <c r="A717" s="14" t="s">
        <v>302</v>
      </c>
      <c r="AO717">
        <v>77.5</v>
      </c>
      <c r="AP717">
        <v>155</v>
      </c>
      <c r="AQ717">
        <v>92</v>
      </c>
    </row>
    <row r="718" spans="1:43" x14ac:dyDescent="0.35">
      <c r="A718" s="37" t="s">
        <v>173</v>
      </c>
      <c r="AO718">
        <v>39.5</v>
      </c>
      <c r="AP718">
        <v>79</v>
      </c>
      <c r="AQ718">
        <v>11.5</v>
      </c>
    </row>
    <row r="719" spans="1:43" x14ac:dyDescent="0.35">
      <c r="A719" s="37" t="s">
        <v>23</v>
      </c>
      <c r="AO719">
        <v>4</v>
      </c>
      <c r="AP719">
        <v>8</v>
      </c>
      <c r="AQ719">
        <v>11.5</v>
      </c>
    </row>
    <row r="720" spans="1:43" x14ac:dyDescent="0.35">
      <c r="A720" s="37" t="s">
        <v>11</v>
      </c>
      <c r="AO720">
        <v>4.5</v>
      </c>
      <c r="AP720">
        <v>9</v>
      </c>
      <c r="AQ720">
        <v>11.5</v>
      </c>
    </row>
    <row r="721" spans="1:43" x14ac:dyDescent="0.35">
      <c r="A721" s="37" t="s">
        <v>207</v>
      </c>
      <c r="AO721">
        <v>3</v>
      </c>
      <c r="AP721">
        <v>6</v>
      </c>
      <c r="AQ721">
        <v>11.5</v>
      </c>
    </row>
    <row r="722" spans="1:43" x14ac:dyDescent="0.35">
      <c r="A722" s="37" t="s">
        <v>134</v>
      </c>
      <c r="AO722">
        <v>1.5</v>
      </c>
      <c r="AP722">
        <v>3</v>
      </c>
      <c r="AQ722">
        <v>11.5</v>
      </c>
    </row>
    <row r="723" spans="1:43" x14ac:dyDescent="0.35">
      <c r="A723" s="37" t="s">
        <v>206</v>
      </c>
      <c r="AO723">
        <v>12.5</v>
      </c>
      <c r="AP723">
        <v>25</v>
      </c>
      <c r="AQ723">
        <v>11.5</v>
      </c>
    </row>
    <row r="724" spans="1:43" x14ac:dyDescent="0.35">
      <c r="A724" s="37" t="s">
        <v>174</v>
      </c>
      <c r="AO724">
        <v>11</v>
      </c>
      <c r="AP724">
        <v>22</v>
      </c>
      <c r="AQ724">
        <v>11.5</v>
      </c>
    </row>
    <row r="725" spans="1:43" x14ac:dyDescent="0.35">
      <c r="A725" s="37" t="s">
        <v>198</v>
      </c>
      <c r="AO725">
        <v>1.5</v>
      </c>
      <c r="AP725">
        <v>3</v>
      </c>
      <c r="AQ725">
        <v>11.5</v>
      </c>
    </row>
    <row r="726" spans="1:43" x14ac:dyDescent="0.35">
      <c r="A726" s="1" t="s">
        <v>21</v>
      </c>
      <c r="B726">
        <v>58.345733051615404</v>
      </c>
      <c r="C726">
        <v>23</v>
      </c>
      <c r="D726">
        <v>330</v>
      </c>
      <c r="N726">
        <v>55.510565055222877</v>
      </c>
      <c r="O726">
        <v>18</v>
      </c>
      <c r="P726">
        <v>429</v>
      </c>
      <c r="AC726">
        <v>32.260266082868903</v>
      </c>
      <c r="AD726">
        <v>12</v>
      </c>
      <c r="AE726">
        <v>231</v>
      </c>
      <c r="AI726">
        <v>15.793550327018888</v>
      </c>
      <c r="AJ726">
        <v>6</v>
      </c>
      <c r="AK726">
        <v>165</v>
      </c>
      <c r="AL726">
        <v>58.445432208957364</v>
      </c>
      <c r="AM726">
        <v>22</v>
      </c>
      <c r="AN726">
        <v>363</v>
      </c>
    </row>
    <row r="727" spans="1:43" x14ac:dyDescent="0.35">
      <c r="A727" s="14">
        <v>1.1000000000000001</v>
      </c>
      <c r="N727">
        <v>3.4482758620689653</v>
      </c>
      <c r="O727">
        <v>1</v>
      </c>
      <c r="P727">
        <v>33</v>
      </c>
      <c r="AC727">
        <v>6.8965517241379306</v>
      </c>
      <c r="AD727">
        <v>2</v>
      </c>
      <c r="AE727">
        <v>33</v>
      </c>
      <c r="AI727">
        <v>6.8965517241379306</v>
      </c>
      <c r="AJ727">
        <v>2</v>
      </c>
      <c r="AK727">
        <v>33</v>
      </c>
      <c r="AL727">
        <v>6.8965517241379306</v>
      </c>
      <c r="AM727">
        <v>2</v>
      </c>
      <c r="AN727">
        <v>33</v>
      </c>
    </row>
    <row r="728" spans="1:43" x14ac:dyDescent="0.35">
      <c r="A728" s="37" t="s">
        <v>3</v>
      </c>
      <c r="N728">
        <v>3.4482758620689653</v>
      </c>
      <c r="O728">
        <v>1</v>
      </c>
      <c r="P728">
        <v>33</v>
      </c>
      <c r="AC728">
        <v>6.8965517241379306</v>
      </c>
      <c r="AD728">
        <v>2</v>
      </c>
      <c r="AE728">
        <v>33</v>
      </c>
      <c r="AI728">
        <v>6.8965517241379306</v>
      </c>
      <c r="AJ728">
        <v>2</v>
      </c>
      <c r="AK728">
        <v>33</v>
      </c>
      <c r="AL728">
        <v>6.8965517241379306</v>
      </c>
      <c r="AM728">
        <v>2</v>
      </c>
      <c r="AN728">
        <v>33</v>
      </c>
    </row>
    <row r="729" spans="1:43" x14ac:dyDescent="0.35">
      <c r="A729" s="14">
        <v>2.1</v>
      </c>
      <c r="B729">
        <v>18.75</v>
      </c>
      <c r="C729">
        <v>6</v>
      </c>
      <c r="D729">
        <v>99</v>
      </c>
      <c r="N729">
        <v>9.375</v>
      </c>
      <c r="O729">
        <v>3</v>
      </c>
      <c r="P729">
        <v>66</v>
      </c>
      <c r="AC729">
        <v>6.0606060606060606</v>
      </c>
      <c r="AD729">
        <v>2</v>
      </c>
      <c r="AE729">
        <v>33</v>
      </c>
      <c r="AL729">
        <v>6.25</v>
      </c>
      <c r="AM729">
        <v>2</v>
      </c>
      <c r="AN729">
        <v>33</v>
      </c>
    </row>
    <row r="730" spans="1:43" x14ac:dyDescent="0.35">
      <c r="A730" s="37" t="s">
        <v>3</v>
      </c>
      <c r="B730">
        <v>9.375</v>
      </c>
      <c r="C730">
        <v>3</v>
      </c>
      <c r="D730">
        <v>33</v>
      </c>
      <c r="AL730">
        <v>6.25</v>
      </c>
      <c r="AM730">
        <v>2</v>
      </c>
      <c r="AN730">
        <v>33</v>
      </c>
    </row>
    <row r="731" spans="1:43" x14ac:dyDescent="0.35">
      <c r="A731" s="37" t="s">
        <v>14</v>
      </c>
      <c r="B731">
        <v>3.125</v>
      </c>
      <c r="C731">
        <v>1</v>
      </c>
      <c r="D731">
        <v>33</v>
      </c>
      <c r="N731">
        <v>3.125</v>
      </c>
      <c r="O731">
        <v>1</v>
      </c>
      <c r="P731">
        <v>33</v>
      </c>
      <c r="AC731">
        <v>6.0606060606060606</v>
      </c>
      <c r="AD731">
        <v>2</v>
      </c>
      <c r="AE731">
        <v>33</v>
      </c>
    </row>
    <row r="732" spans="1:43" x14ac:dyDescent="0.35">
      <c r="A732" s="37" t="s">
        <v>2</v>
      </c>
      <c r="B732">
        <v>6.25</v>
      </c>
      <c r="C732">
        <v>2</v>
      </c>
      <c r="D732">
        <v>33</v>
      </c>
      <c r="N732">
        <v>6.25</v>
      </c>
      <c r="O732">
        <v>2</v>
      </c>
      <c r="P732">
        <v>33</v>
      </c>
    </row>
    <row r="733" spans="1:43" x14ac:dyDescent="0.35">
      <c r="A733" s="14">
        <v>3.1</v>
      </c>
      <c r="B733">
        <v>5.5555555555555554</v>
      </c>
      <c r="C733">
        <v>2</v>
      </c>
      <c r="D733">
        <v>33</v>
      </c>
      <c r="AL733">
        <v>11.428571428571429</v>
      </c>
      <c r="AM733">
        <v>4</v>
      </c>
      <c r="AN733">
        <v>33</v>
      </c>
    </row>
    <row r="734" spans="1:43" x14ac:dyDescent="0.35">
      <c r="A734" s="37" t="s">
        <v>3</v>
      </c>
      <c r="B734">
        <v>5.5555555555555554</v>
      </c>
      <c r="C734">
        <v>2</v>
      </c>
      <c r="D734">
        <v>33</v>
      </c>
    </row>
    <row r="735" spans="1:43" x14ac:dyDescent="0.35">
      <c r="A735" s="37" t="s">
        <v>14</v>
      </c>
      <c r="AL735">
        <v>11.428571428571429</v>
      </c>
      <c r="AM735">
        <v>4</v>
      </c>
      <c r="AN735">
        <v>33</v>
      </c>
    </row>
    <row r="736" spans="1:43" x14ac:dyDescent="0.35">
      <c r="A736" s="14">
        <v>4.0999999999999996</v>
      </c>
      <c r="B736">
        <v>2.5</v>
      </c>
      <c r="C736">
        <v>1</v>
      </c>
      <c r="D736">
        <v>33</v>
      </c>
      <c r="N736">
        <v>5</v>
      </c>
      <c r="O736">
        <v>2</v>
      </c>
      <c r="P736">
        <v>66</v>
      </c>
    </row>
    <row r="737" spans="1:40" x14ac:dyDescent="0.35">
      <c r="A737" s="37" t="s">
        <v>3</v>
      </c>
      <c r="B737">
        <v>2.5</v>
      </c>
      <c r="C737">
        <v>1</v>
      </c>
      <c r="D737">
        <v>33</v>
      </c>
      <c r="N737">
        <v>2.5</v>
      </c>
      <c r="O737">
        <v>1</v>
      </c>
      <c r="P737">
        <v>33</v>
      </c>
    </row>
    <row r="738" spans="1:40" x14ac:dyDescent="0.35">
      <c r="A738" s="37" t="s">
        <v>2</v>
      </c>
      <c r="N738">
        <v>2.5</v>
      </c>
      <c r="O738">
        <v>1</v>
      </c>
      <c r="P738">
        <v>33</v>
      </c>
    </row>
    <row r="739" spans="1:40" x14ac:dyDescent="0.35">
      <c r="A739" s="14">
        <v>5.0999999999999996</v>
      </c>
      <c r="B739">
        <v>2.2727272727272729</v>
      </c>
      <c r="C739">
        <v>1</v>
      </c>
      <c r="D739">
        <v>33</v>
      </c>
      <c r="AC739">
        <v>2.2727272727272729</v>
      </c>
      <c r="AD739">
        <v>1</v>
      </c>
      <c r="AE739">
        <v>33</v>
      </c>
      <c r="AI739">
        <v>2.2727272727272729</v>
      </c>
      <c r="AJ739">
        <v>1</v>
      </c>
      <c r="AK739">
        <v>33</v>
      </c>
      <c r="AL739">
        <v>14.285714285714285</v>
      </c>
      <c r="AM739">
        <v>6</v>
      </c>
      <c r="AN739">
        <v>66</v>
      </c>
    </row>
    <row r="740" spans="1:40" x14ac:dyDescent="0.35">
      <c r="A740" s="37" t="s">
        <v>3</v>
      </c>
      <c r="B740">
        <v>2.2727272727272729</v>
      </c>
      <c r="C740">
        <v>1</v>
      </c>
      <c r="D740">
        <v>33</v>
      </c>
      <c r="AC740">
        <v>2.2727272727272729</v>
      </c>
      <c r="AD740">
        <v>1</v>
      </c>
      <c r="AE740">
        <v>33</v>
      </c>
      <c r="AI740">
        <v>2.2727272727272729</v>
      </c>
      <c r="AJ740">
        <v>1</v>
      </c>
      <c r="AK740">
        <v>33</v>
      </c>
      <c r="AL740">
        <v>2.3809523809523809</v>
      </c>
      <c r="AM740">
        <v>1</v>
      </c>
      <c r="AN740">
        <v>33</v>
      </c>
    </row>
    <row r="741" spans="1:40" x14ac:dyDescent="0.35">
      <c r="A741" s="37" t="s">
        <v>14</v>
      </c>
      <c r="AL741">
        <v>11.904761904761903</v>
      </c>
      <c r="AM741">
        <v>5</v>
      </c>
      <c r="AN741">
        <v>33</v>
      </c>
    </row>
    <row r="742" spans="1:40" x14ac:dyDescent="0.35">
      <c r="A742" s="14">
        <v>6.1</v>
      </c>
      <c r="B742">
        <v>10.416666666666668</v>
      </c>
      <c r="C742">
        <v>5</v>
      </c>
      <c r="D742">
        <v>33</v>
      </c>
      <c r="N742">
        <v>2.083333333333333</v>
      </c>
      <c r="O742">
        <v>1</v>
      </c>
      <c r="P742">
        <v>33</v>
      </c>
      <c r="AL742">
        <v>2.1276595744680851</v>
      </c>
      <c r="AM742">
        <v>1</v>
      </c>
      <c r="AN742">
        <v>33</v>
      </c>
    </row>
    <row r="743" spans="1:40" x14ac:dyDescent="0.35">
      <c r="A743" s="37" t="s">
        <v>3</v>
      </c>
      <c r="B743">
        <v>10.416666666666668</v>
      </c>
      <c r="C743">
        <v>5</v>
      </c>
      <c r="D743">
        <v>33</v>
      </c>
      <c r="N743">
        <v>2.083333333333333</v>
      </c>
      <c r="O743">
        <v>1</v>
      </c>
      <c r="P743">
        <v>33</v>
      </c>
      <c r="AL743">
        <v>2.1276595744680851</v>
      </c>
      <c r="AM743">
        <v>1</v>
      </c>
      <c r="AN743">
        <v>33</v>
      </c>
    </row>
    <row r="744" spans="1:40" x14ac:dyDescent="0.35">
      <c r="A744" s="14">
        <v>7.1</v>
      </c>
      <c r="B744">
        <v>3.9215686274509802</v>
      </c>
      <c r="C744">
        <v>2</v>
      </c>
      <c r="D744">
        <v>33</v>
      </c>
      <c r="N744">
        <v>1.9607843137254901</v>
      </c>
      <c r="O744">
        <v>1</v>
      </c>
      <c r="P744">
        <v>33</v>
      </c>
      <c r="AC744">
        <v>3.8461538461538463</v>
      </c>
      <c r="AD744">
        <v>2</v>
      </c>
      <c r="AE744">
        <v>33</v>
      </c>
      <c r="AI744">
        <v>3.9215686274509802</v>
      </c>
      <c r="AJ744">
        <v>2</v>
      </c>
      <c r="AK744">
        <v>66</v>
      </c>
      <c r="AL744">
        <v>4</v>
      </c>
      <c r="AM744">
        <v>2</v>
      </c>
      <c r="AN744">
        <v>33</v>
      </c>
    </row>
    <row r="745" spans="1:40" x14ac:dyDescent="0.35">
      <c r="A745" s="37" t="s">
        <v>150</v>
      </c>
      <c r="AC745">
        <v>3.8461538461538463</v>
      </c>
      <c r="AD745">
        <v>2</v>
      </c>
      <c r="AE745">
        <v>33</v>
      </c>
    </row>
    <row r="746" spans="1:40" x14ac:dyDescent="0.35">
      <c r="A746" s="37" t="s">
        <v>5</v>
      </c>
      <c r="B746">
        <v>3.9215686274509802</v>
      </c>
      <c r="C746">
        <v>2</v>
      </c>
      <c r="D746">
        <v>33</v>
      </c>
      <c r="AI746">
        <v>1.9607843137254901</v>
      </c>
      <c r="AJ746">
        <v>1</v>
      </c>
      <c r="AK746">
        <v>33</v>
      </c>
    </row>
    <row r="747" spans="1:40" x14ac:dyDescent="0.35">
      <c r="A747" s="37" t="s">
        <v>3</v>
      </c>
      <c r="AI747">
        <v>1.9607843137254901</v>
      </c>
      <c r="AJ747">
        <v>1</v>
      </c>
      <c r="AK747">
        <v>33</v>
      </c>
    </row>
    <row r="748" spans="1:40" x14ac:dyDescent="0.35">
      <c r="A748" s="37" t="s">
        <v>14</v>
      </c>
      <c r="N748">
        <v>1.9607843137254901</v>
      </c>
      <c r="O748">
        <v>1</v>
      </c>
      <c r="P748">
        <v>33</v>
      </c>
    </row>
    <row r="749" spans="1:40" x14ac:dyDescent="0.35">
      <c r="A749" s="37" t="s">
        <v>2</v>
      </c>
      <c r="AL749">
        <v>4</v>
      </c>
      <c r="AM749">
        <v>2</v>
      </c>
      <c r="AN749">
        <v>33</v>
      </c>
    </row>
    <row r="750" spans="1:40" x14ac:dyDescent="0.35">
      <c r="A750" s="14">
        <v>8.1</v>
      </c>
      <c r="N750">
        <v>6.25</v>
      </c>
      <c r="O750">
        <v>2</v>
      </c>
      <c r="P750">
        <v>33</v>
      </c>
      <c r="AC750">
        <v>2.0408163265306123</v>
      </c>
      <c r="AD750">
        <v>1</v>
      </c>
      <c r="AE750">
        <v>33</v>
      </c>
      <c r="AL750">
        <v>3.7037037037037033</v>
      </c>
      <c r="AM750">
        <v>2</v>
      </c>
      <c r="AN750">
        <v>66</v>
      </c>
    </row>
    <row r="751" spans="1:40" x14ac:dyDescent="0.35">
      <c r="A751" s="37" t="s">
        <v>5</v>
      </c>
      <c r="AL751">
        <v>1.8518518518518516</v>
      </c>
      <c r="AM751">
        <v>1</v>
      </c>
      <c r="AN751">
        <v>33</v>
      </c>
    </row>
    <row r="752" spans="1:40" x14ac:dyDescent="0.35">
      <c r="A752" s="37" t="s">
        <v>3</v>
      </c>
      <c r="AC752">
        <v>2.0408163265306123</v>
      </c>
      <c r="AD752">
        <v>1</v>
      </c>
      <c r="AE752">
        <v>33</v>
      </c>
    </row>
    <row r="753" spans="1:43" x14ac:dyDescent="0.35">
      <c r="A753" s="37" t="s">
        <v>2</v>
      </c>
      <c r="N753">
        <v>6.25</v>
      </c>
      <c r="O753">
        <v>2</v>
      </c>
      <c r="P753">
        <v>33</v>
      </c>
      <c r="AL753">
        <v>1.8518518518518516</v>
      </c>
      <c r="AM753">
        <v>1</v>
      </c>
      <c r="AN753">
        <v>33</v>
      </c>
    </row>
    <row r="754" spans="1:43" x14ac:dyDescent="0.35">
      <c r="A754" s="14">
        <v>9.1</v>
      </c>
      <c r="B754">
        <v>9.5238095238095237</v>
      </c>
      <c r="C754">
        <v>4</v>
      </c>
      <c r="D754">
        <v>33</v>
      </c>
      <c r="N754">
        <v>11.904761904761905</v>
      </c>
      <c r="O754">
        <v>5</v>
      </c>
      <c r="P754">
        <v>66</v>
      </c>
      <c r="AC754">
        <v>6.9767441860465116</v>
      </c>
      <c r="AD754">
        <v>3</v>
      </c>
      <c r="AE754">
        <v>33</v>
      </c>
    </row>
    <row r="755" spans="1:43" x14ac:dyDescent="0.35">
      <c r="A755" s="37" t="s">
        <v>3</v>
      </c>
      <c r="B755">
        <v>9.5238095238095237</v>
      </c>
      <c r="C755">
        <v>4</v>
      </c>
      <c r="D755">
        <v>33</v>
      </c>
      <c r="N755">
        <v>9.5238095238095237</v>
      </c>
      <c r="O755">
        <v>4</v>
      </c>
      <c r="P755">
        <v>33</v>
      </c>
      <c r="AC755">
        <v>6.9767441860465116</v>
      </c>
      <c r="AD755">
        <v>3</v>
      </c>
      <c r="AE755">
        <v>33</v>
      </c>
    </row>
    <row r="756" spans="1:43" x14ac:dyDescent="0.35">
      <c r="A756" s="37" t="s">
        <v>2</v>
      </c>
      <c r="N756">
        <v>2.3809523809523809</v>
      </c>
      <c r="O756">
        <v>1</v>
      </c>
      <c r="P756">
        <v>33</v>
      </c>
    </row>
    <row r="757" spans="1:43" x14ac:dyDescent="0.35">
      <c r="A757" s="14">
        <v>10.1</v>
      </c>
      <c r="B757">
        <v>5.4054054054054053</v>
      </c>
      <c r="C757">
        <v>2</v>
      </c>
      <c r="D757">
        <v>33</v>
      </c>
      <c r="AI757">
        <v>2.7027027027027026</v>
      </c>
      <c r="AJ757">
        <v>1</v>
      </c>
      <c r="AK757">
        <v>33</v>
      </c>
      <c r="AL757">
        <v>5.4054054054054053</v>
      </c>
      <c r="AM757">
        <v>2</v>
      </c>
      <c r="AN757">
        <v>33</v>
      </c>
    </row>
    <row r="758" spans="1:43" x14ac:dyDescent="0.35">
      <c r="A758" s="37" t="s">
        <v>3</v>
      </c>
      <c r="B758">
        <v>5.4054054054054053</v>
      </c>
      <c r="C758">
        <v>2</v>
      </c>
      <c r="D758">
        <v>33</v>
      </c>
      <c r="AI758">
        <v>2.7027027027027026</v>
      </c>
      <c r="AJ758">
        <v>1</v>
      </c>
      <c r="AK758">
        <v>33</v>
      </c>
    </row>
    <row r="759" spans="1:43" x14ac:dyDescent="0.35">
      <c r="A759" s="37" t="s">
        <v>14</v>
      </c>
      <c r="AL759">
        <v>5.4054054054054053</v>
      </c>
      <c r="AM759">
        <v>2</v>
      </c>
      <c r="AN759">
        <v>33</v>
      </c>
    </row>
    <row r="760" spans="1:43" x14ac:dyDescent="0.35">
      <c r="A760" s="14">
        <v>13.1</v>
      </c>
      <c r="N760">
        <v>3.4482758620689653</v>
      </c>
      <c r="O760">
        <v>1</v>
      </c>
      <c r="P760">
        <v>33</v>
      </c>
    </row>
    <row r="761" spans="1:43" x14ac:dyDescent="0.35">
      <c r="A761" s="37" t="s">
        <v>3</v>
      </c>
      <c r="N761">
        <v>3.4482758620689653</v>
      </c>
      <c r="O761">
        <v>1</v>
      </c>
      <c r="P761">
        <v>33</v>
      </c>
    </row>
    <row r="762" spans="1:43" x14ac:dyDescent="0.35">
      <c r="A762" s="14">
        <v>14.1</v>
      </c>
      <c r="N762">
        <v>4.3478260869565215</v>
      </c>
      <c r="O762">
        <v>1</v>
      </c>
      <c r="P762">
        <v>33</v>
      </c>
      <c r="AC762">
        <v>4.1666666666666661</v>
      </c>
      <c r="AD762">
        <v>1</v>
      </c>
      <c r="AE762">
        <v>33</v>
      </c>
      <c r="AL762">
        <v>4.3478260869565215</v>
      </c>
      <c r="AM762">
        <v>1</v>
      </c>
      <c r="AN762">
        <v>33</v>
      </c>
    </row>
    <row r="763" spans="1:43" x14ac:dyDescent="0.35">
      <c r="A763" s="37" t="s">
        <v>2</v>
      </c>
      <c r="N763">
        <v>4.3478260869565215</v>
      </c>
      <c r="O763">
        <v>1</v>
      </c>
      <c r="P763">
        <v>33</v>
      </c>
      <c r="AC763">
        <v>4.1666666666666661</v>
      </c>
      <c r="AD763">
        <v>1</v>
      </c>
      <c r="AE763">
        <v>33</v>
      </c>
      <c r="AL763">
        <v>4.3478260869565215</v>
      </c>
      <c r="AM763">
        <v>1</v>
      </c>
      <c r="AN763">
        <v>33</v>
      </c>
    </row>
    <row r="764" spans="1:43" x14ac:dyDescent="0.35">
      <c r="A764" s="14">
        <v>16.100000000000001</v>
      </c>
      <c r="N764">
        <v>7.6923076923076925</v>
      </c>
      <c r="O764">
        <v>1</v>
      </c>
      <c r="P764">
        <v>33</v>
      </c>
    </row>
    <row r="765" spans="1:43" x14ac:dyDescent="0.35">
      <c r="A765" s="37" t="s">
        <v>11</v>
      </c>
      <c r="N765">
        <v>7.6923076923076925</v>
      </c>
      <c r="O765">
        <v>1</v>
      </c>
      <c r="P765">
        <v>33</v>
      </c>
    </row>
    <row r="766" spans="1:43" x14ac:dyDescent="0.35">
      <c r="A766" s="1" t="s">
        <v>291</v>
      </c>
      <c r="AO766">
        <v>81.779368053760663</v>
      </c>
      <c r="AP766">
        <v>137</v>
      </c>
      <c r="AQ766" t="e">
        <v>#N/A</v>
      </c>
    </row>
    <row r="767" spans="1:43" x14ac:dyDescent="0.35">
      <c r="A767" s="14">
        <v>1.1000000000000001</v>
      </c>
      <c r="AO767">
        <v>10</v>
      </c>
      <c r="AP767">
        <v>20</v>
      </c>
      <c r="AQ767" t="e">
        <v>#N/A</v>
      </c>
    </row>
    <row r="768" spans="1:43" x14ac:dyDescent="0.35">
      <c r="A768" s="37" t="s">
        <v>3</v>
      </c>
      <c r="AO768">
        <v>5</v>
      </c>
      <c r="AP768">
        <v>10</v>
      </c>
      <c r="AQ768" t="e">
        <v>#N/A</v>
      </c>
    </row>
    <row r="769" spans="1:43" x14ac:dyDescent="0.35">
      <c r="A769" s="37" t="s">
        <v>2</v>
      </c>
      <c r="AO769">
        <v>5</v>
      </c>
      <c r="AP769">
        <v>10</v>
      </c>
      <c r="AQ769" t="e">
        <v>#N/A</v>
      </c>
    </row>
    <row r="770" spans="1:43" x14ac:dyDescent="0.35">
      <c r="A770" s="14">
        <v>2.1</v>
      </c>
      <c r="AO770">
        <v>4.5</v>
      </c>
      <c r="AP770">
        <v>9</v>
      </c>
      <c r="AQ770" t="e">
        <v>#N/A</v>
      </c>
    </row>
    <row r="771" spans="1:43" x14ac:dyDescent="0.35">
      <c r="A771" s="37" t="s">
        <v>3</v>
      </c>
      <c r="AO771">
        <v>1</v>
      </c>
      <c r="AP771">
        <v>2</v>
      </c>
      <c r="AQ771" t="e">
        <v>#N/A</v>
      </c>
    </row>
    <row r="772" spans="1:43" x14ac:dyDescent="0.35">
      <c r="A772" s="37" t="s">
        <v>29</v>
      </c>
      <c r="AO772">
        <v>0.5</v>
      </c>
      <c r="AP772">
        <v>1</v>
      </c>
      <c r="AQ772" t="e">
        <v>#N/A</v>
      </c>
    </row>
    <row r="773" spans="1:43" x14ac:dyDescent="0.35">
      <c r="A773" s="37" t="s">
        <v>2</v>
      </c>
      <c r="AO773">
        <v>3</v>
      </c>
      <c r="AP773">
        <v>6</v>
      </c>
      <c r="AQ773" t="e">
        <v>#N/A</v>
      </c>
    </row>
    <row r="774" spans="1:43" x14ac:dyDescent="0.35">
      <c r="A774" s="14">
        <v>3.1</v>
      </c>
      <c r="AO774">
        <v>4</v>
      </c>
      <c r="AP774">
        <v>8</v>
      </c>
      <c r="AQ774" t="e">
        <v>#N/A</v>
      </c>
    </row>
    <row r="775" spans="1:43" x14ac:dyDescent="0.35">
      <c r="A775" s="37" t="s">
        <v>2</v>
      </c>
      <c r="AO775">
        <v>4</v>
      </c>
      <c r="AP775">
        <v>8</v>
      </c>
      <c r="AQ775" t="e">
        <v>#N/A</v>
      </c>
    </row>
    <row r="776" spans="1:43" x14ac:dyDescent="0.35">
      <c r="A776" s="14">
        <v>3.2</v>
      </c>
      <c r="AO776">
        <v>14.150943396226415</v>
      </c>
      <c r="AP776">
        <v>15</v>
      </c>
      <c r="AQ776" t="e">
        <v>#N/A</v>
      </c>
    </row>
    <row r="777" spans="1:43" x14ac:dyDescent="0.35">
      <c r="A777" s="37" t="s">
        <v>2</v>
      </c>
      <c r="AO777">
        <v>14.150943396226415</v>
      </c>
      <c r="AP777">
        <v>15</v>
      </c>
      <c r="AQ777" t="e">
        <v>#N/A</v>
      </c>
    </row>
    <row r="778" spans="1:43" x14ac:dyDescent="0.35">
      <c r="A778" s="14">
        <v>4.0999999999999996</v>
      </c>
      <c r="AO778">
        <v>11</v>
      </c>
      <c r="AP778">
        <v>22</v>
      </c>
      <c r="AQ778" t="e">
        <v>#N/A</v>
      </c>
    </row>
    <row r="779" spans="1:43" x14ac:dyDescent="0.35">
      <c r="A779" s="37" t="s">
        <v>12</v>
      </c>
      <c r="AO779">
        <v>5</v>
      </c>
      <c r="AP779">
        <v>10</v>
      </c>
      <c r="AQ779" t="e">
        <v>#N/A</v>
      </c>
    </row>
    <row r="780" spans="1:43" x14ac:dyDescent="0.35">
      <c r="A780" s="37" t="s">
        <v>2</v>
      </c>
      <c r="AO780">
        <v>6</v>
      </c>
      <c r="AP780">
        <v>12</v>
      </c>
      <c r="AQ780" t="e">
        <v>#N/A</v>
      </c>
    </row>
    <row r="781" spans="1:43" x14ac:dyDescent="0.35">
      <c r="A781" s="14">
        <v>4.2</v>
      </c>
      <c r="AO781">
        <v>15.753424657534246</v>
      </c>
      <c r="AP781">
        <v>23</v>
      </c>
      <c r="AQ781" t="e">
        <v>#N/A</v>
      </c>
    </row>
    <row r="782" spans="1:43" x14ac:dyDescent="0.35">
      <c r="A782" s="37" t="s">
        <v>12</v>
      </c>
      <c r="AO782">
        <v>8.9041095890410951</v>
      </c>
      <c r="AP782">
        <v>13</v>
      </c>
      <c r="AQ782" t="e">
        <v>#N/A</v>
      </c>
    </row>
    <row r="783" spans="1:43" x14ac:dyDescent="0.35">
      <c r="A783" s="37" t="s">
        <v>11</v>
      </c>
      <c r="AO783">
        <v>0.68493150684931503</v>
      </c>
      <c r="AP783">
        <v>1</v>
      </c>
      <c r="AQ783" t="e">
        <v>#N/A</v>
      </c>
    </row>
    <row r="784" spans="1:43" x14ac:dyDescent="0.35">
      <c r="A784" s="37" t="s">
        <v>2</v>
      </c>
      <c r="AO784">
        <v>6.1643835616438354</v>
      </c>
      <c r="AP784">
        <v>9</v>
      </c>
      <c r="AQ784" t="e">
        <v>#N/A</v>
      </c>
    </row>
    <row r="785" spans="1:43" x14ac:dyDescent="0.35">
      <c r="A785" s="14">
        <v>5.0999999999999996</v>
      </c>
      <c r="AO785">
        <v>10.5</v>
      </c>
      <c r="AP785">
        <v>21</v>
      </c>
      <c r="AQ785" t="e">
        <v>#N/A</v>
      </c>
    </row>
    <row r="786" spans="1:43" x14ac:dyDescent="0.35">
      <c r="A786" s="37" t="s">
        <v>12</v>
      </c>
      <c r="AO786">
        <v>0.5</v>
      </c>
      <c r="AP786">
        <v>1</v>
      </c>
      <c r="AQ786" t="e">
        <v>#N/A</v>
      </c>
    </row>
    <row r="787" spans="1:43" x14ac:dyDescent="0.35">
      <c r="A787" s="37" t="s">
        <v>2</v>
      </c>
      <c r="AO787">
        <v>10</v>
      </c>
      <c r="AP787">
        <v>20</v>
      </c>
      <c r="AQ787" t="e">
        <v>#N/A</v>
      </c>
    </row>
    <row r="788" spans="1:43" x14ac:dyDescent="0.35">
      <c r="A788" s="14">
        <v>5.2</v>
      </c>
      <c r="AO788">
        <v>11.875</v>
      </c>
      <c r="AP788">
        <v>19</v>
      </c>
      <c r="AQ788" t="e">
        <v>#N/A</v>
      </c>
    </row>
    <row r="789" spans="1:43" x14ac:dyDescent="0.35">
      <c r="A789" s="37" t="s">
        <v>12</v>
      </c>
      <c r="AO789">
        <v>6.25</v>
      </c>
      <c r="AP789">
        <v>10</v>
      </c>
      <c r="AQ789" t="e">
        <v>#N/A</v>
      </c>
    </row>
    <row r="790" spans="1:43" x14ac:dyDescent="0.35">
      <c r="A790" s="37" t="s">
        <v>14</v>
      </c>
      <c r="AO790">
        <v>3.75</v>
      </c>
      <c r="AP790">
        <v>6</v>
      </c>
      <c r="AQ790" t="e">
        <v>#N/A</v>
      </c>
    </row>
    <row r="791" spans="1:43" x14ac:dyDescent="0.35">
      <c r="A791" s="37" t="s">
        <v>2</v>
      </c>
      <c r="AO791">
        <v>1.875</v>
      </c>
      <c r="AP791">
        <v>3</v>
      </c>
      <c r="AQ791" t="e">
        <v>#N/A</v>
      </c>
    </row>
  </sheetData>
  <pageMargins left="0.7" right="0.7" top="0.75" bottom="0.75" header="0.3" footer="0.3"/>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15"/>
  <dimension ref="A1:O17"/>
  <sheetViews>
    <sheetView workbookViewId="0">
      <selection activeCell="K8" sqref="K8"/>
    </sheetView>
  </sheetViews>
  <sheetFormatPr defaultRowHeight="14.5" x14ac:dyDescent="0.35"/>
  <cols>
    <col min="1" max="1" width="18.08984375" customWidth="1"/>
    <col min="2" max="2" width="17.90625" customWidth="1"/>
    <col min="3" max="15" width="5" customWidth="1"/>
  </cols>
  <sheetData>
    <row r="1" spans="1:15" x14ac:dyDescent="0.35">
      <c r="A1" s="11" t="s">
        <v>261</v>
      </c>
      <c r="B1" t="s">
        <v>227</v>
      </c>
    </row>
    <row r="2" spans="1:15" x14ac:dyDescent="0.35">
      <c r="A2" s="11" t="s">
        <v>26</v>
      </c>
      <c r="B2" t="s">
        <v>264</v>
      </c>
    </row>
    <row r="4" spans="1:15" x14ac:dyDescent="0.35">
      <c r="A4" s="11" t="s">
        <v>278</v>
      </c>
      <c r="B4" s="11" t="s">
        <v>219</v>
      </c>
    </row>
    <row r="5" spans="1:15" x14ac:dyDescent="0.35">
      <c r="A5" s="11" t="s">
        <v>263</v>
      </c>
      <c r="B5">
        <v>1999</v>
      </c>
      <c r="C5">
        <v>2001</v>
      </c>
      <c r="D5">
        <v>2002</v>
      </c>
      <c r="E5">
        <v>2003</v>
      </c>
      <c r="F5">
        <v>2004</v>
      </c>
      <c r="G5">
        <v>2005</v>
      </c>
      <c r="H5">
        <v>2006</v>
      </c>
      <c r="I5">
        <v>2007</v>
      </c>
      <c r="J5">
        <v>2010</v>
      </c>
      <c r="K5">
        <v>2012</v>
      </c>
      <c r="L5">
        <v>2013</v>
      </c>
      <c r="M5">
        <v>2016</v>
      </c>
      <c r="N5">
        <v>2017</v>
      </c>
      <c r="O5">
        <v>2019</v>
      </c>
    </row>
    <row r="6" spans="1:15" x14ac:dyDescent="0.35">
      <c r="A6" s="1" t="s">
        <v>9</v>
      </c>
      <c r="B6">
        <v>11</v>
      </c>
      <c r="H6">
        <v>11</v>
      </c>
      <c r="K6">
        <v>9</v>
      </c>
      <c r="M6">
        <v>9</v>
      </c>
      <c r="N6">
        <v>13</v>
      </c>
      <c r="O6">
        <v>11</v>
      </c>
    </row>
    <row r="7" spans="1:15" x14ac:dyDescent="0.35">
      <c r="A7" s="1" t="s">
        <v>161</v>
      </c>
      <c r="L7">
        <v>1</v>
      </c>
      <c r="M7">
        <v>1</v>
      </c>
      <c r="N7">
        <v>1</v>
      </c>
      <c r="O7">
        <v>3</v>
      </c>
    </row>
    <row r="8" spans="1:15" x14ac:dyDescent="0.35">
      <c r="A8" s="1" t="s">
        <v>18</v>
      </c>
      <c r="B8">
        <v>3</v>
      </c>
      <c r="E8">
        <v>4</v>
      </c>
      <c r="I8">
        <v>4</v>
      </c>
      <c r="K8">
        <v>4</v>
      </c>
      <c r="M8">
        <v>4</v>
      </c>
      <c r="N8">
        <v>4</v>
      </c>
      <c r="O8">
        <v>4</v>
      </c>
    </row>
    <row r="9" spans="1:15" x14ac:dyDescent="0.35">
      <c r="A9" s="1" t="s">
        <v>24</v>
      </c>
      <c r="B9">
        <v>7</v>
      </c>
      <c r="D9">
        <v>6</v>
      </c>
      <c r="G9">
        <v>7</v>
      </c>
      <c r="J9">
        <v>11</v>
      </c>
    </row>
    <row r="10" spans="1:15" x14ac:dyDescent="0.35">
      <c r="A10" s="1" t="s">
        <v>19</v>
      </c>
      <c r="B10">
        <v>4</v>
      </c>
      <c r="C10">
        <v>3</v>
      </c>
      <c r="N10">
        <v>3</v>
      </c>
    </row>
    <row r="11" spans="1:15" x14ac:dyDescent="0.35">
      <c r="A11" s="1" t="s">
        <v>35</v>
      </c>
      <c r="C11">
        <v>4</v>
      </c>
      <c r="H11">
        <v>4</v>
      </c>
    </row>
    <row r="12" spans="1:15" x14ac:dyDescent="0.35">
      <c r="A12" s="1" t="s">
        <v>99</v>
      </c>
      <c r="C12">
        <v>4</v>
      </c>
      <c r="H12">
        <v>6</v>
      </c>
      <c r="K12">
        <v>5</v>
      </c>
    </row>
    <row r="13" spans="1:15" x14ac:dyDescent="0.35">
      <c r="A13" s="1" t="s">
        <v>105</v>
      </c>
      <c r="C13">
        <v>4</v>
      </c>
      <c r="H13">
        <v>7</v>
      </c>
      <c r="K13">
        <v>7</v>
      </c>
      <c r="M13">
        <v>7</v>
      </c>
      <c r="N13">
        <v>6</v>
      </c>
    </row>
    <row r="14" spans="1:15" x14ac:dyDescent="0.35">
      <c r="A14" s="1" t="s">
        <v>138</v>
      </c>
      <c r="B14">
        <v>4</v>
      </c>
      <c r="H14">
        <v>9</v>
      </c>
      <c r="K14">
        <v>10</v>
      </c>
      <c r="M14">
        <v>13</v>
      </c>
      <c r="N14">
        <v>23</v>
      </c>
      <c r="O14">
        <v>19</v>
      </c>
    </row>
    <row r="15" spans="1:15" x14ac:dyDescent="0.35">
      <c r="A15" s="1" t="s">
        <v>21</v>
      </c>
      <c r="B15">
        <v>4</v>
      </c>
      <c r="F15">
        <v>4</v>
      </c>
      <c r="K15">
        <v>4</v>
      </c>
      <c r="M15">
        <v>2</v>
      </c>
      <c r="N15">
        <v>4</v>
      </c>
    </row>
    <row r="16" spans="1:15" x14ac:dyDescent="0.35">
      <c r="A16" s="1" t="s">
        <v>291</v>
      </c>
      <c r="O16">
        <v>6</v>
      </c>
    </row>
    <row r="17" spans="1:1" x14ac:dyDescent="0.35">
      <c r="A17" s="1"/>
    </row>
  </sheetData>
  <pageMargins left="0.7" right="0.7" top="0.75" bottom="0.75" header="0.3" footer="0.3"/>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Sheet16"/>
  <dimension ref="A1:R2321"/>
  <sheetViews>
    <sheetView workbookViewId="0">
      <pane xSplit="7" ySplit="1" topLeftCell="H279" activePane="bottomRight" state="frozen"/>
      <selection pane="topRight" activeCell="H1" sqref="H1"/>
      <selection pane="bottomLeft" activeCell="A2" sqref="A2"/>
      <selection pane="bottomRight" activeCell="J542" sqref="J542"/>
    </sheetView>
  </sheetViews>
  <sheetFormatPr defaultRowHeight="14.5" x14ac:dyDescent="0.35"/>
  <cols>
    <col min="1" max="1" width="9.453125" bestFit="1" customWidth="1"/>
    <col min="3" max="3" width="9.6328125" customWidth="1"/>
    <col min="4" max="4" width="10.54296875" bestFit="1" customWidth="1"/>
    <col min="5" max="5" width="6.90625" bestFit="1" customWidth="1"/>
    <col min="6" max="6" width="9.90625" bestFit="1" customWidth="1"/>
    <col min="7" max="7" width="9.08984375"/>
    <col min="9" max="9" width="12.6328125" bestFit="1" customWidth="1"/>
    <col min="10" max="10" width="12" bestFit="1" customWidth="1"/>
    <col min="11" max="11" width="14.36328125" bestFit="1" customWidth="1"/>
    <col min="12" max="12" width="20.90625" bestFit="1" customWidth="1"/>
    <col min="13" max="13" width="25.36328125" bestFit="1" customWidth="1"/>
    <col min="14" max="14" width="63" bestFit="1" customWidth="1"/>
    <col min="15" max="15" width="13.453125" bestFit="1" customWidth="1"/>
    <col min="16" max="16" width="14" bestFit="1" customWidth="1"/>
  </cols>
  <sheetData>
    <row r="1" spans="1:18" x14ac:dyDescent="0.35">
      <c r="A1" t="s">
        <v>7</v>
      </c>
      <c r="B1" t="s">
        <v>17</v>
      </c>
      <c r="C1" t="s">
        <v>36</v>
      </c>
      <c r="D1" t="s">
        <v>0</v>
      </c>
      <c r="E1" t="s">
        <v>222</v>
      </c>
      <c r="F1" t="s">
        <v>1</v>
      </c>
      <c r="G1" t="s">
        <v>8</v>
      </c>
      <c r="H1" t="s">
        <v>28</v>
      </c>
      <c r="I1" t="s">
        <v>16</v>
      </c>
      <c r="J1" t="s">
        <v>223</v>
      </c>
      <c r="K1" t="s">
        <v>270</v>
      </c>
      <c r="L1" t="s">
        <v>271</v>
      </c>
      <c r="M1" t="s">
        <v>261</v>
      </c>
      <c r="N1" t="s">
        <v>26</v>
      </c>
      <c r="O1" t="s">
        <v>272</v>
      </c>
      <c r="P1" t="s">
        <v>273</v>
      </c>
      <c r="R1" t="s">
        <v>288</v>
      </c>
    </row>
    <row r="2" spans="1:18" hidden="1" x14ac:dyDescent="0.35">
      <c r="A2" t="s">
        <v>9</v>
      </c>
      <c r="B2">
        <v>1999</v>
      </c>
      <c r="D2">
        <v>1.1000000000000001</v>
      </c>
      <c r="E2">
        <f>INT(Table2[[#This Row],[Transect]])</f>
        <v>1</v>
      </c>
      <c r="F2" t="s">
        <v>10</v>
      </c>
      <c r="G2">
        <v>10</v>
      </c>
      <c r="H2">
        <v>200</v>
      </c>
      <c r="J2">
        <f>Table2[[#This Row],[Hits]]/Table2[[#This Row],[Points]]*100</f>
        <v>5</v>
      </c>
      <c r="K2">
        <f>VLOOKUP(Table2[[#This Row],[Site]],'Site Info'!$A$1:$C$11,2, FALSE)</f>
        <v>17.7</v>
      </c>
      <c r="L2">
        <f>VLOOKUP(Table2[[#This Row],[Site]],'Site Info'!$A$1:$C$11,3, FALSE)</f>
        <v>10</v>
      </c>
      <c r="M2" t="str">
        <f>VLOOKUP(Table2[[#This Row],[Species]],'Species Table'!$A$1:$D$68,3, FALSE)</f>
        <v>Annual</v>
      </c>
      <c r="O2" s="15">
        <f>IF(SUMPRODUCT(($A$2:$A2=A2)*($B$2:$B2=B2)*($F$2:$F2=F2))&gt;1,0,1)</f>
        <v>1</v>
      </c>
      <c r="P2" s="15">
        <f>IF(SUMPRODUCT(($A$2:$A2=A2)*($B$2:$B2=B2)*($D$2:$D2=D2))&gt;1,0,1)</f>
        <v>1</v>
      </c>
    </row>
    <row r="3" spans="1:18" x14ac:dyDescent="0.35">
      <c r="A3" t="s">
        <v>9</v>
      </c>
      <c r="B3">
        <v>1999</v>
      </c>
      <c r="D3">
        <v>1.1000000000000001</v>
      </c>
      <c r="E3">
        <f>INT(Table2[[#This Row],[Transect]])</f>
        <v>1</v>
      </c>
      <c r="F3" t="s">
        <v>11</v>
      </c>
      <c r="G3">
        <v>6</v>
      </c>
      <c r="H3">
        <v>200</v>
      </c>
      <c r="J3">
        <f>Table2[[#This Row],[Hits]]/Table2[[#This Row],[Points]]*100</f>
        <v>3</v>
      </c>
      <c r="K3">
        <f>VLOOKUP(Table2[[#This Row],[Site]],'Site Info'!$A$1:$C$11,2, FALSE)</f>
        <v>17.7</v>
      </c>
      <c r="L3">
        <f>VLOOKUP(Table2[[#This Row],[Site]],'Site Info'!$A$1:$C$11,3, FALSE)</f>
        <v>10</v>
      </c>
      <c r="M3" t="str">
        <f>VLOOKUP(Table2[[#This Row],[Species]],'Species Table'!$A$1:$D$68,3, FALSE)</f>
        <v>Perennial</v>
      </c>
      <c r="O3" s="15">
        <f>IF(SUMPRODUCT(($A$2:$A3=A3)*($B$2:$B3=B3)*($F$2:$F3=F3))&gt;1,0,1)</f>
        <v>1</v>
      </c>
      <c r="P3" s="15">
        <f>IF(SUMPRODUCT(($A$2:$A3=A3)*($B$2:$B3=B3)*($D$2:$D3=D3))&gt;1,0,1)</f>
        <v>0</v>
      </c>
    </row>
    <row r="4" spans="1:18" x14ac:dyDescent="0.35">
      <c r="A4" t="s">
        <v>9</v>
      </c>
      <c r="B4">
        <v>1999</v>
      </c>
      <c r="D4">
        <v>1.1000000000000001</v>
      </c>
      <c r="E4">
        <f>INT(Table2[[#This Row],[Transect]])</f>
        <v>1</v>
      </c>
      <c r="F4" t="s">
        <v>12</v>
      </c>
      <c r="G4">
        <v>2</v>
      </c>
      <c r="H4">
        <v>200</v>
      </c>
      <c r="J4">
        <f>Table2[[#This Row],[Hits]]/Table2[[#This Row],[Points]]*100</f>
        <v>1</v>
      </c>
      <c r="K4">
        <f>VLOOKUP(Table2[[#This Row],[Site]],'Site Info'!$A$1:$C$11,2, FALSE)</f>
        <v>17.7</v>
      </c>
      <c r="L4">
        <f>VLOOKUP(Table2[[#This Row],[Site]],'Site Info'!$A$1:$C$11,3, FALSE)</f>
        <v>10</v>
      </c>
      <c r="M4" t="str">
        <f>VLOOKUP(Table2[[#This Row],[Species]],'Species Table'!$A$1:$D$68,3, FALSE)</f>
        <v>Perennial</v>
      </c>
      <c r="O4" s="15">
        <f>IF(SUMPRODUCT(($A$2:$A4=A4)*($B$2:$B4=B4)*($F$2:$F4=F4))&gt;1,0,1)</f>
        <v>1</v>
      </c>
      <c r="P4" s="15">
        <f>IF(SUMPRODUCT(($A$2:$A4=A4)*($B$2:$B4=B4)*($D$2:$D4=D4))&gt;1,0,1)</f>
        <v>0</v>
      </c>
    </row>
    <row r="5" spans="1:18" hidden="1" x14ac:dyDescent="0.35">
      <c r="A5" t="s">
        <v>9</v>
      </c>
      <c r="B5">
        <v>1999</v>
      </c>
      <c r="D5">
        <v>1.2</v>
      </c>
      <c r="E5">
        <f>INT(Table2[[#This Row],[Transect]])</f>
        <v>1</v>
      </c>
      <c r="F5" t="s">
        <v>10</v>
      </c>
      <c r="G5">
        <v>11</v>
      </c>
      <c r="H5">
        <v>200</v>
      </c>
      <c r="J5">
        <f>Table2[[#This Row],[Hits]]/Table2[[#This Row],[Points]]*100</f>
        <v>5.5</v>
      </c>
      <c r="K5">
        <f>VLOOKUP(Table2[[#This Row],[Site]],'Site Info'!$A$1:$C$11,2, FALSE)</f>
        <v>17.7</v>
      </c>
      <c r="L5">
        <f>VLOOKUP(Table2[[#This Row],[Site]],'Site Info'!$A$1:$C$11,3, FALSE)</f>
        <v>10</v>
      </c>
      <c r="M5" t="str">
        <f>VLOOKUP(Table2[[#This Row],[Species]],'Species Table'!$A$1:$D$68,3, FALSE)</f>
        <v>Annual</v>
      </c>
      <c r="O5" s="15">
        <f>IF(SUMPRODUCT(($A$2:$A5=A5)*($B$2:$B5=B5)*($F$2:$F5=F5))&gt;1,0,1)</f>
        <v>0</v>
      </c>
      <c r="P5" s="15">
        <f>IF(SUMPRODUCT(($A$2:$A5=A5)*($B$2:$B5=B5)*($D$2:$D5=D5))&gt;1,0,1)</f>
        <v>1</v>
      </c>
    </row>
    <row r="6" spans="1:18" x14ac:dyDescent="0.35">
      <c r="A6" t="s">
        <v>9</v>
      </c>
      <c r="B6">
        <v>1999</v>
      </c>
      <c r="D6">
        <v>1.2</v>
      </c>
      <c r="E6">
        <f>INT(Table2[[#This Row],[Transect]])</f>
        <v>1</v>
      </c>
      <c r="F6" t="s">
        <v>11</v>
      </c>
      <c r="G6">
        <v>1</v>
      </c>
      <c r="H6">
        <v>200</v>
      </c>
      <c r="J6">
        <f>Table2[[#This Row],[Hits]]/Table2[[#This Row],[Points]]*100</f>
        <v>0.5</v>
      </c>
      <c r="K6">
        <f>VLOOKUP(Table2[[#This Row],[Site]],'Site Info'!$A$1:$C$11,2, FALSE)</f>
        <v>17.7</v>
      </c>
      <c r="L6">
        <f>VLOOKUP(Table2[[#This Row],[Site]],'Site Info'!$A$1:$C$11,3, FALSE)</f>
        <v>10</v>
      </c>
      <c r="M6" t="str">
        <f>VLOOKUP(Table2[[#This Row],[Species]],'Species Table'!$A$1:$D$68,3, FALSE)</f>
        <v>Perennial</v>
      </c>
      <c r="O6" s="15">
        <f>IF(SUMPRODUCT(($A$2:$A6=A6)*($B$2:$B6=B6)*($F$2:$F6=F6))&gt;1,0,1)</f>
        <v>0</v>
      </c>
      <c r="P6" s="15">
        <f>IF(SUMPRODUCT(($A$2:$A6=A6)*($B$2:$B6=B6)*($D$2:$D6=D6))&gt;1,0,1)</f>
        <v>0</v>
      </c>
    </row>
    <row r="7" spans="1:18" hidden="1" x14ac:dyDescent="0.35">
      <c r="A7" t="s">
        <v>9</v>
      </c>
      <c r="B7">
        <v>1999</v>
      </c>
      <c r="D7">
        <v>1.3</v>
      </c>
      <c r="E7">
        <f>INT(Table2[[#This Row],[Transect]])</f>
        <v>1</v>
      </c>
      <c r="F7" t="s">
        <v>10</v>
      </c>
      <c r="G7">
        <v>11</v>
      </c>
      <c r="H7">
        <v>200</v>
      </c>
      <c r="J7">
        <f>Table2[[#This Row],[Hits]]/Table2[[#This Row],[Points]]*100</f>
        <v>5.5</v>
      </c>
      <c r="K7">
        <f>VLOOKUP(Table2[[#This Row],[Site]],'Site Info'!$A$1:$C$11,2, FALSE)</f>
        <v>17.7</v>
      </c>
      <c r="L7">
        <f>VLOOKUP(Table2[[#This Row],[Site]],'Site Info'!$A$1:$C$11,3, FALSE)</f>
        <v>10</v>
      </c>
      <c r="M7" t="str">
        <f>VLOOKUP(Table2[[#This Row],[Species]],'Species Table'!$A$1:$D$68,3, FALSE)</f>
        <v>Annual</v>
      </c>
      <c r="O7" s="15">
        <f>IF(SUMPRODUCT(($A$2:$A7=A7)*($B$2:$B7=B7)*($F$2:$F7=F7))&gt;1,0,1)</f>
        <v>0</v>
      </c>
      <c r="P7" s="15">
        <f>IF(SUMPRODUCT(($A$2:$A7=A7)*($B$2:$B7=B7)*($D$2:$D7=D7))&gt;1,0,1)</f>
        <v>1</v>
      </c>
    </row>
    <row r="8" spans="1:18" x14ac:dyDescent="0.35">
      <c r="A8" t="s">
        <v>9</v>
      </c>
      <c r="B8">
        <v>1999</v>
      </c>
      <c r="D8">
        <v>1.3</v>
      </c>
      <c r="E8">
        <f>INT(Table2[[#This Row],[Transect]])</f>
        <v>1</v>
      </c>
      <c r="F8" t="s">
        <v>11</v>
      </c>
      <c r="G8">
        <v>1</v>
      </c>
      <c r="H8">
        <v>200</v>
      </c>
      <c r="J8">
        <f>Table2[[#This Row],[Hits]]/Table2[[#This Row],[Points]]*100</f>
        <v>0.5</v>
      </c>
      <c r="K8">
        <f>VLOOKUP(Table2[[#This Row],[Site]],'Site Info'!$A$1:$C$11,2, FALSE)</f>
        <v>17.7</v>
      </c>
      <c r="L8">
        <f>VLOOKUP(Table2[[#This Row],[Site]],'Site Info'!$A$1:$C$11,3, FALSE)</f>
        <v>10</v>
      </c>
      <c r="M8" t="str">
        <f>VLOOKUP(Table2[[#This Row],[Species]],'Species Table'!$A$1:$D$68,3, FALSE)</f>
        <v>Perennial</v>
      </c>
      <c r="O8" s="15">
        <f>IF(SUMPRODUCT(($A$2:$A8=A8)*($B$2:$B8=B8)*($F$2:$F8=F8))&gt;1,0,1)</f>
        <v>0</v>
      </c>
      <c r="P8" s="15">
        <f>IF(SUMPRODUCT(($A$2:$A8=A8)*($B$2:$B8=B8)*($D$2:$D8=D8))&gt;1,0,1)</f>
        <v>0</v>
      </c>
    </row>
    <row r="9" spans="1:18" hidden="1" x14ac:dyDescent="0.35">
      <c r="A9" t="s">
        <v>9</v>
      </c>
      <c r="B9">
        <v>1999</v>
      </c>
      <c r="D9">
        <v>1.4</v>
      </c>
      <c r="E9">
        <f>INT(Table2[[#This Row],[Transect]])</f>
        <v>1</v>
      </c>
      <c r="F9" t="s">
        <v>10</v>
      </c>
      <c r="G9">
        <v>21</v>
      </c>
      <c r="H9">
        <v>200</v>
      </c>
      <c r="J9">
        <f>Table2[[#This Row],[Hits]]/Table2[[#This Row],[Points]]*100</f>
        <v>10.5</v>
      </c>
      <c r="K9">
        <f>VLOOKUP(Table2[[#This Row],[Site]],'Site Info'!$A$1:$C$11,2, FALSE)</f>
        <v>17.7</v>
      </c>
      <c r="L9">
        <f>VLOOKUP(Table2[[#This Row],[Site]],'Site Info'!$A$1:$C$11,3, FALSE)</f>
        <v>10</v>
      </c>
      <c r="M9" t="str">
        <f>VLOOKUP(Table2[[#This Row],[Species]],'Species Table'!$A$1:$D$68,3, FALSE)</f>
        <v>Annual</v>
      </c>
      <c r="O9" s="15">
        <f>IF(SUMPRODUCT(($A$2:$A9=A9)*($B$2:$B9=B9)*($F$2:$F9=F9))&gt;1,0,1)</f>
        <v>0</v>
      </c>
      <c r="P9" s="15">
        <f>IF(SUMPRODUCT(($A$2:$A9=A9)*($B$2:$B9=B9)*($D$2:$D9=D9))&gt;1,0,1)</f>
        <v>1</v>
      </c>
    </row>
    <row r="10" spans="1:18" hidden="1" x14ac:dyDescent="0.35">
      <c r="A10" t="s">
        <v>9</v>
      </c>
      <c r="B10">
        <v>1999</v>
      </c>
      <c r="D10">
        <v>1.5</v>
      </c>
      <c r="E10">
        <f>INT(Table2[[#This Row],[Transect]])</f>
        <v>1</v>
      </c>
      <c r="F10" t="s">
        <v>10</v>
      </c>
      <c r="G10">
        <v>12</v>
      </c>
      <c r="H10">
        <v>200</v>
      </c>
      <c r="J10">
        <f>Table2[[#This Row],[Hits]]/Table2[[#This Row],[Points]]*100</f>
        <v>6</v>
      </c>
      <c r="K10">
        <f>VLOOKUP(Table2[[#This Row],[Site]],'Site Info'!$A$1:$C$11,2, FALSE)</f>
        <v>17.7</v>
      </c>
      <c r="L10">
        <f>VLOOKUP(Table2[[#This Row],[Site]],'Site Info'!$A$1:$C$11,3, FALSE)</f>
        <v>10</v>
      </c>
      <c r="M10" t="str">
        <f>VLOOKUP(Table2[[#This Row],[Species]],'Species Table'!$A$1:$D$68,3, FALSE)</f>
        <v>Annual</v>
      </c>
      <c r="O10" s="15">
        <f>IF(SUMPRODUCT(($A$2:$A10=A10)*($B$2:$B10=B10)*($F$2:$F10=F10))&gt;1,0,1)</f>
        <v>0</v>
      </c>
      <c r="P10" s="15">
        <f>IF(SUMPRODUCT(($A$2:$A10=A10)*($B$2:$B10=B10)*($D$2:$D10=D10))&gt;1,0,1)</f>
        <v>1</v>
      </c>
    </row>
    <row r="11" spans="1:18" x14ac:dyDescent="0.35">
      <c r="A11" t="s">
        <v>9</v>
      </c>
      <c r="B11">
        <v>1999</v>
      </c>
      <c r="D11">
        <v>1.5</v>
      </c>
      <c r="E11">
        <f>INT(Table2[[#This Row],[Transect]])</f>
        <v>1</v>
      </c>
      <c r="F11" t="s">
        <v>2</v>
      </c>
      <c r="G11">
        <v>2</v>
      </c>
      <c r="H11">
        <v>200</v>
      </c>
      <c r="J11">
        <f>Table2[[#This Row],[Hits]]/Table2[[#This Row],[Points]]*100</f>
        <v>1</v>
      </c>
      <c r="K11">
        <f>VLOOKUP(Table2[[#This Row],[Site]],'Site Info'!$A$1:$C$11,2, FALSE)</f>
        <v>17.7</v>
      </c>
      <c r="L11">
        <f>VLOOKUP(Table2[[#This Row],[Site]],'Site Info'!$A$1:$C$11,3, FALSE)</f>
        <v>10</v>
      </c>
      <c r="M11" t="str">
        <f>VLOOKUP(Table2[[#This Row],[Species]],'Species Table'!$A$1:$D$68,3, FALSE)</f>
        <v>Perennial</v>
      </c>
      <c r="O11" s="15">
        <f>IF(SUMPRODUCT(($A$2:$A11=A11)*($B$2:$B11=B11)*($F$2:$F11=F11))&gt;1,0,1)</f>
        <v>1</v>
      </c>
      <c r="P11" s="15">
        <f>IF(SUMPRODUCT(($A$2:$A11=A11)*($B$2:$B11=B11)*($D$2:$D11=D11))&gt;1,0,1)</f>
        <v>0</v>
      </c>
    </row>
    <row r="12" spans="1:18" hidden="1" x14ac:dyDescent="0.35">
      <c r="A12" t="s">
        <v>9</v>
      </c>
      <c r="B12">
        <v>1999</v>
      </c>
      <c r="D12">
        <v>1.6</v>
      </c>
      <c r="E12">
        <f>INT(Table2[[#This Row],[Transect]])</f>
        <v>1</v>
      </c>
      <c r="F12" t="s">
        <v>10</v>
      </c>
      <c r="G12">
        <v>3</v>
      </c>
      <c r="H12">
        <v>200</v>
      </c>
      <c r="J12">
        <f>Table2[[#This Row],[Hits]]/Table2[[#This Row],[Points]]*100</f>
        <v>1.5</v>
      </c>
      <c r="K12">
        <f>VLOOKUP(Table2[[#This Row],[Site]],'Site Info'!$A$1:$C$11,2, FALSE)</f>
        <v>17.7</v>
      </c>
      <c r="L12">
        <f>VLOOKUP(Table2[[#This Row],[Site]],'Site Info'!$A$1:$C$11,3, FALSE)</f>
        <v>10</v>
      </c>
      <c r="M12" t="str">
        <f>VLOOKUP(Table2[[#This Row],[Species]],'Species Table'!$A$1:$D$68,3, FALSE)</f>
        <v>Annual</v>
      </c>
      <c r="O12" s="15">
        <f>IF(SUMPRODUCT(($A$2:$A12=A12)*($B$2:$B12=B12)*($F$2:$F12=F12))&gt;1,0,1)</f>
        <v>0</v>
      </c>
      <c r="P12" s="15">
        <f>IF(SUMPRODUCT(($A$2:$A12=A12)*($B$2:$B12=B12)*($D$2:$D12=D12))&gt;1,0,1)</f>
        <v>1</v>
      </c>
    </row>
    <row r="13" spans="1:18" x14ac:dyDescent="0.35">
      <c r="A13" t="s">
        <v>9</v>
      </c>
      <c r="B13">
        <v>1999</v>
      </c>
      <c r="D13">
        <v>1.6</v>
      </c>
      <c r="E13">
        <f>INT(Table2[[#This Row],[Transect]])</f>
        <v>1</v>
      </c>
      <c r="F13" t="s">
        <v>2</v>
      </c>
      <c r="G13">
        <v>1</v>
      </c>
      <c r="H13">
        <v>200</v>
      </c>
      <c r="J13">
        <f>Table2[[#This Row],[Hits]]/Table2[[#This Row],[Points]]*100</f>
        <v>0.5</v>
      </c>
      <c r="K13">
        <f>VLOOKUP(Table2[[#This Row],[Site]],'Site Info'!$A$1:$C$11,2, FALSE)</f>
        <v>17.7</v>
      </c>
      <c r="L13">
        <f>VLOOKUP(Table2[[#This Row],[Site]],'Site Info'!$A$1:$C$11,3, FALSE)</f>
        <v>10</v>
      </c>
      <c r="M13" t="str">
        <f>VLOOKUP(Table2[[#This Row],[Species]],'Species Table'!$A$1:$D$68,3, FALSE)</f>
        <v>Perennial</v>
      </c>
      <c r="O13" s="15">
        <f>IF(SUMPRODUCT(($A$2:$A13=A13)*($B$2:$B13=B13)*($F$2:$F13=F13))&gt;1,0,1)</f>
        <v>0</v>
      </c>
      <c r="P13" s="15">
        <f>IF(SUMPRODUCT(($A$2:$A13=A13)*($B$2:$B13=B13)*($D$2:$D13=D13))&gt;1,0,1)</f>
        <v>0</v>
      </c>
    </row>
    <row r="14" spans="1:18" hidden="1" x14ac:dyDescent="0.35">
      <c r="A14" t="s">
        <v>9</v>
      </c>
      <c r="B14">
        <v>1999</v>
      </c>
      <c r="D14">
        <v>1.7</v>
      </c>
      <c r="E14">
        <f>INT(Table2[[#This Row],[Transect]])</f>
        <v>1</v>
      </c>
      <c r="F14" t="s">
        <v>10</v>
      </c>
      <c r="G14">
        <v>1</v>
      </c>
      <c r="H14">
        <v>200</v>
      </c>
      <c r="J14">
        <f>Table2[[#This Row],[Hits]]/Table2[[#This Row],[Points]]*100</f>
        <v>0.5</v>
      </c>
      <c r="K14">
        <f>VLOOKUP(Table2[[#This Row],[Site]],'Site Info'!$A$1:$C$11,2, FALSE)</f>
        <v>17.7</v>
      </c>
      <c r="L14">
        <f>VLOOKUP(Table2[[#This Row],[Site]],'Site Info'!$A$1:$C$11,3, FALSE)</f>
        <v>10</v>
      </c>
      <c r="M14" t="str">
        <f>VLOOKUP(Table2[[#This Row],[Species]],'Species Table'!$A$1:$D$68,3, FALSE)</f>
        <v>Annual</v>
      </c>
      <c r="O14" s="15">
        <f>IF(SUMPRODUCT(($A$2:$A14=A14)*($B$2:$B14=B14)*($F$2:$F14=F14))&gt;1,0,1)</f>
        <v>0</v>
      </c>
      <c r="P14" s="15">
        <f>IF(SUMPRODUCT(($A$2:$A14=A14)*($B$2:$B14=B14)*($D$2:$D14=D14))&gt;1,0,1)</f>
        <v>1</v>
      </c>
    </row>
    <row r="15" spans="1:18" x14ac:dyDescent="0.35">
      <c r="A15" t="s">
        <v>9</v>
      </c>
      <c r="B15">
        <v>1999</v>
      </c>
      <c r="D15">
        <v>1.7</v>
      </c>
      <c r="E15">
        <f>INT(Table2[[#This Row],[Transect]])</f>
        <v>1</v>
      </c>
      <c r="F15" t="s">
        <v>11</v>
      </c>
      <c r="G15">
        <v>7</v>
      </c>
      <c r="H15">
        <v>200</v>
      </c>
      <c r="J15">
        <f>Table2[[#This Row],[Hits]]/Table2[[#This Row],[Points]]*100</f>
        <v>3.5000000000000004</v>
      </c>
      <c r="K15">
        <f>VLOOKUP(Table2[[#This Row],[Site]],'Site Info'!$A$1:$C$11,2, FALSE)</f>
        <v>17.7</v>
      </c>
      <c r="L15">
        <f>VLOOKUP(Table2[[#This Row],[Site]],'Site Info'!$A$1:$C$11,3, FALSE)</f>
        <v>10</v>
      </c>
      <c r="M15" t="str">
        <f>VLOOKUP(Table2[[#This Row],[Species]],'Species Table'!$A$1:$D$68,3, FALSE)</f>
        <v>Perennial</v>
      </c>
      <c r="O15" s="15">
        <f>IF(SUMPRODUCT(($A$2:$A15=A15)*($B$2:$B15=B15)*($F$2:$F15=F15))&gt;1,0,1)</f>
        <v>0</v>
      </c>
      <c r="P15" s="15">
        <f>IF(SUMPRODUCT(($A$2:$A15=A15)*($B$2:$B15=B15)*($D$2:$D15=D15))&gt;1,0,1)</f>
        <v>0</v>
      </c>
    </row>
    <row r="16" spans="1:18" hidden="1" x14ac:dyDescent="0.35">
      <c r="A16" t="s">
        <v>9</v>
      </c>
      <c r="B16">
        <v>1999</v>
      </c>
      <c r="D16">
        <v>2.1</v>
      </c>
      <c r="E16">
        <f>INT(Table2[[#This Row],[Transect]])</f>
        <v>2</v>
      </c>
      <c r="F16" t="s">
        <v>10</v>
      </c>
      <c r="G16">
        <v>11</v>
      </c>
      <c r="H16">
        <v>200</v>
      </c>
      <c r="J16">
        <f>Table2[[#This Row],[Hits]]/Table2[[#This Row],[Points]]*100</f>
        <v>5.5</v>
      </c>
      <c r="K16">
        <f>VLOOKUP(Table2[[#This Row],[Site]],'Site Info'!$A$1:$C$11,2, FALSE)</f>
        <v>17.7</v>
      </c>
      <c r="L16">
        <f>VLOOKUP(Table2[[#This Row],[Site]],'Site Info'!$A$1:$C$11,3, FALSE)</f>
        <v>10</v>
      </c>
      <c r="M16" t="str">
        <f>VLOOKUP(Table2[[#This Row],[Species]],'Species Table'!$A$1:$D$68,3, FALSE)</f>
        <v>Annual</v>
      </c>
      <c r="O16" s="15">
        <f>IF(SUMPRODUCT(($A$2:$A16=A16)*($B$2:$B16=B16)*($F$2:$F16=F16))&gt;1,0,1)</f>
        <v>0</v>
      </c>
      <c r="P16" s="15">
        <f>IF(SUMPRODUCT(($A$2:$A16=A16)*($B$2:$B16=B16)*($D$2:$D16=D16))&gt;1,0,1)</f>
        <v>1</v>
      </c>
    </row>
    <row r="17" spans="1:16" x14ac:dyDescent="0.35">
      <c r="A17" t="s">
        <v>9</v>
      </c>
      <c r="B17">
        <v>1999</v>
      </c>
      <c r="D17">
        <v>2.1</v>
      </c>
      <c r="E17">
        <f>INT(Table2[[#This Row],[Transect]])</f>
        <v>2</v>
      </c>
      <c r="F17" t="s">
        <v>11</v>
      </c>
      <c r="G17">
        <v>4</v>
      </c>
      <c r="H17">
        <v>200</v>
      </c>
      <c r="J17">
        <f>Table2[[#This Row],[Hits]]/Table2[[#This Row],[Points]]*100</f>
        <v>2</v>
      </c>
      <c r="K17">
        <f>VLOOKUP(Table2[[#This Row],[Site]],'Site Info'!$A$1:$C$11,2, FALSE)</f>
        <v>17.7</v>
      </c>
      <c r="L17">
        <f>VLOOKUP(Table2[[#This Row],[Site]],'Site Info'!$A$1:$C$11,3, FALSE)</f>
        <v>10</v>
      </c>
      <c r="M17" t="str">
        <f>VLOOKUP(Table2[[#This Row],[Species]],'Species Table'!$A$1:$D$68,3, FALSE)</f>
        <v>Perennial</v>
      </c>
      <c r="O17" s="15">
        <f>IF(SUMPRODUCT(($A$2:$A17=A17)*($B$2:$B17=B17)*($F$2:$F17=F17))&gt;1,0,1)</f>
        <v>0</v>
      </c>
      <c r="P17" s="15">
        <f>IF(SUMPRODUCT(($A$2:$A17=A17)*($B$2:$B17=B17)*($D$2:$D17=D17))&gt;1,0,1)</f>
        <v>0</v>
      </c>
    </row>
    <row r="18" spans="1:16" x14ac:dyDescent="0.35">
      <c r="A18" t="s">
        <v>9</v>
      </c>
      <c r="B18">
        <v>1999</v>
      </c>
      <c r="D18">
        <v>2.1</v>
      </c>
      <c r="E18">
        <f>INT(Table2[[#This Row],[Transect]])</f>
        <v>2</v>
      </c>
      <c r="F18" t="s">
        <v>3</v>
      </c>
      <c r="G18">
        <v>7</v>
      </c>
      <c r="H18">
        <v>200</v>
      </c>
      <c r="J18">
        <f>Table2[[#This Row],[Hits]]/Table2[[#This Row],[Points]]*100</f>
        <v>3.5000000000000004</v>
      </c>
      <c r="K18">
        <f>VLOOKUP(Table2[[#This Row],[Site]],'Site Info'!$A$1:$C$11,2, FALSE)</f>
        <v>17.7</v>
      </c>
      <c r="L18">
        <f>VLOOKUP(Table2[[#This Row],[Site]],'Site Info'!$A$1:$C$11,3, FALSE)</f>
        <v>10</v>
      </c>
      <c r="M18" t="str">
        <f>VLOOKUP(Table2[[#This Row],[Species]],'Species Table'!$A$1:$D$68,3, FALSE)</f>
        <v>Perennial</v>
      </c>
      <c r="O18" s="15">
        <f>IF(SUMPRODUCT(($A$2:$A18=A18)*($B$2:$B18=B18)*($F$2:$F18=F18))&gt;1,0,1)</f>
        <v>1</v>
      </c>
      <c r="P18" s="15">
        <f>IF(SUMPRODUCT(($A$2:$A18=A18)*($B$2:$B18=B18)*($D$2:$D18=D18))&gt;1,0,1)</f>
        <v>0</v>
      </c>
    </row>
    <row r="19" spans="1:16" x14ac:dyDescent="0.35">
      <c r="A19" t="s">
        <v>9</v>
      </c>
      <c r="B19">
        <v>1999</v>
      </c>
      <c r="D19">
        <v>2.1</v>
      </c>
      <c r="E19">
        <f>INT(Table2[[#This Row],[Transect]])</f>
        <v>2</v>
      </c>
      <c r="F19" t="s">
        <v>2</v>
      </c>
      <c r="G19">
        <v>1</v>
      </c>
      <c r="H19">
        <v>200</v>
      </c>
      <c r="J19">
        <f>Table2[[#This Row],[Hits]]/Table2[[#This Row],[Points]]*100</f>
        <v>0.5</v>
      </c>
      <c r="K19">
        <f>VLOOKUP(Table2[[#This Row],[Site]],'Site Info'!$A$1:$C$11,2, FALSE)</f>
        <v>17.7</v>
      </c>
      <c r="L19">
        <f>VLOOKUP(Table2[[#This Row],[Site]],'Site Info'!$A$1:$C$11,3, FALSE)</f>
        <v>10</v>
      </c>
      <c r="M19" t="str">
        <f>VLOOKUP(Table2[[#This Row],[Species]],'Species Table'!$A$1:$D$68,3, FALSE)</f>
        <v>Perennial</v>
      </c>
      <c r="O19" s="15">
        <f>IF(SUMPRODUCT(($A$2:$A19=A19)*($B$2:$B19=B19)*($F$2:$F19=F19))&gt;1,0,1)</f>
        <v>0</v>
      </c>
      <c r="P19" s="15">
        <f>IF(SUMPRODUCT(($A$2:$A19=A19)*($B$2:$B19=B19)*($D$2:$D19=D19))&gt;1,0,1)</f>
        <v>0</v>
      </c>
    </row>
    <row r="20" spans="1:16" hidden="1" x14ac:dyDescent="0.35">
      <c r="A20" t="s">
        <v>9</v>
      </c>
      <c r="B20">
        <v>1999</v>
      </c>
      <c r="D20">
        <v>2.2000000000000002</v>
      </c>
      <c r="E20">
        <f>INT(Table2[[#This Row],[Transect]])</f>
        <v>2</v>
      </c>
      <c r="F20" t="s">
        <v>10</v>
      </c>
      <c r="G20">
        <v>40</v>
      </c>
      <c r="H20">
        <v>200</v>
      </c>
      <c r="J20">
        <f>Table2[[#This Row],[Hits]]/Table2[[#This Row],[Points]]*100</f>
        <v>20</v>
      </c>
      <c r="K20">
        <f>VLOOKUP(Table2[[#This Row],[Site]],'Site Info'!$A$1:$C$11,2, FALSE)</f>
        <v>17.7</v>
      </c>
      <c r="L20">
        <f>VLOOKUP(Table2[[#This Row],[Site]],'Site Info'!$A$1:$C$11,3, FALSE)</f>
        <v>10</v>
      </c>
      <c r="M20" t="str">
        <f>VLOOKUP(Table2[[#This Row],[Species]],'Species Table'!$A$1:$D$68,3, FALSE)</f>
        <v>Annual</v>
      </c>
      <c r="O20" s="15">
        <f>IF(SUMPRODUCT(($A$2:$A20=A20)*($B$2:$B20=B20)*($F$2:$F20=F20))&gt;1,0,1)</f>
        <v>0</v>
      </c>
      <c r="P20" s="15">
        <f>IF(SUMPRODUCT(($A$2:$A20=A20)*($B$2:$B20=B20)*($D$2:$D20=D20))&gt;1,0,1)</f>
        <v>1</v>
      </c>
    </row>
    <row r="21" spans="1:16" x14ac:dyDescent="0.35">
      <c r="A21" t="s">
        <v>9</v>
      </c>
      <c r="B21">
        <v>1999</v>
      </c>
      <c r="D21">
        <v>2.2000000000000002</v>
      </c>
      <c r="E21">
        <f>INT(Table2[[#This Row],[Transect]])</f>
        <v>2</v>
      </c>
      <c r="F21" t="s">
        <v>2</v>
      </c>
      <c r="G21">
        <v>1</v>
      </c>
      <c r="H21">
        <v>200</v>
      </c>
      <c r="J21">
        <f>Table2[[#This Row],[Hits]]/Table2[[#This Row],[Points]]*100</f>
        <v>0.5</v>
      </c>
      <c r="K21">
        <f>VLOOKUP(Table2[[#This Row],[Site]],'Site Info'!$A$1:$C$11,2, FALSE)</f>
        <v>17.7</v>
      </c>
      <c r="L21">
        <f>VLOOKUP(Table2[[#This Row],[Site]],'Site Info'!$A$1:$C$11,3, FALSE)</f>
        <v>10</v>
      </c>
      <c r="M21" t="str">
        <f>VLOOKUP(Table2[[#This Row],[Species]],'Species Table'!$A$1:$D$68,3, FALSE)</f>
        <v>Perennial</v>
      </c>
      <c r="O21" s="15">
        <f>IF(SUMPRODUCT(($A$2:$A21=A21)*($B$2:$B21=B21)*($F$2:$F21=F21))&gt;1,0,1)</f>
        <v>0</v>
      </c>
      <c r="P21" s="15">
        <f>IF(SUMPRODUCT(($A$2:$A21=A21)*($B$2:$B21=B21)*($D$2:$D21=D21))&gt;1,0,1)</f>
        <v>0</v>
      </c>
    </row>
    <row r="22" spans="1:16" hidden="1" x14ac:dyDescent="0.35">
      <c r="A22" t="s">
        <v>9</v>
      </c>
      <c r="B22">
        <v>1999</v>
      </c>
      <c r="D22">
        <v>2.2999999999999998</v>
      </c>
      <c r="E22">
        <f>INT(Table2[[#This Row],[Transect]])</f>
        <v>2</v>
      </c>
      <c r="F22" t="s">
        <v>10</v>
      </c>
      <c r="G22">
        <v>38</v>
      </c>
      <c r="H22">
        <v>200</v>
      </c>
      <c r="J22">
        <f>Table2[[#This Row],[Hits]]/Table2[[#This Row],[Points]]*100</f>
        <v>19</v>
      </c>
      <c r="K22">
        <f>VLOOKUP(Table2[[#This Row],[Site]],'Site Info'!$A$1:$C$11,2, FALSE)</f>
        <v>17.7</v>
      </c>
      <c r="L22">
        <f>VLOOKUP(Table2[[#This Row],[Site]],'Site Info'!$A$1:$C$11,3, FALSE)</f>
        <v>10</v>
      </c>
      <c r="M22" t="str">
        <f>VLOOKUP(Table2[[#This Row],[Species]],'Species Table'!$A$1:$D$68,3, FALSE)</f>
        <v>Annual</v>
      </c>
      <c r="O22" s="15">
        <f>IF(SUMPRODUCT(($A$2:$A22=A22)*($B$2:$B22=B22)*($F$2:$F22=F22))&gt;1,0,1)</f>
        <v>0</v>
      </c>
      <c r="P22" s="15">
        <f>IF(SUMPRODUCT(($A$2:$A22=A22)*($B$2:$B22=B22)*($D$2:$D22=D22))&gt;1,0,1)</f>
        <v>1</v>
      </c>
    </row>
    <row r="23" spans="1:16" x14ac:dyDescent="0.35">
      <c r="A23" t="s">
        <v>9</v>
      </c>
      <c r="B23">
        <v>1999</v>
      </c>
      <c r="D23">
        <v>2.2999999999999998</v>
      </c>
      <c r="E23">
        <f>INT(Table2[[#This Row],[Transect]])</f>
        <v>2</v>
      </c>
      <c r="F23" t="s">
        <v>11</v>
      </c>
      <c r="G23">
        <v>2</v>
      </c>
      <c r="H23">
        <v>200</v>
      </c>
      <c r="J23">
        <f>Table2[[#This Row],[Hits]]/Table2[[#This Row],[Points]]*100</f>
        <v>1</v>
      </c>
      <c r="K23">
        <f>VLOOKUP(Table2[[#This Row],[Site]],'Site Info'!$A$1:$C$11,2, FALSE)</f>
        <v>17.7</v>
      </c>
      <c r="L23">
        <f>VLOOKUP(Table2[[#This Row],[Site]],'Site Info'!$A$1:$C$11,3, FALSE)</f>
        <v>10</v>
      </c>
      <c r="M23" t="str">
        <f>VLOOKUP(Table2[[#This Row],[Species]],'Species Table'!$A$1:$D$68,3, FALSE)</f>
        <v>Perennial</v>
      </c>
      <c r="O23" s="15">
        <f>IF(SUMPRODUCT(($A$2:$A23=A23)*($B$2:$B23=B23)*($F$2:$F23=F23))&gt;1,0,1)</f>
        <v>0</v>
      </c>
      <c r="P23" s="15">
        <f>IF(SUMPRODUCT(($A$2:$A23=A23)*($B$2:$B23=B23)*($D$2:$D23=D23))&gt;1,0,1)</f>
        <v>0</v>
      </c>
    </row>
    <row r="24" spans="1:16" hidden="1" x14ac:dyDescent="0.35">
      <c r="A24" t="s">
        <v>9</v>
      </c>
      <c r="B24">
        <v>1999</v>
      </c>
      <c r="D24">
        <v>2.4</v>
      </c>
      <c r="E24">
        <f>INT(Table2[[#This Row],[Transect]])</f>
        <v>2</v>
      </c>
      <c r="F24" t="s">
        <v>10</v>
      </c>
      <c r="G24">
        <v>40</v>
      </c>
      <c r="H24">
        <v>200</v>
      </c>
      <c r="J24">
        <f>Table2[[#This Row],[Hits]]/Table2[[#This Row],[Points]]*100</f>
        <v>20</v>
      </c>
      <c r="K24">
        <f>VLOOKUP(Table2[[#This Row],[Site]],'Site Info'!$A$1:$C$11,2, FALSE)</f>
        <v>17.7</v>
      </c>
      <c r="L24">
        <f>VLOOKUP(Table2[[#This Row],[Site]],'Site Info'!$A$1:$C$11,3, FALSE)</f>
        <v>10</v>
      </c>
      <c r="M24" t="str">
        <f>VLOOKUP(Table2[[#This Row],[Species]],'Species Table'!$A$1:$D$68,3, FALSE)</f>
        <v>Annual</v>
      </c>
      <c r="O24" s="15">
        <f>IF(SUMPRODUCT(($A$2:$A24=A24)*($B$2:$B24=B24)*($F$2:$F24=F24))&gt;1,0,1)</f>
        <v>0</v>
      </c>
      <c r="P24" s="15">
        <f>IF(SUMPRODUCT(($A$2:$A24=A24)*($B$2:$B24=B24)*($D$2:$D24=D24))&gt;1,0,1)</f>
        <v>1</v>
      </c>
    </row>
    <row r="25" spans="1:16" hidden="1" x14ac:dyDescent="0.35">
      <c r="A25" t="s">
        <v>9</v>
      </c>
      <c r="B25">
        <v>1999</v>
      </c>
      <c r="D25">
        <v>2.5</v>
      </c>
      <c r="E25">
        <f>INT(Table2[[#This Row],[Transect]])</f>
        <v>2</v>
      </c>
      <c r="F25" t="s">
        <v>10</v>
      </c>
      <c r="G25">
        <v>9</v>
      </c>
      <c r="H25">
        <v>200</v>
      </c>
      <c r="J25">
        <f>Table2[[#This Row],[Hits]]/Table2[[#This Row],[Points]]*100</f>
        <v>4.5</v>
      </c>
      <c r="K25">
        <f>VLOOKUP(Table2[[#This Row],[Site]],'Site Info'!$A$1:$C$11,2, FALSE)</f>
        <v>17.7</v>
      </c>
      <c r="L25">
        <f>VLOOKUP(Table2[[#This Row],[Site]],'Site Info'!$A$1:$C$11,3, FALSE)</f>
        <v>10</v>
      </c>
      <c r="M25" t="str">
        <f>VLOOKUP(Table2[[#This Row],[Species]],'Species Table'!$A$1:$D$68,3, FALSE)</f>
        <v>Annual</v>
      </c>
      <c r="O25" s="15">
        <f>IF(SUMPRODUCT(($A$2:$A25=A25)*($B$2:$B25=B25)*($F$2:$F25=F25))&gt;1,0,1)</f>
        <v>0</v>
      </c>
      <c r="P25" s="15">
        <f>IF(SUMPRODUCT(($A$2:$A25=A25)*($B$2:$B25=B25)*($D$2:$D25=D25))&gt;1,0,1)</f>
        <v>1</v>
      </c>
    </row>
    <row r="26" spans="1:16" hidden="1" x14ac:dyDescent="0.35">
      <c r="A26" t="s">
        <v>9</v>
      </c>
      <c r="B26">
        <v>1999</v>
      </c>
      <c r="D26">
        <v>2.6</v>
      </c>
      <c r="E26">
        <f>INT(Table2[[#This Row],[Transect]])</f>
        <v>2</v>
      </c>
      <c r="F26" t="s">
        <v>10</v>
      </c>
      <c r="G26">
        <v>20</v>
      </c>
      <c r="H26">
        <v>200</v>
      </c>
      <c r="J26">
        <f>Table2[[#This Row],[Hits]]/Table2[[#This Row],[Points]]*100</f>
        <v>10</v>
      </c>
      <c r="K26">
        <f>VLOOKUP(Table2[[#This Row],[Site]],'Site Info'!$A$1:$C$11,2, FALSE)</f>
        <v>17.7</v>
      </c>
      <c r="L26">
        <f>VLOOKUP(Table2[[#This Row],[Site]],'Site Info'!$A$1:$C$11,3, FALSE)</f>
        <v>10</v>
      </c>
      <c r="M26" t="str">
        <f>VLOOKUP(Table2[[#This Row],[Species]],'Species Table'!$A$1:$D$68,3, FALSE)</f>
        <v>Annual</v>
      </c>
      <c r="O26" s="15">
        <f>IF(SUMPRODUCT(($A$2:$A26=A26)*($B$2:$B26=B26)*($F$2:$F26=F26))&gt;1,0,1)</f>
        <v>0</v>
      </c>
      <c r="P26" s="15">
        <f>IF(SUMPRODUCT(($A$2:$A26=A26)*($B$2:$B26=B26)*($D$2:$D26=D26))&gt;1,0,1)</f>
        <v>1</v>
      </c>
    </row>
    <row r="27" spans="1:16" x14ac:dyDescent="0.35">
      <c r="A27" t="s">
        <v>9</v>
      </c>
      <c r="B27">
        <v>1999</v>
      </c>
      <c r="D27">
        <v>2.6</v>
      </c>
      <c r="E27">
        <f>INT(Table2[[#This Row],[Transect]])</f>
        <v>2</v>
      </c>
      <c r="F27" t="s">
        <v>11</v>
      </c>
      <c r="G27">
        <v>3</v>
      </c>
      <c r="H27">
        <v>200</v>
      </c>
      <c r="J27">
        <f>Table2[[#This Row],[Hits]]/Table2[[#This Row],[Points]]*100</f>
        <v>1.5</v>
      </c>
      <c r="K27">
        <f>VLOOKUP(Table2[[#This Row],[Site]],'Site Info'!$A$1:$C$11,2, FALSE)</f>
        <v>17.7</v>
      </c>
      <c r="L27">
        <f>VLOOKUP(Table2[[#This Row],[Site]],'Site Info'!$A$1:$C$11,3, FALSE)</f>
        <v>10</v>
      </c>
      <c r="M27" t="str">
        <f>VLOOKUP(Table2[[#This Row],[Species]],'Species Table'!$A$1:$D$68,3, FALSE)</f>
        <v>Perennial</v>
      </c>
      <c r="O27" s="15">
        <f>IF(SUMPRODUCT(($A$2:$A27=A27)*($B$2:$B27=B27)*($F$2:$F27=F27))&gt;1,0,1)</f>
        <v>0</v>
      </c>
      <c r="P27" s="15">
        <f>IF(SUMPRODUCT(($A$2:$A27=A27)*($B$2:$B27=B27)*($D$2:$D27=D27))&gt;1,0,1)</f>
        <v>0</v>
      </c>
    </row>
    <row r="28" spans="1:16" hidden="1" x14ac:dyDescent="0.35">
      <c r="A28" t="s">
        <v>9</v>
      </c>
      <c r="B28">
        <v>1999</v>
      </c>
      <c r="D28">
        <v>2.7</v>
      </c>
      <c r="E28">
        <f>INT(Table2[[#This Row],[Transect]])</f>
        <v>2</v>
      </c>
      <c r="F28" t="s">
        <v>10</v>
      </c>
      <c r="G28">
        <v>40</v>
      </c>
      <c r="H28">
        <v>200</v>
      </c>
      <c r="J28">
        <f>Table2[[#This Row],[Hits]]/Table2[[#This Row],[Points]]*100</f>
        <v>20</v>
      </c>
      <c r="K28">
        <f>VLOOKUP(Table2[[#This Row],[Site]],'Site Info'!$A$1:$C$11,2, FALSE)</f>
        <v>17.7</v>
      </c>
      <c r="L28">
        <f>VLOOKUP(Table2[[#This Row],[Site]],'Site Info'!$A$1:$C$11,3, FALSE)</f>
        <v>10</v>
      </c>
      <c r="M28" t="str">
        <f>VLOOKUP(Table2[[#This Row],[Species]],'Species Table'!$A$1:$D$68,3, FALSE)</f>
        <v>Annual</v>
      </c>
      <c r="O28" s="15">
        <f>IF(SUMPRODUCT(($A$2:$A28=A28)*($B$2:$B28=B28)*($F$2:$F28=F28))&gt;1,0,1)</f>
        <v>0</v>
      </c>
      <c r="P28" s="15">
        <f>IF(SUMPRODUCT(($A$2:$A28=A28)*($B$2:$B28=B28)*($D$2:$D28=D28))&gt;1,0,1)</f>
        <v>1</v>
      </c>
    </row>
    <row r="29" spans="1:16" x14ac:dyDescent="0.35">
      <c r="A29" t="s">
        <v>9</v>
      </c>
      <c r="B29">
        <v>1999</v>
      </c>
      <c r="D29">
        <v>2.7</v>
      </c>
      <c r="E29">
        <f>INT(Table2[[#This Row],[Transect]])</f>
        <v>2</v>
      </c>
      <c r="F29" t="s">
        <v>11</v>
      </c>
      <c r="G29">
        <v>1</v>
      </c>
      <c r="H29">
        <v>200</v>
      </c>
      <c r="J29">
        <f>Table2[[#This Row],[Hits]]/Table2[[#This Row],[Points]]*100</f>
        <v>0.5</v>
      </c>
      <c r="K29">
        <f>VLOOKUP(Table2[[#This Row],[Site]],'Site Info'!$A$1:$C$11,2, FALSE)</f>
        <v>17.7</v>
      </c>
      <c r="L29">
        <f>VLOOKUP(Table2[[#This Row],[Site]],'Site Info'!$A$1:$C$11,3, FALSE)</f>
        <v>10</v>
      </c>
      <c r="M29" t="str">
        <f>VLOOKUP(Table2[[#This Row],[Species]],'Species Table'!$A$1:$D$68,3, FALSE)</f>
        <v>Perennial</v>
      </c>
      <c r="O29" s="15">
        <f>IF(SUMPRODUCT(($A$2:$A29=A29)*($B$2:$B29=B29)*($F$2:$F29=F29))&gt;1,0,1)</f>
        <v>0</v>
      </c>
      <c r="P29" s="15">
        <f>IF(SUMPRODUCT(($A$2:$A29=A29)*($B$2:$B29=B29)*($D$2:$D29=D29))&gt;1,0,1)</f>
        <v>0</v>
      </c>
    </row>
    <row r="30" spans="1:16" hidden="1" x14ac:dyDescent="0.35">
      <c r="A30" t="s">
        <v>9</v>
      </c>
      <c r="B30">
        <v>1999</v>
      </c>
      <c r="D30">
        <v>3.1</v>
      </c>
      <c r="E30">
        <f>INT(Table2[[#This Row],[Transect]])</f>
        <v>3</v>
      </c>
      <c r="F30" t="s">
        <v>10</v>
      </c>
      <c r="G30">
        <v>4</v>
      </c>
      <c r="H30">
        <v>200</v>
      </c>
      <c r="J30">
        <f>Table2[[#This Row],[Hits]]/Table2[[#This Row],[Points]]*100</f>
        <v>2</v>
      </c>
      <c r="K30">
        <f>VLOOKUP(Table2[[#This Row],[Site]],'Site Info'!$A$1:$C$11,2, FALSE)</f>
        <v>17.7</v>
      </c>
      <c r="L30">
        <f>VLOOKUP(Table2[[#This Row],[Site]],'Site Info'!$A$1:$C$11,3, FALSE)</f>
        <v>10</v>
      </c>
      <c r="M30" t="str">
        <f>VLOOKUP(Table2[[#This Row],[Species]],'Species Table'!$A$1:$D$68,3, FALSE)</f>
        <v>Annual</v>
      </c>
      <c r="O30" s="15">
        <f>IF(SUMPRODUCT(($A$2:$A30=A30)*($B$2:$B30=B30)*($F$2:$F30=F30))&gt;1,0,1)</f>
        <v>0</v>
      </c>
      <c r="P30" s="15">
        <f>IF(SUMPRODUCT(($A$2:$A30=A30)*($B$2:$B30=B30)*($D$2:$D30=D30))&gt;1,0,1)</f>
        <v>1</v>
      </c>
    </row>
    <row r="31" spans="1:16" hidden="1" x14ac:dyDescent="0.35">
      <c r="A31" t="s">
        <v>9</v>
      </c>
      <c r="B31">
        <v>1999</v>
      </c>
      <c r="D31">
        <v>3.2</v>
      </c>
      <c r="E31">
        <f>INT(Table2[[#This Row],[Transect]])</f>
        <v>3</v>
      </c>
      <c r="F31" t="s">
        <v>10</v>
      </c>
      <c r="G31">
        <v>40</v>
      </c>
      <c r="H31">
        <v>200</v>
      </c>
      <c r="J31">
        <f>Table2[[#This Row],[Hits]]/Table2[[#This Row],[Points]]*100</f>
        <v>20</v>
      </c>
      <c r="K31">
        <f>VLOOKUP(Table2[[#This Row],[Site]],'Site Info'!$A$1:$C$11,2, FALSE)</f>
        <v>17.7</v>
      </c>
      <c r="L31">
        <f>VLOOKUP(Table2[[#This Row],[Site]],'Site Info'!$A$1:$C$11,3, FALSE)</f>
        <v>10</v>
      </c>
      <c r="M31" t="str">
        <f>VLOOKUP(Table2[[#This Row],[Species]],'Species Table'!$A$1:$D$68,3, FALSE)</f>
        <v>Annual</v>
      </c>
      <c r="O31" s="15">
        <f>IF(SUMPRODUCT(($A$2:$A31=A31)*($B$2:$B31=B31)*($F$2:$F31=F31))&gt;1,0,1)</f>
        <v>0</v>
      </c>
      <c r="P31" s="15">
        <f>IF(SUMPRODUCT(($A$2:$A31=A31)*($B$2:$B31=B31)*($D$2:$D31=D31))&gt;1,0,1)</f>
        <v>1</v>
      </c>
    </row>
    <row r="32" spans="1:16" hidden="1" x14ac:dyDescent="0.35">
      <c r="A32" t="s">
        <v>9</v>
      </c>
      <c r="B32">
        <v>1999</v>
      </c>
      <c r="D32">
        <v>3.3</v>
      </c>
      <c r="E32">
        <f>INT(Table2[[#This Row],[Transect]])</f>
        <v>3</v>
      </c>
      <c r="F32" t="s">
        <v>10</v>
      </c>
      <c r="G32">
        <v>80</v>
      </c>
      <c r="H32">
        <v>200</v>
      </c>
      <c r="J32">
        <f>Table2[[#This Row],[Hits]]/Table2[[#This Row],[Points]]*100</f>
        <v>40</v>
      </c>
      <c r="K32">
        <f>VLOOKUP(Table2[[#This Row],[Site]],'Site Info'!$A$1:$C$11,2, FALSE)</f>
        <v>17.7</v>
      </c>
      <c r="L32">
        <f>VLOOKUP(Table2[[#This Row],[Site]],'Site Info'!$A$1:$C$11,3, FALSE)</f>
        <v>10</v>
      </c>
      <c r="M32" t="str">
        <f>VLOOKUP(Table2[[#This Row],[Species]],'Species Table'!$A$1:$D$68,3, FALSE)</f>
        <v>Annual</v>
      </c>
      <c r="O32" s="15">
        <f>IF(SUMPRODUCT(($A$2:$A32=A32)*($B$2:$B32=B32)*($F$2:$F32=F32))&gt;1,0,1)</f>
        <v>0</v>
      </c>
      <c r="P32" s="15">
        <f>IF(SUMPRODUCT(($A$2:$A32=A32)*($B$2:$B32=B32)*($D$2:$D32=D32))&gt;1,0,1)</f>
        <v>1</v>
      </c>
    </row>
    <row r="33" spans="1:16" hidden="1" x14ac:dyDescent="0.35">
      <c r="A33" t="s">
        <v>9</v>
      </c>
      <c r="B33">
        <v>1999</v>
      </c>
      <c r="D33">
        <v>3.4</v>
      </c>
      <c r="E33">
        <f>INT(Table2[[#This Row],[Transect]])</f>
        <v>3</v>
      </c>
      <c r="F33" t="s">
        <v>10</v>
      </c>
      <c r="G33">
        <v>80</v>
      </c>
      <c r="H33">
        <v>200</v>
      </c>
      <c r="J33">
        <f>Table2[[#This Row],[Hits]]/Table2[[#This Row],[Points]]*100</f>
        <v>40</v>
      </c>
      <c r="K33">
        <f>VLOOKUP(Table2[[#This Row],[Site]],'Site Info'!$A$1:$C$11,2, FALSE)</f>
        <v>17.7</v>
      </c>
      <c r="L33">
        <f>VLOOKUP(Table2[[#This Row],[Site]],'Site Info'!$A$1:$C$11,3, FALSE)</f>
        <v>10</v>
      </c>
      <c r="M33" t="str">
        <f>VLOOKUP(Table2[[#This Row],[Species]],'Species Table'!$A$1:$D$68,3, FALSE)</f>
        <v>Annual</v>
      </c>
      <c r="O33" s="15">
        <f>IF(SUMPRODUCT(($A$2:$A33=A33)*($B$2:$B33=B33)*($F$2:$F33=F33))&gt;1,0,1)</f>
        <v>0</v>
      </c>
      <c r="P33" s="15">
        <f>IF(SUMPRODUCT(($A$2:$A33=A33)*($B$2:$B33=B33)*($D$2:$D33=D33))&gt;1,0,1)</f>
        <v>1</v>
      </c>
    </row>
    <row r="34" spans="1:16" hidden="1" x14ac:dyDescent="0.35">
      <c r="A34" t="s">
        <v>9</v>
      </c>
      <c r="B34">
        <v>1999</v>
      </c>
      <c r="D34">
        <v>3.5</v>
      </c>
      <c r="E34">
        <f>INT(Table2[[#This Row],[Transect]])</f>
        <v>3</v>
      </c>
      <c r="F34" t="s">
        <v>10</v>
      </c>
      <c r="G34">
        <v>120</v>
      </c>
      <c r="H34">
        <v>200</v>
      </c>
      <c r="J34">
        <f>Table2[[#This Row],[Hits]]/Table2[[#This Row],[Points]]*100</f>
        <v>60</v>
      </c>
      <c r="K34">
        <f>VLOOKUP(Table2[[#This Row],[Site]],'Site Info'!$A$1:$C$11,2, FALSE)</f>
        <v>17.7</v>
      </c>
      <c r="L34">
        <f>VLOOKUP(Table2[[#This Row],[Site]],'Site Info'!$A$1:$C$11,3, FALSE)</f>
        <v>10</v>
      </c>
      <c r="M34" t="str">
        <f>VLOOKUP(Table2[[#This Row],[Species]],'Species Table'!$A$1:$D$68,3, FALSE)</f>
        <v>Annual</v>
      </c>
      <c r="O34" s="15">
        <f>IF(SUMPRODUCT(($A$2:$A34=A34)*($B$2:$B34=B34)*($F$2:$F34=F34))&gt;1,0,1)</f>
        <v>0</v>
      </c>
      <c r="P34" s="15">
        <f>IF(SUMPRODUCT(($A$2:$A34=A34)*($B$2:$B34=B34)*($D$2:$D34=D34))&gt;1,0,1)</f>
        <v>1</v>
      </c>
    </row>
    <row r="35" spans="1:16" hidden="1" x14ac:dyDescent="0.35">
      <c r="A35" t="s">
        <v>9</v>
      </c>
      <c r="B35">
        <v>1999</v>
      </c>
      <c r="D35">
        <v>3.6</v>
      </c>
      <c r="E35">
        <f>INT(Table2[[#This Row],[Transect]])</f>
        <v>3</v>
      </c>
      <c r="F35" t="s">
        <v>10</v>
      </c>
      <c r="G35">
        <v>10</v>
      </c>
      <c r="H35">
        <v>200</v>
      </c>
      <c r="J35">
        <f>Table2[[#This Row],[Hits]]/Table2[[#This Row],[Points]]*100</f>
        <v>5</v>
      </c>
      <c r="K35">
        <f>VLOOKUP(Table2[[#This Row],[Site]],'Site Info'!$A$1:$C$11,2, FALSE)</f>
        <v>17.7</v>
      </c>
      <c r="L35">
        <f>VLOOKUP(Table2[[#This Row],[Site]],'Site Info'!$A$1:$C$11,3, FALSE)</f>
        <v>10</v>
      </c>
      <c r="M35" t="str">
        <f>VLOOKUP(Table2[[#This Row],[Species]],'Species Table'!$A$1:$D$68,3, FALSE)</f>
        <v>Annual</v>
      </c>
      <c r="O35" s="15">
        <f>IF(SUMPRODUCT(($A$2:$A35=A35)*($B$2:$B35=B35)*($F$2:$F35=F35))&gt;1,0,1)</f>
        <v>0</v>
      </c>
      <c r="P35" s="15">
        <f>IF(SUMPRODUCT(($A$2:$A35=A35)*($B$2:$B35=B35)*($D$2:$D35=D35))&gt;1,0,1)</f>
        <v>1</v>
      </c>
    </row>
    <row r="36" spans="1:16" x14ac:dyDescent="0.35">
      <c r="A36" t="s">
        <v>9</v>
      </c>
      <c r="B36">
        <v>1999</v>
      </c>
      <c r="D36">
        <v>3.6</v>
      </c>
      <c r="E36">
        <f>INT(Table2[[#This Row],[Transect]])</f>
        <v>3</v>
      </c>
      <c r="F36" t="s">
        <v>4</v>
      </c>
      <c r="G36">
        <v>7</v>
      </c>
      <c r="H36">
        <v>200</v>
      </c>
      <c r="J36">
        <f>Table2[[#This Row],[Hits]]/Table2[[#This Row],[Points]]*100</f>
        <v>3.5000000000000004</v>
      </c>
      <c r="K36">
        <f>VLOOKUP(Table2[[#This Row],[Site]],'Site Info'!$A$1:$C$11,2, FALSE)</f>
        <v>17.7</v>
      </c>
      <c r="L36">
        <f>VLOOKUP(Table2[[#This Row],[Site]],'Site Info'!$A$1:$C$11,3, FALSE)</f>
        <v>10</v>
      </c>
      <c r="M36" t="str">
        <f>VLOOKUP(Table2[[#This Row],[Species]],'Species Table'!$A$1:$D$68,3, FALSE)</f>
        <v>Perennial</v>
      </c>
      <c r="O36" s="15">
        <f>IF(SUMPRODUCT(($A$2:$A36=A36)*($B$2:$B36=B36)*($F$2:$F36=F36))&gt;1,0,1)</f>
        <v>1</v>
      </c>
      <c r="P36" s="15">
        <f>IF(SUMPRODUCT(($A$2:$A36=A36)*($B$2:$B36=B36)*($D$2:$D36=D36))&gt;1,0,1)</f>
        <v>0</v>
      </c>
    </row>
    <row r="37" spans="1:16" hidden="1" x14ac:dyDescent="0.35">
      <c r="A37" t="s">
        <v>9</v>
      </c>
      <c r="B37">
        <v>1999</v>
      </c>
      <c r="D37">
        <v>3.7</v>
      </c>
      <c r="E37">
        <f>INT(Table2[[#This Row],[Transect]])</f>
        <v>3</v>
      </c>
      <c r="F37" t="s">
        <v>10</v>
      </c>
      <c r="G37">
        <v>16</v>
      </c>
      <c r="H37">
        <v>200</v>
      </c>
      <c r="J37">
        <f>Table2[[#This Row],[Hits]]/Table2[[#This Row],[Points]]*100</f>
        <v>8</v>
      </c>
      <c r="K37">
        <f>VLOOKUP(Table2[[#This Row],[Site]],'Site Info'!$A$1:$C$11,2, FALSE)</f>
        <v>17.7</v>
      </c>
      <c r="L37">
        <f>VLOOKUP(Table2[[#This Row],[Site]],'Site Info'!$A$1:$C$11,3, FALSE)</f>
        <v>10</v>
      </c>
      <c r="M37" t="str">
        <f>VLOOKUP(Table2[[#This Row],[Species]],'Species Table'!$A$1:$D$68,3, FALSE)</f>
        <v>Annual</v>
      </c>
      <c r="O37" s="15">
        <f>IF(SUMPRODUCT(($A$2:$A37=A37)*($B$2:$B37=B37)*($F$2:$F37=F37))&gt;1,0,1)</f>
        <v>0</v>
      </c>
      <c r="P37" s="15">
        <f>IF(SUMPRODUCT(($A$2:$A37=A37)*($B$2:$B37=B37)*($D$2:$D37=D37))&gt;1,0,1)</f>
        <v>1</v>
      </c>
    </row>
    <row r="38" spans="1:16" x14ac:dyDescent="0.35">
      <c r="A38" t="s">
        <v>9</v>
      </c>
      <c r="B38">
        <v>1999</v>
      </c>
      <c r="D38">
        <v>3.7</v>
      </c>
      <c r="E38">
        <f>INT(Table2[[#This Row],[Transect]])</f>
        <v>3</v>
      </c>
      <c r="F38" t="s">
        <v>11</v>
      </c>
      <c r="G38">
        <v>8</v>
      </c>
      <c r="H38">
        <v>200</v>
      </c>
      <c r="J38">
        <f>Table2[[#This Row],[Hits]]/Table2[[#This Row],[Points]]*100</f>
        <v>4</v>
      </c>
      <c r="K38">
        <f>VLOOKUP(Table2[[#This Row],[Site]],'Site Info'!$A$1:$C$11,2, FALSE)</f>
        <v>17.7</v>
      </c>
      <c r="L38">
        <f>VLOOKUP(Table2[[#This Row],[Site]],'Site Info'!$A$1:$C$11,3, FALSE)</f>
        <v>10</v>
      </c>
      <c r="M38" t="str">
        <f>VLOOKUP(Table2[[#This Row],[Species]],'Species Table'!$A$1:$D$68,3, FALSE)</f>
        <v>Perennial</v>
      </c>
      <c r="O38" s="15">
        <f>IF(SUMPRODUCT(($A$2:$A38=A38)*($B$2:$B38=B38)*($F$2:$F38=F38))&gt;1,0,1)</f>
        <v>0</v>
      </c>
      <c r="P38" s="15">
        <f>IF(SUMPRODUCT(($A$2:$A38=A38)*($B$2:$B38=B38)*($D$2:$D38=D38))&gt;1,0,1)</f>
        <v>0</v>
      </c>
    </row>
    <row r="39" spans="1:16" hidden="1" x14ac:dyDescent="0.35">
      <c r="A39" t="s">
        <v>9</v>
      </c>
      <c r="B39">
        <v>1999</v>
      </c>
      <c r="D39">
        <v>4.0999999999999996</v>
      </c>
      <c r="E39">
        <f>INT(Table2[[#This Row],[Transect]])</f>
        <v>4</v>
      </c>
      <c r="F39" t="s">
        <v>10</v>
      </c>
      <c r="G39">
        <v>20</v>
      </c>
      <c r="H39">
        <v>200</v>
      </c>
      <c r="J39">
        <f>Table2[[#This Row],[Hits]]/Table2[[#This Row],[Points]]*100</f>
        <v>10</v>
      </c>
      <c r="K39">
        <f>VLOOKUP(Table2[[#This Row],[Site]],'Site Info'!$A$1:$C$11,2, FALSE)</f>
        <v>17.7</v>
      </c>
      <c r="L39">
        <f>VLOOKUP(Table2[[#This Row],[Site]],'Site Info'!$A$1:$C$11,3, FALSE)</f>
        <v>10</v>
      </c>
      <c r="M39" t="str">
        <f>VLOOKUP(Table2[[#This Row],[Species]],'Species Table'!$A$1:$D$68,3, FALSE)</f>
        <v>Annual</v>
      </c>
      <c r="O39" s="15">
        <f>IF(SUMPRODUCT(($A$2:$A39=A39)*($B$2:$B39=B39)*($F$2:$F39=F39))&gt;1,0,1)</f>
        <v>0</v>
      </c>
      <c r="P39" s="15">
        <f>IF(SUMPRODUCT(($A$2:$A39=A39)*($B$2:$B39=B39)*($D$2:$D39=D39))&gt;1,0,1)</f>
        <v>1</v>
      </c>
    </row>
    <row r="40" spans="1:16" x14ac:dyDescent="0.35">
      <c r="A40" t="s">
        <v>9</v>
      </c>
      <c r="B40">
        <v>1999</v>
      </c>
      <c r="D40">
        <v>4.0999999999999996</v>
      </c>
      <c r="E40">
        <f>INT(Table2[[#This Row],[Transect]])</f>
        <v>4</v>
      </c>
      <c r="F40" t="s">
        <v>11</v>
      </c>
      <c r="G40">
        <v>16</v>
      </c>
      <c r="H40">
        <v>200</v>
      </c>
      <c r="J40">
        <f>Table2[[#This Row],[Hits]]/Table2[[#This Row],[Points]]*100</f>
        <v>8</v>
      </c>
      <c r="K40">
        <f>VLOOKUP(Table2[[#This Row],[Site]],'Site Info'!$A$1:$C$11,2, FALSE)</f>
        <v>17.7</v>
      </c>
      <c r="L40">
        <f>VLOOKUP(Table2[[#This Row],[Site]],'Site Info'!$A$1:$C$11,3, FALSE)</f>
        <v>10</v>
      </c>
      <c r="M40" t="str">
        <f>VLOOKUP(Table2[[#This Row],[Species]],'Species Table'!$A$1:$D$68,3, FALSE)</f>
        <v>Perennial</v>
      </c>
      <c r="O40" s="15">
        <f>IF(SUMPRODUCT(($A$2:$A40=A40)*($B$2:$B40=B40)*($F$2:$F40=F40))&gt;1,0,1)</f>
        <v>0</v>
      </c>
      <c r="P40" s="15">
        <f>IF(SUMPRODUCT(($A$2:$A40=A40)*($B$2:$B40=B40)*($D$2:$D40=D40))&gt;1,0,1)</f>
        <v>0</v>
      </c>
    </row>
    <row r="41" spans="1:16" hidden="1" x14ac:dyDescent="0.35">
      <c r="A41" t="s">
        <v>9</v>
      </c>
      <c r="B41">
        <v>1999</v>
      </c>
      <c r="D41">
        <v>4.2</v>
      </c>
      <c r="E41">
        <f>INT(Table2[[#This Row],[Transect]])</f>
        <v>4</v>
      </c>
      <c r="F41" t="s">
        <v>10</v>
      </c>
      <c r="G41">
        <v>100</v>
      </c>
      <c r="H41">
        <v>200</v>
      </c>
      <c r="J41">
        <f>Table2[[#This Row],[Hits]]/Table2[[#This Row],[Points]]*100</f>
        <v>50</v>
      </c>
      <c r="K41">
        <f>VLOOKUP(Table2[[#This Row],[Site]],'Site Info'!$A$1:$C$11,2, FALSE)</f>
        <v>17.7</v>
      </c>
      <c r="L41">
        <f>VLOOKUP(Table2[[#This Row],[Site]],'Site Info'!$A$1:$C$11,3, FALSE)</f>
        <v>10</v>
      </c>
      <c r="M41" t="str">
        <f>VLOOKUP(Table2[[#This Row],[Species]],'Species Table'!$A$1:$D$68,3, FALSE)</f>
        <v>Annual</v>
      </c>
      <c r="O41" s="15">
        <f>IF(SUMPRODUCT(($A$2:$A41=A41)*($B$2:$B41=B41)*($F$2:$F41=F41))&gt;1,0,1)</f>
        <v>0</v>
      </c>
      <c r="P41" s="15">
        <f>IF(SUMPRODUCT(($A$2:$A41=A41)*($B$2:$B41=B41)*($D$2:$D41=D41))&gt;1,0,1)</f>
        <v>1</v>
      </c>
    </row>
    <row r="42" spans="1:16" x14ac:dyDescent="0.35">
      <c r="A42" t="s">
        <v>9</v>
      </c>
      <c r="B42">
        <v>1999</v>
      </c>
      <c r="D42">
        <v>4.2</v>
      </c>
      <c r="E42">
        <f>INT(Table2[[#This Row],[Transect]])</f>
        <v>4</v>
      </c>
      <c r="F42" t="s">
        <v>11</v>
      </c>
      <c r="G42">
        <v>1</v>
      </c>
      <c r="H42">
        <v>200</v>
      </c>
      <c r="J42">
        <f>Table2[[#This Row],[Hits]]/Table2[[#This Row],[Points]]*100</f>
        <v>0.5</v>
      </c>
      <c r="K42">
        <f>VLOOKUP(Table2[[#This Row],[Site]],'Site Info'!$A$1:$C$11,2, FALSE)</f>
        <v>17.7</v>
      </c>
      <c r="L42">
        <f>VLOOKUP(Table2[[#This Row],[Site]],'Site Info'!$A$1:$C$11,3, FALSE)</f>
        <v>10</v>
      </c>
      <c r="M42" t="str">
        <f>VLOOKUP(Table2[[#This Row],[Species]],'Species Table'!$A$1:$D$68,3, FALSE)</f>
        <v>Perennial</v>
      </c>
      <c r="O42" s="15">
        <f>IF(SUMPRODUCT(($A$2:$A42=A42)*($B$2:$B42=B42)*($F$2:$F42=F42))&gt;1,0,1)</f>
        <v>0</v>
      </c>
      <c r="P42" s="15">
        <f>IF(SUMPRODUCT(($A$2:$A42=A42)*($B$2:$B42=B42)*($D$2:$D42=D42))&gt;1,0,1)</f>
        <v>0</v>
      </c>
    </row>
    <row r="43" spans="1:16" hidden="1" x14ac:dyDescent="0.35">
      <c r="A43" t="s">
        <v>9</v>
      </c>
      <c r="B43">
        <v>1999</v>
      </c>
      <c r="D43">
        <v>4.3</v>
      </c>
      <c r="E43">
        <f>INT(Table2[[#This Row],[Transect]])</f>
        <v>4</v>
      </c>
      <c r="F43" t="s">
        <v>10</v>
      </c>
      <c r="G43">
        <v>70</v>
      </c>
      <c r="H43">
        <v>200</v>
      </c>
      <c r="J43">
        <f>Table2[[#This Row],[Hits]]/Table2[[#This Row],[Points]]*100</f>
        <v>35</v>
      </c>
      <c r="K43">
        <f>VLOOKUP(Table2[[#This Row],[Site]],'Site Info'!$A$1:$C$11,2, FALSE)</f>
        <v>17.7</v>
      </c>
      <c r="L43">
        <f>VLOOKUP(Table2[[#This Row],[Site]],'Site Info'!$A$1:$C$11,3, FALSE)</f>
        <v>10</v>
      </c>
      <c r="M43" t="str">
        <f>VLOOKUP(Table2[[#This Row],[Species]],'Species Table'!$A$1:$D$68,3, FALSE)</f>
        <v>Annual</v>
      </c>
      <c r="O43" s="15">
        <f>IF(SUMPRODUCT(($A$2:$A43=A43)*($B$2:$B43=B43)*($F$2:$F43=F43))&gt;1,0,1)</f>
        <v>0</v>
      </c>
      <c r="P43" s="15">
        <f>IF(SUMPRODUCT(($A$2:$A43=A43)*($B$2:$B43=B43)*($D$2:$D43=D43))&gt;1,0,1)</f>
        <v>1</v>
      </c>
    </row>
    <row r="44" spans="1:16" x14ac:dyDescent="0.35">
      <c r="A44" t="s">
        <v>9</v>
      </c>
      <c r="B44">
        <v>1999</v>
      </c>
      <c r="D44">
        <v>4.3</v>
      </c>
      <c r="E44">
        <f>INT(Table2[[#This Row],[Transect]])</f>
        <v>4</v>
      </c>
      <c r="F44" t="s">
        <v>11</v>
      </c>
      <c r="G44">
        <v>2</v>
      </c>
      <c r="H44">
        <v>200</v>
      </c>
      <c r="J44">
        <f>Table2[[#This Row],[Hits]]/Table2[[#This Row],[Points]]*100</f>
        <v>1</v>
      </c>
      <c r="K44">
        <f>VLOOKUP(Table2[[#This Row],[Site]],'Site Info'!$A$1:$C$11,2, FALSE)</f>
        <v>17.7</v>
      </c>
      <c r="L44">
        <f>VLOOKUP(Table2[[#This Row],[Site]],'Site Info'!$A$1:$C$11,3, FALSE)</f>
        <v>10</v>
      </c>
      <c r="M44" t="str">
        <f>VLOOKUP(Table2[[#This Row],[Species]],'Species Table'!$A$1:$D$68,3, FALSE)</f>
        <v>Perennial</v>
      </c>
      <c r="O44" s="15">
        <f>IF(SUMPRODUCT(($A$2:$A44=A44)*($B$2:$B44=B44)*($F$2:$F44=F44))&gt;1,0,1)</f>
        <v>0</v>
      </c>
      <c r="P44" s="15">
        <f>IF(SUMPRODUCT(($A$2:$A44=A44)*($B$2:$B44=B44)*($D$2:$D44=D44))&gt;1,0,1)</f>
        <v>0</v>
      </c>
    </row>
    <row r="45" spans="1:16" hidden="1" x14ac:dyDescent="0.35">
      <c r="A45" t="s">
        <v>9</v>
      </c>
      <c r="B45">
        <v>1999</v>
      </c>
      <c r="D45">
        <v>4.4000000000000004</v>
      </c>
      <c r="E45">
        <f>INT(Table2[[#This Row],[Transect]])</f>
        <v>4</v>
      </c>
      <c r="F45" t="s">
        <v>10</v>
      </c>
      <c r="G45">
        <v>100</v>
      </c>
      <c r="H45">
        <v>200</v>
      </c>
      <c r="J45">
        <f>Table2[[#This Row],[Hits]]/Table2[[#This Row],[Points]]*100</f>
        <v>50</v>
      </c>
      <c r="K45">
        <f>VLOOKUP(Table2[[#This Row],[Site]],'Site Info'!$A$1:$C$11,2, FALSE)</f>
        <v>17.7</v>
      </c>
      <c r="L45">
        <f>VLOOKUP(Table2[[#This Row],[Site]],'Site Info'!$A$1:$C$11,3, FALSE)</f>
        <v>10</v>
      </c>
      <c r="M45" t="str">
        <f>VLOOKUP(Table2[[#This Row],[Species]],'Species Table'!$A$1:$D$68,3, FALSE)</f>
        <v>Annual</v>
      </c>
      <c r="O45" s="15">
        <f>IF(SUMPRODUCT(($A$2:$A45=A45)*($B$2:$B45=B45)*($F$2:$F45=F45))&gt;1,0,1)</f>
        <v>0</v>
      </c>
      <c r="P45" s="15">
        <f>IF(SUMPRODUCT(($A$2:$A45=A45)*($B$2:$B45=B45)*($D$2:$D45=D45))&gt;1,0,1)</f>
        <v>1</v>
      </c>
    </row>
    <row r="46" spans="1:16" hidden="1" x14ac:dyDescent="0.35">
      <c r="A46" t="s">
        <v>9</v>
      </c>
      <c r="B46">
        <v>1999</v>
      </c>
      <c r="D46">
        <v>4.5</v>
      </c>
      <c r="E46">
        <f>INT(Table2[[#This Row],[Transect]])</f>
        <v>4</v>
      </c>
      <c r="F46" t="s">
        <v>10</v>
      </c>
      <c r="G46">
        <v>100</v>
      </c>
      <c r="H46">
        <v>200</v>
      </c>
      <c r="J46">
        <f>Table2[[#This Row],[Hits]]/Table2[[#This Row],[Points]]*100</f>
        <v>50</v>
      </c>
      <c r="K46">
        <f>VLOOKUP(Table2[[#This Row],[Site]],'Site Info'!$A$1:$C$11,2, FALSE)</f>
        <v>17.7</v>
      </c>
      <c r="L46">
        <f>VLOOKUP(Table2[[#This Row],[Site]],'Site Info'!$A$1:$C$11,3, FALSE)</f>
        <v>10</v>
      </c>
      <c r="M46" t="str">
        <f>VLOOKUP(Table2[[#This Row],[Species]],'Species Table'!$A$1:$D$68,3, FALSE)</f>
        <v>Annual</v>
      </c>
      <c r="O46" s="15">
        <f>IF(SUMPRODUCT(($A$2:$A46=A46)*($B$2:$B46=B46)*($F$2:$F46=F46))&gt;1,0,1)</f>
        <v>0</v>
      </c>
      <c r="P46" s="15">
        <f>IF(SUMPRODUCT(($A$2:$A46=A46)*($B$2:$B46=B46)*($D$2:$D46=D46))&gt;1,0,1)</f>
        <v>1</v>
      </c>
    </row>
    <row r="47" spans="1:16" x14ac:dyDescent="0.35">
      <c r="A47" t="s">
        <v>9</v>
      </c>
      <c r="B47">
        <v>1999</v>
      </c>
      <c r="D47">
        <v>4.5</v>
      </c>
      <c r="E47">
        <f>INT(Table2[[#This Row],[Transect]])</f>
        <v>4</v>
      </c>
      <c r="F47" t="s">
        <v>11</v>
      </c>
      <c r="G47">
        <v>3</v>
      </c>
      <c r="H47">
        <v>200</v>
      </c>
      <c r="J47">
        <f>Table2[[#This Row],[Hits]]/Table2[[#This Row],[Points]]*100</f>
        <v>1.5</v>
      </c>
      <c r="K47">
        <f>VLOOKUP(Table2[[#This Row],[Site]],'Site Info'!$A$1:$C$11,2, FALSE)</f>
        <v>17.7</v>
      </c>
      <c r="L47">
        <f>VLOOKUP(Table2[[#This Row],[Site]],'Site Info'!$A$1:$C$11,3, FALSE)</f>
        <v>10</v>
      </c>
      <c r="M47" t="str">
        <f>VLOOKUP(Table2[[#This Row],[Species]],'Species Table'!$A$1:$D$68,3, FALSE)</f>
        <v>Perennial</v>
      </c>
      <c r="O47" s="15">
        <f>IF(SUMPRODUCT(($A$2:$A47=A47)*($B$2:$B47=B47)*($F$2:$F47=F47))&gt;1,0,1)</f>
        <v>0</v>
      </c>
      <c r="P47" s="15">
        <f>IF(SUMPRODUCT(($A$2:$A47=A47)*($B$2:$B47=B47)*($D$2:$D47=D47))&gt;1,0,1)</f>
        <v>0</v>
      </c>
    </row>
    <row r="48" spans="1:16" hidden="1" x14ac:dyDescent="0.35">
      <c r="A48" t="s">
        <v>9</v>
      </c>
      <c r="B48">
        <v>1999</v>
      </c>
      <c r="D48">
        <v>4.5999999999999996</v>
      </c>
      <c r="E48">
        <f>INT(Table2[[#This Row],[Transect]])</f>
        <v>4</v>
      </c>
      <c r="F48" t="s">
        <v>10</v>
      </c>
      <c r="G48">
        <v>30</v>
      </c>
      <c r="H48">
        <v>200</v>
      </c>
      <c r="J48">
        <f>Table2[[#This Row],[Hits]]/Table2[[#This Row],[Points]]*100</f>
        <v>15</v>
      </c>
      <c r="K48">
        <f>VLOOKUP(Table2[[#This Row],[Site]],'Site Info'!$A$1:$C$11,2, FALSE)</f>
        <v>17.7</v>
      </c>
      <c r="L48">
        <f>VLOOKUP(Table2[[#This Row],[Site]],'Site Info'!$A$1:$C$11,3, FALSE)</f>
        <v>10</v>
      </c>
      <c r="M48" t="str">
        <f>VLOOKUP(Table2[[#This Row],[Species]],'Species Table'!$A$1:$D$68,3, FALSE)</f>
        <v>Annual</v>
      </c>
      <c r="O48" s="15">
        <f>IF(SUMPRODUCT(($A$2:$A48=A48)*($B$2:$B48=B48)*($F$2:$F48=F48))&gt;1,0,1)</f>
        <v>0</v>
      </c>
      <c r="P48" s="15">
        <f>IF(SUMPRODUCT(($A$2:$A48=A48)*($B$2:$B48=B48)*($D$2:$D48=D48))&gt;1,0,1)</f>
        <v>1</v>
      </c>
    </row>
    <row r="49" spans="1:16" x14ac:dyDescent="0.35">
      <c r="A49" t="s">
        <v>9</v>
      </c>
      <c r="B49">
        <v>1999</v>
      </c>
      <c r="D49">
        <v>4.5999999999999996</v>
      </c>
      <c r="E49">
        <f>INT(Table2[[#This Row],[Transect]])</f>
        <v>4</v>
      </c>
      <c r="F49" t="s">
        <v>31</v>
      </c>
      <c r="G49">
        <v>5</v>
      </c>
      <c r="H49">
        <v>200</v>
      </c>
      <c r="J49">
        <f>Table2[[#This Row],[Hits]]/Table2[[#This Row],[Points]]*100</f>
        <v>2.5</v>
      </c>
      <c r="K49">
        <f>VLOOKUP(Table2[[#This Row],[Site]],'Site Info'!$A$1:$C$11,2, FALSE)</f>
        <v>17.7</v>
      </c>
      <c r="L49">
        <f>VLOOKUP(Table2[[#This Row],[Site]],'Site Info'!$A$1:$C$11,3, FALSE)</f>
        <v>10</v>
      </c>
      <c r="M49" t="str">
        <f>VLOOKUP(Table2[[#This Row],[Species]],'Species Table'!$A$1:$D$68,3, FALSE)</f>
        <v>Perennial</v>
      </c>
      <c r="O49" s="15">
        <f>IF(SUMPRODUCT(($A$2:$A49=A49)*($B$2:$B49=B49)*($F$2:$F49=F49))&gt;1,0,1)</f>
        <v>1</v>
      </c>
      <c r="P49" s="15">
        <f>IF(SUMPRODUCT(($A$2:$A49=A49)*($B$2:$B49=B49)*($D$2:$D49=D49))&gt;1,0,1)</f>
        <v>0</v>
      </c>
    </row>
    <row r="50" spans="1:16" hidden="1" x14ac:dyDescent="0.35">
      <c r="A50" t="s">
        <v>9</v>
      </c>
      <c r="B50">
        <v>1999</v>
      </c>
      <c r="D50">
        <v>4.7</v>
      </c>
      <c r="E50">
        <f>INT(Table2[[#This Row],[Transect]])</f>
        <v>4</v>
      </c>
      <c r="F50" t="s">
        <v>10</v>
      </c>
      <c r="G50">
        <v>30</v>
      </c>
      <c r="H50">
        <v>200</v>
      </c>
      <c r="J50">
        <f>Table2[[#This Row],[Hits]]/Table2[[#This Row],[Points]]*100</f>
        <v>15</v>
      </c>
      <c r="K50">
        <f>VLOOKUP(Table2[[#This Row],[Site]],'Site Info'!$A$1:$C$11,2, FALSE)</f>
        <v>17.7</v>
      </c>
      <c r="L50">
        <f>VLOOKUP(Table2[[#This Row],[Site]],'Site Info'!$A$1:$C$11,3, FALSE)</f>
        <v>10</v>
      </c>
      <c r="M50" t="str">
        <f>VLOOKUP(Table2[[#This Row],[Species]],'Species Table'!$A$1:$D$68,3, FALSE)</f>
        <v>Annual</v>
      </c>
      <c r="O50" s="15">
        <f>IF(SUMPRODUCT(($A$2:$A50=A50)*($B$2:$B50=B50)*($F$2:$F50=F50))&gt;1,0,1)</f>
        <v>0</v>
      </c>
      <c r="P50" s="15">
        <f>IF(SUMPRODUCT(($A$2:$A50=A50)*($B$2:$B50=B50)*($D$2:$D50=D50))&gt;1,0,1)</f>
        <v>1</v>
      </c>
    </row>
    <row r="51" spans="1:16" hidden="1" x14ac:dyDescent="0.35">
      <c r="A51" t="s">
        <v>9</v>
      </c>
      <c r="B51">
        <v>1999</v>
      </c>
      <c r="D51">
        <v>5.0999999999999996</v>
      </c>
      <c r="E51">
        <f>INT(Table2[[#This Row],[Transect]])</f>
        <v>5</v>
      </c>
      <c r="F51" t="s">
        <v>10</v>
      </c>
      <c r="G51">
        <v>1</v>
      </c>
      <c r="H51">
        <v>200</v>
      </c>
      <c r="J51">
        <f>Table2[[#This Row],[Hits]]/Table2[[#This Row],[Points]]*100</f>
        <v>0.5</v>
      </c>
      <c r="K51">
        <f>VLOOKUP(Table2[[#This Row],[Site]],'Site Info'!$A$1:$C$11,2, FALSE)</f>
        <v>17.7</v>
      </c>
      <c r="L51">
        <f>VLOOKUP(Table2[[#This Row],[Site]],'Site Info'!$A$1:$C$11,3, FALSE)</f>
        <v>10</v>
      </c>
      <c r="M51" t="str">
        <f>VLOOKUP(Table2[[#This Row],[Species]],'Species Table'!$A$1:$D$68,3, FALSE)</f>
        <v>Annual</v>
      </c>
      <c r="O51" s="15">
        <f>IF(SUMPRODUCT(($A$2:$A51=A51)*($B$2:$B51=B51)*($F$2:$F51=F51))&gt;1,0,1)</f>
        <v>0</v>
      </c>
      <c r="P51" s="15">
        <f>IF(SUMPRODUCT(($A$2:$A51=A51)*($B$2:$B51=B51)*($D$2:$D51=D51))&gt;1,0,1)</f>
        <v>1</v>
      </c>
    </row>
    <row r="52" spans="1:16" x14ac:dyDescent="0.35">
      <c r="A52" t="s">
        <v>9</v>
      </c>
      <c r="B52">
        <v>1999</v>
      </c>
      <c r="D52">
        <v>5.0999999999999996</v>
      </c>
      <c r="E52">
        <f>INT(Table2[[#This Row],[Transect]])</f>
        <v>5</v>
      </c>
      <c r="F52" t="s">
        <v>3</v>
      </c>
      <c r="G52">
        <v>9</v>
      </c>
      <c r="H52">
        <v>200</v>
      </c>
      <c r="J52">
        <f>Table2[[#This Row],[Hits]]/Table2[[#This Row],[Points]]*100</f>
        <v>4.5</v>
      </c>
      <c r="K52">
        <f>VLOOKUP(Table2[[#This Row],[Site]],'Site Info'!$A$1:$C$11,2, FALSE)</f>
        <v>17.7</v>
      </c>
      <c r="L52">
        <f>VLOOKUP(Table2[[#This Row],[Site]],'Site Info'!$A$1:$C$11,3, FALSE)</f>
        <v>10</v>
      </c>
      <c r="M52" t="str">
        <f>VLOOKUP(Table2[[#This Row],[Species]],'Species Table'!$A$1:$D$68,3, FALSE)</f>
        <v>Perennial</v>
      </c>
      <c r="O52" s="15">
        <f>IF(SUMPRODUCT(($A$2:$A52=A52)*($B$2:$B52=B52)*($F$2:$F52=F52))&gt;1,0,1)</f>
        <v>0</v>
      </c>
      <c r="P52" s="15">
        <f>IF(SUMPRODUCT(($A$2:$A52=A52)*($B$2:$B52=B52)*($D$2:$D52=D52))&gt;1,0,1)</f>
        <v>0</v>
      </c>
    </row>
    <row r="53" spans="1:16" x14ac:dyDescent="0.35">
      <c r="A53" t="s">
        <v>9</v>
      </c>
      <c r="B53">
        <v>1999</v>
      </c>
      <c r="D53">
        <v>5.0999999999999996</v>
      </c>
      <c r="E53">
        <f>INT(Table2[[#This Row],[Transect]])</f>
        <v>5</v>
      </c>
      <c r="F53" t="s">
        <v>14</v>
      </c>
      <c r="G53">
        <v>6</v>
      </c>
      <c r="H53">
        <v>200</v>
      </c>
      <c r="J53">
        <f>Table2[[#This Row],[Hits]]/Table2[[#This Row],[Points]]*100</f>
        <v>3</v>
      </c>
      <c r="K53">
        <f>VLOOKUP(Table2[[#This Row],[Site]],'Site Info'!$A$1:$C$11,2, FALSE)</f>
        <v>17.7</v>
      </c>
      <c r="L53">
        <f>VLOOKUP(Table2[[#This Row],[Site]],'Site Info'!$A$1:$C$11,3, FALSE)</f>
        <v>10</v>
      </c>
      <c r="M53" t="str">
        <f>VLOOKUP(Table2[[#This Row],[Species]],'Species Table'!$A$1:$D$68,3, FALSE)</f>
        <v>Perennial</v>
      </c>
      <c r="O53" s="15">
        <f>IF(SUMPRODUCT(($A$2:$A53=A53)*($B$2:$B53=B53)*($F$2:$F53=F53))&gt;1,0,1)</f>
        <v>1</v>
      </c>
      <c r="P53" s="15">
        <f>IF(SUMPRODUCT(($A$2:$A53=A53)*($B$2:$B53=B53)*($D$2:$D53=D53))&gt;1,0,1)</f>
        <v>0</v>
      </c>
    </row>
    <row r="54" spans="1:16" hidden="1" x14ac:dyDescent="0.35">
      <c r="A54" t="s">
        <v>9</v>
      </c>
      <c r="B54">
        <v>1999</v>
      </c>
      <c r="D54">
        <v>5.2</v>
      </c>
      <c r="E54">
        <f>INT(Table2[[#This Row],[Transect]])</f>
        <v>5</v>
      </c>
      <c r="F54" t="s">
        <v>10</v>
      </c>
      <c r="G54">
        <v>27</v>
      </c>
      <c r="H54">
        <v>200</v>
      </c>
      <c r="J54">
        <f>Table2[[#This Row],[Hits]]/Table2[[#This Row],[Points]]*100</f>
        <v>13.5</v>
      </c>
      <c r="K54">
        <f>VLOOKUP(Table2[[#This Row],[Site]],'Site Info'!$A$1:$C$11,2, FALSE)</f>
        <v>17.7</v>
      </c>
      <c r="L54">
        <f>VLOOKUP(Table2[[#This Row],[Site]],'Site Info'!$A$1:$C$11,3, FALSE)</f>
        <v>10</v>
      </c>
      <c r="M54" t="str">
        <f>VLOOKUP(Table2[[#This Row],[Species]],'Species Table'!$A$1:$D$68,3, FALSE)</f>
        <v>Annual</v>
      </c>
      <c r="O54" s="15">
        <f>IF(SUMPRODUCT(($A$2:$A54=A54)*($B$2:$B54=B54)*($F$2:$F54=F54))&gt;1,0,1)</f>
        <v>0</v>
      </c>
      <c r="P54" s="15">
        <f>IF(SUMPRODUCT(($A$2:$A54=A54)*($B$2:$B54=B54)*($D$2:$D54=D54))&gt;1,0,1)</f>
        <v>1</v>
      </c>
    </row>
    <row r="55" spans="1:16" x14ac:dyDescent="0.35">
      <c r="A55" t="s">
        <v>9</v>
      </c>
      <c r="B55">
        <v>1999</v>
      </c>
      <c r="D55">
        <v>5.2</v>
      </c>
      <c r="E55">
        <f>INT(Table2[[#This Row],[Transect]])</f>
        <v>5</v>
      </c>
      <c r="F55" t="s">
        <v>11</v>
      </c>
      <c r="G55">
        <v>3</v>
      </c>
      <c r="H55">
        <v>200</v>
      </c>
      <c r="J55">
        <f>Table2[[#This Row],[Hits]]/Table2[[#This Row],[Points]]*100</f>
        <v>1.5</v>
      </c>
      <c r="K55">
        <f>VLOOKUP(Table2[[#This Row],[Site]],'Site Info'!$A$1:$C$11,2, FALSE)</f>
        <v>17.7</v>
      </c>
      <c r="L55">
        <f>VLOOKUP(Table2[[#This Row],[Site]],'Site Info'!$A$1:$C$11,3, FALSE)</f>
        <v>10</v>
      </c>
      <c r="M55" t="str">
        <f>VLOOKUP(Table2[[#This Row],[Species]],'Species Table'!$A$1:$D$68,3, FALSE)</f>
        <v>Perennial</v>
      </c>
      <c r="O55" s="15">
        <f>IF(SUMPRODUCT(($A$2:$A55=A55)*($B$2:$B55=B55)*($F$2:$F55=F55))&gt;1,0,1)</f>
        <v>0</v>
      </c>
      <c r="P55" s="15">
        <f>IF(SUMPRODUCT(($A$2:$A55=A55)*($B$2:$B55=B55)*($D$2:$D55=D55))&gt;1,0,1)</f>
        <v>0</v>
      </c>
    </row>
    <row r="56" spans="1:16" hidden="1" x14ac:dyDescent="0.35">
      <c r="A56" t="s">
        <v>9</v>
      </c>
      <c r="B56">
        <v>1999</v>
      </c>
      <c r="D56">
        <v>5.3</v>
      </c>
      <c r="E56">
        <f>INT(Table2[[#This Row],[Transect]])</f>
        <v>5</v>
      </c>
      <c r="F56" t="s">
        <v>10</v>
      </c>
      <c r="G56">
        <v>24</v>
      </c>
      <c r="H56">
        <v>200</v>
      </c>
      <c r="J56">
        <f>Table2[[#This Row],[Hits]]/Table2[[#This Row],[Points]]*100</f>
        <v>12</v>
      </c>
      <c r="K56">
        <f>VLOOKUP(Table2[[#This Row],[Site]],'Site Info'!$A$1:$C$11,2, FALSE)</f>
        <v>17.7</v>
      </c>
      <c r="L56">
        <f>VLOOKUP(Table2[[#This Row],[Site]],'Site Info'!$A$1:$C$11,3, FALSE)</f>
        <v>10</v>
      </c>
      <c r="M56" t="str">
        <f>VLOOKUP(Table2[[#This Row],[Species]],'Species Table'!$A$1:$D$68,3, FALSE)</f>
        <v>Annual</v>
      </c>
      <c r="O56" s="15">
        <f>IF(SUMPRODUCT(($A$2:$A56=A56)*($B$2:$B56=B56)*($F$2:$F56=F56))&gt;1,0,1)</f>
        <v>0</v>
      </c>
      <c r="P56" s="15">
        <f>IF(SUMPRODUCT(($A$2:$A56=A56)*($B$2:$B56=B56)*($D$2:$D56=D56))&gt;1,0,1)</f>
        <v>1</v>
      </c>
    </row>
    <row r="57" spans="1:16" x14ac:dyDescent="0.35">
      <c r="A57" t="s">
        <v>9</v>
      </c>
      <c r="B57">
        <v>1999</v>
      </c>
      <c r="D57">
        <v>5.3</v>
      </c>
      <c r="E57">
        <f>INT(Table2[[#This Row],[Transect]])</f>
        <v>5</v>
      </c>
      <c r="F57" t="s">
        <v>11</v>
      </c>
      <c r="G57">
        <v>9</v>
      </c>
      <c r="H57">
        <v>200</v>
      </c>
      <c r="J57">
        <f>Table2[[#This Row],[Hits]]/Table2[[#This Row],[Points]]*100</f>
        <v>4.5</v>
      </c>
      <c r="K57">
        <f>VLOOKUP(Table2[[#This Row],[Site]],'Site Info'!$A$1:$C$11,2, FALSE)</f>
        <v>17.7</v>
      </c>
      <c r="L57">
        <f>VLOOKUP(Table2[[#This Row],[Site]],'Site Info'!$A$1:$C$11,3, FALSE)</f>
        <v>10</v>
      </c>
      <c r="M57" t="str">
        <f>VLOOKUP(Table2[[#This Row],[Species]],'Species Table'!$A$1:$D$68,3, FALSE)</f>
        <v>Perennial</v>
      </c>
      <c r="O57" s="15">
        <f>IF(SUMPRODUCT(($A$2:$A57=A57)*($B$2:$B57=B57)*($F$2:$F57=F57))&gt;1,0,1)</f>
        <v>0</v>
      </c>
      <c r="P57" s="15">
        <f>IF(SUMPRODUCT(($A$2:$A57=A57)*($B$2:$B57=B57)*($D$2:$D57=D57))&gt;1,0,1)</f>
        <v>0</v>
      </c>
    </row>
    <row r="58" spans="1:16" hidden="1" x14ac:dyDescent="0.35">
      <c r="A58" t="s">
        <v>9</v>
      </c>
      <c r="B58">
        <v>1999</v>
      </c>
      <c r="D58">
        <v>5.4</v>
      </c>
      <c r="E58">
        <f>INT(Table2[[#This Row],[Transect]])</f>
        <v>5</v>
      </c>
      <c r="F58" t="s">
        <v>10</v>
      </c>
      <c r="G58">
        <v>80</v>
      </c>
      <c r="H58">
        <v>200</v>
      </c>
      <c r="J58">
        <f>Table2[[#This Row],[Hits]]/Table2[[#This Row],[Points]]*100</f>
        <v>40</v>
      </c>
      <c r="K58">
        <f>VLOOKUP(Table2[[#This Row],[Site]],'Site Info'!$A$1:$C$11,2, FALSE)</f>
        <v>17.7</v>
      </c>
      <c r="L58">
        <f>VLOOKUP(Table2[[#This Row],[Site]],'Site Info'!$A$1:$C$11,3, FALSE)</f>
        <v>10</v>
      </c>
      <c r="M58" t="str">
        <f>VLOOKUP(Table2[[#This Row],[Species]],'Species Table'!$A$1:$D$68,3, FALSE)</f>
        <v>Annual</v>
      </c>
      <c r="O58" s="15">
        <f>IF(SUMPRODUCT(($A$2:$A58=A58)*($B$2:$B58=B58)*($F$2:$F58=F58))&gt;1,0,1)</f>
        <v>0</v>
      </c>
      <c r="P58" s="15">
        <f>IF(SUMPRODUCT(($A$2:$A58=A58)*($B$2:$B58=B58)*($D$2:$D58=D58))&gt;1,0,1)</f>
        <v>1</v>
      </c>
    </row>
    <row r="59" spans="1:16" hidden="1" x14ac:dyDescent="0.35">
      <c r="A59" t="s">
        <v>9</v>
      </c>
      <c r="B59">
        <v>1999</v>
      </c>
      <c r="D59">
        <v>5.5</v>
      </c>
      <c r="E59">
        <f>INT(Table2[[#This Row],[Transect]])</f>
        <v>5</v>
      </c>
      <c r="F59" t="s">
        <v>10</v>
      </c>
      <c r="G59">
        <v>80</v>
      </c>
      <c r="H59">
        <v>200</v>
      </c>
      <c r="J59">
        <f>Table2[[#This Row],[Hits]]/Table2[[#This Row],[Points]]*100</f>
        <v>40</v>
      </c>
      <c r="K59">
        <f>VLOOKUP(Table2[[#This Row],[Site]],'Site Info'!$A$1:$C$11,2, FALSE)</f>
        <v>17.7</v>
      </c>
      <c r="L59">
        <f>VLOOKUP(Table2[[#This Row],[Site]],'Site Info'!$A$1:$C$11,3, FALSE)</f>
        <v>10</v>
      </c>
      <c r="M59" t="str">
        <f>VLOOKUP(Table2[[#This Row],[Species]],'Species Table'!$A$1:$D$68,3, FALSE)</f>
        <v>Annual</v>
      </c>
      <c r="O59" s="15">
        <f>IF(SUMPRODUCT(($A$2:$A59=A59)*($B$2:$B59=B59)*($F$2:$F59=F59))&gt;1,0,1)</f>
        <v>0</v>
      </c>
      <c r="P59" s="15">
        <f>IF(SUMPRODUCT(($A$2:$A59=A59)*($B$2:$B59=B59)*($D$2:$D59=D59))&gt;1,0,1)</f>
        <v>1</v>
      </c>
    </row>
    <row r="60" spans="1:16" x14ac:dyDescent="0.35">
      <c r="A60" t="s">
        <v>9</v>
      </c>
      <c r="B60">
        <v>1999</v>
      </c>
      <c r="D60">
        <v>5.5</v>
      </c>
      <c r="E60">
        <f>INT(Table2[[#This Row],[Transect]])</f>
        <v>5</v>
      </c>
      <c r="F60" t="s">
        <v>11</v>
      </c>
      <c r="G60">
        <v>4</v>
      </c>
      <c r="H60">
        <v>200</v>
      </c>
      <c r="J60">
        <f>Table2[[#This Row],[Hits]]/Table2[[#This Row],[Points]]*100</f>
        <v>2</v>
      </c>
      <c r="K60">
        <f>VLOOKUP(Table2[[#This Row],[Site]],'Site Info'!$A$1:$C$11,2, FALSE)</f>
        <v>17.7</v>
      </c>
      <c r="L60">
        <f>VLOOKUP(Table2[[#This Row],[Site]],'Site Info'!$A$1:$C$11,3, FALSE)</f>
        <v>10</v>
      </c>
      <c r="M60" t="str">
        <f>VLOOKUP(Table2[[#This Row],[Species]],'Species Table'!$A$1:$D$68,3, FALSE)</f>
        <v>Perennial</v>
      </c>
      <c r="O60" s="15">
        <f>IF(SUMPRODUCT(($A$2:$A60=A60)*($B$2:$B60=B60)*($F$2:$F60=F60))&gt;1,0,1)</f>
        <v>0</v>
      </c>
      <c r="P60" s="15">
        <f>IF(SUMPRODUCT(($A$2:$A60=A60)*($B$2:$B60=B60)*($D$2:$D60=D60))&gt;1,0,1)</f>
        <v>0</v>
      </c>
    </row>
    <row r="61" spans="1:16" hidden="1" x14ac:dyDescent="0.35">
      <c r="A61" t="s">
        <v>9</v>
      </c>
      <c r="B61">
        <v>1999</v>
      </c>
      <c r="D61">
        <v>5.6</v>
      </c>
      <c r="E61">
        <f>INT(Table2[[#This Row],[Transect]])</f>
        <v>5</v>
      </c>
      <c r="F61" t="s">
        <v>10</v>
      </c>
      <c r="G61">
        <v>70</v>
      </c>
      <c r="H61">
        <v>200</v>
      </c>
      <c r="J61">
        <f>Table2[[#This Row],[Hits]]/Table2[[#This Row],[Points]]*100</f>
        <v>35</v>
      </c>
      <c r="K61">
        <f>VLOOKUP(Table2[[#This Row],[Site]],'Site Info'!$A$1:$C$11,2, FALSE)</f>
        <v>17.7</v>
      </c>
      <c r="L61">
        <f>VLOOKUP(Table2[[#This Row],[Site]],'Site Info'!$A$1:$C$11,3, FALSE)</f>
        <v>10</v>
      </c>
      <c r="M61" t="str">
        <f>VLOOKUP(Table2[[#This Row],[Species]],'Species Table'!$A$1:$D$68,3, FALSE)</f>
        <v>Annual</v>
      </c>
      <c r="O61" s="15">
        <f>IF(SUMPRODUCT(($A$2:$A61=A61)*($B$2:$B61=B61)*($F$2:$F61=F61))&gt;1,0,1)</f>
        <v>0</v>
      </c>
      <c r="P61" s="15">
        <f>IF(SUMPRODUCT(($A$2:$A61=A61)*($B$2:$B61=B61)*($D$2:$D61=D61))&gt;1,0,1)</f>
        <v>1</v>
      </c>
    </row>
    <row r="62" spans="1:16" hidden="1" x14ac:dyDescent="0.35">
      <c r="A62" t="s">
        <v>9</v>
      </c>
      <c r="B62">
        <v>1999</v>
      </c>
      <c r="D62">
        <v>5.7</v>
      </c>
      <c r="E62">
        <f>INT(Table2[[#This Row],[Transect]])</f>
        <v>5</v>
      </c>
      <c r="F62" t="s">
        <v>10</v>
      </c>
      <c r="G62">
        <v>20</v>
      </c>
      <c r="H62">
        <v>200</v>
      </c>
      <c r="J62">
        <f>Table2[[#This Row],[Hits]]/Table2[[#This Row],[Points]]*100</f>
        <v>10</v>
      </c>
      <c r="K62">
        <f>VLOOKUP(Table2[[#This Row],[Site]],'Site Info'!$A$1:$C$11,2, FALSE)</f>
        <v>17.7</v>
      </c>
      <c r="L62">
        <f>VLOOKUP(Table2[[#This Row],[Site]],'Site Info'!$A$1:$C$11,3, FALSE)</f>
        <v>10</v>
      </c>
      <c r="M62" t="str">
        <f>VLOOKUP(Table2[[#This Row],[Species]],'Species Table'!$A$1:$D$68,3, FALSE)</f>
        <v>Annual</v>
      </c>
      <c r="O62" s="15">
        <f>IF(SUMPRODUCT(($A$2:$A62=A62)*($B$2:$B62=B62)*($F$2:$F62=F62))&gt;1,0,1)</f>
        <v>0</v>
      </c>
      <c r="P62" s="15">
        <f>IF(SUMPRODUCT(($A$2:$A62=A62)*($B$2:$B62=B62)*($D$2:$D62=D62))&gt;1,0,1)</f>
        <v>1</v>
      </c>
    </row>
    <row r="63" spans="1:16" x14ac:dyDescent="0.35">
      <c r="A63" t="s">
        <v>9</v>
      </c>
      <c r="B63">
        <v>1999</v>
      </c>
      <c r="D63">
        <v>5.7</v>
      </c>
      <c r="E63">
        <f>INT(Table2[[#This Row],[Transect]])</f>
        <v>5</v>
      </c>
      <c r="F63" t="s">
        <v>11</v>
      </c>
      <c r="G63">
        <v>5</v>
      </c>
      <c r="H63">
        <v>200</v>
      </c>
      <c r="J63">
        <f>Table2[[#This Row],[Hits]]/Table2[[#This Row],[Points]]*100</f>
        <v>2.5</v>
      </c>
      <c r="K63">
        <f>VLOOKUP(Table2[[#This Row],[Site]],'Site Info'!$A$1:$C$11,2, FALSE)</f>
        <v>17.7</v>
      </c>
      <c r="L63">
        <f>VLOOKUP(Table2[[#This Row],[Site]],'Site Info'!$A$1:$C$11,3, FALSE)</f>
        <v>10</v>
      </c>
      <c r="M63" t="str">
        <f>VLOOKUP(Table2[[#This Row],[Species]],'Species Table'!$A$1:$D$68,3, FALSE)</f>
        <v>Perennial</v>
      </c>
      <c r="O63" s="15">
        <f>IF(SUMPRODUCT(($A$2:$A63=A63)*($B$2:$B63=B63)*($F$2:$F63=F63))&gt;1,0,1)</f>
        <v>0</v>
      </c>
      <c r="P63" s="15">
        <f>IF(SUMPRODUCT(($A$2:$A63=A63)*($B$2:$B63=B63)*($D$2:$D63=D63))&gt;1,0,1)</f>
        <v>0</v>
      </c>
    </row>
    <row r="64" spans="1:16" hidden="1" x14ac:dyDescent="0.35">
      <c r="A64" t="s">
        <v>9</v>
      </c>
      <c r="B64">
        <v>1999</v>
      </c>
      <c r="D64">
        <v>6.1</v>
      </c>
      <c r="E64">
        <f>INT(Table2[[#This Row],[Transect]])</f>
        <v>6</v>
      </c>
      <c r="F64" t="s">
        <v>10</v>
      </c>
      <c r="G64">
        <v>50</v>
      </c>
      <c r="H64">
        <v>200</v>
      </c>
      <c r="J64">
        <f>Table2[[#This Row],[Hits]]/Table2[[#This Row],[Points]]*100</f>
        <v>25</v>
      </c>
      <c r="K64">
        <f>VLOOKUP(Table2[[#This Row],[Site]],'Site Info'!$A$1:$C$11,2, FALSE)</f>
        <v>17.7</v>
      </c>
      <c r="L64">
        <f>VLOOKUP(Table2[[#This Row],[Site]],'Site Info'!$A$1:$C$11,3, FALSE)</f>
        <v>10</v>
      </c>
      <c r="M64" t="str">
        <f>VLOOKUP(Table2[[#This Row],[Species]],'Species Table'!$A$1:$D$68,3, FALSE)</f>
        <v>Annual</v>
      </c>
      <c r="O64" s="15">
        <f>IF(SUMPRODUCT(($A$2:$A64=A64)*($B$2:$B64=B64)*($F$2:$F64=F64))&gt;1,0,1)</f>
        <v>0</v>
      </c>
      <c r="P64" s="15">
        <f>IF(SUMPRODUCT(($A$2:$A64=A64)*($B$2:$B64=B64)*($D$2:$D64=D64))&gt;1,0,1)</f>
        <v>1</v>
      </c>
    </row>
    <row r="65" spans="1:16" x14ac:dyDescent="0.35">
      <c r="A65" t="s">
        <v>9</v>
      </c>
      <c r="B65">
        <v>1999</v>
      </c>
      <c r="D65">
        <v>6.1</v>
      </c>
      <c r="E65">
        <f>INT(Table2[[#This Row],[Transect]])</f>
        <v>6</v>
      </c>
      <c r="F65" t="s">
        <v>11</v>
      </c>
      <c r="G65">
        <v>4</v>
      </c>
      <c r="H65">
        <v>200</v>
      </c>
      <c r="J65">
        <f>Table2[[#This Row],[Hits]]/Table2[[#This Row],[Points]]*100</f>
        <v>2</v>
      </c>
      <c r="K65">
        <f>VLOOKUP(Table2[[#This Row],[Site]],'Site Info'!$A$1:$C$11,2, FALSE)</f>
        <v>17.7</v>
      </c>
      <c r="L65">
        <f>VLOOKUP(Table2[[#This Row],[Site]],'Site Info'!$A$1:$C$11,3, FALSE)</f>
        <v>10</v>
      </c>
      <c r="M65" t="str">
        <f>VLOOKUP(Table2[[#This Row],[Species]],'Species Table'!$A$1:$D$68,3, FALSE)</f>
        <v>Perennial</v>
      </c>
      <c r="O65" s="15">
        <f>IF(SUMPRODUCT(($A$2:$A65=A65)*($B$2:$B65=B65)*($F$2:$F65=F65))&gt;1,0,1)</f>
        <v>0</v>
      </c>
      <c r="P65" s="15">
        <f>IF(SUMPRODUCT(($A$2:$A65=A65)*($B$2:$B65=B65)*($D$2:$D65=D65))&gt;1,0,1)</f>
        <v>0</v>
      </c>
    </row>
    <row r="66" spans="1:16" hidden="1" x14ac:dyDescent="0.35">
      <c r="A66" t="s">
        <v>9</v>
      </c>
      <c r="B66">
        <v>1999</v>
      </c>
      <c r="D66">
        <v>6.2</v>
      </c>
      <c r="E66">
        <f>INT(Table2[[#This Row],[Transect]])</f>
        <v>6</v>
      </c>
      <c r="F66" t="s">
        <v>10</v>
      </c>
      <c r="G66">
        <v>110</v>
      </c>
      <c r="H66">
        <v>200</v>
      </c>
      <c r="J66">
        <f>Table2[[#This Row],[Hits]]/Table2[[#This Row],[Points]]*100</f>
        <v>55.000000000000007</v>
      </c>
      <c r="K66">
        <f>VLOOKUP(Table2[[#This Row],[Site]],'Site Info'!$A$1:$C$11,2, FALSE)</f>
        <v>17.7</v>
      </c>
      <c r="L66">
        <f>VLOOKUP(Table2[[#This Row],[Site]],'Site Info'!$A$1:$C$11,3, FALSE)</f>
        <v>10</v>
      </c>
      <c r="M66" t="str">
        <f>VLOOKUP(Table2[[#This Row],[Species]],'Species Table'!$A$1:$D$68,3, FALSE)</f>
        <v>Annual</v>
      </c>
      <c r="O66" s="15">
        <f>IF(SUMPRODUCT(($A$2:$A66=A66)*($B$2:$B66=B66)*($F$2:$F66=F66))&gt;1,0,1)</f>
        <v>0</v>
      </c>
      <c r="P66" s="15">
        <f>IF(SUMPRODUCT(($A$2:$A66=A66)*($B$2:$B66=B66)*($D$2:$D66=D66))&gt;1,0,1)</f>
        <v>1</v>
      </c>
    </row>
    <row r="67" spans="1:16" x14ac:dyDescent="0.35">
      <c r="A67" t="s">
        <v>9</v>
      </c>
      <c r="B67">
        <v>1999</v>
      </c>
      <c r="D67">
        <v>6.2</v>
      </c>
      <c r="E67">
        <f>INT(Table2[[#This Row],[Transect]])</f>
        <v>6</v>
      </c>
      <c r="F67" t="s">
        <v>11</v>
      </c>
      <c r="G67">
        <v>1</v>
      </c>
      <c r="H67">
        <v>200</v>
      </c>
      <c r="J67">
        <f>Table2[[#This Row],[Hits]]/Table2[[#This Row],[Points]]*100</f>
        <v>0.5</v>
      </c>
      <c r="K67">
        <f>VLOOKUP(Table2[[#This Row],[Site]],'Site Info'!$A$1:$C$11,2, FALSE)</f>
        <v>17.7</v>
      </c>
      <c r="L67">
        <f>VLOOKUP(Table2[[#This Row],[Site]],'Site Info'!$A$1:$C$11,3, FALSE)</f>
        <v>10</v>
      </c>
      <c r="M67" t="str">
        <f>VLOOKUP(Table2[[#This Row],[Species]],'Species Table'!$A$1:$D$68,3, FALSE)</f>
        <v>Perennial</v>
      </c>
      <c r="O67" s="15">
        <f>IF(SUMPRODUCT(($A$2:$A67=A67)*($B$2:$B67=B67)*($F$2:$F67=F67))&gt;1,0,1)</f>
        <v>0</v>
      </c>
      <c r="P67" s="15">
        <f>IF(SUMPRODUCT(($A$2:$A67=A67)*($B$2:$B67=B67)*($D$2:$D67=D67))&gt;1,0,1)</f>
        <v>0</v>
      </c>
    </row>
    <row r="68" spans="1:16" hidden="1" x14ac:dyDescent="0.35">
      <c r="A68" t="s">
        <v>9</v>
      </c>
      <c r="B68">
        <v>1999</v>
      </c>
      <c r="D68">
        <v>6.3</v>
      </c>
      <c r="E68">
        <f>INT(Table2[[#This Row],[Transect]])</f>
        <v>6</v>
      </c>
      <c r="F68" t="s">
        <v>10</v>
      </c>
      <c r="G68">
        <v>80</v>
      </c>
      <c r="H68">
        <v>200</v>
      </c>
      <c r="J68">
        <f>Table2[[#This Row],[Hits]]/Table2[[#This Row],[Points]]*100</f>
        <v>40</v>
      </c>
      <c r="K68">
        <f>VLOOKUP(Table2[[#This Row],[Site]],'Site Info'!$A$1:$C$11,2, FALSE)</f>
        <v>17.7</v>
      </c>
      <c r="L68">
        <f>VLOOKUP(Table2[[#This Row],[Site]],'Site Info'!$A$1:$C$11,3, FALSE)</f>
        <v>10</v>
      </c>
      <c r="M68" t="str">
        <f>VLOOKUP(Table2[[#This Row],[Species]],'Species Table'!$A$1:$D$68,3, FALSE)</f>
        <v>Annual</v>
      </c>
      <c r="O68" s="15">
        <f>IF(SUMPRODUCT(($A$2:$A68=A68)*($B$2:$B68=B68)*($F$2:$F68=F68))&gt;1,0,1)</f>
        <v>0</v>
      </c>
      <c r="P68" s="15">
        <f>IF(SUMPRODUCT(($A$2:$A68=A68)*($B$2:$B68=B68)*($D$2:$D68=D68))&gt;1,0,1)</f>
        <v>1</v>
      </c>
    </row>
    <row r="69" spans="1:16" x14ac:dyDescent="0.35">
      <c r="A69" t="s">
        <v>9</v>
      </c>
      <c r="B69">
        <v>1999</v>
      </c>
      <c r="D69">
        <v>6.3</v>
      </c>
      <c r="E69">
        <f>INT(Table2[[#This Row],[Transect]])</f>
        <v>6</v>
      </c>
      <c r="F69" t="s">
        <v>11</v>
      </c>
      <c r="G69">
        <v>3</v>
      </c>
      <c r="H69">
        <v>200</v>
      </c>
      <c r="J69">
        <f>Table2[[#This Row],[Hits]]/Table2[[#This Row],[Points]]*100</f>
        <v>1.5</v>
      </c>
      <c r="K69">
        <f>VLOOKUP(Table2[[#This Row],[Site]],'Site Info'!$A$1:$C$11,2, FALSE)</f>
        <v>17.7</v>
      </c>
      <c r="L69">
        <f>VLOOKUP(Table2[[#This Row],[Site]],'Site Info'!$A$1:$C$11,3, FALSE)</f>
        <v>10</v>
      </c>
      <c r="M69" t="str">
        <f>VLOOKUP(Table2[[#This Row],[Species]],'Species Table'!$A$1:$D$68,3, FALSE)</f>
        <v>Perennial</v>
      </c>
      <c r="O69" s="15">
        <f>IF(SUMPRODUCT(($A$2:$A69=A69)*($B$2:$B69=B69)*($F$2:$F69=F69))&gt;1,0,1)</f>
        <v>0</v>
      </c>
      <c r="P69" s="15">
        <f>IF(SUMPRODUCT(($A$2:$A69=A69)*($B$2:$B69=B69)*($D$2:$D69=D69))&gt;1,0,1)</f>
        <v>0</v>
      </c>
    </row>
    <row r="70" spans="1:16" hidden="1" x14ac:dyDescent="0.35">
      <c r="A70" t="s">
        <v>9</v>
      </c>
      <c r="B70">
        <v>1999</v>
      </c>
      <c r="D70">
        <v>6.4</v>
      </c>
      <c r="E70">
        <f>INT(Table2[[#This Row],[Transect]])</f>
        <v>6</v>
      </c>
      <c r="F70" t="s">
        <v>10</v>
      </c>
      <c r="G70">
        <v>120</v>
      </c>
      <c r="H70">
        <v>200</v>
      </c>
      <c r="J70">
        <f>Table2[[#This Row],[Hits]]/Table2[[#This Row],[Points]]*100</f>
        <v>60</v>
      </c>
      <c r="K70">
        <f>VLOOKUP(Table2[[#This Row],[Site]],'Site Info'!$A$1:$C$11,2, FALSE)</f>
        <v>17.7</v>
      </c>
      <c r="L70">
        <f>VLOOKUP(Table2[[#This Row],[Site]],'Site Info'!$A$1:$C$11,3, FALSE)</f>
        <v>10</v>
      </c>
      <c r="M70" t="str">
        <f>VLOOKUP(Table2[[#This Row],[Species]],'Species Table'!$A$1:$D$68,3, FALSE)</f>
        <v>Annual</v>
      </c>
      <c r="O70" s="15">
        <f>IF(SUMPRODUCT(($A$2:$A70=A70)*($B$2:$B70=B70)*($F$2:$F70=F70))&gt;1,0,1)</f>
        <v>0</v>
      </c>
      <c r="P70" s="15">
        <f>IF(SUMPRODUCT(($A$2:$A70=A70)*($B$2:$B70=B70)*($D$2:$D70=D70))&gt;1,0,1)</f>
        <v>1</v>
      </c>
    </row>
    <row r="71" spans="1:16" hidden="1" x14ac:dyDescent="0.35">
      <c r="A71" t="s">
        <v>9</v>
      </c>
      <c r="B71">
        <v>1999</v>
      </c>
      <c r="D71">
        <v>6.5</v>
      </c>
      <c r="E71">
        <f>INT(Table2[[#This Row],[Transect]])</f>
        <v>6</v>
      </c>
      <c r="F71" t="s">
        <v>10</v>
      </c>
      <c r="G71">
        <v>60</v>
      </c>
      <c r="H71">
        <v>200</v>
      </c>
      <c r="J71">
        <f>Table2[[#This Row],[Hits]]/Table2[[#This Row],[Points]]*100</f>
        <v>30</v>
      </c>
      <c r="K71">
        <f>VLOOKUP(Table2[[#This Row],[Site]],'Site Info'!$A$1:$C$11,2, FALSE)</f>
        <v>17.7</v>
      </c>
      <c r="L71">
        <f>VLOOKUP(Table2[[#This Row],[Site]],'Site Info'!$A$1:$C$11,3, FALSE)</f>
        <v>10</v>
      </c>
      <c r="M71" t="str">
        <f>VLOOKUP(Table2[[#This Row],[Species]],'Species Table'!$A$1:$D$68,3, FALSE)</f>
        <v>Annual</v>
      </c>
      <c r="O71" s="15">
        <f>IF(SUMPRODUCT(($A$2:$A71=A71)*($B$2:$B71=B71)*($F$2:$F71=F71))&gt;1,0,1)</f>
        <v>0</v>
      </c>
      <c r="P71" s="15">
        <f>IF(SUMPRODUCT(($A$2:$A71=A71)*($B$2:$B71=B71)*($D$2:$D71=D71))&gt;1,0,1)</f>
        <v>1</v>
      </c>
    </row>
    <row r="72" spans="1:16" x14ac:dyDescent="0.35">
      <c r="A72" t="s">
        <v>9</v>
      </c>
      <c r="B72">
        <v>1999</v>
      </c>
      <c r="D72">
        <v>6.5</v>
      </c>
      <c r="E72">
        <f>INT(Table2[[#This Row],[Transect]])</f>
        <v>6</v>
      </c>
      <c r="F72" t="s">
        <v>11</v>
      </c>
      <c r="G72">
        <v>2</v>
      </c>
      <c r="H72">
        <v>200</v>
      </c>
      <c r="J72">
        <f>Table2[[#This Row],[Hits]]/Table2[[#This Row],[Points]]*100</f>
        <v>1</v>
      </c>
      <c r="K72">
        <f>VLOOKUP(Table2[[#This Row],[Site]],'Site Info'!$A$1:$C$11,2, FALSE)</f>
        <v>17.7</v>
      </c>
      <c r="L72">
        <f>VLOOKUP(Table2[[#This Row],[Site]],'Site Info'!$A$1:$C$11,3, FALSE)</f>
        <v>10</v>
      </c>
      <c r="M72" t="str">
        <f>VLOOKUP(Table2[[#This Row],[Species]],'Species Table'!$A$1:$D$68,3, FALSE)</f>
        <v>Perennial</v>
      </c>
      <c r="O72" s="15">
        <f>IF(SUMPRODUCT(($A$2:$A72=A72)*($B$2:$B72=B72)*($F$2:$F72=F72))&gt;1,0,1)</f>
        <v>0</v>
      </c>
      <c r="P72" s="15">
        <f>IF(SUMPRODUCT(($A$2:$A72=A72)*($B$2:$B72=B72)*($D$2:$D72=D72))&gt;1,0,1)</f>
        <v>0</v>
      </c>
    </row>
    <row r="73" spans="1:16" hidden="1" x14ac:dyDescent="0.35">
      <c r="A73" t="s">
        <v>9</v>
      </c>
      <c r="B73">
        <v>1999</v>
      </c>
      <c r="D73">
        <v>6.6</v>
      </c>
      <c r="E73">
        <f>INT(Table2[[#This Row],[Transect]])</f>
        <v>6</v>
      </c>
      <c r="F73" t="s">
        <v>10</v>
      </c>
      <c r="G73">
        <v>80</v>
      </c>
      <c r="H73">
        <v>200</v>
      </c>
      <c r="J73">
        <f>Table2[[#This Row],[Hits]]/Table2[[#This Row],[Points]]*100</f>
        <v>40</v>
      </c>
      <c r="K73">
        <f>VLOOKUP(Table2[[#This Row],[Site]],'Site Info'!$A$1:$C$11,2, FALSE)</f>
        <v>17.7</v>
      </c>
      <c r="L73">
        <f>VLOOKUP(Table2[[#This Row],[Site]],'Site Info'!$A$1:$C$11,3, FALSE)</f>
        <v>10</v>
      </c>
      <c r="M73" t="str">
        <f>VLOOKUP(Table2[[#This Row],[Species]],'Species Table'!$A$1:$D$68,3, FALSE)</f>
        <v>Annual</v>
      </c>
      <c r="O73" s="15">
        <f>IF(SUMPRODUCT(($A$2:$A73=A73)*($B$2:$B73=B73)*($F$2:$F73=F73))&gt;1,0,1)</f>
        <v>0</v>
      </c>
      <c r="P73" s="15">
        <f>IF(SUMPRODUCT(($A$2:$A73=A73)*($B$2:$B73=B73)*($D$2:$D73=D73))&gt;1,0,1)</f>
        <v>1</v>
      </c>
    </row>
    <row r="74" spans="1:16" hidden="1" x14ac:dyDescent="0.35">
      <c r="A74" t="s">
        <v>9</v>
      </c>
      <c r="B74">
        <v>1999</v>
      </c>
      <c r="D74">
        <v>6.7</v>
      </c>
      <c r="E74">
        <f>INT(Table2[[#This Row],[Transect]])</f>
        <v>6</v>
      </c>
      <c r="F74" t="s">
        <v>10</v>
      </c>
      <c r="G74">
        <v>10</v>
      </c>
      <c r="H74">
        <v>200</v>
      </c>
      <c r="J74">
        <f>Table2[[#This Row],[Hits]]/Table2[[#This Row],[Points]]*100</f>
        <v>5</v>
      </c>
      <c r="K74">
        <f>VLOOKUP(Table2[[#This Row],[Site]],'Site Info'!$A$1:$C$11,2, FALSE)</f>
        <v>17.7</v>
      </c>
      <c r="L74">
        <f>VLOOKUP(Table2[[#This Row],[Site]],'Site Info'!$A$1:$C$11,3, FALSE)</f>
        <v>10</v>
      </c>
      <c r="M74" t="str">
        <f>VLOOKUP(Table2[[#This Row],[Species]],'Species Table'!$A$1:$D$68,3, FALSE)</f>
        <v>Annual</v>
      </c>
      <c r="O74" s="15">
        <f>IF(SUMPRODUCT(($A$2:$A74=A74)*($B$2:$B74=B74)*($F$2:$F74=F74))&gt;1,0,1)</f>
        <v>0</v>
      </c>
      <c r="P74" s="15">
        <f>IF(SUMPRODUCT(($A$2:$A74=A74)*($B$2:$B74=B74)*($D$2:$D74=D74))&gt;1,0,1)</f>
        <v>1</v>
      </c>
    </row>
    <row r="75" spans="1:16" x14ac:dyDescent="0.35">
      <c r="A75" t="s">
        <v>9</v>
      </c>
      <c r="B75">
        <v>1999</v>
      </c>
      <c r="D75">
        <v>6.7</v>
      </c>
      <c r="E75">
        <f>INT(Table2[[#This Row],[Transect]])</f>
        <v>6</v>
      </c>
      <c r="F75" t="s">
        <v>11</v>
      </c>
      <c r="G75">
        <v>1</v>
      </c>
      <c r="H75">
        <v>200</v>
      </c>
      <c r="J75">
        <f>Table2[[#This Row],[Hits]]/Table2[[#This Row],[Points]]*100</f>
        <v>0.5</v>
      </c>
      <c r="K75">
        <f>VLOOKUP(Table2[[#This Row],[Site]],'Site Info'!$A$1:$C$11,2, FALSE)</f>
        <v>17.7</v>
      </c>
      <c r="L75">
        <f>VLOOKUP(Table2[[#This Row],[Site]],'Site Info'!$A$1:$C$11,3, FALSE)</f>
        <v>10</v>
      </c>
      <c r="M75" t="str">
        <f>VLOOKUP(Table2[[#This Row],[Species]],'Species Table'!$A$1:$D$68,3, FALSE)</f>
        <v>Perennial</v>
      </c>
      <c r="O75" s="15">
        <f>IF(SUMPRODUCT(($A$2:$A75=A75)*($B$2:$B75=B75)*($F$2:$F75=F75))&gt;1,0,1)</f>
        <v>0</v>
      </c>
      <c r="P75" s="15">
        <f>IF(SUMPRODUCT(($A$2:$A75=A75)*($B$2:$B75=B75)*($D$2:$D75=D75))&gt;1,0,1)</f>
        <v>0</v>
      </c>
    </row>
    <row r="76" spans="1:16" hidden="1" x14ac:dyDescent="0.35">
      <c r="A76" t="s">
        <v>9</v>
      </c>
      <c r="B76">
        <v>1999</v>
      </c>
      <c r="D76">
        <v>7.1</v>
      </c>
      <c r="E76">
        <f>INT(Table2[[#This Row],[Transect]])</f>
        <v>7</v>
      </c>
      <c r="F76" t="s">
        <v>10</v>
      </c>
      <c r="G76">
        <v>10</v>
      </c>
      <c r="H76">
        <v>200</v>
      </c>
      <c r="J76">
        <f>Table2[[#This Row],[Hits]]/Table2[[#This Row],[Points]]*100</f>
        <v>5</v>
      </c>
      <c r="K76">
        <f>VLOOKUP(Table2[[#This Row],[Site]],'Site Info'!$A$1:$C$11,2, FALSE)</f>
        <v>17.7</v>
      </c>
      <c r="L76">
        <f>VLOOKUP(Table2[[#This Row],[Site]],'Site Info'!$A$1:$C$11,3, FALSE)</f>
        <v>10</v>
      </c>
      <c r="M76" t="str">
        <f>VLOOKUP(Table2[[#This Row],[Species]],'Species Table'!$A$1:$D$68,3, FALSE)</f>
        <v>Annual</v>
      </c>
      <c r="O76" s="15">
        <f>IF(SUMPRODUCT(($A$2:$A76=A76)*($B$2:$B76=B76)*($F$2:$F76=F76))&gt;1,0,1)</f>
        <v>0</v>
      </c>
      <c r="P76" s="15">
        <f>IF(SUMPRODUCT(($A$2:$A76=A76)*($B$2:$B76=B76)*($D$2:$D76=D76))&gt;1,0,1)</f>
        <v>1</v>
      </c>
    </row>
    <row r="77" spans="1:16" x14ac:dyDescent="0.35">
      <c r="A77" t="s">
        <v>9</v>
      </c>
      <c r="B77">
        <v>1999</v>
      </c>
      <c r="D77">
        <v>7.1</v>
      </c>
      <c r="E77">
        <f>INT(Table2[[#This Row],[Transect]])</f>
        <v>7</v>
      </c>
      <c r="F77" t="s">
        <v>11</v>
      </c>
      <c r="G77">
        <v>1</v>
      </c>
      <c r="H77">
        <v>200</v>
      </c>
      <c r="J77">
        <f>Table2[[#This Row],[Hits]]/Table2[[#This Row],[Points]]*100</f>
        <v>0.5</v>
      </c>
      <c r="K77">
        <f>VLOOKUP(Table2[[#This Row],[Site]],'Site Info'!$A$1:$C$11,2, FALSE)</f>
        <v>17.7</v>
      </c>
      <c r="L77">
        <f>VLOOKUP(Table2[[#This Row],[Site]],'Site Info'!$A$1:$C$11,3, FALSE)</f>
        <v>10</v>
      </c>
      <c r="M77" t="str">
        <f>VLOOKUP(Table2[[#This Row],[Species]],'Species Table'!$A$1:$D$68,3, FALSE)</f>
        <v>Perennial</v>
      </c>
      <c r="O77" s="15">
        <f>IF(SUMPRODUCT(($A$2:$A77=A77)*($B$2:$B77=B77)*($F$2:$F77=F77))&gt;1,0,1)</f>
        <v>0</v>
      </c>
      <c r="P77" s="15">
        <f>IF(SUMPRODUCT(($A$2:$A77=A77)*($B$2:$B77=B77)*($D$2:$D77=D77))&gt;1,0,1)</f>
        <v>0</v>
      </c>
    </row>
    <row r="78" spans="1:16" hidden="1" x14ac:dyDescent="0.35">
      <c r="A78" t="s">
        <v>9</v>
      </c>
      <c r="B78">
        <v>1999</v>
      </c>
      <c r="D78">
        <v>7.2</v>
      </c>
      <c r="E78">
        <f>INT(Table2[[#This Row],[Transect]])</f>
        <v>7</v>
      </c>
      <c r="F78" t="s">
        <v>10</v>
      </c>
      <c r="G78">
        <v>8</v>
      </c>
      <c r="H78">
        <v>200</v>
      </c>
      <c r="J78">
        <f>Table2[[#This Row],[Hits]]/Table2[[#This Row],[Points]]*100</f>
        <v>4</v>
      </c>
      <c r="K78">
        <f>VLOOKUP(Table2[[#This Row],[Site]],'Site Info'!$A$1:$C$11,2, FALSE)</f>
        <v>17.7</v>
      </c>
      <c r="L78">
        <f>VLOOKUP(Table2[[#This Row],[Site]],'Site Info'!$A$1:$C$11,3, FALSE)</f>
        <v>10</v>
      </c>
      <c r="M78" t="str">
        <f>VLOOKUP(Table2[[#This Row],[Species]],'Species Table'!$A$1:$D$68,3, FALSE)</f>
        <v>Annual</v>
      </c>
      <c r="O78" s="15">
        <f>IF(SUMPRODUCT(($A$2:$A78=A78)*($B$2:$B78=B78)*($F$2:$F78=F78))&gt;1,0,1)</f>
        <v>0</v>
      </c>
      <c r="P78" s="15">
        <f>IF(SUMPRODUCT(($A$2:$A78=A78)*($B$2:$B78=B78)*($D$2:$D78=D78))&gt;1,0,1)</f>
        <v>1</v>
      </c>
    </row>
    <row r="79" spans="1:16" x14ac:dyDescent="0.35">
      <c r="A79" t="s">
        <v>9</v>
      </c>
      <c r="B79">
        <v>1999</v>
      </c>
      <c r="D79">
        <v>7.2</v>
      </c>
      <c r="E79">
        <f>INT(Table2[[#This Row],[Transect]])</f>
        <v>7</v>
      </c>
      <c r="F79" t="s">
        <v>11</v>
      </c>
      <c r="G79">
        <v>4</v>
      </c>
      <c r="H79">
        <v>200</v>
      </c>
      <c r="J79">
        <f>Table2[[#This Row],[Hits]]/Table2[[#This Row],[Points]]*100</f>
        <v>2</v>
      </c>
      <c r="K79">
        <f>VLOOKUP(Table2[[#This Row],[Site]],'Site Info'!$A$1:$C$11,2, FALSE)</f>
        <v>17.7</v>
      </c>
      <c r="L79">
        <f>VLOOKUP(Table2[[#This Row],[Site]],'Site Info'!$A$1:$C$11,3, FALSE)</f>
        <v>10</v>
      </c>
      <c r="M79" t="str">
        <f>VLOOKUP(Table2[[#This Row],[Species]],'Species Table'!$A$1:$D$68,3, FALSE)</f>
        <v>Perennial</v>
      </c>
      <c r="O79" s="15">
        <f>IF(SUMPRODUCT(($A$2:$A79=A79)*($B$2:$B79=B79)*($F$2:$F79=F79))&gt;1,0,1)</f>
        <v>0</v>
      </c>
      <c r="P79" s="15">
        <f>IF(SUMPRODUCT(($A$2:$A79=A79)*($B$2:$B79=B79)*($D$2:$D79=D79))&gt;1,0,1)</f>
        <v>0</v>
      </c>
    </row>
    <row r="80" spans="1:16" x14ac:dyDescent="0.35">
      <c r="A80" t="s">
        <v>9</v>
      </c>
      <c r="B80">
        <v>1999</v>
      </c>
      <c r="D80">
        <v>7.2</v>
      </c>
      <c r="E80">
        <f>INT(Table2[[#This Row],[Transect]])</f>
        <v>7</v>
      </c>
      <c r="F80" t="s">
        <v>13</v>
      </c>
      <c r="G80">
        <v>2</v>
      </c>
      <c r="H80">
        <v>200</v>
      </c>
      <c r="J80">
        <f>Table2[[#This Row],[Hits]]/Table2[[#This Row],[Points]]*100</f>
        <v>1</v>
      </c>
      <c r="K80">
        <f>VLOOKUP(Table2[[#This Row],[Site]],'Site Info'!$A$1:$C$11,2, FALSE)</f>
        <v>17.7</v>
      </c>
      <c r="L80">
        <f>VLOOKUP(Table2[[#This Row],[Site]],'Site Info'!$A$1:$C$11,3, FALSE)</f>
        <v>10</v>
      </c>
      <c r="M80" t="str">
        <f>VLOOKUP(Table2[[#This Row],[Species]],'Species Table'!$A$1:$D$68,3, FALSE)</f>
        <v>Perennial</v>
      </c>
      <c r="O80" s="15">
        <f>IF(SUMPRODUCT(($A$2:$A80=A80)*($B$2:$B80=B80)*($F$2:$F80=F80))&gt;1,0,1)</f>
        <v>1</v>
      </c>
      <c r="P80" s="15">
        <f>IF(SUMPRODUCT(($A$2:$A80=A80)*($B$2:$B80=B80)*($D$2:$D80=D80))&gt;1,0,1)</f>
        <v>0</v>
      </c>
    </row>
    <row r="81" spans="1:16" hidden="1" x14ac:dyDescent="0.35">
      <c r="A81" t="s">
        <v>9</v>
      </c>
      <c r="B81">
        <v>1999</v>
      </c>
      <c r="D81">
        <v>7.3</v>
      </c>
      <c r="E81">
        <f>INT(Table2[[#This Row],[Transect]])</f>
        <v>7</v>
      </c>
      <c r="F81" t="s">
        <v>10</v>
      </c>
      <c r="G81">
        <v>10</v>
      </c>
      <c r="H81">
        <v>200</v>
      </c>
      <c r="J81">
        <f>Table2[[#This Row],[Hits]]/Table2[[#This Row],[Points]]*100</f>
        <v>5</v>
      </c>
      <c r="K81">
        <f>VLOOKUP(Table2[[#This Row],[Site]],'Site Info'!$A$1:$C$11,2, FALSE)</f>
        <v>17.7</v>
      </c>
      <c r="L81">
        <f>VLOOKUP(Table2[[#This Row],[Site]],'Site Info'!$A$1:$C$11,3, FALSE)</f>
        <v>10</v>
      </c>
      <c r="M81" t="str">
        <f>VLOOKUP(Table2[[#This Row],[Species]],'Species Table'!$A$1:$D$68,3, FALSE)</f>
        <v>Annual</v>
      </c>
      <c r="O81" s="15">
        <f>IF(SUMPRODUCT(($A$2:$A81=A81)*($B$2:$B81=B81)*($F$2:$F81=F81))&gt;1,0,1)</f>
        <v>0</v>
      </c>
      <c r="P81" s="15">
        <f>IF(SUMPRODUCT(($A$2:$A81=A81)*($B$2:$B81=B81)*($D$2:$D81=D81))&gt;1,0,1)</f>
        <v>1</v>
      </c>
    </row>
    <row r="82" spans="1:16" x14ac:dyDescent="0.35">
      <c r="A82" t="s">
        <v>9</v>
      </c>
      <c r="B82">
        <v>1999</v>
      </c>
      <c r="D82">
        <v>7.3</v>
      </c>
      <c r="E82">
        <f>INT(Table2[[#This Row],[Transect]])</f>
        <v>7</v>
      </c>
      <c r="F82" t="s">
        <v>11</v>
      </c>
      <c r="G82">
        <v>3</v>
      </c>
      <c r="H82">
        <v>200</v>
      </c>
      <c r="J82">
        <f>Table2[[#This Row],[Hits]]/Table2[[#This Row],[Points]]*100</f>
        <v>1.5</v>
      </c>
      <c r="K82">
        <f>VLOOKUP(Table2[[#This Row],[Site]],'Site Info'!$A$1:$C$11,2, FALSE)</f>
        <v>17.7</v>
      </c>
      <c r="L82">
        <f>VLOOKUP(Table2[[#This Row],[Site]],'Site Info'!$A$1:$C$11,3, FALSE)</f>
        <v>10</v>
      </c>
      <c r="M82" t="str">
        <f>VLOOKUP(Table2[[#This Row],[Species]],'Species Table'!$A$1:$D$68,3, FALSE)</f>
        <v>Perennial</v>
      </c>
      <c r="O82" s="15">
        <f>IF(SUMPRODUCT(($A$2:$A82=A82)*($B$2:$B82=B82)*($F$2:$F82=F82))&gt;1,0,1)</f>
        <v>0</v>
      </c>
      <c r="P82" s="15">
        <f>IF(SUMPRODUCT(($A$2:$A82=A82)*($B$2:$B82=B82)*($D$2:$D82=D82))&gt;1,0,1)</f>
        <v>0</v>
      </c>
    </row>
    <row r="83" spans="1:16" x14ac:dyDescent="0.35">
      <c r="A83" t="s">
        <v>9</v>
      </c>
      <c r="B83">
        <v>1999</v>
      </c>
      <c r="D83">
        <v>7.3</v>
      </c>
      <c r="E83">
        <f>INT(Table2[[#This Row],[Transect]])</f>
        <v>7</v>
      </c>
      <c r="F83" t="s">
        <v>3</v>
      </c>
      <c r="G83">
        <v>2</v>
      </c>
      <c r="H83">
        <v>200</v>
      </c>
      <c r="J83">
        <f>Table2[[#This Row],[Hits]]/Table2[[#This Row],[Points]]*100</f>
        <v>1</v>
      </c>
      <c r="K83">
        <f>VLOOKUP(Table2[[#This Row],[Site]],'Site Info'!$A$1:$C$11,2, FALSE)</f>
        <v>17.7</v>
      </c>
      <c r="L83">
        <f>VLOOKUP(Table2[[#This Row],[Site]],'Site Info'!$A$1:$C$11,3, FALSE)</f>
        <v>10</v>
      </c>
      <c r="M83" t="str">
        <f>VLOOKUP(Table2[[#This Row],[Species]],'Species Table'!$A$1:$D$68,3, FALSE)</f>
        <v>Perennial</v>
      </c>
      <c r="O83" s="15">
        <f>IF(SUMPRODUCT(($A$2:$A83=A83)*($B$2:$B83=B83)*($F$2:$F83=F83))&gt;1,0,1)</f>
        <v>0</v>
      </c>
      <c r="P83" s="15">
        <f>IF(SUMPRODUCT(($A$2:$A83=A83)*($B$2:$B83=B83)*($D$2:$D83=D83))&gt;1,0,1)</f>
        <v>0</v>
      </c>
    </row>
    <row r="84" spans="1:16" hidden="1" x14ac:dyDescent="0.35">
      <c r="A84" t="s">
        <v>9</v>
      </c>
      <c r="B84">
        <v>1999</v>
      </c>
      <c r="D84">
        <v>7.4</v>
      </c>
      <c r="E84">
        <f>INT(Table2[[#This Row],[Transect]])</f>
        <v>7</v>
      </c>
      <c r="F84" t="s">
        <v>10</v>
      </c>
      <c r="G84">
        <v>70</v>
      </c>
      <c r="H84">
        <v>200</v>
      </c>
      <c r="J84">
        <f>Table2[[#This Row],[Hits]]/Table2[[#This Row],[Points]]*100</f>
        <v>35</v>
      </c>
      <c r="K84">
        <f>VLOOKUP(Table2[[#This Row],[Site]],'Site Info'!$A$1:$C$11,2, FALSE)</f>
        <v>17.7</v>
      </c>
      <c r="L84">
        <f>VLOOKUP(Table2[[#This Row],[Site]],'Site Info'!$A$1:$C$11,3, FALSE)</f>
        <v>10</v>
      </c>
      <c r="M84" t="str">
        <f>VLOOKUP(Table2[[#This Row],[Species]],'Species Table'!$A$1:$D$68,3, FALSE)</f>
        <v>Annual</v>
      </c>
      <c r="O84" s="15">
        <f>IF(SUMPRODUCT(($A$2:$A84=A84)*($B$2:$B84=B84)*($F$2:$F84=F84))&gt;1,0,1)</f>
        <v>0</v>
      </c>
      <c r="P84" s="15">
        <f>IF(SUMPRODUCT(($A$2:$A84=A84)*($B$2:$B84=B84)*($D$2:$D84=D84))&gt;1,0,1)</f>
        <v>1</v>
      </c>
    </row>
    <row r="85" spans="1:16" hidden="1" x14ac:dyDescent="0.35">
      <c r="A85" t="s">
        <v>9</v>
      </c>
      <c r="B85">
        <v>1999</v>
      </c>
      <c r="D85">
        <v>7.5</v>
      </c>
      <c r="E85">
        <f>INT(Table2[[#This Row],[Transect]])</f>
        <v>7</v>
      </c>
      <c r="F85" t="s">
        <v>10</v>
      </c>
      <c r="G85">
        <v>60</v>
      </c>
      <c r="H85">
        <v>200</v>
      </c>
      <c r="J85">
        <f>Table2[[#This Row],[Hits]]/Table2[[#This Row],[Points]]*100</f>
        <v>30</v>
      </c>
      <c r="K85">
        <f>VLOOKUP(Table2[[#This Row],[Site]],'Site Info'!$A$1:$C$11,2, FALSE)</f>
        <v>17.7</v>
      </c>
      <c r="L85">
        <f>VLOOKUP(Table2[[#This Row],[Site]],'Site Info'!$A$1:$C$11,3, FALSE)</f>
        <v>10</v>
      </c>
      <c r="M85" t="str">
        <f>VLOOKUP(Table2[[#This Row],[Species]],'Species Table'!$A$1:$D$68,3, FALSE)</f>
        <v>Annual</v>
      </c>
      <c r="O85" s="15">
        <f>IF(SUMPRODUCT(($A$2:$A85=A85)*($B$2:$B85=B85)*($F$2:$F85=F85))&gt;1,0,1)</f>
        <v>0</v>
      </c>
      <c r="P85" s="15">
        <f>IF(SUMPRODUCT(($A$2:$A85=A85)*($B$2:$B85=B85)*($D$2:$D85=D85))&gt;1,0,1)</f>
        <v>1</v>
      </c>
    </row>
    <row r="86" spans="1:16" x14ac:dyDescent="0.35">
      <c r="A86" t="s">
        <v>9</v>
      </c>
      <c r="B86">
        <v>1999</v>
      </c>
      <c r="D86">
        <v>7.5</v>
      </c>
      <c r="E86">
        <f>INT(Table2[[#This Row],[Transect]])</f>
        <v>7</v>
      </c>
      <c r="F86" t="s">
        <v>11</v>
      </c>
      <c r="G86">
        <v>9</v>
      </c>
      <c r="H86">
        <v>200</v>
      </c>
      <c r="J86">
        <f>Table2[[#This Row],[Hits]]/Table2[[#This Row],[Points]]*100</f>
        <v>4.5</v>
      </c>
      <c r="K86">
        <f>VLOOKUP(Table2[[#This Row],[Site]],'Site Info'!$A$1:$C$11,2, FALSE)</f>
        <v>17.7</v>
      </c>
      <c r="L86">
        <f>VLOOKUP(Table2[[#This Row],[Site]],'Site Info'!$A$1:$C$11,3, FALSE)</f>
        <v>10</v>
      </c>
      <c r="M86" t="str">
        <f>VLOOKUP(Table2[[#This Row],[Species]],'Species Table'!$A$1:$D$68,3, FALSE)</f>
        <v>Perennial</v>
      </c>
      <c r="O86" s="15">
        <f>IF(SUMPRODUCT(($A$2:$A86=A86)*($B$2:$B86=B86)*($F$2:$F86=F86))&gt;1,0,1)</f>
        <v>0</v>
      </c>
      <c r="P86" s="15">
        <f>IF(SUMPRODUCT(($A$2:$A86=A86)*($B$2:$B86=B86)*($D$2:$D86=D86))&gt;1,0,1)</f>
        <v>0</v>
      </c>
    </row>
    <row r="87" spans="1:16" x14ac:dyDescent="0.35">
      <c r="A87" t="s">
        <v>9</v>
      </c>
      <c r="B87">
        <v>1999</v>
      </c>
      <c r="D87">
        <v>7.5</v>
      </c>
      <c r="E87">
        <f>INT(Table2[[#This Row],[Transect]])</f>
        <v>7</v>
      </c>
      <c r="F87" t="s">
        <v>31</v>
      </c>
      <c r="G87">
        <v>1</v>
      </c>
      <c r="H87">
        <v>200</v>
      </c>
      <c r="J87">
        <f>Table2[[#This Row],[Hits]]/Table2[[#This Row],[Points]]*100</f>
        <v>0.5</v>
      </c>
      <c r="K87">
        <f>VLOOKUP(Table2[[#This Row],[Site]],'Site Info'!$A$1:$C$11,2, FALSE)</f>
        <v>17.7</v>
      </c>
      <c r="L87">
        <f>VLOOKUP(Table2[[#This Row],[Site]],'Site Info'!$A$1:$C$11,3, FALSE)</f>
        <v>10</v>
      </c>
      <c r="M87" t="str">
        <f>VLOOKUP(Table2[[#This Row],[Species]],'Species Table'!$A$1:$D$68,3, FALSE)</f>
        <v>Perennial</v>
      </c>
      <c r="O87" s="15">
        <f>IF(SUMPRODUCT(($A$2:$A87=A87)*($B$2:$B87=B87)*($F$2:$F87=F87))&gt;1,0,1)</f>
        <v>0</v>
      </c>
      <c r="P87" s="15">
        <f>IF(SUMPRODUCT(($A$2:$A87=A87)*($B$2:$B87=B87)*($D$2:$D87=D87))&gt;1,0,1)</f>
        <v>0</v>
      </c>
    </row>
    <row r="88" spans="1:16" x14ac:dyDescent="0.35">
      <c r="A88" t="s">
        <v>9</v>
      </c>
      <c r="B88">
        <v>1999</v>
      </c>
      <c r="D88">
        <v>7.5</v>
      </c>
      <c r="E88">
        <f>INT(Table2[[#This Row],[Transect]])</f>
        <v>7</v>
      </c>
      <c r="F88" t="s">
        <v>2</v>
      </c>
      <c r="G88">
        <v>1</v>
      </c>
      <c r="H88">
        <v>200</v>
      </c>
      <c r="J88">
        <f>Table2[[#This Row],[Hits]]/Table2[[#This Row],[Points]]*100</f>
        <v>0.5</v>
      </c>
      <c r="K88">
        <f>VLOOKUP(Table2[[#This Row],[Site]],'Site Info'!$A$1:$C$11,2, FALSE)</f>
        <v>17.7</v>
      </c>
      <c r="L88">
        <f>VLOOKUP(Table2[[#This Row],[Site]],'Site Info'!$A$1:$C$11,3, FALSE)</f>
        <v>10</v>
      </c>
      <c r="M88" t="str">
        <f>VLOOKUP(Table2[[#This Row],[Species]],'Species Table'!$A$1:$D$68,3, FALSE)</f>
        <v>Perennial</v>
      </c>
      <c r="O88" s="15">
        <f>IF(SUMPRODUCT(($A$2:$A88=A88)*($B$2:$B88=B88)*($F$2:$F88=F88))&gt;1,0,1)</f>
        <v>0</v>
      </c>
      <c r="P88" s="15">
        <f>IF(SUMPRODUCT(($A$2:$A88=A88)*($B$2:$B88=B88)*($D$2:$D88=D88))&gt;1,0,1)</f>
        <v>0</v>
      </c>
    </row>
    <row r="89" spans="1:16" hidden="1" x14ac:dyDescent="0.35">
      <c r="A89" t="s">
        <v>9</v>
      </c>
      <c r="B89">
        <v>1999</v>
      </c>
      <c r="D89">
        <v>7.6</v>
      </c>
      <c r="E89">
        <f>INT(Table2[[#This Row],[Transect]])</f>
        <v>7</v>
      </c>
      <c r="F89" t="s">
        <v>10</v>
      </c>
      <c r="G89">
        <v>40</v>
      </c>
      <c r="H89">
        <v>200</v>
      </c>
      <c r="J89">
        <f>Table2[[#This Row],[Hits]]/Table2[[#This Row],[Points]]*100</f>
        <v>20</v>
      </c>
      <c r="K89">
        <f>VLOOKUP(Table2[[#This Row],[Site]],'Site Info'!$A$1:$C$11,2, FALSE)</f>
        <v>17.7</v>
      </c>
      <c r="L89">
        <f>VLOOKUP(Table2[[#This Row],[Site]],'Site Info'!$A$1:$C$11,3, FALSE)</f>
        <v>10</v>
      </c>
      <c r="M89" t="str">
        <f>VLOOKUP(Table2[[#This Row],[Species]],'Species Table'!$A$1:$D$68,3, FALSE)</f>
        <v>Annual</v>
      </c>
      <c r="O89" s="15">
        <f>IF(SUMPRODUCT(($A$2:$A89=A89)*($B$2:$B89=B89)*($F$2:$F89=F89))&gt;1,0,1)</f>
        <v>0</v>
      </c>
      <c r="P89" s="15">
        <f>IF(SUMPRODUCT(($A$2:$A89=A89)*($B$2:$B89=B89)*($D$2:$D89=D89))&gt;1,0,1)</f>
        <v>1</v>
      </c>
    </row>
    <row r="90" spans="1:16" x14ac:dyDescent="0.35">
      <c r="A90" t="s">
        <v>9</v>
      </c>
      <c r="B90">
        <v>1999</v>
      </c>
      <c r="D90">
        <v>7.6</v>
      </c>
      <c r="E90">
        <f>INT(Table2[[#This Row],[Transect]])</f>
        <v>7</v>
      </c>
      <c r="F90" t="s">
        <v>11</v>
      </c>
      <c r="G90">
        <v>1</v>
      </c>
      <c r="H90">
        <v>200</v>
      </c>
      <c r="J90">
        <f>Table2[[#This Row],[Hits]]/Table2[[#This Row],[Points]]*100</f>
        <v>0.5</v>
      </c>
      <c r="K90">
        <f>VLOOKUP(Table2[[#This Row],[Site]],'Site Info'!$A$1:$C$11,2, FALSE)</f>
        <v>17.7</v>
      </c>
      <c r="L90">
        <f>VLOOKUP(Table2[[#This Row],[Site]],'Site Info'!$A$1:$C$11,3, FALSE)</f>
        <v>10</v>
      </c>
      <c r="M90" t="str">
        <f>VLOOKUP(Table2[[#This Row],[Species]],'Species Table'!$A$1:$D$68,3, FALSE)</f>
        <v>Perennial</v>
      </c>
      <c r="O90" s="15">
        <f>IF(SUMPRODUCT(($A$2:$A90=A90)*($B$2:$B90=B90)*($F$2:$F90=F90))&gt;1,0,1)</f>
        <v>0</v>
      </c>
      <c r="P90" s="15">
        <f>IF(SUMPRODUCT(($A$2:$A90=A90)*($B$2:$B90=B90)*($D$2:$D90=D90))&gt;1,0,1)</f>
        <v>0</v>
      </c>
    </row>
    <row r="91" spans="1:16" x14ac:dyDescent="0.35">
      <c r="A91" t="s">
        <v>9</v>
      </c>
      <c r="B91">
        <v>1999</v>
      </c>
      <c r="D91">
        <v>7.7</v>
      </c>
      <c r="E91">
        <f>INT(Table2[[#This Row],[Transect]])</f>
        <v>7</v>
      </c>
      <c r="F91" t="s">
        <v>11</v>
      </c>
      <c r="G91">
        <v>2</v>
      </c>
      <c r="H91">
        <v>200</v>
      </c>
      <c r="J91">
        <f>Table2[[#This Row],[Hits]]/Table2[[#This Row],[Points]]*100</f>
        <v>1</v>
      </c>
      <c r="K91">
        <f>VLOOKUP(Table2[[#This Row],[Site]],'Site Info'!$A$1:$C$11,2, FALSE)</f>
        <v>17.7</v>
      </c>
      <c r="L91">
        <f>VLOOKUP(Table2[[#This Row],[Site]],'Site Info'!$A$1:$C$11,3, FALSE)</f>
        <v>10</v>
      </c>
      <c r="M91" t="str">
        <f>VLOOKUP(Table2[[#This Row],[Species]],'Species Table'!$A$1:$D$68,3, FALSE)</f>
        <v>Perennial</v>
      </c>
      <c r="O91" s="15">
        <f>IF(SUMPRODUCT(($A$2:$A91=A91)*($B$2:$B91=B91)*($F$2:$F91=F91))&gt;1,0,1)</f>
        <v>0</v>
      </c>
      <c r="P91" s="15">
        <f>IF(SUMPRODUCT(($A$2:$A91=A91)*($B$2:$B91=B91)*($D$2:$D91=D91))&gt;1,0,1)</f>
        <v>1</v>
      </c>
    </row>
    <row r="92" spans="1:16" x14ac:dyDescent="0.35">
      <c r="A92" t="s">
        <v>9</v>
      </c>
      <c r="B92">
        <v>1999</v>
      </c>
      <c r="D92">
        <v>7.7</v>
      </c>
      <c r="E92">
        <f>INT(Table2[[#This Row],[Transect]])</f>
        <v>7</v>
      </c>
      <c r="F92" t="s">
        <v>3</v>
      </c>
      <c r="G92">
        <v>45</v>
      </c>
      <c r="H92">
        <v>200</v>
      </c>
      <c r="J92">
        <f>Table2[[#This Row],[Hits]]/Table2[[#This Row],[Points]]*100</f>
        <v>22.5</v>
      </c>
      <c r="K92">
        <f>VLOOKUP(Table2[[#This Row],[Site]],'Site Info'!$A$1:$C$11,2, FALSE)</f>
        <v>17.7</v>
      </c>
      <c r="L92">
        <f>VLOOKUP(Table2[[#This Row],[Site]],'Site Info'!$A$1:$C$11,3, FALSE)</f>
        <v>10</v>
      </c>
      <c r="M92" t="str">
        <f>VLOOKUP(Table2[[#This Row],[Species]],'Species Table'!$A$1:$D$68,3, FALSE)</f>
        <v>Perennial</v>
      </c>
      <c r="O92" s="15">
        <f>IF(SUMPRODUCT(($A$2:$A92=A92)*($B$2:$B92=B92)*($F$2:$F92=F92))&gt;1,0,1)</f>
        <v>0</v>
      </c>
      <c r="P92" s="15">
        <f>IF(SUMPRODUCT(($A$2:$A92=A92)*($B$2:$B92=B92)*($D$2:$D92=D92))&gt;1,0,1)</f>
        <v>0</v>
      </c>
    </row>
    <row r="93" spans="1:16" x14ac:dyDescent="0.35">
      <c r="A93" t="s">
        <v>9</v>
      </c>
      <c r="B93">
        <v>1999</v>
      </c>
      <c r="D93">
        <v>8.1</v>
      </c>
      <c r="E93">
        <f>INT(Table2[[#This Row],[Transect]])</f>
        <v>8</v>
      </c>
      <c r="F93" t="s">
        <v>3</v>
      </c>
      <c r="G93">
        <v>1</v>
      </c>
      <c r="H93">
        <v>200</v>
      </c>
      <c r="J93">
        <f>Table2[[#This Row],[Hits]]/Table2[[#This Row],[Points]]*100</f>
        <v>0.5</v>
      </c>
      <c r="K93">
        <f>VLOOKUP(Table2[[#This Row],[Site]],'Site Info'!$A$1:$C$11,2, FALSE)</f>
        <v>17.7</v>
      </c>
      <c r="L93">
        <f>VLOOKUP(Table2[[#This Row],[Site]],'Site Info'!$A$1:$C$11,3, FALSE)</f>
        <v>10</v>
      </c>
      <c r="M93" t="str">
        <f>VLOOKUP(Table2[[#This Row],[Species]],'Species Table'!$A$1:$D$68,3, FALSE)</f>
        <v>Perennial</v>
      </c>
      <c r="O93" s="15">
        <f>IF(SUMPRODUCT(($A$2:$A93=A93)*($B$2:$B93=B93)*($F$2:$F93=F93))&gt;1,0,1)</f>
        <v>0</v>
      </c>
      <c r="P93" s="15">
        <f>IF(SUMPRODUCT(($A$2:$A93=A93)*($B$2:$B93=B93)*($D$2:$D93=D93))&gt;1,0,1)</f>
        <v>1</v>
      </c>
    </row>
    <row r="94" spans="1:16" x14ac:dyDescent="0.35">
      <c r="A94" t="s">
        <v>9</v>
      </c>
      <c r="B94">
        <v>1999</v>
      </c>
      <c r="D94">
        <v>8.1</v>
      </c>
      <c r="E94">
        <f>INT(Table2[[#This Row],[Transect]])</f>
        <v>8</v>
      </c>
      <c r="F94" t="s">
        <v>5</v>
      </c>
      <c r="G94">
        <v>2</v>
      </c>
      <c r="H94">
        <v>200</v>
      </c>
      <c r="J94">
        <f>Table2[[#This Row],[Hits]]/Table2[[#This Row],[Points]]*100</f>
        <v>1</v>
      </c>
      <c r="K94">
        <f>VLOOKUP(Table2[[#This Row],[Site]],'Site Info'!$A$1:$C$11,2, FALSE)</f>
        <v>17.7</v>
      </c>
      <c r="L94">
        <f>VLOOKUP(Table2[[#This Row],[Site]],'Site Info'!$A$1:$C$11,3, FALSE)</f>
        <v>10</v>
      </c>
      <c r="M94" t="str">
        <f>VLOOKUP(Table2[[#This Row],[Species]],'Species Table'!$A$1:$D$68,3, FALSE)</f>
        <v>Perennial</v>
      </c>
      <c r="O94" s="15">
        <f>IF(SUMPRODUCT(($A$2:$A94=A94)*($B$2:$B94=B94)*($F$2:$F94=F94))&gt;1,0,1)</f>
        <v>1</v>
      </c>
      <c r="P94" s="15">
        <f>IF(SUMPRODUCT(($A$2:$A94=A94)*($B$2:$B94=B94)*($D$2:$D94=D94))&gt;1,0,1)</f>
        <v>0</v>
      </c>
    </row>
    <row r="95" spans="1:16" x14ac:dyDescent="0.35">
      <c r="A95" t="s">
        <v>9</v>
      </c>
      <c r="B95">
        <v>1999</v>
      </c>
      <c r="D95">
        <v>8.1</v>
      </c>
      <c r="E95">
        <f>INT(Table2[[#This Row],[Transect]])</f>
        <v>8</v>
      </c>
      <c r="F95" t="s">
        <v>14</v>
      </c>
      <c r="G95">
        <v>9</v>
      </c>
      <c r="H95">
        <v>200</v>
      </c>
      <c r="J95">
        <f>Table2[[#This Row],[Hits]]/Table2[[#This Row],[Points]]*100</f>
        <v>4.5</v>
      </c>
      <c r="K95">
        <f>VLOOKUP(Table2[[#This Row],[Site]],'Site Info'!$A$1:$C$11,2, FALSE)</f>
        <v>17.7</v>
      </c>
      <c r="L95">
        <f>VLOOKUP(Table2[[#This Row],[Site]],'Site Info'!$A$1:$C$11,3, FALSE)</f>
        <v>10</v>
      </c>
      <c r="M95" t="str">
        <f>VLOOKUP(Table2[[#This Row],[Species]],'Species Table'!$A$1:$D$68,3, FALSE)</f>
        <v>Perennial</v>
      </c>
      <c r="O95" s="15">
        <f>IF(SUMPRODUCT(($A$2:$A95=A95)*($B$2:$B95=B95)*($F$2:$F95=F95))&gt;1,0,1)</f>
        <v>0</v>
      </c>
      <c r="P95" s="15">
        <f>IF(SUMPRODUCT(($A$2:$A95=A95)*($B$2:$B95=B95)*($D$2:$D95=D95))&gt;1,0,1)</f>
        <v>0</v>
      </c>
    </row>
    <row r="96" spans="1:16" hidden="1" x14ac:dyDescent="0.35">
      <c r="A96" t="s">
        <v>9</v>
      </c>
      <c r="B96">
        <v>1999</v>
      </c>
      <c r="D96">
        <v>8.1999999999999993</v>
      </c>
      <c r="E96">
        <f>INT(Table2[[#This Row],[Transect]])</f>
        <v>8</v>
      </c>
      <c r="F96" t="s">
        <v>10</v>
      </c>
      <c r="G96">
        <v>12</v>
      </c>
      <c r="H96">
        <v>200</v>
      </c>
      <c r="J96">
        <f>Table2[[#This Row],[Hits]]/Table2[[#This Row],[Points]]*100</f>
        <v>6</v>
      </c>
      <c r="K96">
        <f>VLOOKUP(Table2[[#This Row],[Site]],'Site Info'!$A$1:$C$11,2, FALSE)</f>
        <v>17.7</v>
      </c>
      <c r="L96">
        <f>VLOOKUP(Table2[[#This Row],[Site]],'Site Info'!$A$1:$C$11,3, FALSE)</f>
        <v>10</v>
      </c>
      <c r="M96" t="str">
        <f>VLOOKUP(Table2[[#This Row],[Species]],'Species Table'!$A$1:$D$68,3, FALSE)</f>
        <v>Annual</v>
      </c>
      <c r="O96" s="15">
        <f>IF(SUMPRODUCT(($A$2:$A96=A96)*($B$2:$B96=B96)*($F$2:$F96=F96))&gt;1,0,1)</f>
        <v>0</v>
      </c>
      <c r="P96" s="15">
        <f>IF(SUMPRODUCT(($A$2:$A96=A96)*($B$2:$B96=B96)*($D$2:$D96=D96))&gt;1,0,1)</f>
        <v>1</v>
      </c>
    </row>
    <row r="97" spans="1:16" x14ac:dyDescent="0.35">
      <c r="A97" t="s">
        <v>9</v>
      </c>
      <c r="B97">
        <v>1999</v>
      </c>
      <c r="D97">
        <v>8.1999999999999993</v>
      </c>
      <c r="E97">
        <f>INT(Table2[[#This Row],[Transect]])</f>
        <v>8</v>
      </c>
      <c r="F97" t="s">
        <v>3</v>
      </c>
      <c r="G97">
        <v>5</v>
      </c>
      <c r="H97">
        <v>200</v>
      </c>
      <c r="J97">
        <f>Table2[[#This Row],[Hits]]/Table2[[#This Row],[Points]]*100</f>
        <v>2.5</v>
      </c>
      <c r="K97">
        <f>VLOOKUP(Table2[[#This Row],[Site]],'Site Info'!$A$1:$C$11,2, FALSE)</f>
        <v>17.7</v>
      </c>
      <c r="L97">
        <f>VLOOKUP(Table2[[#This Row],[Site]],'Site Info'!$A$1:$C$11,3, FALSE)</f>
        <v>10</v>
      </c>
      <c r="M97" t="str">
        <f>VLOOKUP(Table2[[#This Row],[Species]],'Species Table'!$A$1:$D$68,3, FALSE)</f>
        <v>Perennial</v>
      </c>
      <c r="O97" s="15">
        <f>IF(SUMPRODUCT(($A$2:$A97=A97)*($B$2:$B97=B97)*($F$2:$F97=F97))&gt;1,0,1)</f>
        <v>0</v>
      </c>
      <c r="P97" s="15">
        <f>IF(SUMPRODUCT(($A$2:$A97=A97)*($B$2:$B97=B97)*($D$2:$D97=D97))&gt;1,0,1)</f>
        <v>0</v>
      </c>
    </row>
    <row r="98" spans="1:16" x14ac:dyDescent="0.35">
      <c r="A98" t="s">
        <v>9</v>
      </c>
      <c r="B98">
        <v>1999</v>
      </c>
      <c r="D98">
        <v>8.1999999999999993</v>
      </c>
      <c r="E98">
        <f>INT(Table2[[#This Row],[Transect]])</f>
        <v>8</v>
      </c>
      <c r="F98" t="s">
        <v>2</v>
      </c>
      <c r="G98">
        <v>1</v>
      </c>
      <c r="H98">
        <v>200</v>
      </c>
      <c r="J98">
        <f>Table2[[#This Row],[Hits]]/Table2[[#This Row],[Points]]*100</f>
        <v>0.5</v>
      </c>
      <c r="K98">
        <f>VLOOKUP(Table2[[#This Row],[Site]],'Site Info'!$A$1:$C$11,2, FALSE)</f>
        <v>17.7</v>
      </c>
      <c r="L98">
        <f>VLOOKUP(Table2[[#This Row],[Site]],'Site Info'!$A$1:$C$11,3, FALSE)</f>
        <v>10</v>
      </c>
      <c r="M98" t="str">
        <f>VLOOKUP(Table2[[#This Row],[Species]],'Species Table'!$A$1:$D$68,3, FALSE)</f>
        <v>Perennial</v>
      </c>
      <c r="O98" s="15">
        <f>IF(SUMPRODUCT(($A$2:$A98=A98)*($B$2:$B98=B98)*($F$2:$F98=F98))&gt;1,0,1)</f>
        <v>0</v>
      </c>
      <c r="P98" s="15">
        <f>IF(SUMPRODUCT(($A$2:$A98=A98)*($B$2:$B98=B98)*($D$2:$D98=D98))&gt;1,0,1)</f>
        <v>0</v>
      </c>
    </row>
    <row r="99" spans="1:16" hidden="1" x14ac:dyDescent="0.35">
      <c r="A99" t="s">
        <v>9</v>
      </c>
      <c r="B99">
        <v>1999</v>
      </c>
      <c r="D99">
        <v>8.3000000000000007</v>
      </c>
      <c r="E99">
        <f>INT(Table2[[#This Row],[Transect]])</f>
        <v>8</v>
      </c>
      <c r="F99" t="s">
        <v>10</v>
      </c>
      <c r="G99">
        <v>3</v>
      </c>
      <c r="H99">
        <v>200</v>
      </c>
      <c r="J99">
        <f>Table2[[#This Row],[Hits]]/Table2[[#This Row],[Points]]*100</f>
        <v>1.5</v>
      </c>
      <c r="K99">
        <f>VLOOKUP(Table2[[#This Row],[Site]],'Site Info'!$A$1:$C$11,2, FALSE)</f>
        <v>17.7</v>
      </c>
      <c r="L99">
        <f>VLOOKUP(Table2[[#This Row],[Site]],'Site Info'!$A$1:$C$11,3, FALSE)</f>
        <v>10</v>
      </c>
      <c r="M99" t="str">
        <f>VLOOKUP(Table2[[#This Row],[Species]],'Species Table'!$A$1:$D$68,3, FALSE)</f>
        <v>Annual</v>
      </c>
      <c r="O99" s="15">
        <f>IF(SUMPRODUCT(($A$2:$A99=A99)*($B$2:$B99=B99)*($F$2:$F99=F99))&gt;1,0,1)</f>
        <v>0</v>
      </c>
      <c r="P99" s="15">
        <f>IF(SUMPRODUCT(($A$2:$A99=A99)*($B$2:$B99=B99)*($D$2:$D99=D99))&gt;1,0,1)</f>
        <v>1</v>
      </c>
    </row>
    <row r="100" spans="1:16" x14ac:dyDescent="0.35">
      <c r="A100" t="s">
        <v>9</v>
      </c>
      <c r="B100">
        <v>1999</v>
      </c>
      <c r="D100">
        <v>8.3000000000000007</v>
      </c>
      <c r="E100">
        <f>INT(Table2[[#This Row],[Transect]])</f>
        <v>8</v>
      </c>
      <c r="F100" t="s">
        <v>11</v>
      </c>
      <c r="G100">
        <v>1</v>
      </c>
      <c r="H100">
        <v>200</v>
      </c>
      <c r="J100">
        <f>Table2[[#This Row],[Hits]]/Table2[[#This Row],[Points]]*100</f>
        <v>0.5</v>
      </c>
      <c r="K100">
        <f>VLOOKUP(Table2[[#This Row],[Site]],'Site Info'!$A$1:$C$11,2, FALSE)</f>
        <v>17.7</v>
      </c>
      <c r="L100">
        <f>VLOOKUP(Table2[[#This Row],[Site]],'Site Info'!$A$1:$C$11,3, FALSE)</f>
        <v>10</v>
      </c>
      <c r="M100" t="str">
        <f>VLOOKUP(Table2[[#This Row],[Species]],'Species Table'!$A$1:$D$68,3, FALSE)</f>
        <v>Perennial</v>
      </c>
      <c r="O100" s="15">
        <f>IF(SUMPRODUCT(($A$2:$A100=A100)*($B$2:$B100=B100)*($F$2:$F100=F100))&gt;1,0,1)</f>
        <v>0</v>
      </c>
      <c r="P100" s="15">
        <f>IF(SUMPRODUCT(($A$2:$A100=A100)*($B$2:$B100=B100)*($D$2:$D100=D100))&gt;1,0,1)</f>
        <v>0</v>
      </c>
    </row>
    <row r="101" spans="1:16" x14ac:dyDescent="0.35">
      <c r="A101" t="s">
        <v>9</v>
      </c>
      <c r="B101">
        <v>1999</v>
      </c>
      <c r="D101">
        <v>8.3000000000000007</v>
      </c>
      <c r="E101">
        <f>INT(Table2[[#This Row],[Transect]])</f>
        <v>8</v>
      </c>
      <c r="F101" t="s">
        <v>3</v>
      </c>
      <c r="G101">
        <v>10</v>
      </c>
      <c r="H101">
        <v>200</v>
      </c>
      <c r="J101">
        <f>Table2[[#This Row],[Hits]]/Table2[[#This Row],[Points]]*100</f>
        <v>5</v>
      </c>
      <c r="K101">
        <f>VLOOKUP(Table2[[#This Row],[Site]],'Site Info'!$A$1:$C$11,2, FALSE)</f>
        <v>17.7</v>
      </c>
      <c r="L101">
        <f>VLOOKUP(Table2[[#This Row],[Site]],'Site Info'!$A$1:$C$11,3, FALSE)</f>
        <v>10</v>
      </c>
      <c r="M101" t="str">
        <f>VLOOKUP(Table2[[#This Row],[Species]],'Species Table'!$A$1:$D$68,3, FALSE)</f>
        <v>Perennial</v>
      </c>
      <c r="O101" s="15">
        <f>IF(SUMPRODUCT(($A$2:$A101=A101)*($B$2:$B101=B101)*($F$2:$F101=F101))&gt;1,0,1)</f>
        <v>0</v>
      </c>
      <c r="P101" s="15">
        <f>IF(SUMPRODUCT(($A$2:$A101=A101)*($B$2:$B101=B101)*($D$2:$D101=D101))&gt;1,0,1)</f>
        <v>0</v>
      </c>
    </row>
    <row r="102" spans="1:16" x14ac:dyDescent="0.35">
      <c r="A102" t="s">
        <v>9</v>
      </c>
      <c r="B102">
        <v>1999</v>
      </c>
      <c r="D102">
        <v>8.4</v>
      </c>
      <c r="E102">
        <f>INT(Table2[[#This Row],[Transect]])</f>
        <v>8</v>
      </c>
      <c r="F102" t="s">
        <v>3</v>
      </c>
      <c r="G102">
        <v>7</v>
      </c>
      <c r="H102">
        <v>200</v>
      </c>
      <c r="J102">
        <f>Table2[[#This Row],[Hits]]/Table2[[#This Row],[Points]]*100</f>
        <v>3.5000000000000004</v>
      </c>
      <c r="K102">
        <f>VLOOKUP(Table2[[#This Row],[Site]],'Site Info'!$A$1:$C$11,2, FALSE)</f>
        <v>17.7</v>
      </c>
      <c r="L102">
        <f>VLOOKUP(Table2[[#This Row],[Site]],'Site Info'!$A$1:$C$11,3, FALSE)</f>
        <v>10</v>
      </c>
      <c r="M102" t="str">
        <f>VLOOKUP(Table2[[#This Row],[Species]],'Species Table'!$A$1:$D$68,3, FALSE)</f>
        <v>Perennial</v>
      </c>
      <c r="O102" s="15">
        <f>IF(SUMPRODUCT(($A$2:$A102=A102)*($B$2:$B102=B102)*($F$2:$F102=F102))&gt;1,0,1)</f>
        <v>0</v>
      </c>
      <c r="P102" s="15">
        <f>IF(SUMPRODUCT(($A$2:$A102=A102)*($B$2:$B102=B102)*($D$2:$D102=D102))&gt;1,0,1)</f>
        <v>1</v>
      </c>
    </row>
    <row r="103" spans="1:16" x14ac:dyDescent="0.35">
      <c r="A103" t="s">
        <v>9</v>
      </c>
      <c r="B103">
        <v>1999</v>
      </c>
      <c r="D103">
        <v>8.4</v>
      </c>
      <c r="E103">
        <f>INT(Table2[[#This Row],[Transect]])</f>
        <v>8</v>
      </c>
      <c r="F103" t="s">
        <v>6</v>
      </c>
      <c r="G103">
        <v>5</v>
      </c>
      <c r="H103">
        <v>200</v>
      </c>
      <c r="J103">
        <f>Table2[[#This Row],[Hits]]/Table2[[#This Row],[Points]]*100</f>
        <v>2.5</v>
      </c>
      <c r="K103">
        <f>VLOOKUP(Table2[[#This Row],[Site]],'Site Info'!$A$1:$C$11,2, FALSE)</f>
        <v>17.7</v>
      </c>
      <c r="L103">
        <f>VLOOKUP(Table2[[#This Row],[Site]],'Site Info'!$A$1:$C$11,3, FALSE)</f>
        <v>10</v>
      </c>
      <c r="M103" t="str">
        <f>VLOOKUP(Table2[[#This Row],[Species]],'Species Table'!$A$1:$D$68,3, FALSE)</f>
        <v>Perennial</v>
      </c>
      <c r="O103" s="15">
        <f>IF(SUMPRODUCT(($A$2:$A103=A103)*($B$2:$B103=B103)*($F$2:$F103=F103))&gt;1,0,1)</f>
        <v>1</v>
      </c>
      <c r="P103" s="15">
        <f>IF(SUMPRODUCT(($A$2:$A103=A103)*($B$2:$B103=B103)*($D$2:$D103=D103))&gt;1,0,1)</f>
        <v>0</v>
      </c>
    </row>
    <row r="104" spans="1:16" x14ac:dyDescent="0.35">
      <c r="A104" t="s">
        <v>9</v>
      </c>
      <c r="B104">
        <v>1999</v>
      </c>
      <c r="D104">
        <v>8.5</v>
      </c>
      <c r="E104">
        <f>INT(Table2[[#This Row],[Transect]])</f>
        <v>8</v>
      </c>
      <c r="F104" t="s">
        <v>3</v>
      </c>
      <c r="G104">
        <v>15</v>
      </c>
      <c r="H104">
        <v>200</v>
      </c>
      <c r="J104">
        <f>Table2[[#This Row],[Hits]]/Table2[[#This Row],[Points]]*100</f>
        <v>7.5</v>
      </c>
      <c r="K104">
        <f>VLOOKUP(Table2[[#This Row],[Site]],'Site Info'!$A$1:$C$11,2, FALSE)</f>
        <v>17.7</v>
      </c>
      <c r="L104">
        <f>VLOOKUP(Table2[[#This Row],[Site]],'Site Info'!$A$1:$C$11,3, FALSE)</f>
        <v>10</v>
      </c>
      <c r="M104" t="str">
        <f>VLOOKUP(Table2[[#This Row],[Species]],'Species Table'!$A$1:$D$68,3, FALSE)</f>
        <v>Perennial</v>
      </c>
      <c r="O104" s="15">
        <f>IF(SUMPRODUCT(($A$2:$A104=A104)*($B$2:$B104=B104)*($F$2:$F104=F104))&gt;1,0,1)</f>
        <v>0</v>
      </c>
      <c r="P104" s="15">
        <f>IF(SUMPRODUCT(($A$2:$A104=A104)*($B$2:$B104=B104)*($D$2:$D104=D104))&gt;1,0,1)</f>
        <v>1</v>
      </c>
    </row>
    <row r="105" spans="1:16" x14ac:dyDescent="0.35">
      <c r="A105" t="s">
        <v>9</v>
      </c>
      <c r="B105">
        <v>1999</v>
      </c>
      <c r="D105">
        <v>8.5</v>
      </c>
      <c r="E105">
        <f>INT(Table2[[#This Row],[Transect]])</f>
        <v>8</v>
      </c>
      <c r="F105" t="s">
        <v>15</v>
      </c>
      <c r="G105">
        <v>1</v>
      </c>
      <c r="H105">
        <v>200</v>
      </c>
      <c r="J105">
        <f>Table2[[#This Row],[Hits]]/Table2[[#This Row],[Points]]*100</f>
        <v>0.5</v>
      </c>
      <c r="K105">
        <f>VLOOKUP(Table2[[#This Row],[Site]],'Site Info'!$A$1:$C$11,2, FALSE)</f>
        <v>17.7</v>
      </c>
      <c r="L105">
        <f>VLOOKUP(Table2[[#This Row],[Site]],'Site Info'!$A$1:$C$11,3, FALSE)</f>
        <v>10</v>
      </c>
      <c r="M105" t="str">
        <f>VLOOKUP(Table2[[#This Row],[Species]],'Species Table'!$A$1:$D$68,3, FALSE)</f>
        <v>Perennial</v>
      </c>
      <c r="O105" s="15">
        <f>IF(SUMPRODUCT(($A$2:$A105=A105)*($B$2:$B105=B105)*($F$2:$F105=F105))&gt;1,0,1)</f>
        <v>1</v>
      </c>
      <c r="P105" s="15">
        <f>IF(SUMPRODUCT(($A$2:$A105=A105)*($B$2:$B105=B105)*($D$2:$D105=D105))&gt;1,0,1)</f>
        <v>0</v>
      </c>
    </row>
    <row r="106" spans="1:16" x14ac:dyDescent="0.35">
      <c r="A106" t="s">
        <v>9</v>
      </c>
      <c r="B106">
        <v>2006</v>
      </c>
      <c r="D106">
        <v>1.1000000000000001</v>
      </c>
      <c r="E106">
        <f>INT(Table2[[#This Row],[Transect]])</f>
        <v>1</v>
      </c>
      <c r="F106" t="s">
        <v>11</v>
      </c>
      <c r="G106">
        <v>16</v>
      </c>
      <c r="H106">
        <v>200</v>
      </c>
      <c r="J106">
        <f>Table2[[#This Row],[Hits]]/Table2[[#This Row],[Points]]*100</f>
        <v>8</v>
      </c>
      <c r="K106">
        <f>VLOOKUP(Table2[[#This Row],[Site]],'Site Info'!$A$1:$C$11,2, FALSE)</f>
        <v>17.7</v>
      </c>
      <c r="L106">
        <f>VLOOKUP(Table2[[#This Row],[Site]],'Site Info'!$A$1:$C$11,3, FALSE)</f>
        <v>10</v>
      </c>
      <c r="M106" t="str">
        <f>VLOOKUP(Table2[[#This Row],[Species]],'Species Table'!$A$1:$D$68,3, FALSE)</f>
        <v>Perennial</v>
      </c>
      <c r="O106" s="15">
        <f>IF(SUMPRODUCT(($A$2:$A106=A106)*($B$2:$B106=B106)*($F$2:$F106=F106))&gt;1,0,1)</f>
        <v>1</v>
      </c>
      <c r="P106" s="15">
        <f>IF(SUMPRODUCT(($A$2:$A106=A106)*($B$2:$B106=B106)*($D$2:$D106=D106))&gt;1,0,1)</f>
        <v>1</v>
      </c>
    </row>
    <row r="107" spans="1:16" hidden="1" x14ac:dyDescent="0.35">
      <c r="A107" t="s">
        <v>9</v>
      </c>
      <c r="B107">
        <v>2006</v>
      </c>
      <c r="D107">
        <v>1.1000000000000001</v>
      </c>
      <c r="E107">
        <f>INT(Table2[[#This Row],[Transect]])</f>
        <v>1</v>
      </c>
      <c r="F107" t="s">
        <v>10</v>
      </c>
      <c r="G107">
        <v>3</v>
      </c>
      <c r="H107">
        <v>200</v>
      </c>
      <c r="J107">
        <f>Table2[[#This Row],[Hits]]/Table2[[#This Row],[Points]]*100</f>
        <v>1.5</v>
      </c>
      <c r="K107">
        <f>VLOOKUP(Table2[[#This Row],[Site]],'Site Info'!$A$1:$C$11,2, FALSE)</f>
        <v>17.7</v>
      </c>
      <c r="L107">
        <f>VLOOKUP(Table2[[#This Row],[Site]],'Site Info'!$A$1:$C$11,3, FALSE)</f>
        <v>10</v>
      </c>
      <c r="M107" t="str">
        <f>VLOOKUP(Table2[[#This Row],[Species]],'Species Table'!$A$1:$D$68,3, FALSE)</f>
        <v>Annual</v>
      </c>
      <c r="O107" s="15">
        <f>IF(SUMPRODUCT(($A$2:$A107=A107)*($B$2:$B107=B107)*($F$2:$F107=F107))&gt;1,0,1)</f>
        <v>1</v>
      </c>
      <c r="P107" s="15">
        <f>IF(SUMPRODUCT(($A$2:$A107=A107)*($B$2:$B107=B107)*($D$2:$D107=D107))&gt;1,0,1)</f>
        <v>0</v>
      </c>
    </row>
    <row r="108" spans="1:16" x14ac:dyDescent="0.35">
      <c r="A108" t="s">
        <v>9</v>
      </c>
      <c r="B108">
        <v>2006</v>
      </c>
      <c r="D108">
        <v>1.1000000000000001</v>
      </c>
      <c r="E108">
        <f>INT(Table2[[#This Row],[Transect]])</f>
        <v>1</v>
      </c>
      <c r="F108" t="s">
        <v>12</v>
      </c>
      <c r="G108">
        <v>4</v>
      </c>
      <c r="H108">
        <v>200</v>
      </c>
      <c r="J108">
        <f>Table2[[#This Row],[Hits]]/Table2[[#This Row],[Points]]*100</f>
        <v>2</v>
      </c>
      <c r="K108">
        <f>VLOOKUP(Table2[[#This Row],[Site]],'Site Info'!$A$1:$C$11,2, FALSE)</f>
        <v>17.7</v>
      </c>
      <c r="L108">
        <f>VLOOKUP(Table2[[#This Row],[Site]],'Site Info'!$A$1:$C$11,3, FALSE)</f>
        <v>10</v>
      </c>
      <c r="M108" t="str">
        <f>VLOOKUP(Table2[[#This Row],[Species]],'Species Table'!$A$1:$D$68,3, FALSE)</f>
        <v>Perennial</v>
      </c>
      <c r="O108" s="15">
        <f>IF(SUMPRODUCT(($A$2:$A108=A108)*($B$2:$B108=B108)*($F$2:$F108=F108))&gt;1,0,1)</f>
        <v>1</v>
      </c>
      <c r="P108" s="15">
        <f>IF(SUMPRODUCT(($A$2:$A108=A108)*($B$2:$B108=B108)*($D$2:$D108=D108))&gt;1,0,1)</f>
        <v>0</v>
      </c>
    </row>
    <row r="109" spans="1:16" x14ac:dyDescent="0.35">
      <c r="A109" t="s">
        <v>9</v>
      </c>
      <c r="B109">
        <v>2006</v>
      </c>
      <c r="D109">
        <v>1.2</v>
      </c>
      <c r="E109">
        <f>INT(Table2[[#This Row],[Transect]])</f>
        <v>1</v>
      </c>
      <c r="F109" t="s">
        <v>11</v>
      </c>
      <c r="G109">
        <v>5</v>
      </c>
      <c r="H109">
        <v>200</v>
      </c>
      <c r="J109">
        <f>Table2[[#This Row],[Hits]]/Table2[[#This Row],[Points]]*100</f>
        <v>2.5</v>
      </c>
      <c r="K109">
        <f>VLOOKUP(Table2[[#This Row],[Site]],'Site Info'!$A$1:$C$11,2, FALSE)</f>
        <v>17.7</v>
      </c>
      <c r="L109">
        <f>VLOOKUP(Table2[[#This Row],[Site]],'Site Info'!$A$1:$C$11,3, FALSE)</f>
        <v>10</v>
      </c>
      <c r="M109" t="str">
        <f>VLOOKUP(Table2[[#This Row],[Species]],'Species Table'!$A$1:$D$68,3, FALSE)</f>
        <v>Perennial</v>
      </c>
      <c r="O109" s="15">
        <f>IF(SUMPRODUCT(($A$2:$A109=A109)*($B$2:$B109=B109)*($F$2:$F109=F109))&gt;1,0,1)</f>
        <v>0</v>
      </c>
      <c r="P109" s="15">
        <f>IF(SUMPRODUCT(($A$2:$A109=A109)*($B$2:$B109=B109)*($D$2:$D109=D109))&gt;1,0,1)</f>
        <v>1</v>
      </c>
    </row>
    <row r="110" spans="1:16" hidden="1" x14ac:dyDescent="0.35">
      <c r="A110" t="s">
        <v>9</v>
      </c>
      <c r="B110">
        <v>2006</v>
      </c>
      <c r="D110">
        <v>1.3</v>
      </c>
      <c r="E110">
        <f>INT(Table2[[#This Row],[Transect]])</f>
        <v>1</v>
      </c>
      <c r="F110" t="s">
        <v>127</v>
      </c>
      <c r="G110">
        <v>0</v>
      </c>
      <c r="H110">
        <v>200</v>
      </c>
      <c r="J110">
        <f>Table2[[#This Row],[Hits]]/Table2[[#This Row],[Points]]*100</f>
        <v>0</v>
      </c>
      <c r="K110">
        <f>VLOOKUP(Table2[[#This Row],[Site]],'Site Info'!$A$1:$C$11,2, FALSE)</f>
        <v>17.7</v>
      </c>
      <c r="L110">
        <f>VLOOKUP(Table2[[#This Row],[Site]],'Site Info'!$A$1:$C$11,3, FALSE)</f>
        <v>10</v>
      </c>
      <c r="M110" t="str">
        <f>VLOOKUP(Table2[[#This Row],[Species]],'Species Table'!$A$1:$D$68,3, FALSE)</f>
        <v>NA</v>
      </c>
      <c r="O110" s="15">
        <f>IF(SUMPRODUCT(($A$2:$A110=A110)*($B$2:$B110=B110)*($F$2:$F110=F110))&gt;1,0,1)</f>
        <v>1</v>
      </c>
      <c r="P110" s="15">
        <f>IF(SUMPRODUCT(($A$2:$A110=A110)*($B$2:$B110=B110)*($D$2:$D110=D110))&gt;1,0,1)</f>
        <v>1</v>
      </c>
    </row>
    <row r="111" spans="1:16" hidden="1" x14ac:dyDescent="0.35">
      <c r="A111" t="s">
        <v>9</v>
      </c>
      <c r="B111">
        <v>2006</v>
      </c>
      <c r="D111">
        <v>1.4</v>
      </c>
      <c r="E111">
        <f>INT(Table2[[#This Row],[Transect]])</f>
        <v>1</v>
      </c>
      <c r="F111" t="s">
        <v>10</v>
      </c>
      <c r="G111">
        <v>8</v>
      </c>
      <c r="H111">
        <v>200</v>
      </c>
      <c r="J111">
        <f>Table2[[#This Row],[Hits]]/Table2[[#This Row],[Points]]*100</f>
        <v>4</v>
      </c>
      <c r="K111">
        <f>VLOOKUP(Table2[[#This Row],[Site]],'Site Info'!$A$1:$C$11,2, FALSE)</f>
        <v>17.7</v>
      </c>
      <c r="L111">
        <f>VLOOKUP(Table2[[#This Row],[Site]],'Site Info'!$A$1:$C$11,3, FALSE)</f>
        <v>10</v>
      </c>
      <c r="M111" t="str">
        <f>VLOOKUP(Table2[[#This Row],[Species]],'Species Table'!$A$1:$D$68,3, FALSE)</f>
        <v>Annual</v>
      </c>
      <c r="O111" s="15">
        <f>IF(SUMPRODUCT(($A$2:$A111=A111)*($B$2:$B111=B111)*($F$2:$F111=F111))&gt;1,0,1)</f>
        <v>0</v>
      </c>
      <c r="P111" s="15">
        <f>IF(SUMPRODUCT(($A$2:$A111=A111)*($B$2:$B111=B111)*($D$2:$D111=D111))&gt;1,0,1)</f>
        <v>1</v>
      </c>
    </row>
    <row r="112" spans="1:16" hidden="1" x14ac:dyDescent="0.35">
      <c r="A112" t="s">
        <v>9</v>
      </c>
      <c r="B112">
        <v>2006</v>
      </c>
      <c r="D112">
        <v>1.5</v>
      </c>
      <c r="E112">
        <f>INT(Table2[[#This Row],[Transect]])</f>
        <v>1</v>
      </c>
      <c r="F112" t="s">
        <v>10</v>
      </c>
      <c r="G112">
        <v>1</v>
      </c>
      <c r="H112">
        <v>200</v>
      </c>
      <c r="J112">
        <f>Table2[[#This Row],[Hits]]/Table2[[#This Row],[Points]]*100</f>
        <v>0.5</v>
      </c>
      <c r="K112">
        <f>VLOOKUP(Table2[[#This Row],[Site]],'Site Info'!$A$1:$C$11,2, FALSE)</f>
        <v>17.7</v>
      </c>
      <c r="L112">
        <f>VLOOKUP(Table2[[#This Row],[Site]],'Site Info'!$A$1:$C$11,3, FALSE)</f>
        <v>10</v>
      </c>
      <c r="M112" t="str">
        <f>VLOOKUP(Table2[[#This Row],[Species]],'Species Table'!$A$1:$D$68,3, FALSE)</f>
        <v>Annual</v>
      </c>
      <c r="O112" s="15">
        <f>IF(SUMPRODUCT(($A$2:$A112=A112)*($B$2:$B112=B112)*($F$2:$F112=F112))&gt;1,0,1)</f>
        <v>0</v>
      </c>
      <c r="P112" s="15">
        <f>IF(SUMPRODUCT(($A$2:$A112=A112)*($B$2:$B112=B112)*($D$2:$D112=D112))&gt;1,0,1)</f>
        <v>1</v>
      </c>
    </row>
    <row r="113" spans="1:16" hidden="1" x14ac:dyDescent="0.35">
      <c r="A113" t="s">
        <v>9</v>
      </c>
      <c r="B113">
        <v>2006</v>
      </c>
      <c r="D113">
        <v>1.5</v>
      </c>
      <c r="E113">
        <f>INT(Table2[[#This Row],[Transect]])</f>
        <v>1</v>
      </c>
      <c r="F113" t="s">
        <v>33</v>
      </c>
      <c r="G113">
        <v>2</v>
      </c>
      <c r="H113">
        <v>200</v>
      </c>
      <c r="J113">
        <f>Table2[[#This Row],[Hits]]/Table2[[#This Row],[Points]]*100</f>
        <v>1</v>
      </c>
      <c r="K113">
        <f>VLOOKUP(Table2[[#This Row],[Site]],'Site Info'!$A$1:$C$11,2, FALSE)</f>
        <v>17.7</v>
      </c>
      <c r="L113">
        <f>VLOOKUP(Table2[[#This Row],[Site]],'Site Info'!$A$1:$C$11,3, FALSE)</f>
        <v>10</v>
      </c>
      <c r="M113" t="str">
        <f>VLOOKUP(Table2[[#This Row],[Species]],'Species Table'!$A$1:$D$68,3, FALSE)</f>
        <v>Annual</v>
      </c>
      <c r="O113" s="15">
        <f>IF(SUMPRODUCT(($A$2:$A113=A113)*($B$2:$B113=B113)*($F$2:$F113=F113))&gt;1,0,1)</f>
        <v>1</v>
      </c>
      <c r="P113" s="15">
        <f>IF(SUMPRODUCT(($A$2:$A113=A113)*($B$2:$B113=B113)*($D$2:$D113=D113))&gt;1,0,1)</f>
        <v>0</v>
      </c>
    </row>
    <row r="114" spans="1:16" hidden="1" x14ac:dyDescent="0.35">
      <c r="A114" t="s">
        <v>9</v>
      </c>
      <c r="B114">
        <v>2006</v>
      </c>
      <c r="D114">
        <v>1.6</v>
      </c>
      <c r="E114">
        <f>INT(Table2[[#This Row],[Transect]])</f>
        <v>1</v>
      </c>
      <c r="F114" t="s">
        <v>10</v>
      </c>
      <c r="G114">
        <v>13</v>
      </c>
      <c r="H114">
        <v>200</v>
      </c>
      <c r="J114">
        <f>Table2[[#This Row],[Hits]]/Table2[[#This Row],[Points]]*100</f>
        <v>6.5</v>
      </c>
      <c r="K114">
        <f>VLOOKUP(Table2[[#This Row],[Site]],'Site Info'!$A$1:$C$11,2, FALSE)</f>
        <v>17.7</v>
      </c>
      <c r="L114">
        <f>VLOOKUP(Table2[[#This Row],[Site]],'Site Info'!$A$1:$C$11,3, FALSE)</f>
        <v>10</v>
      </c>
      <c r="M114" t="str">
        <f>VLOOKUP(Table2[[#This Row],[Species]],'Species Table'!$A$1:$D$68,3, FALSE)</f>
        <v>Annual</v>
      </c>
      <c r="O114" s="15">
        <f>IF(SUMPRODUCT(($A$2:$A114=A114)*($B$2:$B114=B114)*($F$2:$F114=F114))&gt;1,0,1)</f>
        <v>0</v>
      </c>
      <c r="P114" s="15">
        <f>IF(SUMPRODUCT(($A$2:$A114=A114)*($B$2:$B114=B114)*($D$2:$D114=D114))&gt;1,0,1)</f>
        <v>1</v>
      </c>
    </row>
    <row r="115" spans="1:16" x14ac:dyDescent="0.35">
      <c r="A115" t="s">
        <v>9</v>
      </c>
      <c r="B115">
        <v>2006</v>
      </c>
      <c r="D115">
        <v>1.7</v>
      </c>
      <c r="E115">
        <f>INT(Table2[[#This Row],[Transect]])</f>
        <v>1</v>
      </c>
      <c r="F115" t="s">
        <v>11</v>
      </c>
      <c r="G115">
        <v>4</v>
      </c>
      <c r="H115">
        <v>200</v>
      </c>
      <c r="J115">
        <f>Table2[[#This Row],[Hits]]/Table2[[#This Row],[Points]]*100</f>
        <v>2</v>
      </c>
      <c r="K115">
        <f>VLOOKUP(Table2[[#This Row],[Site]],'Site Info'!$A$1:$C$11,2, FALSE)</f>
        <v>17.7</v>
      </c>
      <c r="L115">
        <f>VLOOKUP(Table2[[#This Row],[Site]],'Site Info'!$A$1:$C$11,3, FALSE)</f>
        <v>10</v>
      </c>
      <c r="M115" t="str">
        <f>VLOOKUP(Table2[[#This Row],[Species]],'Species Table'!$A$1:$D$68,3, FALSE)</f>
        <v>Perennial</v>
      </c>
      <c r="O115" s="15">
        <f>IF(SUMPRODUCT(($A$2:$A115=A115)*($B$2:$B115=B115)*($F$2:$F115=F115))&gt;1,0,1)</f>
        <v>0</v>
      </c>
      <c r="P115" s="15">
        <f>IF(SUMPRODUCT(($A$2:$A115=A115)*($B$2:$B115=B115)*($D$2:$D115=D115))&gt;1,0,1)</f>
        <v>1</v>
      </c>
    </row>
    <row r="116" spans="1:16" hidden="1" x14ac:dyDescent="0.35">
      <c r="A116" t="s">
        <v>9</v>
      </c>
      <c r="B116">
        <v>2006</v>
      </c>
      <c r="D116">
        <v>1.7</v>
      </c>
      <c r="E116">
        <f>INT(Table2[[#This Row],[Transect]])</f>
        <v>1</v>
      </c>
      <c r="F116" t="s">
        <v>10</v>
      </c>
      <c r="G116">
        <v>9</v>
      </c>
      <c r="H116">
        <v>200</v>
      </c>
      <c r="J116">
        <f>Table2[[#This Row],[Hits]]/Table2[[#This Row],[Points]]*100</f>
        <v>4.5</v>
      </c>
      <c r="K116">
        <f>VLOOKUP(Table2[[#This Row],[Site]],'Site Info'!$A$1:$C$11,2, FALSE)</f>
        <v>17.7</v>
      </c>
      <c r="L116">
        <f>VLOOKUP(Table2[[#This Row],[Site]],'Site Info'!$A$1:$C$11,3, FALSE)</f>
        <v>10</v>
      </c>
      <c r="M116" t="str">
        <f>VLOOKUP(Table2[[#This Row],[Species]],'Species Table'!$A$1:$D$68,3, FALSE)</f>
        <v>Annual</v>
      </c>
      <c r="O116" s="15">
        <f>IF(SUMPRODUCT(($A$2:$A116=A116)*($B$2:$B116=B116)*($F$2:$F116=F116))&gt;1,0,1)</f>
        <v>0</v>
      </c>
      <c r="P116" s="15">
        <f>IF(SUMPRODUCT(($A$2:$A116=A116)*($B$2:$B116=B116)*($D$2:$D116=D116))&gt;1,0,1)</f>
        <v>0</v>
      </c>
    </row>
    <row r="117" spans="1:16" x14ac:dyDescent="0.35">
      <c r="A117" t="s">
        <v>9</v>
      </c>
      <c r="B117">
        <v>2006</v>
      </c>
      <c r="D117">
        <v>2.1</v>
      </c>
      <c r="E117">
        <f>INT(Table2[[#This Row],[Transect]])</f>
        <v>2</v>
      </c>
      <c r="F117" t="s">
        <v>11</v>
      </c>
      <c r="G117">
        <v>2</v>
      </c>
      <c r="H117">
        <v>200</v>
      </c>
      <c r="J117">
        <f>Table2[[#This Row],[Hits]]/Table2[[#This Row],[Points]]*100</f>
        <v>1</v>
      </c>
      <c r="K117">
        <f>VLOOKUP(Table2[[#This Row],[Site]],'Site Info'!$A$1:$C$11,2, FALSE)</f>
        <v>17.7</v>
      </c>
      <c r="L117">
        <f>VLOOKUP(Table2[[#This Row],[Site]],'Site Info'!$A$1:$C$11,3, FALSE)</f>
        <v>10</v>
      </c>
      <c r="M117" t="str">
        <f>VLOOKUP(Table2[[#This Row],[Species]],'Species Table'!$A$1:$D$68,3, FALSE)</f>
        <v>Perennial</v>
      </c>
      <c r="O117" s="15">
        <f>IF(SUMPRODUCT(($A$2:$A117=A117)*($B$2:$B117=B117)*($F$2:$F117=F117))&gt;1,0,1)</f>
        <v>0</v>
      </c>
      <c r="P117" s="15">
        <f>IF(SUMPRODUCT(($A$2:$A117=A117)*($B$2:$B117=B117)*($D$2:$D117=D117))&gt;1,0,1)</f>
        <v>1</v>
      </c>
    </row>
    <row r="118" spans="1:16" hidden="1" x14ac:dyDescent="0.35">
      <c r="A118" t="s">
        <v>9</v>
      </c>
      <c r="B118">
        <v>2006</v>
      </c>
      <c r="D118">
        <v>2.1</v>
      </c>
      <c r="E118">
        <f>INT(Table2[[#This Row],[Transect]])</f>
        <v>2</v>
      </c>
      <c r="F118" t="s">
        <v>10</v>
      </c>
      <c r="G118">
        <v>32</v>
      </c>
      <c r="H118">
        <v>200</v>
      </c>
      <c r="J118">
        <f>Table2[[#This Row],[Hits]]/Table2[[#This Row],[Points]]*100</f>
        <v>16</v>
      </c>
      <c r="K118">
        <f>VLOOKUP(Table2[[#This Row],[Site]],'Site Info'!$A$1:$C$11,2, FALSE)</f>
        <v>17.7</v>
      </c>
      <c r="L118">
        <f>VLOOKUP(Table2[[#This Row],[Site]],'Site Info'!$A$1:$C$11,3, FALSE)</f>
        <v>10</v>
      </c>
      <c r="M118" t="str">
        <f>VLOOKUP(Table2[[#This Row],[Species]],'Species Table'!$A$1:$D$68,3, FALSE)</f>
        <v>Annual</v>
      </c>
      <c r="O118" s="15">
        <f>IF(SUMPRODUCT(($A$2:$A118=A118)*($B$2:$B118=B118)*($F$2:$F118=F118))&gt;1,0,1)</f>
        <v>0</v>
      </c>
      <c r="P118" s="15">
        <f>IF(SUMPRODUCT(($A$2:$A118=A118)*($B$2:$B118=B118)*($D$2:$D118=D118))&gt;1,0,1)</f>
        <v>0</v>
      </c>
    </row>
    <row r="119" spans="1:16" x14ac:dyDescent="0.35">
      <c r="A119" t="s">
        <v>9</v>
      </c>
      <c r="B119">
        <v>2006</v>
      </c>
      <c r="D119">
        <v>2.1</v>
      </c>
      <c r="E119">
        <f>INT(Table2[[#This Row],[Transect]])</f>
        <v>2</v>
      </c>
      <c r="F119" t="s">
        <v>3</v>
      </c>
      <c r="G119">
        <v>9</v>
      </c>
      <c r="H119">
        <v>200</v>
      </c>
      <c r="J119">
        <f>Table2[[#This Row],[Hits]]/Table2[[#This Row],[Points]]*100</f>
        <v>4.5</v>
      </c>
      <c r="K119">
        <f>VLOOKUP(Table2[[#This Row],[Site]],'Site Info'!$A$1:$C$11,2, FALSE)</f>
        <v>17.7</v>
      </c>
      <c r="L119">
        <f>VLOOKUP(Table2[[#This Row],[Site]],'Site Info'!$A$1:$C$11,3, FALSE)</f>
        <v>10</v>
      </c>
      <c r="M119" t="str">
        <f>VLOOKUP(Table2[[#This Row],[Species]],'Species Table'!$A$1:$D$68,3, FALSE)</f>
        <v>Perennial</v>
      </c>
      <c r="O119" s="15">
        <f>IF(SUMPRODUCT(($A$2:$A119=A119)*($B$2:$B119=B119)*($F$2:$F119=F119))&gt;1,0,1)</f>
        <v>1</v>
      </c>
      <c r="P119" s="15">
        <f>IF(SUMPRODUCT(($A$2:$A119=A119)*($B$2:$B119=B119)*($D$2:$D119=D119))&gt;1,0,1)</f>
        <v>0</v>
      </c>
    </row>
    <row r="120" spans="1:16" x14ac:dyDescent="0.35">
      <c r="A120" t="s">
        <v>9</v>
      </c>
      <c r="B120">
        <v>2006</v>
      </c>
      <c r="D120">
        <v>2.2000000000000002</v>
      </c>
      <c r="E120">
        <f>INT(Table2[[#This Row],[Transect]])</f>
        <v>2</v>
      </c>
      <c r="F120" t="s">
        <v>11</v>
      </c>
      <c r="G120">
        <v>3</v>
      </c>
      <c r="H120">
        <v>200</v>
      </c>
      <c r="J120">
        <f>Table2[[#This Row],[Hits]]/Table2[[#This Row],[Points]]*100</f>
        <v>1.5</v>
      </c>
      <c r="K120">
        <f>VLOOKUP(Table2[[#This Row],[Site]],'Site Info'!$A$1:$C$11,2, FALSE)</f>
        <v>17.7</v>
      </c>
      <c r="L120">
        <f>VLOOKUP(Table2[[#This Row],[Site]],'Site Info'!$A$1:$C$11,3, FALSE)</f>
        <v>10</v>
      </c>
      <c r="M120" t="str">
        <f>VLOOKUP(Table2[[#This Row],[Species]],'Species Table'!$A$1:$D$68,3, FALSE)</f>
        <v>Perennial</v>
      </c>
      <c r="O120" s="15">
        <f>IF(SUMPRODUCT(($A$2:$A120=A120)*($B$2:$B120=B120)*($F$2:$F120=F120))&gt;1,0,1)</f>
        <v>0</v>
      </c>
      <c r="P120" s="15">
        <f>IF(SUMPRODUCT(($A$2:$A120=A120)*($B$2:$B120=B120)*($D$2:$D120=D120))&gt;1,0,1)</f>
        <v>1</v>
      </c>
    </row>
    <row r="121" spans="1:16" x14ac:dyDescent="0.35">
      <c r="A121" t="s">
        <v>9</v>
      </c>
      <c r="B121">
        <v>2006</v>
      </c>
      <c r="D121">
        <v>2.2999999999999998</v>
      </c>
      <c r="E121">
        <f>INT(Table2[[#This Row],[Transect]])</f>
        <v>2</v>
      </c>
      <c r="F121" t="s">
        <v>11</v>
      </c>
      <c r="G121">
        <v>1</v>
      </c>
      <c r="H121">
        <v>200</v>
      </c>
      <c r="J121">
        <f>Table2[[#This Row],[Hits]]/Table2[[#This Row],[Points]]*100</f>
        <v>0.5</v>
      </c>
      <c r="K121">
        <f>VLOOKUP(Table2[[#This Row],[Site]],'Site Info'!$A$1:$C$11,2, FALSE)</f>
        <v>17.7</v>
      </c>
      <c r="L121">
        <f>VLOOKUP(Table2[[#This Row],[Site]],'Site Info'!$A$1:$C$11,3, FALSE)</f>
        <v>10</v>
      </c>
      <c r="M121" t="str">
        <f>VLOOKUP(Table2[[#This Row],[Species]],'Species Table'!$A$1:$D$68,3, FALSE)</f>
        <v>Perennial</v>
      </c>
      <c r="O121" s="15">
        <f>IF(SUMPRODUCT(($A$2:$A121=A121)*($B$2:$B121=B121)*($F$2:$F121=F121))&gt;1,0,1)</f>
        <v>0</v>
      </c>
      <c r="P121" s="15">
        <f>IF(SUMPRODUCT(($A$2:$A121=A121)*($B$2:$B121=B121)*($D$2:$D121=D121))&gt;1,0,1)</f>
        <v>1</v>
      </c>
    </row>
    <row r="122" spans="1:16" hidden="1" x14ac:dyDescent="0.35">
      <c r="A122" t="s">
        <v>9</v>
      </c>
      <c r="B122">
        <v>2006</v>
      </c>
      <c r="D122">
        <v>2.2999999999999998</v>
      </c>
      <c r="E122">
        <f>INT(Table2[[#This Row],[Transect]])</f>
        <v>2</v>
      </c>
      <c r="F122" t="s">
        <v>10</v>
      </c>
      <c r="G122">
        <v>4</v>
      </c>
      <c r="H122">
        <v>200</v>
      </c>
      <c r="J122">
        <f>Table2[[#This Row],[Hits]]/Table2[[#This Row],[Points]]*100</f>
        <v>2</v>
      </c>
      <c r="K122">
        <f>VLOOKUP(Table2[[#This Row],[Site]],'Site Info'!$A$1:$C$11,2, FALSE)</f>
        <v>17.7</v>
      </c>
      <c r="L122">
        <f>VLOOKUP(Table2[[#This Row],[Site]],'Site Info'!$A$1:$C$11,3, FALSE)</f>
        <v>10</v>
      </c>
      <c r="M122" t="str">
        <f>VLOOKUP(Table2[[#This Row],[Species]],'Species Table'!$A$1:$D$68,3, FALSE)</f>
        <v>Annual</v>
      </c>
      <c r="O122" s="15">
        <f>IF(SUMPRODUCT(($A$2:$A122=A122)*($B$2:$B122=B122)*($F$2:$F122=F122))&gt;1,0,1)</f>
        <v>0</v>
      </c>
      <c r="P122" s="15">
        <f>IF(SUMPRODUCT(($A$2:$A122=A122)*($B$2:$B122=B122)*($D$2:$D122=D122))&gt;1,0,1)</f>
        <v>0</v>
      </c>
    </row>
    <row r="123" spans="1:16" hidden="1" x14ac:dyDescent="0.35">
      <c r="A123" t="s">
        <v>9</v>
      </c>
      <c r="B123">
        <v>2006</v>
      </c>
      <c r="D123">
        <v>2.4</v>
      </c>
      <c r="E123">
        <f>INT(Table2[[#This Row],[Transect]])</f>
        <v>2</v>
      </c>
      <c r="F123" t="s">
        <v>10</v>
      </c>
      <c r="G123">
        <v>37</v>
      </c>
      <c r="H123">
        <v>200</v>
      </c>
      <c r="J123">
        <f>Table2[[#This Row],[Hits]]/Table2[[#This Row],[Points]]*100</f>
        <v>18.5</v>
      </c>
      <c r="K123">
        <f>VLOOKUP(Table2[[#This Row],[Site]],'Site Info'!$A$1:$C$11,2, FALSE)</f>
        <v>17.7</v>
      </c>
      <c r="L123">
        <f>VLOOKUP(Table2[[#This Row],[Site]],'Site Info'!$A$1:$C$11,3, FALSE)</f>
        <v>10</v>
      </c>
      <c r="M123" t="str">
        <f>VLOOKUP(Table2[[#This Row],[Species]],'Species Table'!$A$1:$D$68,3, FALSE)</f>
        <v>Annual</v>
      </c>
      <c r="O123" s="15">
        <f>IF(SUMPRODUCT(($A$2:$A123=A123)*($B$2:$B123=B123)*($F$2:$F123=F123))&gt;1,0,1)</f>
        <v>0</v>
      </c>
      <c r="P123" s="15">
        <f>IF(SUMPRODUCT(($A$2:$A123=A123)*($B$2:$B123=B123)*($D$2:$D123=D123))&gt;1,0,1)</f>
        <v>1</v>
      </c>
    </row>
    <row r="124" spans="1:16" x14ac:dyDescent="0.35">
      <c r="A124" t="s">
        <v>9</v>
      </c>
      <c r="B124">
        <v>2006</v>
      </c>
      <c r="D124">
        <v>2.5</v>
      </c>
      <c r="E124">
        <f>INT(Table2[[#This Row],[Transect]])</f>
        <v>2</v>
      </c>
      <c r="F124" t="s">
        <v>11</v>
      </c>
      <c r="G124">
        <v>2</v>
      </c>
      <c r="H124">
        <v>200</v>
      </c>
      <c r="J124">
        <f>Table2[[#This Row],[Hits]]/Table2[[#This Row],[Points]]*100</f>
        <v>1</v>
      </c>
      <c r="K124">
        <f>VLOOKUP(Table2[[#This Row],[Site]],'Site Info'!$A$1:$C$11,2, FALSE)</f>
        <v>17.7</v>
      </c>
      <c r="L124">
        <f>VLOOKUP(Table2[[#This Row],[Site]],'Site Info'!$A$1:$C$11,3, FALSE)</f>
        <v>10</v>
      </c>
      <c r="M124" t="str">
        <f>VLOOKUP(Table2[[#This Row],[Species]],'Species Table'!$A$1:$D$68,3, FALSE)</f>
        <v>Perennial</v>
      </c>
      <c r="O124" s="15">
        <f>IF(SUMPRODUCT(($A$2:$A124=A124)*($B$2:$B124=B124)*($F$2:$F124=F124))&gt;1,0,1)</f>
        <v>0</v>
      </c>
      <c r="P124" s="15">
        <f>IF(SUMPRODUCT(($A$2:$A124=A124)*($B$2:$B124=B124)*($D$2:$D124=D124))&gt;1,0,1)</f>
        <v>1</v>
      </c>
    </row>
    <row r="125" spans="1:16" hidden="1" x14ac:dyDescent="0.35">
      <c r="A125" t="s">
        <v>9</v>
      </c>
      <c r="B125">
        <v>2006</v>
      </c>
      <c r="D125">
        <v>2.5</v>
      </c>
      <c r="E125">
        <f>INT(Table2[[#This Row],[Transect]])</f>
        <v>2</v>
      </c>
      <c r="F125" t="s">
        <v>10</v>
      </c>
      <c r="G125">
        <v>59</v>
      </c>
      <c r="H125">
        <v>200</v>
      </c>
      <c r="J125">
        <f>Table2[[#This Row],[Hits]]/Table2[[#This Row],[Points]]*100</f>
        <v>29.5</v>
      </c>
      <c r="K125">
        <f>VLOOKUP(Table2[[#This Row],[Site]],'Site Info'!$A$1:$C$11,2, FALSE)</f>
        <v>17.7</v>
      </c>
      <c r="L125">
        <f>VLOOKUP(Table2[[#This Row],[Site]],'Site Info'!$A$1:$C$11,3, FALSE)</f>
        <v>10</v>
      </c>
      <c r="M125" t="str">
        <f>VLOOKUP(Table2[[#This Row],[Species]],'Species Table'!$A$1:$D$68,3, FALSE)</f>
        <v>Annual</v>
      </c>
      <c r="O125" s="15">
        <f>IF(SUMPRODUCT(($A$2:$A125=A125)*($B$2:$B125=B125)*($F$2:$F125=F125))&gt;1,0,1)</f>
        <v>0</v>
      </c>
      <c r="P125" s="15">
        <f>IF(SUMPRODUCT(($A$2:$A125=A125)*($B$2:$B125=B125)*($D$2:$D125=D125))&gt;1,0,1)</f>
        <v>0</v>
      </c>
    </row>
    <row r="126" spans="1:16" hidden="1" x14ac:dyDescent="0.35">
      <c r="A126" t="s">
        <v>9</v>
      </c>
      <c r="B126">
        <v>2006</v>
      </c>
      <c r="D126">
        <v>2.5</v>
      </c>
      <c r="E126">
        <f>INT(Table2[[#This Row],[Transect]])</f>
        <v>2</v>
      </c>
      <c r="F126" t="s">
        <v>33</v>
      </c>
      <c r="G126">
        <v>5</v>
      </c>
      <c r="H126">
        <v>200</v>
      </c>
      <c r="J126">
        <f>Table2[[#This Row],[Hits]]/Table2[[#This Row],[Points]]*100</f>
        <v>2.5</v>
      </c>
      <c r="K126">
        <f>VLOOKUP(Table2[[#This Row],[Site]],'Site Info'!$A$1:$C$11,2, FALSE)</f>
        <v>17.7</v>
      </c>
      <c r="L126">
        <f>VLOOKUP(Table2[[#This Row],[Site]],'Site Info'!$A$1:$C$11,3, FALSE)</f>
        <v>10</v>
      </c>
      <c r="M126" t="str">
        <f>VLOOKUP(Table2[[#This Row],[Species]],'Species Table'!$A$1:$D$68,3, FALSE)</f>
        <v>Annual</v>
      </c>
      <c r="O126" s="15">
        <f>IF(SUMPRODUCT(($A$2:$A126=A126)*($B$2:$B126=B126)*($F$2:$F126=F126))&gt;1,0,1)</f>
        <v>0</v>
      </c>
      <c r="P126" s="15">
        <f>IF(SUMPRODUCT(($A$2:$A126=A126)*($B$2:$B126=B126)*($D$2:$D126=D126))&gt;1,0,1)</f>
        <v>0</v>
      </c>
    </row>
    <row r="127" spans="1:16" hidden="1" x14ac:dyDescent="0.35">
      <c r="A127" t="s">
        <v>9</v>
      </c>
      <c r="B127">
        <v>2006</v>
      </c>
      <c r="D127">
        <v>2.6</v>
      </c>
      <c r="E127">
        <f>INT(Table2[[#This Row],[Transect]])</f>
        <v>2</v>
      </c>
      <c r="F127" t="s">
        <v>10</v>
      </c>
      <c r="G127">
        <v>96</v>
      </c>
      <c r="H127">
        <v>200</v>
      </c>
      <c r="J127">
        <f>Table2[[#This Row],[Hits]]/Table2[[#This Row],[Points]]*100</f>
        <v>48</v>
      </c>
      <c r="K127">
        <f>VLOOKUP(Table2[[#This Row],[Site]],'Site Info'!$A$1:$C$11,2, FALSE)</f>
        <v>17.7</v>
      </c>
      <c r="L127">
        <f>VLOOKUP(Table2[[#This Row],[Site]],'Site Info'!$A$1:$C$11,3, FALSE)</f>
        <v>10</v>
      </c>
      <c r="M127" t="str">
        <f>VLOOKUP(Table2[[#This Row],[Species]],'Species Table'!$A$1:$D$68,3, FALSE)</f>
        <v>Annual</v>
      </c>
      <c r="O127" s="15">
        <f>IF(SUMPRODUCT(($A$2:$A127=A127)*($B$2:$B127=B127)*($F$2:$F127=F127))&gt;1,0,1)</f>
        <v>0</v>
      </c>
      <c r="P127" s="15">
        <f>IF(SUMPRODUCT(($A$2:$A127=A127)*($B$2:$B127=B127)*($D$2:$D127=D127))&gt;1,0,1)</f>
        <v>1</v>
      </c>
    </row>
    <row r="128" spans="1:16" hidden="1" x14ac:dyDescent="0.35">
      <c r="A128" t="s">
        <v>9</v>
      </c>
      <c r="B128">
        <v>2006</v>
      </c>
      <c r="D128">
        <v>2.6</v>
      </c>
      <c r="E128">
        <f>INT(Table2[[#This Row],[Transect]])</f>
        <v>2</v>
      </c>
      <c r="F128" t="s">
        <v>20</v>
      </c>
      <c r="G128">
        <v>3</v>
      </c>
      <c r="H128">
        <v>200</v>
      </c>
      <c r="J128">
        <f>Table2[[#This Row],[Hits]]/Table2[[#This Row],[Points]]*100</f>
        <v>1.5</v>
      </c>
      <c r="K128">
        <f>VLOOKUP(Table2[[#This Row],[Site]],'Site Info'!$A$1:$C$11,2, FALSE)</f>
        <v>17.7</v>
      </c>
      <c r="L128">
        <f>VLOOKUP(Table2[[#This Row],[Site]],'Site Info'!$A$1:$C$11,3, FALSE)</f>
        <v>10</v>
      </c>
      <c r="M128" t="str">
        <f>VLOOKUP(Table2[[#This Row],[Species]],'Species Table'!$A$1:$D$68,3, FALSE)</f>
        <v>Annual</v>
      </c>
      <c r="O128" s="15">
        <f>IF(SUMPRODUCT(($A$2:$A128=A128)*($B$2:$B128=B128)*($F$2:$F128=F128))&gt;1,0,1)</f>
        <v>1</v>
      </c>
      <c r="P128" s="15">
        <f>IF(SUMPRODUCT(($A$2:$A128=A128)*($B$2:$B128=B128)*($D$2:$D128=D128))&gt;1,0,1)</f>
        <v>0</v>
      </c>
    </row>
    <row r="129" spans="1:16" x14ac:dyDescent="0.35">
      <c r="A129" t="s">
        <v>9</v>
      </c>
      <c r="B129">
        <v>2006</v>
      </c>
      <c r="D129">
        <v>2.7</v>
      </c>
      <c r="E129">
        <f>INT(Table2[[#This Row],[Transect]])</f>
        <v>2</v>
      </c>
      <c r="F129" t="s">
        <v>11</v>
      </c>
      <c r="G129">
        <v>2</v>
      </c>
      <c r="H129">
        <v>200</v>
      </c>
      <c r="J129">
        <f>Table2[[#This Row],[Hits]]/Table2[[#This Row],[Points]]*100</f>
        <v>1</v>
      </c>
      <c r="K129">
        <f>VLOOKUP(Table2[[#This Row],[Site]],'Site Info'!$A$1:$C$11,2, FALSE)</f>
        <v>17.7</v>
      </c>
      <c r="L129">
        <f>VLOOKUP(Table2[[#This Row],[Site]],'Site Info'!$A$1:$C$11,3, FALSE)</f>
        <v>10</v>
      </c>
      <c r="M129" t="str">
        <f>VLOOKUP(Table2[[#This Row],[Species]],'Species Table'!$A$1:$D$68,3, FALSE)</f>
        <v>Perennial</v>
      </c>
      <c r="O129" s="15">
        <f>IF(SUMPRODUCT(($A$2:$A129=A129)*($B$2:$B129=B129)*($F$2:$F129=F129))&gt;1,0,1)</f>
        <v>0</v>
      </c>
      <c r="P129" s="15">
        <f>IF(SUMPRODUCT(($A$2:$A129=A129)*($B$2:$B129=B129)*($D$2:$D129=D129))&gt;1,0,1)</f>
        <v>1</v>
      </c>
    </row>
    <row r="130" spans="1:16" hidden="1" x14ac:dyDescent="0.35">
      <c r="A130" t="s">
        <v>9</v>
      </c>
      <c r="B130">
        <v>2006</v>
      </c>
      <c r="D130">
        <v>2.7</v>
      </c>
      <c r="E130">
        <f>INT(Table2[[#This Row],[Transect]])</f>
        <v>2</v>
      </c>
      <c r="F130" t="s">
        <v>10</v>
      </c>
      <c r="G130">
        <v>6</v>
      </c>
      <c r="H130">
        <v>200</v>
      </c>
      <c r="J130">
        <f>Table2[[#This Row],[Hits]]/Table2[[#This Row],[Points]]*100</f>
        <v>3</v>
      </c>
      <c r="K130">
        <f>VLOOKUP(Table2[[#This Row],[Site]],'Site Info'!$A$1:$C$11,2, FALSE)</f>
        <v>17.7</v>
      </c>
      <c r="L130">
        <f>VLOOKUP(Table2[[#This Row],[Site]],'Site Info'!$A$1:$C$11,3, FALSE)</f>
        <v>10</v>
      </c>
      <c r="M130" t="str">
        <f>VLOOKUP(Table2[[#This Row],[Species]],'Species Table'!$A$1:$D$68,3, FALSE)</f>
        <v>Annual</v>
      </c>
      <c r="O130" s="15">
        <f>IF(SUMPRODUCT(($A$2:$A130=A130)*($B$2:$B130=B130)*($F$2:$F130=F130))&gt;1,0,1)</f>
        <v>0</v>
      </c>
      <c r="P130" s="15">
        <f>IF(SUMPRODUCT(($A$2:$A130=A130)*($B$2:$B130=B130)*($D$2:$D130=D130))&gt;1,0,1)</f>
        <v>0</v>
      </c>
    </row>
    <row r="131" spans="1:16" hidden="1" x14ac:dyDescent="0.35">
      <c r="A131" t="s">
        <v>9</v>
      </c>
      <c r="B131">
        <v>2006</v>
      </c>
      <c r="D131">
        <v>3.1</v>
      </c>
      <c r="E131">
        <f>INT(Table2[[#This Row],[Transect]])</f>
        <v>3</v>
      </c>
      <c r="F131" t="s">
        <v>10</v>
      </c>
      <c r="G131">
        <v>52</v>
      </c>
      <c r="H131">
        <v>200</v>
      </c>
      <c r="J131">
        <f>Table2[[#This Row],[Hits]]/Table2[[#This Row],[Points]]*100</f>
        <v>26</v>
      </c>
      <c r="K131">
        <f>VLOOKUP(Table2[[#This Row],[Site]],'Site Info'!$A$1:$C$11,2, FALSE)</f>
        <v>17.7</v>
      </c>
      <c r="L131">
        <f>VLOOKUP(Table2[[#This Row],[Site]],'Site Info'!$A$1:$C$11,3, FALSE)</f>
        <v>10</v>
      </c>
      <c r="M131" t="str">
        <f>VLOOKUP(Table2[[#This Row],[Species]],'Species Table'!$A$1:$D$68,3, FALSE)</f>
        <v>Annual</v>
      </c>
      <c r="O131" s="15">
        <f>IF(SUMPRODUCT(($A$2:$A131=A131)*($B$2:$B131=B131)*($F$2:$F131=F131))&gt;1,0,1)</f>
        <v>0</v>
      </c>
      <c r="P131" s="15">
        <f>IF(SUMPRODUCT(($A$2:$A131=A131)*($B$2:$B131=B131)*($D$2:$D131=D131))&gt;1,0,1)</f>
        <v>1</v>
      </c>
    </row>
    <row r="132" spans="1:16" hidden="1" x14ac:dyDescent="0.35">
      <c r="A132" t="s">
        <v>9</v>
      </c>
      <c r="B132">
        <v>2006</v>
      </c>
      <c r="D132">
        <v>3.2</v>
      </c>
      <c r="E132">
        <f>INT(Table2[[#This Row],[Transect]])</f>
        <v>3</v>
      </c>
      <c r="F132" t="s">
        <v>10</v>
      </c>
      <c r="G132">
        <v>82</v>
      </c>
      <c r="H132">
        <v>200</v>
      </c>
      <c r="J132">
        <f>Table2[[#This Row],[Hits]]/Table2[[#This Row],[Points]]*100</f>
        <v>41</v>
      </c>
      <c r="K132">
        <f>VLOOKUP(Table2[[#This Row],[Site]],'Site Info'!$A$1:$C$11,2, FALSE)</f>
        <v>17.7</v>
      </c>
      <c r="L132">
        <f>VLOOKUP(Table2[[#This Row],[Site]],'Site Info'!$A$1:$C$11,3, FALSE)</f>
        <v>10</v>
      </c>
      <c r="M132" t="str">
        <f>VLOOKUP(Table2[[#This Row],[Species]],'Species Table'!$A$1:$D$68,3, FALSE)</f>
        <v>Annual</v>
      </c>
      <c r="O132" s="15">
        <f>IF(SUMPRODUCT(($A$2:$A132=A132)*($B$2:$B132=B132)*($F$2:$F132=F132))&gt;1,0,1)</f>
        <v>0</v>
      </c>
      <c r="P132" s="15">
        <f>IF(SUMPRODUCT(($A$2:$A132=A132)*($B$2:$B132=B132)*($D$2:$D132=D132))&gt;1,0,1)</f>
        <v>1</v>
      </c>
    </row>
    <row r="133" spans="1:16" hidden="1" x14ac:dyDescent="0.35">
      <c r="A133" t="s">
        <v>9</v>
      </c>
      <c r="B133">
        <v>2006</v>
      </c>
      <c r="D133">
        <v>3.3</v>
      </c>
      <c r="E133">
        <f>INT(Table2[[#This Row],[Transect]])</f>
        <v>3</v>
      </c>
      <c r="F133" t="s">
        <v>10</v>
      </c>
      <c r="G133">
        <v>15</v>
      </c>
      <c r="H133">
        <v>200</v>
      </c>
      <c r="J133">
        <f>Table2[[#This Row],[Hits]]/Table2[[#This Row],[Points]]*100</f>
        <v>7.5</v>
      </c>
      <c r="K133">
        <f>VLOOKUP(Table2[[#This Row],[Site]],'Site Info'!$A$1:$C$11,2, FALSE)</f>
        <v>17.7</v>
      </c>
      <c r="L133">
        <f>VLOOKUP(Table2[[#This Row],[Site]],'Site Info'!$A$1:$C$11,3, FALSE)</f>
        <v>10</v>
      </c>
      <c r="M133" t="str">
        <f>VLOOKUP(Table2[[#This Row],[Species]],'Species Table'!$A$1:$D$68,3, FALSE)</f>
        <v>Annual</v>
      </c>
      <c r="O133" s="15">
        <f>IF(SUMPRODUCT(($A$2:$A133=A133)*($B$2:$B133=B133)*($F$2:$F133=F133))&gt;1,0,1)</f>
        <v>0</v>
      </c>
      <c r="P133" s="15">
        <f>IF(SUMPRODUCT(($A$2:$A133=A133)*($B$2:$B133=B133)*($D$2:$D133=D133))&gt;1,0,1)</f>
        <v>1</v>
      </c>
    </row>
    <row r="134" spans="1:16" hidden="1" x14ac:dyDescent="0.35">
      <c r="A134" t="s">
        <v>9</v>
      </c>
      <c r="B134">
        <v>2006</v>
      </c>
      <c r="D134">
        <v>3.4</v>
      </c>
      <c r="E134">
        <f>INT(Table2[[#This Row],[Transect]])</f>
        <v>3</v>
      </c>
      <c r="F134" t="s">
        <v>127</v>
      </c>
      <c r="G134">
        <v>0</v>
      </c>
      <c r="H134">
        <v>200</v>
      </c>
      <c r="J134">
        <f>Table2[[#This Row],[Hits]]/Table2[[#This Row],[Points]]*100</f>
        <v>0</v>
      </c>
      <c r="K134">
        <f>VLOOKUP(Table2[[#This Row],[Site]],'Site Info'!$A$1:$C$11,2, FALSE)</f>
        <v>17.7</v>
      </c>
      <c r="L134">
        <f>VLOOKUP(Table2[[#This Row],[Site]],'Site Info'!$A$1:$C$11,3, FALSE)</f>
        <v>10</v>
      </c>
      <c r="M134" t="str">
        <f>VLOOKUP(Table2[[#This Row],[Species]],'Species Table'!$A$1:$D$68,3, FALSE)</f>
        <v>NA</v>
      </c>
      <c r="O134" s="15">
        <f>IF(SUMPRODUCT(($A$2:$A134=A134)*($B$2:$B134=B134)*($F$2:$F134=F134))&gt;1,0,1)</f>
        <v>0</v>
      </c>
      <c r="P134" s="15">
        <f>IF(SUMPRODUCT(($A$2:$A134=A134)*($B$2:$B134=B134)*($D$2:$D134=D134))&gt;1,0,1)</f>
        <v>1</v>
      </c>
    </row>
    <row r="135" spans="1:16" hidden="1" x14ac:dyDescent="0.35">
      <c r="A135" t="s">
        <v>9</v>
      </c>
      <c r="B135">
        <v>2006</v>
      </c>
      <c r="D135">
        <v>3.5</v>
      </c>
      <c r="E135">
        <f>INT(Table2[[#This Row],[Transect]])</f>
        <v>3</v>
      </c>
      <c r="F135" t="s">
        <v>127</v>
      </c>
      <c r="G135">
        <v>0</v>
      </c>
      <c r="H135">
        <v>200</v>
      </c>
      <c r="J135">
        <f>Table2[[#This Row],[Hits]]/Table2[[#This Row],[Points]]*100</f>
        <v>0</v>
      </c>
      <c r="K135">
        <f>VLOOKUP(Table2[[#This Row],[Site]],'Site Info'!$A$1:$C$11,2, FALSE)</f>
        <v>17.7</v>
      </c>
      <c r="L135">
        <f>VLOOKUP(Table2[[#This Row],[Site]],'Site Info'!$A$1:$C$11,3, FALSE)</f>
        <v>10</v>
      </c>
      <c r="M135" t="str">
        <f>VLOOKUP(Table2[[#This Row],[Species]],'Species Table'!$A$1:$D$68,3, FALSE)</f>
        <v>NA</v>
      </c>
      <c r="O135" s="15">
        <f>IF(SUMPRODUCT(($A$2:$A135=A135)*($B$2:$B135=B135)*($F$2:$F135=F135))&gt;1,0,1)</f>
        <v>0</v>
      </c>
      <c r="P135" s="15">
        <f>IF(SUMPRODUCT(($A$2:$A135=A135)*($B$2:$B135=B135)*($D$2:$D135=D135))&gt;1,0,1)</f>
        <v>1</v>
      </c>
    </row>
    <row r="136" spans="1:16" hidden="1" x14ac:dyDescent="0.35">
      <c r="A136" t="s">
        <v>9</v>
      </c>
      <c r="B136">
        <v>2006</v>
      </c>
      <c r="D136">
        <v>3.6</v>
      </c>
      <c r="E136">
        <f>INT(Table2[[#This Row],[Transect]])</f>
        <v>3</v>
      </c>
      <c r="F136" t="s">
        <v>10</v>
      </c>
      <c r="G136">
        <v>44</v>
      </c>
      <c r="H136">
        <v>200</v>
      </c>
      <c r="J136">
        <f>Table2[[#This Row],[Hits]]/Table2[[#This Row],[Points]]*100</f>
        <v>22</v>
      </c>
      <c r="K136">
        <f>VLOOKUP(Table2[[#This Row],[Site]],'Site Info'!$A$1:$C$11,2, FALSE)</f>
        <v>17.7</v>
      </c>
      <c r="L136">
        <f>VLOOKUP(Table2[[#This Row],[Site]],'Site Info'!$A$1:$C$11,3, FALSE)</f>
        <v>10</v>
      </c>
      <c r="M136" t="str">
        <f>VLOOKUP(Table2[[#This Row],[Species]],'Species Table'!$A$1:$D$68,3, FALSE)</f>
        <v>Annual</v>
      </c>
      <c r="O136" s="15">
        <f>IF(SUMPRODUCT(($A$2:$A136=A136)*($B$2:$B136=B136)*($F$2:$F136=F136))&gt;1,0,1)</f>
        <v>0</v>
      </c>
      <c r="P136" s="15">
        <f>IF(SUMPRODUCT(($A$2:$A136=A136)*($B$2:$B136=B136)*($D$2:$D136=D136))&gt;1,0,1)</f>
        <v>1</v>
      </c>
    </row>
    <row r="137" spans="1:16" x14ac:dyDescent="0.35">
      <c r="A137" t="s">
        <v>9</v>
      </c>
      <c r="B137">
        <v>2006</v>
      </c>
      <c r="D137">
        <v>3.6</v>
      </c>
      <c r="E137">
        <f>INT(Table2[[#This Row],[Transect]])</f>
        <v>3</v>
      </c>
      <c r="F137" t="s">
        <v>4</v>
      </c>
      <c r="G137">
        <v>8</v>
      </c>
      <c r="H137">
        <v>200</v>
      </c>
      <c r="J137">
        <f>Table2[[#This Row],[Hits]]/Table2[[#This Row],[Points]]*100</f>
        <v>4</v>
      </c>
      <c r="K137">
        <f>VLOOKUP(Table2[[#This Row],[Site]],'Site Info'!$A$1:$C$11,2, FALSE)</f>
        <v>17.7</v>
      </c>
      <c r="L137">
        <f>VLOOKUP(Table2[[#This Row],[Site]],'Site Info'!$A$1:$C$11,3, FALSE)</f>
        <v>10</v>
      </c>
      <c r="M137" t="str">
        <f>VLOOKUP(Table2[[#This Row],[Species]],'Species Table'!$A$1:$D$68,3, FALSE)</f>
        <v>Perennial</v>
      </c>
      <c r="O137" s="15">
        <f>IF(SUMPRODUCT(($A$2:$A137=A137)*($B$2:$B137=B137)*($F$2:$F137=F137))&gt;1,0,1)</f>
        <v>1</v>
      </c>
      <c r="P137" s="15">
        <f>IF(SUMPRODUCT(($A$2:$A137=A137)*($B$2:$B137=B137)*($D$2:$D137=D137))&gt;1,0,1)</f>
        <v>0</v>
      </c>
    </row>
    <row r="138" spans="1:16" x14ac:dyDescent="0.35">
      <c r="A138" t="s">
        <v>9</v>
      </c>
      <c r="B138">
        <v>2006</v>
      </c>
      <c r="D138">
        <v>3.6</v>
      </c>
      <c r="E138">
        <f>INT(Table2[[#This Row],[Transect]])</f>
        <v>3</v>
      </c>
      <c r="F138" t="s">
        <v>34</v>
      </c>
      <c r="G138">
        <v>1</v>
      </c>
      <c r="H138">
        <v>200</v>
      </c>
      <c r="J138">
        <f>Table2[[#This Row],[Hits]]/Table2[[#This Row],[Points]]*100</f>
        <v>0.5</v>
      </c>
      <c r="K138">
        <f>VLOOKUP(Table2[[#This Row],[Site]],'Site Info'!$A$1:$C$11,2, FALSE)</f>
        <v>17.7</v>
      </c>
      <c r="L138">
        <f>VLOOKUP(Table2[[#This Row],[Site]],'Site Info'!$A$1:$C$11,3, FALSE)</f>
        <v>10</v>
      </c>
      <c r="M138" t="str">
        <f>VLOOKUP(Table2[[#This Row],[Species]],'Species Table'!$A$1:$D$68,3, FALSE)</f>
        <v>Perennial</v>
      </c>
      <c r="O138" s="15">
        <f>IF(SUMPRODUCT(($A$2:$A138=A138)*($B$2:$B138=B138)*($F$2:$F138=F138))&gt;1,0,1)</f>
        <v>1</v>
      </c>
      <c r="P138" s="15">
        <f>IF(SUMPRODUCT(($A$2:$A138=A138)*($B$2:$B138=B138)*($D$2:$D138=D138))&gt;1,0,1)</f>
        <v>0</v>
      </c>
    </row>
    <row r="139" spans="1:16" x14ac:dyDescent="0.35">
      <c r="A139" t="s">
        <v>9</v>
      </c>
      <c r="B139">
        <v>2006</v>
      </c>
      <c r="D139">
        <v>3.7</v>
      </c>
      <c r="E139">
        <f>INT(Table2[[#This Row],[Transect]])</f>
        <v>3</v>
      </c>
      <c r="F139" t="s">
        <v>11</v>
      </c>
      <c r="G139">
        <v>16</v>
      </c>
      <c r="H139">
        <v>200</v>
      </c>
      <c r="J139">
        <f>Table2[[#This Row],[Hits]]/Table2[[#This Row],[Points]]*100</f>
        <v>8</v>
      </c>
      <c r="K139">
        <f>VLOOKUP(Table2[[#This Row],[Site]],'Site Info'!$A$1:$C$11,2, FALSE)</f>
        <v>17.7</v>
      </c>
      <c r="L139">
        <f>VLOOKUP(Table2[[#This Row],[Site]],'Site Info'!$A$1:$C$11,3, FALSE)</f>
        <v>10</v>
      </c>
      <c r="M139" t="str">
        <f>VLOOKUP(Table2[[#This Row],[Species]],'Species Table'!$A$1:$D$68,3, FALSE)</f>
        <v>Perennial</v>
      </c>
      <c r="O139" s="15">
        <f>IF(SUMPRODUCT(($A$2:$A139=A139)*($B$2:$B139=B139)*($F$2:$F139=F139))&gt;1,0,1)</f>
        <v>0</v>
      </c>
      <c r="P139" s="15">
        <f>IF(SUMPRODUCT(($A$2:$A139=A139)*($B$2:$B139=B139)*($D$2:$D139=D139))&gt;1,0,1)</f>
        <v>1</v>
      </c>
    </row>
    <row r="140" spans="1:16" x14ac:dyDescent="0.35">
      <c r="A140" t="s">
        <v>9</v>
      </c>
      <c r="B140">
        <v>2006</v>
      </c>
      <c r="D140">
        <v>4.0999999999999996</v>
      </c>
      <c r="E140">
        <f>INT(Table2[[#This Row],[Transect]])</f>
        <v>4</v>
      </c>
      <c r="F140" t="s">
        <v>11</v>
      </c>
      <c r="G140">
        <v>5</v>
      </c>
      <c r="H140">
        <v>200</v>
      </c>
      <c r="J140">
        <f>Table2[[#This Row],[Hits]]/Table2[[#This Row],[Points]]*100</f>
        <v>2.5</v>
      </c>
      <c r="K140">
        <f>VLOOKUP(Table2[[#This Row],[Site]],'Site Info'!$A$1:$C$11,2, FALSE)</f>
        <v>17.7</v>
      </c>
      <c r="L140">
        <f>VLOOKUP(Table2[[#This Row],[Site]],'Site Info'!$A$1:$C$11,3, FALSE)</f>
        <v>10</v>
      </c>
      <c r="M140" t="str">
        <f>VLOOKUP(Table2[[#This Row],[Species]],'Species Table'!$A$1:$D$68,3, FALSE)</f>
        <v>Perennial</v>
      </c>
      <c r="O140" s="15">
        <f>IF(SUMPRODUCT(($A$2:$A140=A140)*($B$2:$B140=B140)*($F$2:$F140=F140))&gt;1,0,1)</f>
        <v>0</v>
      </c>
      <c r="P140" s="15">
        <f>IF(SUMPRODUCT(($A$2:$A140=A140)*($B$2:$B140=B140)*($D$2:$D140=D140))&gt;1,0,1)</f>
        <v>1</v>
      </c>
    </row>
    <row r="141" spans="1:16" x14ac:dyDescent="0.35">
      <c r="A141" t="s">
        <v>9</v>
      </c>
      <c r="B141">
        <v>2006</v>
      </c>
      <c r="D141">
        <v>4.2</v>
      </c>
      <c r="E141">
        <f>INT(Table2[[#This Row],[Transect]])</f>
        <v>4</v>
      </c>
      <c r="F141" t="s">
        <v>11</v>
      </c>
      <c r="G141">
        <v>5</v>
      </c>
      <c r="H141">
        <v>200</v>
      </c>
      <c r="J141">
        <f>Table2[[#This Row],[Hits]]/Table2[[#This Row],[Points]]*100</f>
        <v>2.5</v>
      </c>
      <c r="K141">
        <f>VLOOKUP(Table2[[#This Row],[Site]],'Site Info'!$A$1:$C$11,2, FALSE)</f>
        <v>17.7</v>
      </c>
      <c r="L141">
        <f>VLOOKUP(Table2[[#This Row],[Site]],'Site Info'!$A$1:$C$11,3, FALSE)</f>
        <v>10</v>
      </c>
      <c r="M141" t="str">
        <f>VLOOKUP(Table2[[#This Row],[Species]],'Species Table'!$A$1:$D$68,3, FALSE)</f>
        <v>Perennial</v>
      </c>
      <c r="O141" s="15">
        <f>IF(SUMPRODUCT(($A$2:$A141=A141)*($B$2:$B141=B141)*($F$2:$F141=F141))&gt;1,0,1)</f>
        <v>0</v>
      </c>
      <c r="P141" s="15">
        <f>IF(SUMPRODUCT(($A$2:$A141=A141)*($B$2:$B141=B141)*($D$2:$D141=D141))&gt;1,0,1)</f>
        <v>1</v>
      </c>
    </row>
    <row r="142" spans="1:16" x14ac:dyDescent="0.35">
      <c r="A142" t="s">
        <v>9</v>
      </c>
      <c r="B142">
        <v>2006</v>
      </c>
      <c r="D142">
        <v>4.3</v>
      </c>
      <c r="E142">
        <f>INT(Table2[[#This Row],[Transect]])</f>
        <v>4</v>
      </c>
      <c r="F142" t="s">
        <v>11</v>
      </c>
      <c r="G142">
        <v>2</v>
      </c>
      <c r="H142">
        <v>200</v>
      </c>
      <c r="J142">
        <f>Table2[[#This Row],[Hits]]/Table2[[#This Row],[Points]]*100</f>
        <v>1</v>
      </c>
      <c r="K142">
        <f>VLOOKUP(Table2[[#This Row],[Site]],'Site Info'!$A$1:$C$11,2, FALSE)</f>
        <v>17.7</v>
      </c>
      <c r="L142">
        <f>VLOOKUP(Table2[[#This Row],[Site]],'Site Info'!$A$1:$C$11,3, FALSE)</f>
        <v>10</v>
      </c>
      <c r="M142" t="str">
        <f>VLOOKUP(Table2[[#This Row],[Species]],'Species Table'!$A$1:$D$68,3, FALSE)</f>
        <v>Perennial</v>
      </c>
      <c r="O142" s="15">
        <f>IF(SUMPRODUCT(($A$2:$A142=A142)*($B$2:$B142=B142)*($F$2:$F142=F142))&gt;1,0,1)</f>
        <v>0</v>
      </c>
      <c r="P142" s="15">
        <f>IF(SUMPRODUCT(($A$2:$A142=A142)*($B$2:$B142=B142)*($D$2:$D142=D142))&gt;1,0,1)</f>
        <v>1</v>
      </c>
    </row>
    <row r="143" spans="1:16" hidden="1" x14ac:dyDescent="0.35">
      <c r="A143" t="s">
        <v>9</v>
      </c>
      <c r="B143">
        <v>2006</v>
      </c>
      <c r="D143">
        <v>4.3</v>
      </c>
      <c r="E143">
        <f>INT(Table2[[#This Row],[Transect]])</f>
        <v>4</v>
      </c>
      <c r="F143" t="s">
        <v>10</v>
      </c>
      <c r="G143">
        <v>2</v>
      </c>
      <c r="H143">
        <v>200</v>
      </c>
      <c r="J143">
        <f>Table2[[#This Row],[Hits]]/Table2[[#This Row],[Points]]*100</f>
        <v>1</v>
      </c>
      <c r="K143">
        <f>VLOOKUP(Table2[[#This Row],[Site]],'Site Info'!$A$1:$C$11,2, FALSE)</f>
        <v>17.7</v>
      </c>
      <c r="L143">
        <f>VLOOKUP(Table2[[#This Row],[Site]],'Site Info'!$A$1:$C$11,3, FALSE)</f>
        <v>10</v>
      </c>
      <c r="M143" t="str">
        <f>VLOOKUP(Table2[[#This Row],[Species]],'Species Table'!$A$1:$D$68,3, FALSE)</f>
        <v>Annual</v>
      </c>
      <c r="O143" s="15">
        <f>IF(SUMPRODUCT(($A$2:$A143=A143)*($B$2:$B143=B143)*($F$2:$F143=F143))&gt;1,0,1)</f>
        <v>0</v>
      </c>
      <c r="P143" s="15">
        <f>IF(SUMPRODUCT(($A$2:$A143=A143)*($B$2:$B143=B143)*($D$2:$D143=D143))&gt;1,0,1)</f>
        <v>0</v>
      </c>
    </row>
    <row r="144" spans="1:16" hidden="1" x14ac:dyDescent="0.35">
      <c r="A144" t="s">
        <v>9</v>
      </c>
      <c r="B144">
        <v>2006</v>
      </c>
      <c r="D144">
        <v>4.4000000000000004</v>
      </c>
      <c r="E144">
        <f>INT(Table2[[#This Row],[Transect]])</f>
        <v>4</v>
      </c>
      <c r="F144" t="s">
        <v>10</v>
      </c>
      <c r="G144">
        <v>2</v>
      </c>
      <c r="H144">
        <v>200</v>
      </c>
      <c r="J144">
        <f>Table2[[#This Row],[Hits]]/Table2[[#This Row],[Points]]*100</f>
        <v>1</v>
      </c>
      <c r="K144">
        <f>VLOOKUP(Table2[[#This Row],[Site]],'Site Info'!$A$1:$C$11,2, FALSE)</f>
        <v>17.7</v>
      </c>
      <c r="L144">
        <f>VLOOKUP(Table2[[#This Row],[Site]],'Site Info'!$A$1:$C$11,3, FALSE)</f>
        <v>10</v>
      </c>
      <c r="M144" t="str">
        <f>VLOOKUP(Table2[[#This Row],[Species]],'Species Table'!$A$1:$D$68,3, FALSE)</f>
        <v>Annual</v>
      </c>
      <c r="O144" s="15">
        <f>IF(SUMPRODUCT(($A$2:$A144=A144)*($B$2:$B144=B144)*($F$2:$F144=F144))&gt;1,0,1)</f>
        <v>0</v>
      </c>
      <c r="P144" s="15">
        <f>IF(SUMPRODUCT(($A$2:$A144=A144)*($B$2:$B144=B144)*($D$2:$D144=D144))&gt;1,0,1)</f>
        <v>1</v>
      </c>
    </row>
    <row r="145" spans="1:16" x14ac:dyDescent="0.35">
      <c r="A145" t="s">
        <v>9</v>
      </c>
      <c r="B145">
        <v>2006</v>
      </c>
      <c r="D145">
        <v>4.5</v>
      </c>
      <c r="E145">
        <f>INT(Table2[[#This Row],[Transect]])</f>
        <v>4</v>
      </c>
      <c r="F145" t="s">
        <v>11</v>
      </c>
      <c r="G145">
        <v>2</v>
      </c>
      <c r="H145">
        <v>200</v>
      </c>
      <c r="J145">
        <f>Table2[[#This Row],[Hits]]/Table2[[#This Row],[Points]]*100</f>
        <v>1</v>
      </c>
      <c r="K145">
        <f>VLOOKUP(Table2[[#This Row],[Site]],'Site Info'!$A$1:$C$11,2, FALSE)</f>
        <v>17.7</v>
      </c>
      <c r="L145">
        <f>VLOOKUP(Table2[[#This Row],[Site]],'Site Info'!$A$1:$C$11,3, FALSE)</f>
        <v>10</v>
      </c>
      <c r="M145" t="str">
        <f>VLOOKUP(Table2[[#This Row],[Species]],'Species Table'!$A$1:$D$68,3, FALSE)</f>
        <v>Perennial</v>
      </c>
      <c r="O145" s="15">
        <f>IF(SUMPRODUCT(($A$2:$A145=A145)*($B$2:$B145=B145)*($F$2:$F145=F145))&gt;1,0,1)</f>
        <v>0</v>
      </c>
      <c r="P145" s="15">
        <f>IF(SUMPRODUCT(($A$2:$A145=A145)*($B$2:$B145=B145)*($D$2:$D145=D145))&gt;1,0,1)</f>
        <v>1</v>
      </c>
    </row>
    <row r="146" spans="1:16" x14ac:dyDescent="0.35">
      <c r="A146" t="s">
        <v>9</v>
      </c>
      <c r="B146">
        <v>2006</v>
      </c>
      <c r="D146">
        <v>4.5999999999999996</v>
      </c>
      <c r="E146">
        <f>INT(Table2[[#This Row],[Transect]])</f>
        <v>4</v>
      </c>
      <c r="F146" t="s">
        <v>11</v>
      </c>
      <c r="G146">
        <v>3</v>
      </c>
      <c r="H146">
        <v>200</v>
      </c>
      <c r="J146">
        <f>Table2[[#This Row],[Hits]]/Table2[[#This Row],[Points]]*100</f>
        <v>1.5</v>
      </c>
      <c r="K146">
        <f>VLOOKUP(Table2[[#This Row],[Site]],'Site Info'!$A$1:$C$11,2, FALSE)</f>
        <v>17.7</v>
      </c>
      <c r="L146">
        <f>VLOOKUP(Table2[[#This Row],[Site]],'Site Info'!$A$1:$C$11,3, FALSE)</f>
        <v>10</v>
      </c>
      <c r="M146" t="str">
        <f>VLOOKUP(Table2[[#This Row],[Species]],'Species Table'!$A$1:$D$68,3, FALSE)</f>
        <v>Perennial</v>
      </c>
      <c r="O146" s="15">
        <f>IF(SUMPRODUCT(($A$2:$A146=A146)*($B$2:$B146=B146)*($F$2:$F146=F146))&gt;1,0,1)</f>
        <v>0</v>
      </c>
      <c r="P146" s="15">
        <f>IF(SUMPRODUCT(($A$2:$A146=A146)*($B$2:$B146=B146)*($D$2:$D146=D146))&gt;1,0,1)</f>
        <v>1</v>
      </c>
    </row>
    <row r="147" spans="1:16" x14ac:dyDescent="0.35">
      <c r="A147" t="s">
        <v>9</v>
      </c>
      <c r="B147">
        <v>2006</v>
      </c>
      <c r="D147">
        <v>4.5999999999999996</v>
      </c>
      <c r="E147">
        <f>INT(Table2[[#This Row],[Transect]])</f>
        <v>4</v>
      </c>
      <c r="F147" t="s">
        <v>31</v>
      </c>
      <c r="G147">
        <v>4</v>
      </c>
      <c r="H147">
        <v>200</v>
      </c>
      <c r="J147">
        <f>Table2[[#This Row],[Hits]]/Table2[[#This Row],[Points]]*100</f>
        <v>2</v>
      </c>
      <c r="K147">
        <f>VLOOKUP(Table2[[#This Row],[Site]],'Site Info'!$A$1:$C$11,2, FALSE)</f>
        <v>17.7</v>
      </c>
      <c r="L147">
        <f>VLOOKUP(Table2[[#This Row],[Site]],'Site Info'!$A$1:$C$11,3, FALSE)</f>
        <v>10</v>
      </c>
      <c r="M147" t="str">
        <f>VLOOKUP(Table2[[#This Row],[Species]],'Species Table'!$A$1:$D$68,3, FALSE)</f>
        <v>Perennial</v>
      </c>
      <c r="O147" s="15">
        <f>IF(SUMPRODUCT(($A$2:$A147=A147)*($B$2:$B147=B147)*($F$2:$F147=F147))&gt;1,0,1)</f>
        <v>1</v>
      </c>
      <c r="P147" s="15">
        <f>IF(SUMPRODUCT(($A$2:$A147=A147)*($B$2:$B147=B147)*($D$2:$D147=D147))&gt;1,0,1)</f>
        <v>0</v>
      </c>
    </row>
    <row r="148" spans="1:16" x14ac:dyDescent="0.35">
      <c r="A148" t="s">
        <v>9</v>
      </c>
      <c r="B148">
        <v>2006</v>
      </c>
      <c r="D148">
        <v>4.7</v>
      </c>
      <c r="E148">
        <f>INT(Table2[[#This Row],[Transect]])</f>
        <v>4</v>
      </c>
      <c r="F148" t="s">
        <v>12</v>
      </c>
      <c r="G148">
        <v>2</v>
      </c>
      <c r="H148">
        <v>200</v>
      </c>
      <c r="J148">
        <f>Table2[[#This Row],[Hits]]/Table2[[#This Row],[Points]]*100</f>
        <v>1</v>
      </c>
      <c r="K148">
        <f>VLOOKUP(Table2[[#This Row],[Site]],'Site Info'!$A$1:$C$11,2, FALSE)</f>
        <v>17.7</v>
      </c>
      <c r="L148">
        <f>VLOOKUP(Table2[[#This Row],[Site]],'Site Info'!$A$1:$C$11,3, FALSE)</f>
        <v>10</v>
      </c>
      <c r="M148" t="str">
        <f>VLOOKUP(Table2[[#This Row],[Species]],'Species Table'!$A$1:$D$68,3, FALSE)</f>
        <v>Perennial</v>
      </c>
      <c r="O148" s="15">
        <f>IF(SUMPRODUCT(($A$2:$A148=A148)*($B$2:$B148=B148)*($F$2:$F148=F148))&gt;1,0,1)</f>
        <v>0</v>
      </c>
      <c r="P148" s="15">
        <f>IF(SUMPRODUCT(($A$2:$A148=A148)*($B$2:$B148=B148)*($D$2:$D148=D148))&gt;1,0,1)</f>
        <v>1</v>
      </c>
    </row>
    <row r="149" spans="1:16" x14ac:dyDescent="0.35">
      <c r="A149" t="s">
        <v>9</v>
      </c>
      <c r="B149">
        <v>2006</v>
      </c>
      <c r="D149">
        <v>4.7</v>
      </c>
      <c r="E149">
        <f>INT(Table2[[#This Row],[Transect]])</f>
        <v>4</v>
      </c>
      <c r="F149" t="s">
        <v>3</v>
      </c>
      <c r="G149">
        <v>3</v>
      </c>
      <c r="H149">
        <v>200</v>
      </c>
      <c r="J149">
        <f>Table2[[#This Row],[Hits]]/Table2[[#This Row],[Points]]*100</f>
        <v>1.5</v>
      </c>
      <c r="K149">
        <f>VLOOKUP(Table2[[#This Row],[Site]],'Site Info'!$A$1:$C$11,2, FALSE)</f>
        <v>17.7</v>
      </c>
      <c r="L149">
        <f>VLOOKUP(Table2[[#This Row],[Site]],'Site Info'!$A$1:$C$11,3, FALSE)</f>
        <v>10</v>
      </c>
      <c r="M149" t="str">
        <f>VLOOKUP(Table2[[#This Row],[Species]],'Species Table'!$A$1:$D$68,3, FALSE)</f>
        <v>Perennial</v>
      </c>
      <c r="O149" s="15">
        <f>IF(SUMPRODUCT(($A$2:$A149=A149)*($B$2:$B149=B149)*($F$2:$F149=F149))&gt;1,0,1)</f>
        <v>0</v>
      </c>
      <c r="P149" s="15">
        <f>IF(SUMPRODUCT(($A$2:$A149=A149)*($B$2:$B149=B149)*($D$2:$D149=D149))&gt;1,0,1)</f>
        <v>0</v>
      </c>
    </row>
    <row r="150" spans="1:16" x14ac:dyDescent="0.35">
      <c r="A150" t="s">
        <v>9</v>
      </c>
      <c r="B150">
        <v>2006</v>
      </c>
      <c r="D150">
        <v>5.0999999999999996</v>
      </c>
      <c r="E150">
        <f>INT(Table2[[#This Row],[Transect]])</f>
        <v>5</v>
      </c>
      <c r="F150" t="s">
        <v>11</v>
      </c>
      <c r="G150">
        <v>2</v>
      </c>
      <c r="H150">
        <v>200</v>
      </c>
      <c r="J150">
        <f>Table2[[#This Row],[Hits]]/Table2[[#This Row],[Points]]*100</f>
        <v>1</v>
      </c>
      <c r="K150">
        <f>VLOOKUP(Table2[[#This Row],[Site]],'Site Info'!$A$1:$C$11,2, FALSE)</f>
        <v>17.7</v>
      </c>
      <c r="L150">
        <f>VLOOKUP(Table2[[#This Row],[Site]],'Site Info'!$A$1:$C$11,3, FALSE)</f>
        <v>10</v>
      </c>
      <c r="M150" t="str">
        <f>VLOOKUP(Table2[[#This Row],[Species]],'Species Table'!$A$1:$D$68,3, FALSE)</f>
        <v>Perennial</v>
      </c>
      <c r="O150" s="15">
        <f>IF(SUMPRODUCT(($A$2:$A150=A150)*($B$2:$B150=B150)*($F$2:$F150=F150))&gt;1,0,1)</f>
        <v>0</v>
      </c>
      <c r="P150" s="15">
        <f>IF(SUMPRODUCT(($A$2:$A150=A150)*($B$2:$B150=B150)*($D$2:$D150=D150))&gt;1,0,1)</f>
        <v>1</v>
      </c>
    </row>
    <row r="151" spans="1:16" hidden="1" x14ac:dyDescent="0.35">
      <c r="A151" t="s">
        <v>9</v>
      </c>
      <c r="B151">
        <v>2006</v>
      </c>
      <c r="D151">
        <v>5.0999999999999996</v>
      </c>
      <c r="E151">
        <f>INT(Table2[[#This Row],[Transect]])</f>
        <v>5</v>
      </c>
      <c r="F151" t="s">
        <v>10</v>
      </c>
      <c r="G151">
        <v>34</v>
      </c>
      <c r="H151">
        <v>200</v>
      </c>
      <c r="J151">
        <f>Table2[[#This Row],[Hits]]/Table2[[#This Row],[Points]]*100</f>
        <v>17</v>
      </c>
      <c r="K151">
        <f>VLOOKUP(Table2[[#This Row],[Site]],'Site Info'!$A$1:$C$11,2, FALSE)</f>
        <v>17.7</v>
      </c>
      <c r="L151">
        <f>VLOOKUP(Table2[[#This Row],[Site]],'Site Info'!$A$1:$C$11,3, FALSE)</f>
        <v>10</v>
      </c>
      <c r="M151" t="str">
        <f>VLOOKUP(Table2[[#This Row],[Species]],'Species Table'!$A$1:$D$68,3, FALSE)</f>
        <v>Annual</v>
      </c>
      <c r="O151" s="15">
        <f>IF(SUMPRODUCT(($A$2:$A151=A151)*($B$2:$B151=B151)*($F$2:$F151=F151))&gt;1,0,1)</f>
        <v>0</v>
      </c>
      <c r="P151" s="15">
        <f>IF(SUMPRODUCT(($A$2:$A151=A151)*($B$2:$B151=B151)*($D$2:$D151=D151))&gt;1,0,1)</f>
        <v>0</v>
      </c>
    </row>
    <row r="152" spans="1:16" x14ac:dyDescent="0.35">
      <c r="A152" t="s">
        <v>9</v>
      </c>
      <c r="B152">
        <v>2006</v>
      </c>
      <c r="D152">
        <v>5.0999999999999996</v>
      </c>
      <c r="E152">
        <f>INT(Table2[[#This Row],[Transect]])</f>
        <v>5</v>
      </c>
      <c r="F152" t="s">
        <v>3</v>
      </c>
      <c r="G152">
        <v>6</v>
      </c>
      <c r="H152">
        <v>200</v>
      </c>
      <c r="J152">
        <f>Table2[[#This Row],[Hits]]/Table2[[#This Row],[Points]]*100</f>
        <v>3</v>
      </c>
      <c r="K152">
        <f>VLOOKUP(Table2[[#This Row],[Site]],'Site Info'!$A$1:$C$11,2, FALSE)</f>
        <v>17.7</v>
      </c>
      <c r="L152">
        <f>VLOOKUP(Table2[[#This Row],[Site]],'Site Info'!$A$1:$C$11,3, FALSE)</f>
        <v>10</v>
      </c>
      <c r="M152" t="str">
        <f>VLOOKUP(Table2[[#This Row],[Species]],'Species Table'!$A$1:$D$68,3, FALSE)</f>
        <v>Perennial</v>
      </c>
      <c r="O152" s="15">
        <f>IF(SUMPRODUCT(($A$2:$A152=A152)*($B$2:$B152=B152)*($F$2:$F152=F152))&gt;1,0,1)</f>
        <v>0</v>
      </c>
      <c r="P152" s="15">
        <f>IF(SUMPRODUCT(($A$2:$A152=A152)*($B$2:$B152=B152)*($D$2:$D152=D152))&gt;1,0,1)</f>
        <v>0</v>
      </c>
    </row>
    <row r="153" spans="1:16" x14ac:dyDescent="0.35">
      <c r="A153" t="s">
        <v>9</v>
      </c>
      <c r="B153">
        <v>2006</v>
      </c>
      <c r="D153">
        <v>5.0999999999999996</v>
      </c>
      <c r="E153">
        <f>INT(Table2[[#This Row],[Transect]])</f>
        <v>5</v>
      </c>
      <c r="F153" t="s">
        <v>14</v>
      </c>
      <c r="G153">
        <v>2</v>
      </c>
      <c r="H153">
        <v>200</v>
      </c>
      <c r="J153">
        <f>Table2[[#This Row],[Hits]]/Table2[[#This Row],[Points]]*100</f>
        <v>1</v>
      </c>
      <c r="K153">
        <f>VLOOKUP(Table2[[#This Row],[Site]],'Site Info'!$A$1:$C$11,2, FALSE)</f>
        <v>17.7</v>
      </c>
      <c r="L153">
        <f>VLOOKUP(Table2[[#This Row],[Site]],'Site Info'!$A$1:$C$11,3, FALSE)</f>
        <v>10</v>
      </c>
      <c r="M153" t="str">
        <f>VLOOKUP(Table2[[#This Row],[Species]],'Species Table'!$A$1:$D$68,3, FALSE)</f>
        <v>Perennial</v>
      </c>
      <c r="O153" s="15">
        <f>IF(SUMPRODUCT(($A$2:$A153=A153)*($B$2:$B153=B153)*($F$2:$F153=F153))&gt;1,0,1)</f>
        <v>1</v>
      </c>
      <c r="P153" s="15">
        <f>IF(SUMPRODUCT(($A$2:$A153=A153)*($B$2:$B153=B153)*($D$2:$D153=D153))&gt;1,0,1)</f>
        <v>0</v>
      </c>
    </row>
    <row r="154" spans="1:16" x14ac:dyDescent="0.35">
      <c r="A154" t="s">
        <v>9</v>
      </c>
      <c r="B154">
        <v>2006</v>
      </c>
      <c r="D154">
        <v>5.2</v>
      </c>
      <c r="E154">
        <f>INT(Table2[[#This Row],[Transect]])</f>
        <v>5</v>
      </c>
      <c r="F154" t="s">
        <v>11</v>
      </c>
      <c r="G154">
        <v>3</v>
      </c>
      <c r="H154">
        <v>200</v>
      </c>
      <c r="J154">
        <f>Table2[[#This Row],[Hits]]/Table2[[#This Row],[Points]]*100</f>
        <v>1.5</v>
      </c>
      <c r="K154">
        <f>VLOOKUP(Table2[[#This Row],[Site]],'Site Info'!$A$1:$C$11,2, FALSE)</f>
        <v>17.7</v>
      </c>
      <c r="L154">
        <f>VLOOKUP(Table2[[#This Row],[Site]],'Site Info'!$A$1:$C$11,3, FALSE)</f>
        <v>10</v>
      </c>
      <c r="M154" t="str">
        <f>VLOOKUP(Table2[[#This Row],[Species]],'Species Table'!$A$1:$D$68,3, FALSE)</f>
        <v>Perennial</v>
      </c>
      <c r="O154" s="15">
        <f>IF(SUMPRODUCT(($A$2:$A154=A154)*($B$2:$B154=B154)*($F$2:$F154=F154))&gt;1,0,1)</f>
        <v>0</v>
      </c>
      <c r="P154" s="15">
        <f>IF(SUMPRODUCT(($A$2:$A154=A154)*($B$2:$B154=B154)*($D$2:$D154=D154))&gt;1,0,1)</f>
        <v>1</v>
      </c>
    </row>
    <row r="155" spans="1:16" hidden="1" x14ac:dyDescent="0.35">
      <c r="A155" t="s">
        <v>9</v>
      </c>
      <c r="B155">
        <v>2006</v>
      </c>
      <c r="D155">
        <v>5.2</v>
      </c>
      <c r="E155">
        <f>INT(Table2[[#This Row],[Transect]])</f>
        <v>5</v>
      </c>
      <c r="F155" t="s">
        <v>10</v>
      </c>
      <c r="G155">
        <v>2</v>
      </c>
      <c r="H155">
        <v>200</v>
      </c>
      <c r="J155">
        <f>Table2[[#This Row],[Hits]]/Table2[[#This Row],[Points]]*100</f>
        <v>1</v>
      </c>
      <c r="K155">
        <f>VLOOKUP(Table2[[#This Row],[Site]],'Site Info'!$A$1:$C$11,2, FALSE)</f>
        <v>17.7</v>
      </c>
      <c r="L155">
        <f>VLOOKUP(Table2[[#This Row],[Site]],'Site Info'!$A$1:$C$11,3, FALSE)</f>
        <v>10</v>
      </c>
      <c r="M155" t="str">
        <f>VLOOKUP(Table2[[#This Row],[Species]],'Species Table'!$A$1:$D$68,3, FALSE)</f>
        <v>Annual</v>
      </c>
      <c r="O155" s="15">
        <f>IF(SUMPRODUCT(($A$2:$A155=A155)*($B$2:$B155=B155)*($F$2:$F155=F155))&gt;1,0,1)</f>
        <v>0</v>
      </c>
      <c r="P155" s="15">
        <f>IF(SUMPRODUCT(($A$2:$A155=A155)*($B$2:$B155=B155)*($D$2:$D155=D155))&gt;1,0,1)</f>
        <v>0</v>
      </c>
    </row>
    <row r="156" spans="1:16" x14ac:dyDescent="0.35">
      <c r="A156" t="s">
        <v>9</v>
      </c>
      <c r="B156">
        <v>2006</v>
      </c>
      <c r="D156">
        <v>5.3</v>
      </c>
      <c r="E156">
        <f>INT(Table2[[#This Row],[Transect]])</f>
        <v>5</v>
      </c>
      <c r="F156" t="s">
        <v>11</v>
      </c>
      <c r="G156">
        <v>10</v>
      </c>
      <c r="H156">
        <v>200</v>
      </c>
      <c r="J156">
        <f>Table2[[#This Row],[Hits]]/Table2[[#This Row],[Points]]*100</f>
        <v>5</v>
      </c>
      <c r="K156">
        <f>VLOOKUP(Table2[[#This Row],[Site]],'Site Info'!$A$1:$C$11,2, FALSE)</f>
        <v>17.7</v>
      </c>
      <c r="L156">
        <f>VLOOKUP(Table2[[#This Row],[Site]],'Site Info'!$A$1:$C$11,3, FALSE)</f>
        <v>10</v>
      </c>
      <c r="M156" t="str">
        <f>VLOOKUP(Table2[[#This Row],[Species]],'Species Table'!$A$1:$D$68,3, FALSE)</f>
        <v>Perennial</v>
      </c>
      <c r="O156" s="15">
        <f>IF(SUMPRODUCT(($A$2:$A156=A156)*($B$2:$B156=B156)*($F$2:$F156=F156))&gt;1,0,1)</f>
        <v>0</v>
      </c>
      <c r="P156" s="15">
        <f>IF(SUMPRODUCT(($A$2:$A156=A156)*($B$2:$B156=B156)*($D$2:$D156=D156))&gt;1,0,1)</f>
        <v>1</v>
      </c>
    </row>
    <row r="157" spans="1:16" hidden="1" x14ac:dyDescent="0.35">
      <c r="A157" t="s">
        <v>9</v>
      </c>
      <c r="B157">
        <v>2006</v>
      </c>
      <c r="D157">
        <v>5.4</v>
      </c>
      <c r="E157">
        <f>INT(Table2[[#This Row],[Transect]])</f>
        <v>5</v>
      </c>
      <c r="F157" t="s">
        <v>127</v>
      </c>
      <c r="G157">
        <v>0</v>
      </c>
      <c r="H157">
        <v>200</v>
      </c>
      <c r="J157">
        <f>Table2[[#This Row],[Hits]]/Table2[[#This Row],[Points]]*100</f>
        <v>0</v>
      </c>
      <c r="K157">
        <f>VLOOKUP(Table2[[#This Row],[Site]],'Site Info'!$A$1:$C$11,2, FALSE)</f>
        <v>17.7</v>
      </c>
      <c r="L157">
        <f>VLOOKUP(Table2[[#This Row],[Site]],'Site Info'!$A$1:$C$11,3, FALSE)</f>
        <v>10</v>
      </c>
      <c r="M157" t="str">
        <f>VLOOKUP(Table2[[#This Row],[Species]],'Species Table'!$A$1:$D$68,3, FALSE)</f>
        <v>NA</v>
      </c>
      <c r="O157" s="15">
        <f>IF(SUMPRODUCT(($A$2:$A157=A157)*($B$2:$B157=B157)*($F$2:$F157=F157))&gt;1,0,1)</f>
        <v>0</v>
      </c>
      <c r="P157" s="15">
        <f>IF(SUMPRODUCT(($A$2:$A157=A157)*($B$2:$B157=B157)*($D$2:$D157=D157))&gt;1,0,1)</f>
        <v>1</v>
      </c>
    </row>
    <row r="158" spans="1:16" x14ac:dyDescent="0.35">
      <c r="A158" t="s">
        <v>9</v>
      </c>
      <c r="B158">
        <v>2006</v>
      </c>
      <c r="D158">
        <v>5.5</v>
      </c>
      <c r="E158">
        <f>INT(Table2[[#This Row],[Transect]])</f>
        <v>5</v>
      </c>
      <c r="F158" t="s">
        <v>11</v>
      </c>
      <c r="G158">
        <v>4</v>
      </c>
      <c r="H158">
        <v>200</v>
      </c>
      <c r="J158">
        <f>Table2[[#This Row],[Hits]]/Table2[[#This Row],[Points]]*100</f>
        <v>2</v>
      </c>
      <c r="K158">
        <f>VLOOKUP(Table2[[#This Row],[Site]],'Site Info'!$A$1:$C$11,2, FALSE)</f>
        <v>17.7</v>
      </c>
      <c r="L158">
        <f>VLOOKUP(Table2[[#This Row],[Site]],'Site Info'!$A$1:$C$11,3, FALSE)</f>
        <v>10</v>
      </c>
      <c r="M158" t="str">
        <f>VLOOKUP(Table2[[#This Row],[Species]],'Species Table'!$A$1:$D$68,3, FALSE)</f>
        <v>Perennial</v>
      </c>
      <c r="O158" s="15">
        <f>IF(SUMPRODUCT(($A$2:$A158=A158)*($B$2:$B158=B158)*($F$2:$F158=F158))&gt;1,0,1)</f>
        <v>0</v>
      </c>
      <c r="P158" s="15">
        <f>IF(SUMPRODUCT(($A$2:$A158=A158)*($B$2:$B158=B158)*($D$2:$D158=D158))&gt;1,0,1)</f>
        <v>1</v>
      </c>
    </row>
    <row r="159" spans="1:16" hidden="1" x14ac:dyDescent="0.35">
      <c r="A159" t="s">
        <v>9</v>
      </c>
      <c r="B159">
        <v>2006</v>
      </c>
      <c r="D159">
        <v>5.6</v>
      </c>
      <c r="E159">
        <f>INT(Table2[[#This Row],[Transect]])</f>
        <v>5</v>
      </c>
      <c r="F159" t="s">
        <v>127</v>
      </c>
      <c r="G159">
        <v>0</v>
      </c>
      <c r="H159">
        <v>200</v>
      </c>
      <c r="J159">
        <f>Table2[[#This Row],[Hits]]/Table2[[#This Row],[Points]]*100</f>
        <v>0</v>
      </c>
      <c r="K159">
        <f>VLOOKUP(Table2[[#This Row],[Site]],'Site Info'!$A$1:$C$11,2, FALSE)</f>
        <v>17.7</v>
      </c>
      <c r="L159">
        <f>VLOOKUP(Table2[[#This Row],[Site]],'Site Info'!$A$1:$C$11,3, FALSE)</f>
        <v>10</v>
      </c>
      <c r="M159" t="str">
        <f>VLOOKUP(Table2[[#This Row],[Species]],'Species Table'!$A$1:$D$68,3, FALSE)</f>
        <v>NA</v>
      </c>
      <c r="O159" s="15">
        <f>IF(SUMPRODUCT(($A$2:$A159=A159)*($B$2:$B159=B159)*($F$2:$F159=F159))&gt;1,0,1)</f>
        <v>0</v>
      </c>
      <c r="P159" s="15">
        <f>IF(SUMPRODUCT(($A$2:$A159=A159)*($B$2:$B159=B159)*($D$2:$D159=D159))&gt;1,0,1)</f>
        <v>1</v>
      </c>
    </row>
    <row r="160" spans="1:16" x14ac:dyDescent="0.35">
      <c r="A160" t="s">
        <v>9</v>
      </c>
      <c r="B160">
        <v>2006</v>
      </c>
      <c r="D160">
        <v>5.7</v>
      </c>
      <c r="E160">
        <f>INT(Table2[[#This Row],[Transect]])</f>
        <v>5</v>
      </c>
      <c r="F160" t="s">
        <v>11</v>
      </c>
      <c r="G160">
        <v>13</v>
      </c>
      <c r="H160">
        <v>200</v>
      </c>
      <c r="J160">
        <f>Table2[[#This Row],[Hits]]/Table2[[#This Row],[Points]]*100</f>
        <v>6.5</v>
      </c>
      <c r="K160">
        <f>VLOOKUP(Table2[[#This Row],[Site]],'Site Info'!$A$1:$C$11,2, FALSE)</f>
        <v>17.7</v>
      </c>
      <c r="L160">
        <f>VLOOKUP(Table2[[#This Row],[Site]],'Site Info'!$A$1:$C$11,3, FALSE)</f>
        <v>10</v>
      </c>
      <c r="M160" t="str">
        <f>VLOOKUP(Table2[[#This Row],[Species]],'Species Table'!$A$1:$D$68,3, FALSE)</f>
        <v>Perennial</v>
      </c>
      <c r="O160" s="15">
        <f>IF(SUMPRODUCT(($A$2:$A160=A160)*($B$2:$B160=B160)*($F$2:$F160=F160))&gt;1,0,1)</f>
        <v>0</v>
      </c>
      <c r="P160" s="15">
        <f>IF(SUMPRODUCT(($A$2:$A160=A160)*($B$2:$B160=B160)*($D$2:$D160=D160))&gt;1,0,1)</f>
        <v>1</v>
      </c>
    </row>
    <row r="161" spans="1:16" hidden="1" x14ac:dyDescent="0.35">
      <c r="A161" t="s">
        <v>9</v>
      </c>
      <c r="B161">
        <v>2006</v>
      </c>
      <c r="D161">
        <v>5.7</v>
      </c>
      <c r="E161">
        <f>INT(Table2[[#This Row],[Transect]])</f>
        <v>5</v>
      </c>
      <c r="F161" t="s">
        <v>10</v>
      </c>
      <c r="G161">
        <v>1</v>
      </c>
      <c r="H161">
        <v>200</v>
      </c>
      <c r="J161">
        <f>Table2[[#This Row],[Hits]]/Table2[[#This Row],[Points]]*100</f>
        <v>0.5</v>
      </c>
      <c r="K161">
        <f>VLOOKUP(Table2[[#This Row],[Site]],'Site Info'!$A$1:$C$11,2, FALSE)</f>
        <v>17.7</v>
      </c>
      <c r="L161">
        <f>VLOOKUP(Table2[[#This Row],[Site]],'Site Info'!$A$1:$C$11,3, FALSE)</f>
        <v>10</v>
      </c>
      <c r="M161" t="str">
        <f>VLOOKUP(Table2[[#This Row],[Species]],'Species Table'!$A$1:$D$68,3, FALSE)</f>
        <v>Annual</v>
      </c>
      <c r="O161" s="15">
        <f>IF(SUMPRODUCT(($A$2:$A161=A161)*($B$2:$B161=B161)*($F$2:$F161=F161))&gt;1,0,1)</f>
        <v>0</v>
      </c>
      <c r="P161" s="15">
        <f>IF(SUMPRODUCT(($A$2:$A161=A161)*($B$2:$B161=B161)*($D$2:$D161=D161))&gt;1,0,1)</f>
        <v>0</v>
      </c>
    </row>
    <row r="162" spans="1:16" x14ac:dyDescent="0.35">
      <c r="A162" t="s">
        <v>9</v>
      </c>
      <c r="B162">
        <v>2006</v>
      </c>
      <c r="D162">
        <v>5.7</v>
      </c>
      <c r="E162">
        <f>INT(Table2[[#This Row],[Transect]])</f>
        <v>5</v>
      </c>
      <c r="F162" t="s">
        <v>3</v>
      </c>
      <c r="G162">
        <v>1</v>
      </c>
      <c r="H162">
        <v>200</v>
      </c>
      <c r="J162">
        <f>Table2[[#This Row],[Hits]]/Table2[[#This Row],[Points]]*100</f>
        <v>0.5</v>
      </c>
      <c r="K162">
        <f>VLOOKUP(Table2[[#This Row],[Site]],'Site Info'!$A$1:$C$11,2, FALSE)</f>
        <v>17.7</v>
      </c>
      <c r="L162">
        <f>VLOOKUP(Table2[[#This Row],[Site]],'Site Info'!$A$1:$C$11,3, FALSE)</f>
        <v>10</v>
      </c>
      <c r="M162" t="str">
        <f>VLOOKUP(Table2[[#This Row],[Species]],'Species Table'!$A$1:$D$68,3, FALSE)</f>
        <v>Perennial</v>
      </c>
      <c r="O162" s="15">
        <f>IF(SUMPRODUCT(($A$2:$A162=A162)*($B$2:$B162=B162)*($F$2:$F162=F162))&gt;1,0,1)</f>
        <v>0</v>
      </c>
      <c r="P162" s="15">
        <f>IF(SUMPRODUCT(($A$2:$A162=A162)*($B$2:$B162=B162)*($D$2:$D162=D162))&gt;1,0,1)</f>
        <v>0</v>
      </c>
    </row>
    <row r="163" spans="1:16" x14ac:dyDescent="0.35">
      <c r="A163" t="s">
        <v>9</v>
      </c>
      <c r="B163">
        <v>2006</v>
      </c>
      <c r="D163">
        <v>6.1</v>
      </c>
      <c r="E163">
        <f>INT(Table2[[#This Row],[Transect]])</f>
        <v>6</v>
      </c>
      <c r="F163" t="s">
        <v>11</v>
      </c>
      <c r="G163">
        <v>2</v>
      </c>
      <c r="H163">
        <v>200</v>
      </c>
      <c r="J163">
        <f>Table2[[#This Row],[Hits]]/Table2[[#This Row],[Points]]*100</f>
        <v>1</v>
      </c>
      <c r="K163">
        <f>VLOOKUP(Table2[[#This Row],[Site]],'Site Info'!$A$1:$C$11,2, FALSE)</f>
        <v>17.7</v>
      </c>
      <c r="L163">
        <f>VLOOKUP(Table2[[#This Row],[Site]],'Site Info'!$A$1:$C$11,3, FALSE)</f>
        <v>10</v>
      </c>
      <c r="M163" t="str">
        <f>VLOOKUP(Table2[[#This Row],[Species]],'Species Table'!$A$1:$D$68,3, FALSE)</f>
        <v>Perennial</v>
      </c>
      <c r="O163" s="15">
        <f>IF(SUMPRODUCT(($A$2:$A163=A163)*($B$2:$B163=B163)*($F$2:$F163=F163))&gt;1,0,1)</f>
        <v>0</v>
      </c>
      <c r="P163" s="15">
        <f>IF(SUMPRODUCT(($A$2:$A163=A163)*($B$2:$B163=B163)*($D$2:$D163=D163))&gt;1,0,1)</f>
        <v>1</v>
      </c>
    </row>
    <row r="164" spans="1:16" hidden="1" x14ac:dyDescent="0.35">
      <c r="A164" t="s">
        <v>9</v>
      </c>
      <c r="B164">
        <v>2006</v>
      </c>
      <c r="D164">
        <v>6.1</v>
      </c>
      <c r="E164">
        <f>INT(Table2[[#This Row],[Transect]])</f>
        <v>6</v>
      </c>
      <c r="F164" t="s">
        <v>10</v>
      </c>
      <c r="G164">
        <v>5</v>
      </c>
      <c r="H164">
        <v>200</v>
      </c>
      <c r="J164">
        <f>Table2[[#This Row],[Hits]]/Table2[[#This Row],[Points]]*100</f>
        <v>2.5</v>
      </c>
      <c r="K164">
        <f>VLOOKUP(Table2[[#This Row],[Site]],'Site Info'!$A$1:$C$11,2, FALSE)</f>
        <v>17.7</v>
      </c>
      <c r="L164">
        <f>VLOOKUP(Table2[[#This Row],[Site]],'Site Info'!$A$1:$C$11,3, FALSE)</f>
        <v>10</v>
      </c>
      <c r="M164" t="str">
        <f>VLOOKUP(Table2[[#This Row],[Species]],'Species Table'!$A$1:$D$68,3, FALSE)</f>
        <v>Annual</v>
      </c>
      <c r="O164" s="15">
        <f>IF(SUMPRODUCT(($A$2:$A164=A164)*($B$2:$B164=B164)*($F$2:$F164=F164))&gt;1,0,1)</f>
        <v>0</v>
      </c>
      <c r="P164" s="15">
        <f>IF(SUMPRODUCT(($A$2:$A164=A164)*($B$2:$B164=B164)*($D$2:$D164=D164))&gt;1,0,1)</f>
        <v>0</v>
      </c>
    </row>
    <row r="165" spans="1:16" hidden="1" x14ac:dyDescent="0.35">
      <c r="A165" t="s">
        <v>9</v>
      </c>
      <c r="B165">
        <v>2006</v>
      </c>
      <c r="D165">
        <v>6.2</v>
      </c>
      <c r="E165">
        <f>INT(Table2[[#This Row],[Transect]])</f>
        <v>6</v>
      </c>
      <c r="F165" t="s">
        <v>127</v>
      </c>
      <c r="G165">
        <v>0</v>
      </c>
      <c r="H165">
        <v>200</v>
      </c>
      <c r="J165">
        <f>Table2[[#This Row],[Hits]]/Table2[[#This Row],[Points]]*100</f>
        <v>0</v>
      </c>
      <c r="K165">
        <f>VLOOKUP(Table2[[#This Row],[Site]],'Site Info'!$A$1:$C$11,2, FALSE)</f>
        <v>17.7</v>
      </c>
      <c r="L165">
        <f>VLOOKUP(Table2[[#This Row],[Site]],'Site Info'!$A$1:$C$11,3, FALSE)</f>
        <v>10</v>
      </c>
      <c r="M165" t="str">
        <f>VLOOKUP(Table2[[#This Row],[Species]],'Species Table'!$A$1:$D$68,3, FALSE)</f>
        <v>NA</v>
      </c>
      <c r="O165" s="15">
        <f>IF(SUMPRODUCT(($A$2:$A165=A165)*($B$2:$B165=B165)*($F$2:$F165=F165))&gt;1,0,1)</f>
        <v>0</v>
      </c>
      <c r="P165" s="15">
        <f>IF(SUMPRODUCT(($A$2:$A165=A165)*($B$2:$B165=B165)*($D$2:$D165=D165))&gt;1,0,1)</f>
        <v>1</v>
      </c>
    </row>
    <row r="166" spans="1:16" x14ac:dyDescent="0.35">
      <c r="A166" t="s">
        <v>9</v>
      </c>
      <c r="B166">
        <v>2006</v>
      </c>
      <c r="D166">
        <v>6.3</v>
      </c>
      <c r="E166">
        <f>INT(Table2[[#This Row],[Transect]])</f>
        <v>6</v>
      </c>
      <c r="F166" t="s">
        <v>11</v>
      </c>
      <c r="G166">
        <v>2</v>
      </c>
      <c r="H166">
        <v>200</v>
      </c>
      <c r="J166">
        <f>Table2[[#This Row],[Hits]]/Table2[[#This Row],[Points]]*100</f>
        <v>1</v>
      </c>
      <c r="K166">
        <f>VLOOKUP(Table2[[#This Row],[Site]],'Site Info'!$A$1:$C$11,2, FALSE)</f>
        <v>17.7</v>
      </c>
      <c r="L166">
        <f>VLOOKUP(Table2[[#This Row],[Site]],'Site Info'!$A$1:$C$11,3, FALSE)</f>
        <v>10</v>
      </c>
      <c r="M166" t="str">
        <f>VLOOKUP(Table2[[#This Row],[Species]],'Species Table'!$A$1:$D$68,3, FALSE)</f>
        <v>Perennial</v>
      </c>
      <c r="O166" s="15">
        <f>IF(SUMPRODUCT(($A$2:$A166=A166)*($B$2:$B166=B166)*($F$2:$F166=F166))&gt;1,0,1)</f>
        <v>0</v>
      </c>
      <c r="P166" s="15">
        <f>IF(SUMPRODUCT(($A$2:$A166=A166)*($B$2:$B166=B166)*($D$2:$D166=D166))&gt;1,0,1)</f>
        <v>1</v>
      </c>
    </row>
    <row r="167" spans="1:16" hidden="1" x14ac:dyDescent="0.35">
      <c r="A167" t="s">
        <v>9</v>
      </c>
      <c r="B167">
        <v>2006</v>
      </c>
      <c r="D167">
        <v>6.4</v>
      </c>
      <c r="E167">
        <f>INT(Table2[[#This Row],[Transect]])</f>
        <v>6</v>
      </c>
      <c r="F167" t="s">
        <v>127</v>
      </c>
      <c r="G167">
        <v>0</v>
      </c>
      <c r="H167">
        <v>200</v>
      </c>
      <c r="J167">
        <f>Table2[[#This Row],[Hits]]/Table2[[#This Row],[Points]]*100</f>
        <v>0</v>
      </c>
      <c r="K167">
        <f>VLOOKUP(Table2[[#This Row],[Site]],'Site Info'!$A$1:$C$11,2, FALSE)</f>
        <v>17.7</v>
      </c>
      <c r="L167">
        <f>VLOOKUP(Table2[[#This Row],[Site]],'Site Info'!$A$1:$C$11,3, FALSE)</f>
        <v>10</v>
      </c>
      <c r="M167" t="str">
        <f>VLOOKUP(Table2[[#This Row],[Species]],'Species Table'!$A$1:$D$68,3, FALSE)</f>
        <v>NA</v>
      </c>
      <c r="O167" s="15">
        <f>IF(SUMPRODUCT(($A$2:$A167=A167)*($B$2:$B167=B167)*($F$2:$F167=F167))&gt;1,0,1)</f>
        <v>0</v>
      </c>
      <c r="P167" s="15">
        <f>IF(SUMPRODUCT(($A$2:$A167=A167)*($B$2:$B167=B167)*($D$2:$D167=D167))&gt;1,0,1)</f>
        <v>1</v>
      </c>
    </row>
    <row r="168" spans="1:16" x14ac:dyDescent="0.35">
      <c r="A168" t="s">
        <v>9</v>
      </c>
      <c r="B168">
        <v>2006</v>
      </c>
      <c r="D168">
        <v>6.5</v>
      </c>
      <c r="E168">
        <f>INT(Table2[[#This Row],[Transect]])</f>
        <v>6</v>
      </c>
      <c r="F168" t="s">
        <v>11</v>
      </c>
      <c r="G168">
        <v>3</v>
      </c>
      <c r="H168">
        <v>200</v>
      </c>
      <c r="J168">
        <f>Table2[[#This Row],[Hits]]/Table2[[#This Row],[Points]]*100</f>
        <v>1.5</v>
      </c>
      <c r="K168">
        <f>VLOOKUP(Table2[[#This Row],[Site]],'Site Info'!$A$1:$C$11,2, FALSE)</f>
        <v>17.7</v>
      </c>
      <c r="L168">
        <f>VLOOKUP(Table2[[#This Row],[Site]],'Site Info'!$A$1:$C$11,3, FALSE)</f>
        <v>10</v>
      </c>
      <c r="M168" t="str">
        <f>VLOOKUP(Table2[[#This Row],[Species]],'Species Table'!$A$1:$D$68,3, FALSE)</f>
        <v>Perennial</v>
      </c>
      <c r="O168" s="15">
        <f>IF(SUMPRODUCT(($A$2:$A168=A168)*($B$2:$B168=B168)*($F$2:$F168=F168))&gt;1,0,1)</f>
        <v>0</v>
      </c>
      <c r="P168" s="15">
        <f>IF(SUMPRODUCT(($A$2:$A168=A168)*($B$2:$B168=B168)*($D$2:$D168=D168))&gt;1,0,1)</f>
        <v>1</v>
      </c>
    </row>
    <row r="169" spans="1:16" hidden="1" x14ac:dyDescent="0.35">
      <c r="A169" t="s">
        <v>9</v>
      </c>
      <c r="B169">
        <v>2006</v>
      </c>
      <c r="D169">
        <v>6.6</v>
      </c>
      <c r="E169">
        <f>INT(Table2[[#This Row],[Transect]])</f>
        <v>6</v>
      </c>
      <c r="F169" t="s">
        <v>127</v>
      </c>
      <c r="G169">
        <v>0</v>
      </c>
      <c r="H169">
        <v>200</v>
      </c>
      <c r="J169">
        <f>Table2[[#This Row],[Hits]]/Table2[[#This Row],[Points]]*100</f>
        <v>0</v>
      </c>
      <c r="K169">
        <f>VLOOKUP(Table2[[#This Row],[Site]],'Site Info'!$A$1:$C$11,2, FALSE)</f>
        <v>17.7</v>
      </c>
      <c r="L169">
        <f>VLOOKUP(Table2[[#This Row],[Site]],'Site Info'!$A$1:$C$11,3, FALSE)</f>
        <v>10</v>
      </c>
      <c r="M169" t="str">
        <f>VLOOKUP(Table2[[#This Row],[Species]],'Species Table'!$A$1:$D$68,3, FALSE)</f>
        <v>NA</v>
      </c>
      <c r="O169" s="15">
        <f>IF(SUMPRODUCT(($A$2:$A169=A169)*($B$2:$B169=B169)*($F$2:$F169=F169))&gt;1,0,1)</f>
        <v>0</v>
      </c>
      <c r="P169" s="15">
        <f>IF(SUMPRODUCT(($A$2:$A169=A169)*($B$2:$B169=B169)*($D$2:$D169=D169))&gt;1,0,1)</f>
        <v>1</v>
      </c>
    </row>
    <row r="170" spans="1:16" hidden="1" x14ac:dyDescent="0.35">
      <c r="A170" t="s">
        <v>9</v>
      </c>
      <c r="B170">
        <v>2006</v>
      </c>
      <c r="D170">
        <v>6.7</v>
      </c>
      <c r="E170">
        <f>INT(Table2[[#This Row],[Transect]])</f>
        <v>6</v>
      </c>
      <c r="F170" t="s">
        <v>10</v>
      </c>
      <c r="G170">
        <v>21</v>
      </c>
      <c r="H170">
        <v>200</v>
      </c>
      <c r="J170">
        <f>Table2[[#This Row],[Hits]]/Table2[[#This Row],[Points]]*100</f>
        <v>10.5</v>
      </c>
      <c r="K170">
        <f>VLOOKUP(Table2[[#This Row],[Site]],'Site Info'!$A$1:$C$11,2, FALSE)</f>
        <v>17.7</v>
      </c>
      <c r="L170">
        <f>VLOOKUP(Table2[[#This Row],[Site]],'Site Info'!$A$1:$C$11,3, FALSE)</f>
        <v>10</v>
      </c>
      <c r="M170" t="str">
        <f>VLOOKUP(Table2[[#This Row],[Species]],'Species Table'!$A$1:$D$68,3, FALSE)</f>
        <v>Annual</v>
      </c>
      <c r="O170" s="15">
        <f>IF(SUMPRODUCT(($A$2:$A170=A170)*($B$2:$B170=B170)*($F$2:$F170=F170))&gt;1,0,1)</f>
        <v>0</v>
      </c>
      <c r="P170" s="15">
        <f>IF(SUMPRODUCT(($A$2:$A170=A170)*($B$2:$B170=B170)*($D$2:$D170=D170))&gt;1,0,1)</f>
        <v>1</v>
      </c>
    </row>
    <row r="171" spans="1:16" hidden="1" x14ac:dyDescent="0.35">
      <c r="A171" t="s">
        <v>9</v>
      </c>
      <c r="B171">
        <v>2006</v>
      </c>
      <c r="D171">
        <v>7.1</v>
      </c>
      <c r="E171">
        <f>INT(Table2[[#This Row],[Transect]])</f>
        <v>7</v>
      </c>
      <c r="F171" t="s">
        <v>10</v>
      </c>
      <c r="G171">
        <v>1</v>
      </c>
      <c r="H171">
        <v>200</v>
      </c>
      <c r="J171">
        <f>Table2[[#This Row],[Hits]]/Table2[[#This Row],[Points]]*100</f>
        <v>0.5</v>
      </c>
      <c r="K171">
        <f>VLOOKUP(Table2[[#This Row],[Site]],'Site Info'!$A$1:$C$11,2, FALSE)</f>
        <v>17.7</v>
      </c>
      <c r="L171">
        <f>VLOOKUP(Table2[[#This Row],[Site]],'Site Info'!$A$1:$C$11,3, FALSE)</f>
        <v>10</v>
      </c>
      <c r="M171" t="str">
        <f>VLOOKUP(Table2[[#This Row],[Species]],'Species Table'!$A$1:$D$68,3, FALSE)</f>
        <v>Annual</v>
      </c>
      <c r="O171" s="15">
        <f>IF(SUMPRODUCT(($A$2:$A171=A171)*($B$2:$B171=B171)*($F$2:$F171=F171))&gt;1,0,1)</f>
        <v>0</v>
      </c>
      <c r="P171" s="15">
        <f>IF(SUMPRODUCT(($A$2:$A171=A171)*($B$2:$B171=B171)*($D$2:$D171=D171))&gt;1,0,1)</f>
        <v>1</v>
      </c>
    </row>
    <row r="172" spans="1:16" x14ac:dyDescent="0.35">
      <c r="A172" t="s">
        <v>9</v>
      </c>
      <c r="B172">
        <v>2006</v>
      </c>
      <c r="D172">
        <v>7.2</v>
      </c>
      <c r="E172">
        <f>INT(Table2[[#This Row],[Transect]])</f>
        <v>7</v>
      </c>
      <c r="F172" t="s">
        <v>11</v>
      </c>
      <c r="G172">
        <v>4</v>
      </c>
      <c r="H172">
        <v>200</v>
      </c>
      <c r="J172">
        <f>Table2[[#This Row],[Hits]]/Table2[[#This Row],[Points]]*100</f>
        <v>2</v>
      </c>
      <c r="K172">
        <f>VLOOKUP(Table2[[#This Row],[Site]],'Site Info'!$A$1:$C$11,2, FALSE)</f>
        <v>17.7</v>
      </c>
      <c r="L172">
        <f>VLOOKUP(Table2[[#This Row],[Site]],'Site Info'!$A$1:$C$11,3, FALSE)</f>
        <v>10</v>
      </c>
      <c r="M172" t="str">
        <f>VLOOKUP(Table2[[#This Row],[Species]],'Species Table'!$A$1:$D$68,3, FALSE)</f>
        <v>Perennial</v>
      </c>
      <c r="O172" s="15">
        <f>IF(SUMPRODUCT(($A$2:$A172=A172)*($B$2:$B172=B172)*($F$2:$F172=F172))&gt;1,0,1)</f>
        <v>0</v>
      </c>
      <c r="P172" s="15">
        <f>IF(SUMPRODUCT(($A$2:$A172=A172)*($B$2:$B172=B172)*($D$2:$D172=D172))&gt;1,0,1)</f>
        <v>1</v>
      </c>
    </row>
    <row r="173" spans="1:16" hidden="1" x14ac:dyDescent="0.35">
      <c r="A173" t="s">
        <v>9</v>
      </c>
      <c r="B173">
        <v>2006</v>
      </c>
      <c r="D173">
        <v>7.2</v>
      </c>
      <c r="E173">
        <f>INT(Table2[[#This Row],[Transect]])</f>
        <v>7</v>
      </c>
      <c r="F173" t="s">
        <v>10</v>
      </c>
      <c r="G173">
        <v>12</v>
      </c>
      <c r="H173">
        <v>200</v>
      </c>
      <c r="J173">
        <f>Table2[[#This Row],[Hits]]/Table2[[#This Row],[Points]]*100</f>
        <v>6</v>
      </c>
      <c r="K173">
        <f>VLOOKUP(Table2[[#This Row],[Site]],'Site Info'!$A$1:$C$11,2, FALSE)</f>
        <v>17.7</v>
      </c>
      <c r="L173">
        <f>VLOOKUP(Table2[[#This Row],[Site]],'Site Info'!$A$1:$C$11,3, FALSE)</f>
        <v>10</v>
      </c>
      <c r="M173" t="str">
        <f>VLOOKUP(Table2[[#This Row],[Species]],'Species Table'!$A$1:$D$68,3, FALSE)</f>
        <v>Annual</v>
      </c>
      <c r="O173" s="15">
        <f>IF(SUMPRODUCT(($A$2:$A173=A173)*($B$2:$B173=B173)*($F$2:$F173=F173))&gt;1,0,1)</f>
        <v>0</v>
      </c>
      <c r="P173" s="15">
        <f>IF(SUMPRODUCT(($A$2:$A173=A173)*($B$2:$B173=B173)*($D$2:$D173=D173))&gt;1,0,1)</f>
        <v>0</v>
      </c>
    </row>
    <row r="174" spans="1:16" x14ac:dyDescent="0.35">
      <c r="A174" t="s">
        <v>9</v>
      </c>
      <c r="B174">
        <v>2006</v>
      </c>
      <c r="D174">
        <v>7.3</v>
      </c>
      <c r="E174">
        <f>INT(Table2[[#This Row],[Transect]])</f>
        <v>7</v>
      </c>
      <c r="F174" t="s">
        <v>11</v>
      </c>
      <c r="G174">
        <v>4</v>
      </c>
      <c r="H174">
        <v>200</v>
      </c>
      <c r="J174">
        <f>Table2[[#This Row],[Hits]]/Table2[[#This Row],[Points]]*100</f>
        <v>2</v>
      </c>
      <c r="K174">
        <f>VLOOKUP(Table2[[#This Row],[Site]],'Site Info'!$A$1:$C$11,2, FALSE)</f>
        <v>17.7</v>
      </c>
      <c r="L174">
        <f>VLOOKUP(Table2[[#This Row],[Site]],'Site Info'!$A$1:$C$11,3, FALSE)</f>
        <v>10</v>
      </c>
      <c r="M174" t="str">
        <f>VLOOKUP(Table2[[#This Row],[Species]],'Species Table'!$A$1:$D$68,3, FALSE)</f>
        <v>Perennial</v>
      </c>
      <c r="O174" s="15">
        <f>IF(SUMPRODUCT(($A$2:$A174=A174)*($B$2:$B174=B174)*($F$2:$F174=F174))&gt;1,0,1)</f>
        <v>0</v>
      </c>
      <c r="P174" s="15">
        <f>IF(SUMPRODUCT(($A$2:$A174=A174)*($B$2:$B174=B174)*($D$2:$D174=D174))&gt;1,0,1)</f>
        <v>1</v>
      </c>
    </row>
    <row r="175" spans="1:16" hidden="1" x14ac:dyDescent="0.35">
      <c r="A175" t="s">
        <v>9</v>
      </c>
      <c r="B175">
        <v>2006</v>
      </c>
      <c r="D175">
        <v>7.3</v>
      </c>
      <c r="E175">
        <f>INT(Table2[[#This Row],[Transect]])</f>
        <v>7</v>
      </c>
      <c r="F175" t="s">
        <v>10</v>
      </c>
      <c r="G175">
        <v>1</v>
      </c>
      <c r="H175">
        <v>200</v>
      </c>
      <c r="J175">
        <f>Table2[[#This Row],[Hits]]/Table2[[#This Row],[Points]]*100</f>
        <v>0.5</v>
      </c>
      <c r="K175">
        <f>VLOOKUP(Table2[[#This Row],[Site]],'Site Info'!$A$1:$C$11,2, FALSE)</f>
        <v>17.7</v>
      </c>
      <c r="L175">
        <f>VLOOKUP(Table2[[#This Row],[Site]],'Site Info'!$A$1:$C$11,3, FALSE)</f>
        <v>10</v>
      </c>
      <c r="M175" t="str">
        <f>VLOOKUP(Table2[[#This Row],[Species]],'Species Table'!$A$1:$D$68,3, FALSE)</f>
        <v>Annual</v>
      </c>
      <c r="O175" s="15">
        <f>IF(SUMPRODUCT(($A$2:$A175=A175)*($B$2:$B175=B175)*($F$2:$F175=F175))&gt;1,0,1)</f>
        <v>0</v>
      </c>
      <c r="P175" s="15">
        <f>IF(SUMPRODUCT(($A$2:$A175=A175)*($B$2:$B175=B175)*($D$2:$D175=D175))&gt;1,0,1)</f>
        <v>0</v>
      </c>
    </row>
    <row r="176" spans="1:16" x14ac:dyDescent="0.35">
      <c r="A176" t="s">
        <v>9</v>
      </c>
      <c r="B176">
        <v>2006</v>
      </c>
      <c r="D176">
        <v>7.3</v>
      </c>
      <c r="E176">
        <f>INT(Table2[[#This Row],[Transect]])</f>
        <v>7</v>
      </c>
      <c r="F176" t="s">
        <v>3</v>
      </c>
      <c r="G176">
        <v>2</v>
      </c>
      <c r="H176">
        <v>200</v>
      </c>
      <c r="J176">
        <f>Table2[[#This Row],[Hits]]/Table2[[#This Row],[Points]]*100</f>
        <v>1</v>
      </c>
      <c r="K176">
        <f>VLOOKUP(Table2[[#This Row],[Site]],'Site Info'!$A$1:$C$11,2, FALSE)</f>
        <v>17.7</v>
      </c>
      <c r="L176">
        <f>VLOOKUP(Table2[[#This Row],[Site]],'Site Info'!$A$1:$C$11,3, FALSE)</f>
        <v>10</v>
      </c>
      <c r="M176" t="str">
        <f>VLOOKUP(Table2[[#This Row],[Species]],'Species Table'!$A$1:$D$68,3, FALSE)</f>
        <v>Perennial</v>
      </c>
      <c r="O176" s="15">
        <f>IF(SUMPRODUCT(($A$2:$A176=A176)*($B$2:$B176=B176)*($F$2:$F176=F176))&gt;1,0,1)</f>
        <v>0</v>
      </c>
      <c r="P176" s="15">
        <f>IF(SUMPRODUCT(($A$2:$A176=A176)*($B$2:$B176=B176)*($D$2:$D176=D176))&gt;1,0,1)</f>
        <v>0</v>
      </c>
    </row>
    <row r="177" spans="1:16" x14ac:dyDescent="0.35">
      <c r="A177" t="s">
        <v>9</v>
      </c>
      <c r="B177">
        <v>2006</v>
      </c>
      <c r="D177">
        <v>7.3</v>
      </c>
      <c r="E177">
        <f>INT(Table2[[#This Row],[Transect]])</f>
        <v>7</v>
      </c>
      <c r="F177" t="s">
        <v>13</v>
      </c>
      <c r="G177">
        <v>1</v>
      </c>
      <c r="H177">
        <v>200</v>
      </c>
      <c r="J177">
        <f>Table2[[#This Row],[Hits]]/Table2[[#This Row],[Points]]*100</f>
        <v>0.5</v>
      </c>
      <c r="K177">
        <f>VLOOKUP(Table2[[#This Row],[Site]],'Site Info'!$A$1:$C$11,2, FALSE)</f>
        <v>17.7</v>
      </c>
      <c r="L177">
        <f>VLOOKUP(Table2[[#This Row],[Site]],'Site Info'!$A$1:$C$11,3, FALSE)</f>
        <v>10</v>
      </c>
      <c r="M177" t="str">
        <f>VLOOKUP(Table2[[#This Row],[Species]],'Species Table'!$A$1:$D$68,3, FALSE)</f>
        <v>Perennial</v>
      </c>
      <c r="O177" s="15">
        <f>IF(SUMPRODUCT(($A$2:$A177=A177)*($B$2:$B177=B177)*($F$2:$F177=F177))&gt;1,0,1)</f>
        <v>1</v>
      </c>
      <c r="P177" s="15">
        <f>IF(SUMPRODUCT(($A$2:$A177=A177)*($B$2:$B177=B177)*($D$2:$D177=D177))&gt;1,0,1)</f>
        <v>0</v>
      </c>
    </row>
    <row r="178" spans="1:16" hidden="1" x14ac:dyDescent="0.35">
      <c r="A178" t="s">
        <v>9</v>
      </c>
      <c r="B178">
        <v>2006</v>
      </c>
      <c r="D178">
        <v>7.4</v>
      </c>
      <c r="E178">
        <f>INT(Table2[[#This Row],[Transect]])</f>
        <v>7</v>
      </c>
      <c r="F178" t="s">
        <v>127</v>
      </c>
      <c r="G178">
        <v>0</v>
      </c>
      <c r="H178">
        <v>200</v>
      </c>
      <c r="J178">
        <f>Table2[[#This Row],[Hits]]/Table2[[#This Row],[Points]]*100</f>
        <v>0</v>
      </c>
      <c r="K178">
        <f>VLOOKUP(Table2[[#This Row],[Site]],'Site Info'!$A$1:$C$11,2, FALSE)</f>
        <v>17.7</v>
      </c>
      <c r="L178">
        <f>VLOOKUP(Table2[[#This Row],[Site]],'Site Info'!$A$1:$C$11,3, FALSE)</f>
        <v>10</v>
      </c>
      <c r="M178" t="str">
        <f>VLOOKUP(Table2[[#This Row],[Species]],'Species Table'!$A$1:$D$68,3, FALSE)</f>
        <v>NA</v>
      </c>
      <c r="O178" s="15">
        <f>IF(SUMPRODUCT(($A$2:$A178=A178)*($B$2:$B178=B178)*($F$2:$F178=F178))&gt;1,0,1)</f>
        <v>0</v>
      </c>
      <c r="P178" s="15">
        <f>IF(SUMPRODUCT(($A$2:$A178=A178)*($B$2:$B178=B178)*($D$2:$D178=D178))&gt;1,0,1)</f>
        <v>1</v>
      </c>
    </row>
    <row r="179" spans="1:16" x14ac:dyDescent="0.35">
      <c r="A179" t="s">
        <v>9</v>
      </c>
      <c r="B179">
        <v>2006</v>
      </c>
      <c r="D179">
        <v>7.5</v>
      </c>
      <c r="E179">
        <f>INT(Table2[[#This Row],[Transect]])</f>
        <v>7</v>
      </c>
      <c r="F179" t="s">
        <v>11</v>
      </c>
      <c r="G179">
        <v>6</v>
      </c>
      <c r="H179">
        <v>200</v>
      </c>
      <c r="J179">
        <f>Table2[[#This Row],[Hits]]/Table2[[#This Row],[Points]]*100</f>
        <v>3</v>
      </c>
      <c r="K179">
        <f>VLOOKUP(Table2[[#This Row],[Site]],'Site Info'!$A$1:$C$11,2, FALSE)</f>
        <v>17.7</v>
      </c>
      <c r="L179">
        <f>VLOOKUP(Table2[[#This Row],[Site]],'Site Info'!$A$1:$C$11,3, FALSE)</f>
        <v>10</v>
      </c>
      <c r="M179" t="str">
        <f>VLOOKUP(Table2[[#This Row],[Species]],'Species Table'!$A$1:$D$68,3, FALSE)</f>
        <v>Perennial</v>
      </c>
      <c r="O179" s="15">
        <f>IF(SUMPRODUCT(($A$2:$A179=A179)*($B$2:$B179=B179)*($F$2:$F179=F179))&gt;1,0,1)</f>
        <v>0</v>
      </c>
      <c r="P179" s="15">
        <f>IF(SUMPRODUCT(($A$2:$A179=A179)*($B$2:$B179=B179)*($D$2:$D179=D179))&gt;1,0,1)</f>
        <v>1</v>
      </c>
    </row>
    <row r="180" spans="1:16" x14ac:dyDescent="0.35">
      <c r="A180" t="s">
        <v>9</v>
      </c>
      <c r="B180">
        <v>2006</v>
      </c>
      <c r="D180">
        <v>7.5</v>
      </c>
      <c r="E180">
        <f>INT(Table2[[#This Row],[Transect]])</f>
        <v>7</v>
      </c>
      <c r="F180" t="s">
        <v>31</v>
      </c>
      <c r="G180">
        <v>2</v>
      </c>
      <c r="H180">
        <v>200</v>
      </c>
      <c r="J180">
        <f>Table2[[#This Row],[Hits]]/Table2[[#This Row],[Points]]*100</f>
        <v>1</v>
      </c>
      <c r="K180">
        <f>VLOOKUP(Table2[[#This Row],[Site]],'Site Info'!$A$1:$C$11,2, FALSE)</f>
        <v>17.7</v>
      </c>
      <c r="L180">
        <f>VLOOKUP(Table2[[#This Row],[Site]],'Site Info'!$A$1:$C$11,3, FALSE)</f>
        <v>10</v>
      </c>
      <c r="M180" t="str">
        <f>VLOOKUP(Table2[[#This Row],[Species]],'Species Table'!$A$1:$D$68,3, FALSE)</f>
        <v>Perennial</v>
      </c>
      <c r="O180" s="15">
        <f>IF(SUMPRODUCT(($A$2:$A180=A180)*($B$2:$B180=B180)*($F$2:$F180=F180))&gt;1,0,1)</f>
        <v>0</v>
      </c>
      <c r="P180" s="15">
        <f>IF(SUMPRODUCT(($A$2:$A180=A180)*($B$2:$B180=B180)*($D$2:$D180=D180))&gt;1,0,1)</f>
        <v>0</v>
      </c>
    </row>
    <row r="181" spans="1:16" x14ac:dyDescent="0.35">
      <c r="A181" t="s">
        <v>9</v>
      </c>
      <c r="B181">
        <v>2006</v>
      </c>
      <c r="D181">
        <v>7.6</v>
      </c>
      <c r="E181">
        <f>INT(Table2[[#This Row],[Transect]])</f>
        <v>7</v>
      </c>
      <c r="F181" t="s">
        <v>11</v>
      </c>
      <c r="G181">
        <v>6</v>
      </c>
      <c r="H181">
        <v>200</v>
      </c>
      <c r="J181">
        <f>Table2[[#This Row],[Hits]]/Table2[[#This Row],[Points]]*100</f>
        <v>3</v>
      </c>
      <c r="K181">
        <f>VLOOKUP(Table2[[#This Row],[Site]],'Site Info'!$A$1:$C$11,2, FALSE)</f>
        <v>17.7</v>
      </c>
      <c r="L181">
        <f>VLOOKUP(Table2[[#This Row],[Site]],'Site Info'!$A$1:$C$11,3, FALSE)</f>
        <v>10</v>
      </c>
      <c r="M181" t="str">
        <f>VLOOKUP(Table2[[#This Row],[Species]],'Species Table'!$A$1:$D$68,3, FALSE)</f>
        <v>Perennial</v>
      </c>
      <c r="O181" s="15">
        <f>IF(SUMPRODUCT(($A$2:$A181=A181)*($B$2:$B181=B181)*($F$2:$F181=F181))&gt;1,0,1)</f>
        <v>0</v>
      </c>
      <c r="P181" s="15">
        <f>IF(SUMPRODUCT(($A$2:$A181=A181)*($B$2:$B181=B181)*($D$2:$D181=D181))&gt;1,0,1)</f>
        <v>1</v>
      </c>
    </row>
    <row r="182" spans="1:16" hidden="1" x14ac:dyDescent="0.35">
      <c r="A182" t="s">
        <v>9</v>
      </c>
      <c r="B182">
        <v>2006</v>
      </c>
      <c r="D182">
        <v>7.6</v>
      </c>
      <c r="E182">
        <f>INT(Table2[[#This Row],[Transect]])</f>
        <v>7</v>
      </c>
      <c r="F182" t="s">
        <v>10</v>
      </c>
      <c r="G182">
        <v>2</v>
      </c>
      <c r="H182">
        <v>200</v>
      </c>
      <c r="J182">
        <f>Table2[[#This Row],[Hits]]/Table2[[#This Row],[Points]]*100</f>
        <v>1</v>
      </c>
      <c r="K182">
        <f>VLOOKUP(Table2[[#This Row],[Site]],'Site Info'!$A$1:$C$11,2, FALSE)</f>
        <v>17.7</v>
      </c>
      <c r="L182">
        <f>VLOOKUP(Table2[[#This Row],[Site]],'Site Info'!$A$1:$C$11,3, FALSE)</f>
        <v>10</v>
      </c>
      <c r="M182" t="str">
        <f>VLOOKUP(Table2[[#This Row],[Species]],'Species Table'!$A$1:$D$68,3, FALSE)</f>
        <v>Annual</v>
      </c>
      <c r="O182" s="15">
        <f>IF(SUMPRODUCT(($A$2:$A182=A182)*($B$2:$B182=B182)*($F$2:$F182=F182))&gt;1,0,1)</f>
        <v>0</v>
      </c>
      <c r="P182" s="15">
        <f>IF(SUMPRODUCT(($A$2:$A182=A182)*($B$2:$B182=B182)*($D$2:$D182=D182))&gt;1,0,1)</f>
        <v>0</v>
      </c>
    </row>
    <row r="183" spans="1:16" x14ac:dyDescent="0.35">
      <c r="A183" t="s">
        <v>9</v>
      </c>
      <c r="B183">
        <v>2006</v>
      </c>
      <c r="D183">
        <v>7.7</v>
      </c>
      <c r="E183">
        <f>INT(Table2[[#This Row],[Transect]])</f>
        <v>7</v>
      </c>
      <c r="F183" t="s">
        <v>11</v>
      </c>
      <c r="G183">
        <v>5</v>
      </c>
      <c r="H183">
        <v>200</v>
      </c>
      <c r="J183">
        <f>Table2[[#This Row],[Hits]]/Table2[[#This Row],[Points]]*100</f>
        <v>2.5</v>
      </c>
      <c r="K183">
        <f>VLOOKUP(Table2[[#This Row],[Site]],'Site Info'!$A$1:$C$11,2, FALSE)</f>
        <v>17.7</v>
      </c>
      <c r="L183">
        <f>VLOOKUP(Table2[[#This Row],[Site]],'Site Info'!$A$1:$C$11,3, FALSE)</f>
        <v>10</v>
      </c>
      <c r="M183" t="str">
        <f>VLOOKUP(Table2[[#This Row],[Species]],'Species Table'!$A$1:$D$68,3, FALSE)</f>
        <v>Perennial</v>
      </c>
      <c r="O183" s="15">
        <f>IF(SUMPRODUCT(($A$2:$A183=A183)*($B$2:$B183=B183)*($F$2:$F183=F183))&gt;1,0,1)</f>
        <v>0</v>
      </c>
      <c r="P183" s="15">
        <f>IF(SUMPRODUCT(($A$2:$A183=A183)*($B$2:$B183=B183)*($D$2:$D183=D183))&gt;1,0,1)</f>
        <v>1</v>
      </c>
    </row>
    <row r="184" spans="1:16" hidden="1" x14ac:dyDescent="0.35">
      <c r="A184" t="s">
        <v>9</v>
      </c>
      <c r="B184">
        <v>2006</v>
      </c>
      <c r="D184">
        <v>7.7</v>
      </c>
      <c r="E184">
        <f>INT(Table2[[#This Row],[Transect]])</f>
        <v>7</v>
      </c>
      <c r="F184" t="s">
        <v>10</v>
      </c>
      <c r="G184">
        <v>11</v>
      </c>
      <c r="H184">
        <v>200</v>
      </c>
      <c r="J184">
        <f>Table2[[#This Row],[Hits]]/Table2[[#This Row],[Points]]*100</f>
        <v>5.5</v>
      </c>
      <c r="K184">
        <f>VLOOKUP(Table2[[#This Row],[Site]],'Site Info'!$A$1:$C$11,2, FALSE)</f>
        <v>17.7</v>
      </c>
      <c r="L184">
        <f>VLOOKUP(Table2[[#This Row],[Site]],'Site Info'!$A$1:$C$11,3, FALSE)</f>
        <v>10</v>
      </c>
      <c r="M184" t="str">
        <f>VLOOKUP(Table2[[#This Row],[Species]],'Species Table'!$A$1:$D$68,3, FALSE)</f>
        <v>Annual</v>
      </c>
      <c r="O184" s="15">
        <f>IF(SUMPRODUCT(($A$2:$A184=A184)*($B$2:$B184=B184)*($F$2:$F184=F184))&gt;1,0,1)</f>
        <v>0</v>
      </c>
      <c r="P184" s="15">
        <f>IF(SUMPRODUCT(($A$2:$A184=A184)*($B$2:$B184=B184)*($D$2:$D184=D184))&gt;1,0,1)</f>
        <v>0</v>
      </c>
    </row>
    <row r="185" spans="1:16" x14ac:dyDescent="0.35">
      <c r="A185" t="s">
        <v>9</v>
      </c>
      <c r="B185">
        <v>2006</v>
      </c>
      <c r="D185">
        <v>7.7</v>
      </c>
      <c r="E185">
        <f>INT(Table2[[#This Row],[Transect]])</f>
        <v>7</v>
      </c>
      <c r="F185" t="s">
        <v>3</v>
      </c>
      <c r="G185">
        <v>37</v>
      </c>
      <c r="H185">
        <v>200</v>
      </c>
      <c r="J185">
        <f>Table2[[#This Row],[Hits]]/Table2[[#This Row],[Points]]*100</f>
        <v>18.5</v>
      </c>
      <c r="K185">
        <f>VLOOKUP(Table2[[#This Row],[Site]],'Site Info'!$A$1:$C$11,2, FALSE)</f>
        <v>17.7</v>
      </c>
      <c r="L185">
        <f>VLOOKUP(Table2[[#This Row],[Site]],'Site Info'!$A$1:$C$11,3, FALSE)</f>
        <v>10</v>
      </c>
      <c r="M185" t="str">
        <f>VLOOKUP(Table2[[#This Row],[Species]],'Species Table'!$A$1:$D$68,3, FALSE)</f>
        <v>Perennial</v>
      </c>
      <c r="O185" s="15">
        <f>IF(SUMPRODUCT(($A$2:$A185=A185)*($B$2:$B185=B185)*($F$2:$F185=F185))&gt;1,0,1)</f>
        <v>0</v>
      </c>
      <c r="P185" s="15">
        <f>IF(SUMPRODUCT(($A$2:$A185=A185)*($B$2:$B185=B185)*($D$2:$D185=D185))&gt;1,0,1)</f>
        <v>0</v>
      </c>
    </row>
    <row r="186" spans="1:16" x14ac:dyDescent="0.35">
      <c r="A186" t="s">
        <v>9</v>
      </c>
      <c r="B186">
        <v>2006</v>
      </c>
      <c r="D186">
        <v>7.7</v>
      </c>
      <c r="E186">
        <f>INT(Table2[[#This Row],[Transect]])</f>
        <v>7</v>
      </c>
      <c r="F186" t="s">
        <v>31</v>
      </c>
      <c r="G186">
        <v>1</v>
      </c>
      <c r="H186">
        <v>200</v>
      </c>
      <c r="J186">
        <f>Table2[[#This Row],[Hits]]/Table2[[#This Row],[Points]]*100</f>
        <v>0.5</v>
      </c>
      <c r="K186">
        <f>VLOOKUP(Table2[[#This Row],[Site]],'Site Info'!$A$1:$C$11,2, FALSE)</f>
        <v>17.7</v>
      </c>
      <c r="L186">
        <f>VLOOKUP(Table2[[#This Row],[Site]],'Site Info'!$A$1:$C$11,3, FALSE)</f>
        <v>10</v>
      </c>
      <c r="M186" t="str">
        <f>VLOOKUP(Table2[[#This Row],[Species]],'Species Table'!$A$1:$D$68,3, FALSE)</f>
        <v>Perennial</v>
      </c>
      <c r="O186" s="15">
        <f>IF(SUMPRODUCT(($A$2:$A186=A186)*($B$2:$B186=B186)*($F$2:$F186=F186))&gt;1,0,1)</f>
        <v>0</v>
      </c>
      <c r="P186" s="15">
        <f>IF(SUMPRODUCT(($A$2:$A186=A186)*($B$2:$B186=B186)*($D$2:$D186=D186))&gt;1,0,1)</f>
        <v>0</v>
      </c>
    </row>
    <row r="187" spans="1:16" hidden="1" x14ac:dyDescent="0.35">
      <c r="A187" t="s">
        <v>9</v>
      </c>
      <c r="B187">
        <v>2006</v>
      </c>
      <c r="D187">
        <v>8.1</v>
      </c>
      <c r="E187">
        <f>INT(Table2[[#This Row],[Transect]])</f>
        <v>8</v>
      </c>
      <c r="F187" t="s">
        <v>10</v>
      </c>
      <c r="G187">
        <v>2</v>
      </c>
      <c r="H187">
        <v>200</v>
      </c>
      <c r="J187">
        <f>Table2[[#This Row],[Hits]]/Table2[[#This Row],[Points]]*100</f>
        <v>1</v>
      </c>
      <c r="K187">
        <f>VLOOKUP(Table2[[#This Row],[Site]],'Site Info'!$A$1:$C$11,2, FALSE)</f>
        <v>17.7</v>
      </c>
      <c r="L187">
        <f>VLOOKUP(Table2[[#This Row],[Site]],'Site Info'!$A$1:$C$11,3, FALSE)</f>
        <v>10</v>
      </c>
      <c r="M187" t="str">
        <f>VLOOKUP(Table2[[#This Row],[Species]],'Species Table'!$A$1:$D$68,3, FALSE)</f>
        <v>Annual</v>
      </c>
      <c r="O187" s="15">
        <f>IF(SUMPRODUCT(($A$2:$A187=A187)*($B$2:$B187=B187)*($F$2:$F187=F187))&gt;1,0,1)</f>
        <v>0</v>
      </c>
      <c r="P187" s="15">
        <f>IF(SUMPRODUCT(($A$2:$A187=A187)*($B$2:$B187=B187)*($D$2:$D187=D187))&gt;1,0,1)</f>
        <v>1</v>
      </c>
    </row>
    <row r="188" spans="1:16" x14ac:dyDescent="0.35">
      <c r="A188" t="s">
        <v>9</v>
      </c>
      <c r="B188">
        <v>2006</v>
      </c>
      <c r="D188">
        <v>8.1</v>
      </c>
      <c r="E188">
        <f>INT(Table2[[#This Row],[Transect]])</f>
        <v>8</v>
      </c>
      <c r="F188" t="s">
        <v>3</v>
      </c>
      <c r="G188">
        <v>1</v>
      </c>
      <c r="H188">
        <v>200</v>
      </c>
      <c r="J188">
        <f>Table2[[#This Row],[Hits]]/Table2[[#This Row],[Points]]*100</f>
        <v>0.5</v>
      </c>
      <c r="K188">
        <f>VLOOKUP(Table2[[#This Row],[Site]],'Site Info'!$A$1:$C$11,2, FALSE)</f>
        <v>17.7</v>
      </c>
      <c r="L188">
        <f>VLOOKUP(Table2[[#This Row],[Site]],'Site Info'!$A$1:$C$11,3, FALSE)</f>
        <v>10</v>
      </c>
      <c r="M188" t="str">
        <f>VLOOKUP(Table2[[#This Row],[Species]],'Species Table'!$A$1:$D$68,3, FALSE)</f>
        <v>Perennial</v>
      </c>
      <c r="O188" s="15">
        <f>IF(SUMPRODUCT(($A$2:$A188=A188)*($B$2:$B188=B188)*($F$2:$F188=F188))&gt;1,0,1)</f>
        <v>0</v>
      </c>
      <c r="P188" s="15">
        <f>IF(SUMPRODUCT(($A$2:$A188=A188)*($B$2:$B188=B188)*($D$2:$D188=D188))&gt;1,0,1)</f>
        <v>0</v>
      </c>
    </row>
    <row r="189" spans="1:16" x14ac:dyDescent="0.35">
      <c r="A189" t="s">
        <v>9</v>
      </c>
      <c r="B189">
        <v>2006</v>
      </c>
      <c r="D189">
        <v>8.1</v>
      </c>
      <c r="E189">
        <f>INT(Table2[[#This Row],[Transect]])</f>
        <v>8</v>
      </c>
      <c r="F189" t="s">
        <v>14</v>
      </c>
      <c r="G189">
        <v>31</v>
      </c>
      <c r="H189">
        <v>200</v>
      </c>
      <c r="J189">
        <f>Table2[[#This Row],[Hits]]/Table2[[#This Row],[Points]]*100</f>
        <v>15.5</v>
      </c>
      <c r="K189">
        <f>VLOOKUP(Table2[[#This Row],[Site]],'Site Info'!$A$1:$C$11,2, FALSE)</f>
        <v>17.7</v>
      </c>
      <c r="L189">
        <f>VLOOKUP(Table2[[#This Row],[Site]],'Site Info'!$A$1:$C$11,3, FALSE)</f>
        <v>10</v>
      </c>
      <c r="M189" t="str">
        <f>VLOOKUP(Table2[[#This Row],[Species]],'Species Table'!$A$1:$D$68,3, FALSE)</f>
        <v>Perennial</v>
      </c>
      <c r="O189" s="15">
        <f>IF(SUMPRODUCT(($A$2:$A189=A189)*($B$2:$B189=B189)*($F$2:$F189=F189))&gt;1,0,1)</f>
        <v>0</v>
      </c>
      <c r="P189" s="15">
        <f>IF(SUMPRODUCT(($A$2:$A189=A189)*($B$2:$B189=B189)*($D$2:$D189=D189))&gt;1,0,1)</f>
        <v>0</v>
      </c>
    </row>
    <row r="190" spans="1:16" x14ac:dyDescent="0.35">
      <c r="A190" t="s">
        <v>9</v>
      </c>
      <c r="B190">
        <v>2006</v>
      </c>
      <c r="D190">
        <v>8.1</v>
      </c>
      <c r="E190">
        <f>INT(Table2[[#This Row],[Transect]])</f>
        <v>8</v>
      </c>
      <c r="F190" t="s">
        <v>2</v>
      </c>
      <c r="G190">
        <v>2</v>
      </c>
      <c r="H190">
        <v>200</v>
      </c>
      <c r="J190">
        <f>Table2[[#This Row],[Hits]]/Table2[[#This Row],[Points]]*100</f>
        <v>1</v>
      </c>
      <c r="K190">
        <f>VLOOKUP(Table2[[#This Row],[Site]],'Site Info'!$A$1:$C$11,2, FALSE)</f>
        <v>17.7</v>
      </c>
      <c r="L190">
        <f>VLOOKUP(Table2[[#This Row],[Site]],'Site Info'!$A$1:$C$11,3, FALSE)</f>
        <v>10</v>
      </c>
      <c r="M190" t="str">
        <f>VLOOKUP(Table2[[#This Row],[Species]],'Species Table'!$A$1:$D$68,3, FALSE)</f>
        <v>Perennial</v>
      </c>
      <c r="O190" s="15">
        <f>IF(SUMPRODUCT(($A$2:$A190=A190)*($B$2:$B190=B190)*($F$2:$F190=F190))&gt;1,0,1)</f>
        <v>1</v>
      </c>
      <c r="P190" s="15">
        <f>IF(SUMPRODUCT(($A$2:$A190=A190)*($B$2:$B190=B190)*($D$2:$D190=D190))&gt;1,0,1)</f>
        <v>0</v>
      </c>
    </row>
    <row r="191" spans="1:16" hidden="1" x14ac:dyDescent="0.35">
      <c r="A191" t="s">
        <v>9</v>
      </c>
      <c r="B191">
        <v>2006</v>
      </c>
      <c r="D191">
        <v>8.1999999999999993</v>
      </c>
      <c r="E191">
        <f>INT(Table2[[#This Row],[Transect]])</f>
        <v>8</v>
      </c>
      <c r="F191" t="s">
        <v>10</v>
      </c>
      <c r="G191">
        <v>39</v>
      </c>
      <c r="H191">
        <v>200</v>
      </c>
      <c r="J191">
        <f>Table2[[#This Row],[Hits]]/Table2[[#This Row],[Points]]*100</f>
        <v>19.5</v>
      </c>
      <c r="K191">
        <f>VLOOKUP(Table2[[#This Row],[Site]],'Site Info'!$A$1:$C$11,2, FALSE)</f>
        <v>17.7</v>
      </c>
      <c r="L191">
        <f>VLOOKUP(Table2[[#This Row],[Site]],'Site Info'!$A$1:$C$11,3, FALSE)</f>
        <v>10</v>
      </c>
      <c r="M191" t="str">
        <f>VLOOKUP(Table2[[#This Row],[Species]],'Species Table'!$A$1:$D$68,3, FALSE)</f>
        <v>Annual</v>
      </c>
      <c r="O191" s="15">
        <f>IF(SUMPRODUCT(($A$2:$A191=A191)*($B$2:$B191=B191)*($F$2:$F191=F191))&gt;1,0,1)</f>
        <v>0</v>
      </c>
      <c r="P191" s="15">
        <f>IF(SUMPRODUCT(($A$2:$A191=A191)*($B$2:$B191=B191)*($D$2:$D191=D191))&gt;1,0,1)</f>
        <v>1</v>
      </c>
    </row>
    <row r="192" spans="1:16" x14ac:dyDescent="0.35">
      <c r="A192" t="s">
        <v>9</v>
      </c>
      <c r="B192">
        <v>2006</v>
      </c>
      <c r="D192">
        <v>8.1999999999999993</v>
      </c>
      <c r="E192">
        <f>INT(Table2[[#This Row],[Transect]])</f>
        <v>8</v>
      </c>
      <c r="F192" t="s">
        <v>3</v>
      </c>
      <c r="G192">
        <v>14</v>
      </c>
      <c r="H192">
        <v>200</v>
      </c>
      <c r="J192">
        <f>Table2[[#This Row],[Hits]]/Table2[[#This Row],[Points]]*100</f>
        <v>7.0000000000000009</v>
      </c>
      <c r="K192">
        <f>VLOOKUP(Table2[[#This Row],[Site]],'Site Info'!$A$1:$C$11,2, FALSE)</f>
        <v>17.7</v>
      </c>
      <c r="L192">
        <f>VLOOKUP(Table2[[#This Row],[Site]],'Site Info'!$A$1:$C$11,3, FALSE)</f>
        <v>10</v>
      </c>
      <c r="M192" t="str">
        <f>VLOOKUP(Table2[[#This Row],[Species]],'Species Table'!$A$1:$D$68,3, FALSE)</f>
        <v>Perennial</v>
      </c>
      <c r="O192" s="15">
        <f>IF(SUMPRODUCT(($A$2:$A192=A192)*($B$2:$B192=B192)*($F$2:$F192=F192))&gt;1,0,1)</f>
        <v>0</v>
      </c>
      <c r="P192" s="15">
        <f>IF(SUMPRODUCT(($A$2:$A192=A192)*($B$2:$B192=B192)*($D$2:$D192=D192))&gt;1,0,1)</f>
        <v>0</v>
      </c>
    </row>
    <row r="193" spans="1:16" x14ac:dyDescent="0.35">
      <c r="A193" t="s">
        <v>9</v>
      </c>
      <c r="B193">
        <v>2006</v>
      </c>
      <c r="D193">
        <v>8.1999999999999993</v>
      </c>
      <c r="E193">
        <f>INT(Table2[[#This Row],[Transect]])</f>
        <v>8</v>
      </c>
      <c r="F193" t="s">
        <v>2</v>
      </c>
      <c r="G193">
        <v>5</v>
      </c>
      <c r="H193">
        <v>200</v>
      </c>
      <c r="J193">
        <f>Table2[[#This Row],[Hits]]/Table2[[#This Row],[Points]]*100</f>
        <v>2.5</v>
      </c>
      <c r="K193">
        <f>VLOOKUP(Table2[[#This Row],[Site]],'Site Info'!$A$1:$C$11,2, FALSE)</f>
        <v>17.7</v>
      </c>
      <c r="L193">
        <f>VLOOKUP(Table2[[#This Row],[Site]],'Site Info'!$A$1:$C$11,3, FALSE)</f>
        <v>10</v>
      </c>
      <c r="M193" t="str">
        <f>VLOOKUP(Table2[[#This Row],[Species]],'Species Table'!$A$1:$D$68,3, FALSE)</f>
        <v>Perennial</v>
      </c>
      <c r="O193" s="15">
        <f>IF(SUMPRODUCT(($A$2:$A193=A193)*($B$2:$B193=B193)*($F$2:$F193=F193))&gt;1,0,1)</f>
        <v>0</v>
      </c>
      <c r="P193" s="15">
        <f>IF(SUMPRODUCT(($A$2:$A193=A193)*($B$2:$B193=B193)*($D$2:$D193=D193))&gt;1,0,1)</f>
        <v>0</v>
      </c>
    </row>
    <row r="194" spans="1:16" hidden="1" x14ac:dyDescent="0.35">
      <c r="A194" t="s">
        <v>9</v>
      </c>
      <c r="B194">
        <v>2006</v>
      </c>
      <c r="D194">
        <v>8.3000000000000007</v>
      </c>
      <c r="E194">
        <f>INT(Table2[[#This Row],[Transect]])</f>
        <v>8</v>
      </c>
      <c r="F194" t="s">
        <v>10</v>
      </c>
      <c r="G194">
        <v>54</v>
      </c>
      <c r="H194">
        <v>200</v>
      </c>
      <c r="J194">
        <f>Table2[[#This Row],[Hits]]/Table2[[#This Row],[Points]]*100</f>
        <v>27</v>
      </c>
      <c r="K194">
        <f>VLOOKUP(Table2[[#This Row],[Site]],'Site Info'!$A$1:$C$11,2, FALSE)</f>
        <v>17.7</v>
      </c>
      <c r="L194">
        <f>VLOOKUP(Table2[[#This Row],[Site]],'Site Info'!$A$1:$C$11,3, FALSE)</f>
        <v>10</v>
      </c>
      <c r="M194" t="str">
        <f>VLOOKUP(Table2[[#This Row],[Species]],'Species Table'!$A$1:$D$68,3, FALSE)</f>
        <v>Annual</v>
      </c>
      <c r="O194" s="15">
        <f>IF(SUMPRODUCT(($A$2:$A194=A194)*($B$2:$B194=B194)*($F$2:$F194=F194))&gt;1,0,1)</f>
        <v>0</v>
      </c>
      <c r="P194" s="15">
        <f>IF(SUMPRODUCT(($A$2:$A194=A194)*($B$2:$B194=B194)*($D$2:$D194=D194))&gt;1,0,1)</f>
        <v>1</v>
      </c>
    </row>
    <row r="195" spans="1:16" x14ac:dyDescent="0.35">
      <c r="A195" t="s">
        <v>9</v>
      </c>
      <c r="B195">
        <v>2006</v>
      </c>
      <c r="D195">
        <v>8.3000000000000007</v>
      </c>
      <c r="E195">
        <f>INT(Table2[[#This Row],[Transect]])</f>
        <v>8</v>
      </c>
      <c r="F195" t="s">
        <v>3</v>
      </c>
      <c r="G195">
        <v>25</v>
      </c>
      <c r="H195">
        <v>200</v>
      </c>
      <c r="J195">
        <f>Table2[[#This Row],[Hits]]/Table2[[#This Row],[Points]]*100</f>
        <v>12.5</v>
      </c>
      <c r="K195">
        <f>VLOOKUP(Table2[[#This Row],[Site]],'Site Info'!$A$1:$C$11,2, FALSE)</f>
        <v>17.7</v>
      </c>
      <c r="L195">
        <f>VLOOKUP(Table2[[#This Row],[Site]],'Site Info'!$A$1:$C$11,3, FALSE)</f>
        <v>10</v>
      </c>
      <c r="M195" t="str">
        <f>VLOOKUP(Table2[[#This Row],[Species]],'Species Table'!$A$1:$D$68,3, FALSE)</f>
        <v>Perennial</v>
      </c>
      <c r="O195" s="15">
        <f>IF(SUMPRODUCT(($A$2:$A195=A195)*($B$2:$B195=B195)*($F$2:$F195=F195))&gt;1,0,1)</f>
        <v>0</v>
      </c>
      <c r="P195" s="15">
        <f>IF(SUMPRODUCT(($A$2:$A195=A195)*($B$2:$B195=B195)*($D$2:$D195=D195))&gt;1,0,1)</f>
        <v>0</v>
      </c>
    </row>
    <row r="196" spans="1:16" hidden="1" x14ac:dyDescent="0.35">
      <c r="A196" t="s">
        <v>9</v>
      </c>
      <c r="B196">
        <v>2006</v>
      </c>
      <c r="D196">
        <v>8.4</v>
      </c>
      <c r="E196">
        <f>INT(Table2[[#This Row],[Transect]])</f>
        <v>8</v>
      </c>
      <c r="F196" t="s">
        <v>10</v>
      </c>
      <c r="G196">
        <v>11</v>
      </c>
      <c r="H196">
        <v>200</v>
      </c>
      <c r="J196">
        <f>Table2[[#This Row],[Hits]]/Table2[[#This Row],[Points]]*100</f>
        <v>5.5</v>
      </c>
      <c r="K196">
        <f>VLOOKUP(Table2[[#This Row],[Site]],'Site Info'!$A$1:$C$11,2, FALSE)</f>
        <v>17.7</v>
      </c>
      <c r="L196">
        <f>VLOOKUP(Table2[[#This Row],[Site]],'Site Info'!$A$1:$C$11,3, FALSE)</f>
        <v>10</v>
      </c>
      <c r="M196" t="str">
        <f>VLOOKUP(Table2[[#This Row],[Species]],'Species Table'!$A$1:$D$68,3, FALSE)</f>
        <v>Annual</v>
      </c>
      <c r="O196" s="15">
        <f>IF(SUMPRODUCT(($A$2:$A196=A196)*($B$2:$B196=B196)*($F$2:$F196=F196))&gt;1,0,1)</f>
        <v>0</v>
      </c>
      <c r="P196" s="15">
        <f>IF(SUMPRODUCT(($A$2:$A196=A196)*($B$2:$B196=B196)*($D$2:$D196=D196))&gt;1,0,1)</f>
        <v>1</v>
      </c>
    </row>
    <row r="197" spans="1:16" x14ac:dyDescent="0.35">
      <c r="A197" t="s">
        <v>9</v>
      </c>
      <c r="B197">
        <v>2006</v>
      </c>
      <c r="D197">
        <v>8.4</v>
      </c>
      <c r="E197">
        <f>INT(Table2[[#This Row],[Transect]])</f>
        <v>8</v>
      </c>
      <c r="F197" t="s">
        <v>3</v>
      </c>
      <c r="G197">
        <v>10</v>
      </c>
      <c r="H197">
        <v>200</v>
      </c>
      <c r="J197">
        <f>Table2[[#This Row],[Hits]]/Table2[[#This Row],[Points]]*100</f>
        <v>5</v>
      </c>
      <c r="K197">
        <f>VLOOKUP(Table2[[#This Row],[Site]],'Site Info'!$A$1:$C$11,2, FALSE)</f>
        <v>17.7</v>
      </c>
      <c r="L197">
        <f>VLOOKUP(Table2[[#This Row],[Site]],'Site Info'!$A$1:$C$11,3, FALSE)</f>
        <v>10</v>
      </c>
      <c r="M197" t="str">
        <f>VLOOKUP(Table2[[#This Row],[Species]],'Species Table'!$A$1:$D$68,3, FALSE)</f>
        <v>Perennial</v>
      </c>
      <c r="O197" s="15">
        <f>IF(SUMPRODUCT(($A$2:$A197=A197)*($B$2:$B197=B197)*($F$2:$F197=F197))&gt;1,0,1)</f>
        <v>0</v>
      </c>
      <c r="P197" s="15">
        <f>IF(SUMPRODUCT(($A$2:$A197=A197)*($B$2:$B197=B197)*($D$2:$D197=D197))&gt;1,0,1)</f>
        <v>0</v>
      </c>
    </row>
    <row r="198" spans="1:16" x14ac:dyDescent="0.35">
      <c r="A198" t="s">
        <v>9</v>
      </c>
      <c r="B198">
        <v>2006</v>
      </c>
      <c r="D198">
        <v>8.4</v>
      </c>
      <c r="E198">
        <f>INT(Table2[[#This Row],[Transect]])</f>
        <v>8</v>
      </c>
      <c r="F198" t="s">
        <v>6</v>
      </c>
      <c r="G198">
        <v>18</v>
      </c>
      <c r="H198">
        <v>200</v>
      </c>
      <c r="J198">
        <f>Table2[[#This Row],[Hits]]/Table2[[#This Row],[Points]]*100</f>
        <v>9</v>
      </c>
      <c r="K198">
        <f>VLOOKUP(Table2[[#This Row],[Site]],'Site Info'!$A$1:$C$11,2, FALSE)</f>
        <v>17.7</v>
      </c>
      <c r="L198">
        <f>VLOOKUP(Table2[[#This Row],[Site]],'Site Info'!$A$1:$C$11,3, FALSE)</f>
        <v>10</v>
      </c>
      <c r="M198" t="str">
        <f>VLOOKUP(Table2[[#This Row],[Species]],'Species Table'!$A$1:$D$68,3, FALSE)</f>
        <v>Perennial</v>
      </c>
      <c r="O198" s="15">
        <f>IF(SUMPRODUCT(($A$2:$A198=A198)*($B$2:$B198=B198)*($F$2:$F198=F198))&gt;1,0,1)</f>
        <v>1</v>
      </c>
      <c r="P198" s="15">
        <f>IF(SUMPRODUCT(($A$2:$A198=A198)*($B$2:$B198=B198)*($D$2:$D198=D198))&gt;1,0,1)</f>
        <v>0</v>
      </c>
    </row>
    <row r="199" spans="1:16" x14ac:dyDescent="0.35">
      <c r="A199" t="s">
        <v>9</v>
      </c>
      <c r="B199">
        <v>2006</v>
      </c>
      <c r="D199">
        <v>8.5</v>
      </c>
      <c r="E199">
        <f>INT(Table2[[#This Row],[Transect]])</f>
        <v>8</v>
      </c>
      <c r="F199" t="s">
        <v>3</v>
      </c>
      <c r="G199">
        <v>12</v>
      </c>
      <c r="H199">
        <v>200</v>
      </c>
      <c r="J199">
        <f>Table2[[#This Row],[Hits]]/Table2[[#This Row],[Points]]*100</f>
        <v>6</v>
      </c>
      <c r="K199">
        <f>VLOOKUP(Table2[[#This Row],[Site]],'Site Info'!$A$1:$C$11,2, FALSE)</f>
        <v>17.7</v>
      </c>
      <c r="L199">
        <f>VLOOKUP(Table2[[#This Row],[Site]],'Site Info'!$A$1:$C$11,3, FALSE)</f>
        <v>10</v>
      </c>
      <c r="M199" t="str">
        <f>VLOOKUP(Table2[[#This Row],[Species]],'Species Table'!$A$1:$D$68,3, FALSE)</f>
        <v>Perennial</v>
      </c>
      <c r="O199" s="15">
        <f>IF(SUMPRODUCT(($A$2:$A199=A199)*($B$2:$B199=B199)*($F$2:$F199=F199))&gt;1,0,1)</f>
        <v>0</v>
      </c>
      <c r="P199" s="15">
        <f>IF(SUMPRODUCT(($A$2:$A199=A199)*($B$2:$B199=B199)*($D$2:$D199=D199))&gt;1,0,1)</f>
        <v>1</v>
      </c>
    </row>
    <row r="200" spans="1:16" x14ac:dyDescent="0.35">
      <c r="A200" t="s">
        <v>9</v>
      </c>
      <c r="B200">
        <v>2006</v>
      </c>
      <c r="D200">
        <v>8.5</v>
      </c>
      <c r="E200">
        <f>INT(Table2[[#This Row],[Transect]])</f>
        <v>8</v>
      </c>
      <c r="F200" t="s">
        <v>6</v>
      </c>
      <c r="G200">
        <v>11</v>
      </c>
      <c r="H200">
        <v>200</v>
      </c>
      <c r="J200">
        <f>Table2[[#This Row],[Hits]]/Table2[[#This Row],[Points]]*100</f>
        <v>5.5</v>
      </c>
      <c r="K200">
        <f>VLOOKUP(Table2[[#This Row],[Site]],'Site Info'!$A$1:$C$11,2, FALSE)</f>
        <v>17.7</v>
      </c>
      <c r="L200">
        <f>VLOOKUP(Table2[[#This Row],[Site]],'Site Info'!$A$1:$C$11,3, FALSE)</f>
        <v>10</v>
      </c>
      <c r="M200" t="str">
        <f>VLOOKUP(Table2[[#This Row],[Species]],'Species Table'!$A$1:$D$68,3, FALSE)</f>
        <v>Perennial</v>
      </c>
      <c r="O200" s="15">
        <f>IF(SUMPRODUCT(($A$2:$A200=A200)*($B$2:$B200=B200)*($F$2:$F200=F200))&gt;1,0,1)</f>
        <v>0</v>
      </c>
      <c r="P200" s="15">
        <f>IF(SUMPRODUCT(($A$2:$A200=A200)*($B$2:$B200=B200)*($D$2:$D200=D200))&gt;1,0,1)</f>
        <v>0</v>
      </c>
    </row>
    <row r="201" spans="1:16" x14ac:dyDescent="0.35">
      <c r="A201" t="s">
        <v>9</v>
      </c>
      <c r="B201">
        <v>2006</v>
      </c>
      <c r="D201">
        <v>8.5</v>
      </c>
      <c r="E201">
        <f>INT(Table2[[#This Row],[Transect]])</f>
        <v>8</v>
      </c>
      <c r="F201" t="s">
        <v>15</v>
      </c>
      <c r="G201">
        <v>1</v>
      </c>
      <c r="H201">
        <v>200</v>
      </c>
      <c r="J201">
        <f>Table2[[#This Row],[Hits]]/Table2[[#This Row],[Points]]*100</f>
        <v>0.5</v>
      </c>
      <c r="K201">
        <f>VLOOKUP(Table2[[#This Row],[Site]],'Site Info'!$A$1:$C$11,2, FALSE)</f>
        <v>17.7</v>
      </c>
      <c r="L201">
        <f>VLOOKUP(Table2[[#This Row],[Site]],'Site Info'!$A$1:$C$11,3, FALSE)</f>
        <v>10</v>
      </c>
      <c r="M201" t="str">
        <f>VLOOKUP(Table2[[#This Row],[Species]],'Species Table'!$A$1:$D$68,3, FALSE)</f>
        <v>Perennial</v>
      </c>
      <c r="O201" s="15">
        <f>IF(SUMPRODUCT(($A$2:$A201=A201)*($B$2:$B201=B201)*($F$2:$F201=F201))&gt;1,0,1)</f>
        <v>1</v>
      </c>
      <c r="P201" s="15">
        <f>IF(SUMPRODUCT(($A$2:$A201=A201)*($B$2:$B201=B201)*($D$2:$D201=D201))&gt;1,0,1)</f>
        <v>0</v>
      </c>
    </row>
    <row r="202" spans="1:16" x14ac:dyDescent="0.35">
      <c r="A202" t="s">
        <v>9</v>
      </c>
      <c r="B202">
        <v>2012</v>
      </c>
      <c r="C202" t="s">
        <v>37</v>
      </c>
      <c r="D202">
        <v>1.1000000000000001</v>
      </c>
      <c r="E202">
        <f>INT(Table2[[#This Row],[Transect]])</f>
        <v>1</v>
      </c>
      <c r="F202" t="s">
        <v>11</v>
      </c>
      <c r="G202">
        <v>17</v>
      </c>
      <c r="H202">
        <v>200</v>
      </c>
      <c r="J202">
        <f>Table2[[#This Row],[Hits]]/Table2[[#This Row],[Points]]*100</f>
        <v>8.5</v>
      </c>
      <c r="K202">
        <f>VLOOKUP(Table2[[#This Row],[Site]],'Site Info'!$A$1:$C$11,2, FALSE)</f>
        <v>17.7</v>
      </c>
      <c r="L202">
        <f>VLOOKUP(Table2[[#This Row],[Site]],'Site Info'!$A$1:$C$11,3, FALSE)</f>
        <v>10</v>
      </c>
      <c r="M202" t="str">
        <f>VLOOKUP(Table2[[#This Row],[Species]],'Species Table'!$A$1:$D$68,3, FALSE)</f>
        <v>Perennial</v>
      </c>
      <c r="O202" s="15">
        <f>IF(SUMPRODUCT(($A$2:$A202=A202)*($B$2:$B202=B202)*($F$2:$F202=F202))&gt;1,0,1)</f>
        <v>1</v>
      </c>
      <c r="P202" s="15">
        <f>IF(SUMPRODUCT(($A$2:$A202=A202)*($B$2:$B202=B202)*($D$2:$D202=D202))&gt;1,0,1)</f>
        <v>1</v>
      </c>
    </row>
    <row r="203" spans="1:16" x14ac:dyDescent="0.35">
      <c r="A203" t="s">
        <v>9</v>
      </c>
      <c r="B203">
        <v>2012</v>
      </c>
      <c r="C203" t="s">
        <v>37</v>
      </c>
      <c r="D203">
        <v>1.1000000000000001</v>
      </c>
      <c r="E203">
        <f>INT(Table2[[#This Row],[Transect]])</f>
        <v>1</v>
      </c>
      <c r="F203" t="s">
        <v>12</v>
      </c>
      <c r="G203">
        <v>5</v>
      </c>
      <c r="H203">
        <v>200</v>
      </c>
      <c r="J203">
        <f>Table2[[#This Row],[Hits]]/Table2[[#This Row],[Points]]*100</f>
        <v>2.5</v>
      </c>
      <c r="K203">
        <f>VLOOKUP(Table2[[#This Row],[Site]],'Site Info'!$A$1:$C$11,2, FALSE)</f>
        <v>17.7</v>
      </c>
      <c r="L203">
        <f>VLOOKUP(Table2[[#This Row],[Site]],'Site Info'!$A$1:$C$11,3, FALSE)</f>
        <v>10</v>
      </c>
      <c r="M203" t="str">
        <f>VLOOKUP(Table2[[#This Row],[Species]],'Species Table'!$A$1:$D$68,3, FALSE)</f>
        <v>Perennial</v>
      </c>
      <c r="O203" s="15">
        <f>IF(SUMPRODUCT(($A$2:$A203=A203)*($B$2:$B203=B203)*($F$2:$F203=F203))&gt;1,0,1)</f>
        <v>1</v>
      </c>
      <c r="P203" s="15">
        <f>IF(SUMPRODUCT(($A$2:$A203=A203)*($B$2:$B203=B203)*($D$2:$D203=D203))&gt;1,0,1)</f>
        <v>0</v>
      </c>
    </row>
    <row r="204" spans="1:16" x14ac:dyDescent="0.35">
      <c r="A204" t="s">
        <v>9</v>
      </c>
      <c r="B204">
        <v>2012</v>
      </c>
      <c r="C204" t="s">
        <v>38</v>
      </c>
      <c r="D204">
        <v>1.2</v>
      </c>
      <c r="E204">
        <f>INT(Table2[[#This Row],[Transect]])</f>
        <v>1</v>
      </c>
      <c r="F204" t="s">
        <v>11</v>
      </c>
      <c r="G204">
        <v>8</v>
      </c>
      <c r="H204">
        <v>200</v>
      </c>
      <c r="J204">
        <f>Table2[[#This Row],[Hits]]/Table2[[#This Row],[Points]]*100</f>
        <v>4</v>
      </c>
      <c r="K204">
        <f>VLOOKUP(Table2[[#This Row],[Site]],'Site Info'!$A$1:$C$11,2, FALSE)</f>
        <v>17.7</v>
      </c>
      <c r="L204">
        <f>VLOOKUP(Table2[[#This Row],[Site]],'Site Info'!$A$1:$C$11,3, FALSE)</f>
        <v>10</v>
      </c>
      <c r="M204" t="str">
        <f>VLOOKUP(Table2[[#This Row],[Species]],'Species Table'!$A$1:$D$68,3, FALSE)</f>
        <v>Perennial</v>
      </c>
      <c r="O204" s="15">
        <f>IF(SUMPRODUCT(($A$2:$A204=A204)*($B$2:$B204=B204)*($F$2:$F204=F204))&gt;1,0,1)</f>
        <v>0</v>
      </c>
      <c r="P204" s="15">
        <f>IF(SUMPRODUCT(($A$2:$A204=A204)*($B$2:$B204=B204)*($D$2:$D204=D204))&gt;1,0,1)</f>
        <v>1</v>
      </c>
    </row>
    <row r="205" spans="1:16" hidden="1" x14ac:dyDescent="0.35">
      <c r="A205" t="s">
        <v>9</v>
      </c>
      <c r="B205">
        <v>2012</v>
      </c>
      <c r="C205" t="s">
        <v>83</v>
      </c>
      <c r="D205">
        <v>1.3</v>
      </c>
      <c r="E205">
        <f>INT(Table2[[#This Row],[Transect]])</f>
        <v>1</v>
      </c>
      <c r="F205" t="s">
        <v>127</v>
      </c>
      <c r="G205">
        <v>0</v>
      </c>
      <c r="H205">
        <v>200</v>
      </c>
      <c r="J205">
        <f>Table2[[#This Row],[Hits]]/Table2[[#This Row],[Points]]*100</f>
        <v>0</v>
      </c>
      <c r="K205">
        <f>VLOOKUP(Table2[[#This Row],[Site]],'Site Info'!$A$1:$C$11,2, FALSE)</f>
        <v>17.7</v>
      </c>
      <c r="L205">
        <f>VLOOKUP(Table2[[#This Row],[Site]],'Site Info'!$A$1:$C$11,3, FALSE)</f>
        <v>10</v>
      </c>
      <c r="M205" t="str">
        <f>VLOOKUP(Table2[[#This Row],[Species]],'Species Table'!$A$1:$D$68,3, FALSE)</f>
        <v>NA</v>
      </c>
      <c r="O205" s="15">
        <f>IF(SUMPRODUCT(($A$2:$A205=A205)*($B$2:$B205=B205)*($F$2:$F205=F205))&gt;1,0,1)</f>
        <v>1</v>
      </c>
      <c r="P205" s="15">
        <f>IF(SUMPRODUCT(($A$2:$A205=A205)*($B$2:$B205=B205)*($D$2:$D205=D205))&gt;1,0,1)</f>
        <v>1</v>
      </c>
    </row>
    <row r="206" spans="1:16" x14ac:dyDescent="0.35">
      <c r="A206" t="s">
        <v>9</v>
      </c>
      <c r="B206">
        <v>2012</v>
      </c>
      <c r="C206" t="s">
        <v>39</v>
      </c>
      <c r="D206">
        <v>1.4</v>
      </c>
      <c r="E206">
        <f>INT(Table2[[#This Row],[Transect]])</f>
        <v>1</v>
      </c>
      <c r="F206" t="s">
        <v>11</v>
      </c>
      <c r="G206">
        <v>4</v>
      </c>
      <c r="H206">
        <v>200</v>
      </c>
      <c r="J206">
        <f>Table2[[#This Row],[Hits]]/Table2[[#This Row],[Points]]*100</f>
        <v>2</v>
      </c>
      <c r="K206">
        <f>VLOOKUP(Table2[[#This Row],[Site]],'Site Info'!$A$1:$C$11,2, FALSE)</f>
        <v>17.7</v>
      </c>
      <c r="L206">
        <f>VLOOKUP(Table2[[#This Row],[Site]],'Site Info'!$A$1:$C$11,3, FALSE)</f>
        <v>10</v>
      </c>
      <c r="M206" t="str">
        <f>VLOOKUP(Table2[[#This Row],[Species]],'Species Table'!$A$1:$D$68,3, FALSE)</f>
        <v>Perennial</v>
      </c>
      <c r="O206" s="15">
        <f>IF(SUMPRODUCT(($A$2:$A206=A206)*($B$2:$B206=B206)*($F$2:$F206=F206))&gt;1,0,1)</f>
        <v>0</v>
      </c>
      <c r="P206" s="15">
        <f>IF(SUMPRODUCT(($A$2:$A206=A206)*($B$2:$B206=B206)*($D$2:$D206=D206))&gt;1,0,1)</f>
        <v>1</v>
      </c>
    </row>
    <row r="207" spans="1:16" x14ac:dyDescent="0.35">
      <c r="A207" t="s">
        <v>9</v>
      </c>
      <c r="B207">
        <v>2012</v>
      </c>
      <c r="C207" t="s">
        <v>40</v>
      </c>
      <c r="D207">
        <v>1.5</v>
      </c>
      <c r="E207">
        <f>INT(Table2[[#This Row],[Transect]])</f>
        <v>1</v>
      </c>
      <c r="F207" t="s">
        <v>11</v>
      </c>
      <c r="G207">
        <v>1</v>
      </c>
      <c r="H207">
        <v>200</v>
      </c>
      <c r="J207">
        <f>Table2[[#This Row],[Hits]]/Table2[[#This Row],[Points]]*100</f>
        <v>0.5</v>
      </c>
      <c r="K207">
        <f>VLOOKUP(Table2[[#This Row],[Site]],'Site Info'!$A$1:$C$11,2, FALSE)</f>
        <v>17.7</v>
      </c>
      <c r="L207">
        <f>VLOOKUP(Table2[[#This Row],[Site]],'Site Info'!$A$1:$C$11,3, FALSE)</f>
        <v>10</v>
      </c>
      <c r="M207" t="str">
        <f>VLOOKUP(Table2[[#This Row],[Species]],'Species Table'!$A$1:$D$68,3, FALSE)</f>
        <v>Perennial</v>
      </c>
      <c r="O207" s="15">
        <f>IF(SUMPRODUCT(($A$2:$A207=A207)*($B$2:$B207=B207)*($F$2:$F207=F207))&gt;1,0,1)</f>
        <v>0</v>
      </c>
      <c r="P207" s="15">
        <f>IF(SUMPRODUCT(($A$2:$A207=A207)*($B$2:$B207=B207)*($D$2:$D207=D207))&gt;1,0,1)</f>
        <v>1</v>
      </c>
    </row>
    <row r="208" spans="1:16" hidden="1" x14ac:dyDescent="0.35">
      <c r="A208" t="s">
        <v>9</v>
      </c>
      <c r="B208">
        <v>2012</v>
      </c>
      <c r="C208" t="s">
        <v>40</v>
      </c>
      <c r="D208">
        <v>1.5</v>
      </c>
      <c r="E208">
        <f>INT(Table2[[#This Row],[Transect]])</f>
        <v>1</v>
      </c>
      <c r="F208" t="s">
        <v>10</v>
      </c>
      <c r="G208">
        <v>2</v>
      </c>
      <c r="H208">
        <v>200</v>
      </c>
      <c r="J208">
        <f>Table2[[#This Row],[Hits]]/Table2[[#This Row],[Points]]*100</f>
        <v>1</v>
      </c>
      <c r="K208">
        <f>VLOOKUP(Table2[[#This Row],[Site]],'Site Info'!$A$1:$C$11,2, FALSE)</f>
        <v>17.7</v>
      </c>
      <c r="L208">
        <f>VLOOKUP(Table2[[#This Row],[Site]],'Site Info'!$A$1:$C$11,3, FALSE)</f>
        <v>10</v>
      </c>
      <c r="M208" t="str">
        <f>VLOOKUP(Table2[[#This Row],[Species]],'Species Table'!$A$1:$D$68,3, FALSE)</f>
        <v>Annual</v>
      </c>
      <c r="O208" s="15">
        <f>IF(SUMPRODUCT(($A$2:$A208=A208)*($B$2:$B208=B208)*($F$2:$F208=F208))&gt;1,0,1)</f>
        <v>1</v>
      </c>
      <c r="P208" s="15">
        <f>IF(SUMPRODUCT(($A$2:$A208=A208)*($B$2:$B208=B208)*($D$2:$D208=D208))&gt;1,0,1)</f>
        <v>0</v>
      </c>
    </row>
    <row r="209" spans="1:16" x14ac:dyDescent="0.35">
      <c r="A209" t="s">
        <v>9</v>
      </c>
      <c r="B209">
        <v>2012</v>
      </c>
      <c r="C209" t="s">
        <v>41</v>
      </c>
      <c r="D209">
        <v>1.6</v>
      </c>
      <c r="E209">
        <f>INT(Table2[[#This Row],[Transect]])</f>
        <v>1</v>
      </c>
      <c r="F209" t="s">
        <v>11</v>
      </c>
      <c r="G209">
        <v>2</v>
      </c>
      <c r="H209">
        <v>200</v>
      </c>
      <c r="J209">
        <f>Table2[[#This Row],[Hits]]/Table2[[#This Row],[Points]]*100</f>
        <v>1</v>
      </c>
      <c r="K209">
        <f>VLOOKUP(Table2[[#This Row],[Site]],'Site Info'!$A$1:$C$11,2, FALSE)</f>
        <v>17.7</v>
      </c>
      <c r="L209">
        <f>VLOOKUP(Table2[[#This Row],[Site]],'Site Info'!$A$1:$C$11,3, FALSE)</f>
        <v>10</v>
      </c>
      <c r="M209" t="str">
        <f>VLOOKUP(Table2[[#This Row],[Species]],'Species Table'!$A$1:$D$68,3, FALSE)</f>
        <v>Perennial</v>
      </c>
      <c r="O209" s="15">
        <f>IF(SUMPRODUCT(($A$2:$A209=A209)*($B$2:$B209=B209)*($F$2:$F209=F209))&gt;1,0,1)</f>
        <v>0</v>
      </c>
      <c r="P209" s="15">
        <f>IF(SUMPRODUCT(($A$2:$A209=A209)*($B$2:$B209=B209)*($D$2:$D209=D209))&gt;1,0,1)</f>
        <v>1</v>
      </c>
    </row>
    <row r="210" spans="1:16" x14ac:dyDescent="0.35">
      <c r="A210" t="s">
        <v>9</v>
      </c>
      <c r="B210">
        <v>2012</v>
      </c>
      <c r="C210" t="s">
        <v>42</v>
      </c>
      <c r="D210">
        <v>1.7</v>
      </c>
      <c r="E210">
        <f>INT(Table2[[#This Row],[Transect]])</f>
        <v>1</v>
      </c>
      <c r="F210" t="s">
        <v>11</v>
      </c>
      <c r="G210">
        <v>13</v>
      </c>
      <c r="H210">
        <v>200</v>
      </c>
      <c r="J210">
        <f>Table2[[#This Row],[Hits]]/Table2[[#This Row],[Points]]*100</f>
        <v>6.5</v>
      </c>
      <c r="K210">
        <f>VLOOKUP(Table2[[#This Row],[Site]],'Site Info'!$A$1:$C$11,2, FALSE)</f>
        <v>17.7</v>
      </c>
      <c r="L210">
        <f>VLOOKUP(Table2[[#This Row],[Site]],'Site Info'!$A$1:$C$11,3, FALSE)</f>
        <v>10</v>
      </c>
      <c r="M210" t="str">
        <f>VLOOKUP(Table2[[#This Row],[Species]],'Species Table'!$A$1:$D$68,3, FALSE)</f>
        <v>Perennial</v>
      </c>
      <c r="O210" s="15">
        <f>IF(SUMPRODUCT(($A$2:$A210=A210)*($B$2:$B210=B210)*($F$2:$F210=F210))&gt;1,0,1)</f>
        <v>0</v>
      </c>
      <c r="P210" s="15">
        <f>IF(SUMPRODUCT(($A$2:$A210=A210)*($B$2:$B210=B210)*($D$2:$D210=D210))&gt;1,0,1)</f>
        <v>1</v>
      </c>
    </row>
    <row r="211" spans="1:16" x14ac:dyDescent="0.35">
      <c r="A211" t="s">
        <v>9</v>
      </c>
      <c r="B211">
        <v>2012</v>
      </c>
      <c r="C211" t="s">
        <v>43</v>
      </c>
      <c r="D211">
        <v>2.1</v>
      </c>
      <c r="E211">
        <f>INT(Table2[[#This Row],[Transect]])</f>
        <v>2</v>
      </c>
      <c r="F211" t="s">
        <v>3</v>
      </c>
      <c r="G211">
        <v>9</v>
      </c>
      <c r="H211">
        <v>200</v>
      </c>
      <c r="J211">
        <f>Table2[[#This Row],[Hits]]/Table2[[#This Row],[Points]]*100</f>
        <v>4.5</v>
      </c>
      <c r="K211">
        <f>VLOOKUP(Table2[[#This Row],[Site]],'Site Info'!$A$1:$C$11,2, FALSE)</f>
        <v>17.7</v>
      </c>
      <c r="L211">
        <f>VLOOKUP(Table2[[#This Row],[Site]],'Site Info'!$A$1:$C$11,3, FALSE)</f>
        <v>10</v>
      </c>
      <c r="M211" t="str">
        <f>VLOOKUP(Table2[[#This Row],[Species]],'Species Table'!$A$1:$D$68,3, FALSE)</f>
        <v>Perennial</v>
      </c>
      <c r="O211" s="15">
        <f>IF(SUMPRODUCT(($A$2:$A211=A211)*($B$2:$B211=B211)*($F$2:$F211=F211))&gt;1,0,1)</f>
        <v>1</v>
      </c>
      <c r="P211" s="15">
        <f>IF(SUMPRODUCT(($A$2:$A211=A211)*($B$2:$B211=B211)*($D$2:$D211=D211))&gt;1,0,1)</f>
        <v>1</v>
      </c>
    </row>
    <row r="212" spans="1:16" hidden="1" x14ac:dyDescent="0.35">
      <c r="A212" t="s">
        <v>9</v>
      </c>
      <c r="B212">
        <v>2012</v>
      </c>
      <c r="C212" t="s">
        <v>43</v>
      </c>
      <c r="D212">
        <v>2.1</v>
      </c>
      <c r="E212">
        <f>INT(Table2[[#This Row],[Transect]])</f>
        <v>2</v>
      </c>
      <c r="F212" t="s">
        <v>10</v>
      </c>
      <c r="G212">
        <v>1</v>
      </c>
      <c r="H212">
        <v>200</v>
      </c>
      <c r="J212">
        <f>Table2[[#This Row],[Hits]]/Table2[[#This Row],[Points]]*100</f>
        <v>0.5</v>
      </c>
      <c r="K212">
        <f>VLOOKUP(Table2[[#This Row],[Site]],'Site Info'!$A$1:$C$11,2, FALSE)</f>
        <v>17.7</v>
      </c>
      <c r="L212">
        <f>VLOOKUP(Table2[[#This Row],[Site]],'Site Info'!$A$1:$C$11,3, FALSE)</f>
        <v>10</v>
      </c>
      <c r="M212" t="str">
        <f>VLOOKUP(Table2[[#This Row],[Species]],'Species Table'!$A$1:$D$68,3, FALSE)</f>
        <v>Annual</v>
      </c>
      <c r="O212" s="15">
        <f>IF(SUMPRODUCT(($A$2:$A212=A212)*($B$2:$B212=B212)*($F$2:$F212=F212))&gt;1,0,1)</f>
        <v>0</v>
      </c>
      <c r="P212" s="15">
        <f>IF(SUMPRODUCT(($A$2:$A212=A212)*($B$2:$B212=B212)*($D$2:$D212=D212))&gt;1,0,1)</f>
        <v>0</v>
      </c>
    </row>
    <row r="213" spans="1:16" x14ac:dyDescent="0.35">
      <c r="A213" t="s">
        <v>9</v>
      </c>
      <c r="B213">
        <v>2012</v>
      </c>
      <c r="C213" t="s">
        <v>44</v>
      </c>
      <c r="D213">
        <v>2.2000000000000002</v>
      </c>
      <c r="E213">
        <f>INT(Table2[[#This Row],[Transect]])</f>
        <v>2</v>
      </c>
      <c r="F213" t="s">
        <v>11</v>
      </c>
      <c r="G213">
        <v>5</v>
      </c>
      <c r="H213">
        <v>200</v>
      </c>
      <c r="J213">
        <f>Table2[[#This Row],[Hits]]/Table2[[#This Row],[Points]]*100</f>
        <v>2.5</v>
      </c>
      <c r="K213">
        <f>VLOOKUP(Table2[[#This Row],[Site]],'Site Info'!$A$1:$C$11,2, FALSE)</f>
        <v>17.7</v>
      </c>
      <c r="L213">
        <f>VLOOKUP(Table2[[#This Row],[Site]],'Site Info'!$A$1:$C$11,3, FALSE)</f>
        <v>10</v>
      </c>
      <c r="M213" t="str">
        <f>VLOOKUP(Table2[[#This Row],[Species]],'Species Table'!$A$1:$D$68,3, FALSE)</f>
        <v>Perennial</v>
      </c>
      <c r="O213" s="15">
        <f>IF(SUMPRODUCT(($A$2:$A213=A213)*($B$2:$B213=B213)*($F$2:$F213=F213))&gt;1,0,1)</f>
        <v>0</v>
      </c>
      <c r="P213" s="15">
        <f>IF(SUMPRODUCT(($A$2:$A213=A213)*($B$2:$B213=B213)*($D$2:$D213=D213))&gt;1,0,1)</f>
        <v>1</v>
      </c>
    </row>
    <row r="214" spans="1:16" x14ac:dyDescent="0.35">
      <c r="A214" t="s">
        <v>9</v>
      </c>
      <c r="B214">
        <v>2012</v>
      </c>
      <c r="C214" t="s">
        <v>44</v>
      </c>
      <c r="D214">
        <v>2.2000000000000002</v>
      </c>
      <c r="E214">
        <f>INT(Table2[[#This Row],[Transect]])</f>
        <v>2</v>
      </c>
      <c r="F214" t="s">
        <v>2</v>
      </c>
      <c r="G214">
        <v>1</v>
      </c>
      <c r="H214">
        <v>200</v>
      </c>
      <c r="J214">
        <f>Table2[[#This Row],[Hits]]/Table2[[#This Row],[Points]]*100</f>
        <v>0.5</v>
      </c>
      <c r="K214">
        <f>VLOOKUP(Table2[[#This Row],[Site]],'Site Info'!$A$1:$C$11,2, FALSE)</f>
        <v>17.7</v>
      </c>
      <c r="L214">
        <f>VLOOKUP(Table2[[#This Row],[Site]],'Site Info'!$A$1:$C$11,3, FALSE)</f>
        <v>10</v>
      </c>
      <c r="M214" t="str">
        <f>VLOOKUP(Table2[[#This Row],[Species]],'Species Table'!$A$1:$D$68,3, FALSE)</f>
        <v>Perennial</v>
      </c>
      <c r="O214" s="15">
        <f>IF(SUMPRODUCT(($A$2:$A214=A214)*($B$2:$B214=B214)*($F$2:$F214=F214))&gt;1,0,1)</f>
        <v>1</v>
      </c>
      <c r="P214" s="15">
        <f>IF(SUMPRODUCT(($A$2:$A214=A214)*($B$2:$B214=B214)*($D$2:$D214=D214))&gt;1,0,1)</f>
        <v>0</v>
      </c>
    </row>
    <row r="215" spans="1:16" x14ac:dyDescent="0.35">
      <c r="A215" t="s">
        <v>9</v>
      </c>
      <c r="B215">
        <v>2012</v>
      </c>
      <c r="C215" t="s">
        <v>45</v>
      </c>
      <c r="D215">
        <v>2.2999999999999998</v>
      </c>
      <c r="E215">
        <f>INT(Table2[[#This Row],[Transect]])</f>
        <v>2</v>
      </c>
      <c r="F215" t="s">
        <v>11</v>
      </c>
      <c r="G215">
        <v>1</v>
      </c>
      <c r="H215">
        <v>200</v>
      </c>
      <c r="J215">
        <f>Table2[[#This Row],[Hits]]/Table2[[#This Row],[Points]]*100</f>
        <v>0.5</v>
      </c>
      <c r="K215">
        <f>VLOOKUP(Table2[[#This Row],[Site]],'Site Info'!$A$1:$C$11,2, FALSE)</f>
        <v>17.7</v>
      </c>
      <c r="L215">
        <f>VLOOKUP(Table2[[#This Row],[Site]],'Site Info'!$A$1:$C$11,3, FALSE)</f>
        <v>10</v>
      </c>
      <c r="M215" t="str">
        <f>VLOOKUP(Table2[[#This Row],[Species]],'Species Table'!$A$1:$D$68,3, FALSE)</f>
        <v>Perennial</v>
      </c>
      <c r="O215" s="15">
        <f>IF(SUMPRODUCT(($A$2:$A215=A215)*($B$2:$B215=B215)*($F$2:$F215=F215))&gt;1,0,1)</f>
        <v>0</v>
      </c>
      <c r="P215" s="15">
        <f>IF(SUMPRODUCT(($A$2:$A215=A215)*($B$2:$B215=B215)*($D$2:$D215=D215))&gt;1,0,1)</f>
        <v>1</v>
      </c>
    </row>
    <row r="216" spans="1:16" hidden="1" x14ac:dyDescent="0.35">
      <c r="A216" t="s">
        <v>9</v>
      </c>
      <c r="B216">
        <v>2012</v>
      </c>
      <c r="C216" t="s">
        <v>46</v>
      </c>
      <c r="D216">
        <v>2.4</v>
      </c>
      <c r="E216">
        <f>INT(Table2[[#This Row],[Transect]])</f>
        <v>2</v>
      </c>
      <c r="F216" t="s">
        <v>127</v>
      </c>
      <c r="G216">
        <v>0</v>
      </c>
      <c r="H216">
        <v>200</v>
      </c>
      <c r="J216">
        <f>Table2[[#This Row],[Hits]]/Table2[[#This Row],[Points]]*100</f>
        <v>0</v>
      </c>
      <c r="K216">
        <f>VLOOKUP(Table2[[#This Row],[Site]],'Site Info'!$A$1:$C$11,2, FALSE)</f>
        <v>17.7</v>
      </c>
      <c r="L216">
        <f>VLOOKUP(Table2[[#This Row],[Site]],'Site Info'!$A$1:$C$11,3, FALSE)</f>
        <v>10</v>
      </c>
      <c r="M216" t="str">
        <f>VLOOKUP(Table2[[#This Row],[Species]],'Species Table'!$A$1:$D$68,3, FALSE)</f>
        <v>NA</v>
      </c>
      <c r="O216" s="15">
        <f>IF(SUMPRODUCT(($A$2:$A216=A216)*($B$2:$B216=B216)*($F$2:$F216=F216))&gt;1,0,1)</f>
        <v>0</v>
      </c>
      <c r="P216" s="15">
        <f>IF(SUMPRODUCT(($A$2:$A216=A216)*($B$2:$B216=B216)*($D$2:$D216=D216))&gt;1,0,1)</f>
        <v>1</v>
      </c>
    </row>
    <row r="217" spans="1:16" x14ac:dyDescent="0.35">
      <c r="A217" t="s">
        <v>9</v>
      </c>
      <c r="B217">
        <v>2012</v>
      </c>
      <c r="C217" t="s">
        <v>47</v>
      </c>
      <c r="D217">
        <v>2.5</v>
      </c>
      <c r="E217">
        <f>INT(Table2[[#This Row],[Transect]])</f>
        <v>2</v>
      </c>
      <c r="F217" t="s">
        <v>11</v>
      </c>
      <c r="G217">
        <v>2</v>
      </c>
      <c r="H217">
        <v>200</v>
      </c>
      <c r="J217">
        <f>Table2[[#This Row],[Hits]]/Table2[[#This Row],[Points]]*100</f>
        <v>1</v>
      </c>
      <c r="K217">
        <f>VLOOKUP(Table2[[#This Row],[Site]],'Site Info'!$A$1:$C$11,2, FALSE)</f>
        <v>17.7</v>
      </c>
      <c r="L217">
        <f>VLOOKUP(Table2[[#This Row],[Site]],'Site Info'!$A$1:$C$11,3, FALSE)</f>
        <v>10</v>
      </c>
      <c r="M217" t="str">
        <f>VLOOKUP(Table2[[#This Row],[Species]],'Species Table'!$A$1:$D$68,3, FALSE)</f>
        <v>Perennial</v>
      </c>
      <c r="O217" s="15">
        <f>IF(SUMPRODUCT(($A$2:$A217=A217)*($B$2:$B217=B217)*($F$2:$F217=F217))&gt;1,0,1)</f>
        <v>0</v>
      </c>
      <c r="P217" s="15">
        <f>IF(SUMPRODUCT(($A$2:$A217=A217)*($B$2:$B217=B217)*($D$2:$D217=D217))&gt;1,0,1)</f>
        <v>1</v>
      </c>
    </row>
    <row r="218" spans="1:16" hidden="1" x14ac:dyDescent="0.35">
      <c r="A218" t="s">
        <v>9</v>
      </c>
      <c r="B218">
        <v>2012</v>
      </c>
      <c r="C218" t="s">
        <v>47</v>
      </c>
      <c r="D218">
        <v>2.5</v>
      </c>
      <c r="E218">
        <f>INT(Table2[[#This Row],[Transect]])</f>
        <v>2</v>
      </c>
      <c r="F218" t="s">
        <v>10</v>
      </c>
      <c r="G218">
        <v>1</v>
      </c>
      <c r="H218">
        <v>200</v>
      </c>
      <c r="J218">
        <f>Table2[[#This Row],[Hits]]/Table2[[#This Row],[Points]]*100</f>
        <v>0.5</v>
      </c>
      <c r="K218">
        <f>VLOOKUP(Table2[[#This Row],[Site]],'Site Info'!$A$1:$C$11,2, FALSE)</f>
        <v>17.7</v>
      </c>
      <c r="L218">
        <f>VLOOKUP(Table2[[#This Row],[Site]],'Site Info'!$A$1:$C$11,3, FALSE)</f>
        <v>10</v>
      </c>
      <c r="M218" t="str">
        <f>VLOOKUP(Table2[[#This Row],[Species]],'Species Table'!$A$1:$D$68,3, FALSE)</f>
        <v>Annual</v>
      </c>
      <c r="O218" s="15">
        <f>IF(SUMPRODUCT(($A$2:$A218=A218)*($B$2:$B218=B218)*($F$2:$F218=F218))&gt;1,0,1)</f>
        <v>0</v>
      </c>
      <c r="P218" s="15">
        <f>IF(SUMPRODUCT(($A$2:$A218=A218)*($B$2:$B218=B218)*($D$2:$D218=D218))&gt;1,0,1)</f>
        <v>0</v>
      </c>
    </row>
    <row r="219" spans="1:16" hidden="1" x14ac:dyDescent="0.35">
      <c r="A219" t="s">
        <v>9</v>
      </c>
      <c r="B219">
        <v>2012</v>
      </c>
      <c r="C219" t="s">
        <v>48</v>
      </c>
      <c r="D219">
        <v>2.6</v>
      </c>
      <c r="E219">
        <f>INT(Table2[[#This Row],[Transect]])</f>
        <v>2</v>
      </c>
      <c r="F219" t="s">
        <v>10</v>
      </c>
      <c r="G219">
        <v>1</v>
      </c>
      <c r="H219">
        <v>200</v>
      </c>
      <c r="J219">
        <f>Table2[[#This Row],[Hits]]/Table2[[#This Row],[Points]]*100</f>
        <v>0.5</v>
      </c>
      <c r="K219">
        <f>VLOOKUP(Table2[[#This Row],[Site]],'Site Info'!$A$1:$C$11,2, FALSE)</f>
        <v>17.7</v>
      </c>
      <c r="L219">
        <f>VLOOKUP(Table2[[#This Row],[Site]],'Site Info'!$A$1:$C$11,3, FALSE)</f>
        <v>10</v>
      </c>
      <c r="M219" t="str">
        <f>VLOOKUP(Table2[[#This Row],[Species]],'Species Table'!$A$1:$D$68,3, FALSE)</f>
        <v>Annual</v>
      </c>
      <c r="O219" s="15">
        <f>IF(SUMPRODUCT(($A$2:$A219=A219)*($B$2:$B219=B219)*($F$2:$F219=F219))&gt;1,0,1)</f>
        <v>0</v>
      </c>
      <c r="P219" s="15">
        <f>IF(SUMPRODUCT(($A$2:$A219=A219)*($B$2:$B219=B219)*($D$2:$D219=D219))&gt;1,0,1)</f>
        <v>1</v>
      </c>
    </row>
    <row r="220" spans="1:16" x14ac:dyDescent="0.35">
      <c r="A220" t="s">
        <v>9</v>
      </c>
      <c r="B220">
        <v>2012</v>
      </c>
      <c r="C220" t="s">
        <v>49</v>
      </c>
      <c r="D220">
        <v>2.7</v>
      </c>
      <c r="E220">
        <f>INT(Table2[[#This Row],[Transect]])</f>
        <v>2</v>
      </c>
      <c r="F220" t="s">
        <v>11</v>
      </c>
      <c r="G220">
        <v>6</v>
      </c>
      <c r="H220">
        <v>200</v>
      </c>
      <c r="J220">
        <f>Table2[[#This Row],[Hits]]/Table2[[#This Row],[Points]]*100</f>
        <v>3</v>
      </c>
      <c r="K220">
        <f>VLOOKUP(Table2[[#This Row],[Site]],'Site Info'!$A$1:$C$11,2, FALSE)</f>
        <v>17.7</v>
      </c>
      <c r="L220">
        <f>VLOOKUP(Table2[[#This Row],[Site]],'Site Info'!$A$1:$C$11,3, FALSE)</f>
        <v>10</v>
      </c>
      <c r="M220" t="str">
        <f>VLOOKUP(Table2[[#This Row],[Species]],'Species Table'!$A$1:$D$68,3, FALSE)</f>
        <v>Perennial</v>
      </c>
      <c r="O220" s="15">
        <f>IF(SUMPRODUCT(($A$2:$A220=A220)*($B$2:$B220=B220)*($F$2:$F220=F220))&gt;1,0,1)</f>
        <v>0</v>
      </c>
      <c r="P220" s="15">
        <f>IF(SUMPRODUCT(($A$2:$A220=A220)*($B$2:$B220=B220)*($D$2:$D220=D220))&gt;1,0,1)</f>
        <v>1</v>
      </c>
    </row>
    <row r="221" spans="1:16" hidden="1" x14ac:dyDescent="0.35">
      <c r="A221" t="s">
        <v>9</v>
      </c>
      <c r="B221">
        <v>2012</v>
      </c>
      <c r="C221" t="s">
        <v>50</v>
      </c>
      <c r="D221">
        <v>3.1</v>
      </c>
      <c r="E221">
        <f>INT(Table2[[#This Row],[Transect]])</f>
        <v>3</v>
      </c>
      <c r="F221" t="s">
        <v>127</v>
      </c>
      <c r="G221">
        <v>0</v>
      </c>
      <c r="H221">
        <v>200</v>
      </c>
      <c r="J221">
        <f>Table2[[#This Row],[Hits]]/Table2[[#This Row],[Points]]*100</f>
        <v>0</v>
      </c>
      <c r="K221">
        <f>VLOOKUP(Table2[[#This Row],[Site]],'Site Info'!$A$1:$C$11,2, FALSE)</f>
        <v>17.7</v>
      </c>
      <c r="L221">
        <f>VLOOKUP(Table2[[#This Row],[Site]],'Site Info'!$A$1:$C$11,3, FALSE)</f>
        <v>10</v>
      </c>
      <c r="M221" t="str">
        <f>VLOOKUP(Table2[[#This Row],[Species]],'Species Table'!$A$1:$D$68,3, FALSE)</f>
        <v>NA</v>
      </c>
      <c r="O221" s="15">
        <f>IF(SUMPRODUCT(($A$2:$A221=A221)*($B$2:$B221=B221)*($F$2:$F221=F221))&gt;1,0,1)</f>
        <v>0</v>
      </c>
      <c r="P221" s="15">
        <f>IF(SUMPRODUCT(($A$2:$A221=A221)*($B$2:$B221=B221)*($D$2:$D221=D221))&gt;1,0,1)</f>
        <v>1</v>
      </c>
    </row>
    <row r="222" spans="1:16" hidden="1" x14ac:dyDescent="0.35">
      <c r="A222" t="s">
        <v>9</v>
      </c>
      <c r="B222">
        <v>2012</v>
      </c>
      <c r="C222" t="s">
        <v>51</v>
      </c>
      <c r="D222">
        <v>3.2</v>
      </c>
      <c r="E222">
        <f>INT(Table2[[#This Row],[Transect]])</f>
        <v>3</v>
      </c>
      <c r="F222" t="s">
        <v>10</v>
      </c>
      <c r="G222">
        <v>2</v>
      </c>
      <c r="H222">
        <v>200</v>
      </c>
      <c r="J222">
        <f>Table2[[#This Row],[Hits]]/Table2[[#This Row],[Points]]*100</f>
        <v>1</v>
      </c>
      <c r="K222">
        <f>VLOOKUP(Table2[[#This Row],[Site]],'Site Info'!$A$1:$C$11,2, FALSE)</f>
        <v>17.7</v>
      </c>
      <c r="L222">
        <f>VLOOKUP(Table2[[#This Row],[Site]],'Site Info'!$A$1:$C$11,3, FALSE)</f>
        <v>10</v>
      </c>
      <c r="M222" t="str">
        <f>VLOOKUP(Table2[[#This Row],[Species]],'Species Table'!$A$1:$D$68,3, FALSE)</f>
        <v>Annual</v>
      </c>
      <c r="O222" s="15">
        <f>IF(SUMPRODUCT(($A$2:$A222=A222)*($B$2:$B222=B222)*($F$2:$F222=F222))&gt;1,0,1)</f>
        <v>0</v>
      </c>
      <c r="P222" s="15">
        <f>IF(SUMPRODUCT(($A$2:$A222=A222)*($B$2:$B222=B222)*($D$2:$D222=D222))&gt;1,0,1)</f>
        <v>1</v>
      </c>
    </row>
    <row r="223" spans="1:16" hidden="1" x14ac:dyDescent="0.35">
      <c r="A223" t="s">
        <v>9</v>
      </c>
      <c r="B223">
        <v>2012</v>
      </c>
      <c r="C223" t="s">
        <v>52</v>
      </c>
      <c r="D223">
        <v>3.3</v>
      </c>
      <c r="E223">
        <f>INT(Table2[[#This Row],[Transect]])</f>
        <v>3</v>
      </c>
      <c r="F223" t="s">
        <v>127</v>
      </c>
      <c r="G223">
        <v>0</v>
      </c>
      <c r="H223">
        <v>200</v>
      </c>
      <c r="J223">
        <f>Table2[[#This Row],[Hits]]/Table2[[#This Row],[Points]]*100</f>
        <v>0</v>
      </c>
      <c r="K223">
        <f>VLOOKUP(Table2[[#This Row],[Site]],'Site Info'!$A$1:$C$11,2, FALSE)</f>
        <v>17.7</v>
      </c>
      <c r="L223">
        <f>VLOOKUP(Table2[[#This Row],[Site]],'Site Info'!$A$1:$C$11,3, FALSE)</f>
        <v>10</v>
      </c>
      <c r="M223" t="str">
        <f>VLOOKUP(Table2[[#This Row],[Species]],'Species Table'!$A$1:$D$68,3, FALSE)</f>
        <v>NA</v>
      </c>
      <c r="O223" s="15">
        <f>IF(SUMPRODUCT(($A$2:$A223=A223)*($B$2:$B223=B223)*($F$2:$F223=F223))&gt;1,0,1)</f>
        <v>0</v>
      </c>
      <c r="P223" s="15">
        <f>IF(SUMPRODUCT(($A$2:$A223=A223)*($B$2:$B223=B223)*($D$2:$D223=D223))&gt;1,0,1)</f>
        <v>1</v>
      </c>
    </row>
    <row r="224" spans="1:16" hidden="1" x14ac:dyDescent="0.35">
      <c r="A224" t="s">
        <v>9</v>
      </c>
      <c r="B224">
        <v>2012</v>
      </c>
      <c r="C224" t="s">
        <v>101</v>
      </c>
      <c r="D224">
        <v>3.4</v>
      </c>
      <c r="E224">
        <f>INT(Table2[[#This Row],[Transect]])</f>
        <v>3</v>
      </c>
      <c r="F224" t="s">
        <v>127</v>
      </c>
      <c r="G224">
        <v>0</v>
      </c>
      <c r="H224">
        <v>200</v>
      </c>
      <c r="J224">
        <f>Table2[[#This Row],[Hits]]/Table2[[#This Row],[Points]]*100</f>
        <v>0</v>
      </c>
      <c r="K224">
        <f>VLOOKUP(Table2[[#This Row],[Site]],'Site Info'!$A$1:$C$11,2, FALSE)</f>
        <v>17.7</v>
      </c>
      <c r="L224">
        <f>VLOOKUP(Table2[[#This Row],[Site]],'Site Info'!$A$1:$C$11,3, FALSE)</f>
        <v>10</v>
      </c>
      <c r="M224" t="str">
        <f>VLOOKUP(Table2[[#This Row],[Species]],'Species Table'!$A$1:$D$68,3, FALSE)</f>
        <v>NA</v>
      </c>
      <c r="O224" s="15">
        <f>IF(SUMPRODUCT(($A$2:$A224=A224)*($B$2:$B224=B224)*($F$2:$F224=F224))&gt;1,0,1)</f>
        <v>0</v>
      </c>
      <c r="P224" s="15">
        <f>IF(SUMPRODUCT(($A$2:$A224=A224)*($B$2:$B224=B224)*($D$2:$D224=D224))&gt;1,0,1)</f>
        <v>1</v>
      </c>
    </row>
    <row r="225" spans="1:16" hidden="1" x14ac:dyDescent="0.35">
      <c r="A225" t="s">
        <v>9</v>
      </c>
      <c r="B225">
        <v>2012</v>
      </c>
      <c r="C225" t="s">
        <v>102</v>
      </c>
      <c r="D225">
        <v>3.5</v>
      </c>
      <c r="E225">
        <f>INT(Table2[[#This Row],[Transect]])</f>
        <v>3</v>
      </c>
      <c r="F225" t="s">
        <v>127</v>
      </c>
      <c r="G225">
        <v>0</v>
      </c>
      <c r="H225">
        <v>200</v>
      </c>
      <c r="J225">
        <f>Table2[[#This Row],[Hits]]/Table2[[#This Row],[Points]]*100</f>
        <v>0</v>
      </c>
      <c r="K225">
        <f>VLOOKUP(Table2[[#This Row],[Site]],'Site Info'!$A$1:$C$11,2, FALSE)</f>
        <v>17.7</v>
      </c>
      <c r="L225">
        <f>VLOOKUP(Table2[[#This Row],[Site]],'Site Info'!$A$1:$C$11,3, FALSE)</f>
        <v>10</v>
      </c>
      <c r="M225" t="str">
        <f>VLOOKUP(Table2[[#This Row],[Species]],'Species Table'!$A$1:$D$68,3, FALSE)</f>
        <v>NA</v>
      </c>
      <c r="O225" s="15">
        <f>IF(SUMPRODUCT(($A$2:$A225=A225)*($B$2:$B225=B225)*($F$2:$F225=F225))&gt;1,0,1)</f>
        <v>0</v>
      </c>
      <c r="P225" s="15">
        <f>IF(SUMPRODUCT(($A$2:$A225=A225)*($B$2:$B225=B225)*($D$2:$D225=D225))&gt;1,0,1)</f>
        <v>1</v>
      </c>
    </row>
    <row r="226" spans="1:16" x14ac:dyDescent="0.35">
      <c r="A226" t="s">
        <v>9</v>
      </c>
      <c r="B226">
        <v>2012</v>
      </c>
      <c r="C226" t="s">
        <v>53</v>
      </c>
      <c r="D226">
        <v>3.6</v>
      </c>
      <c r="E226">
        <f>INT(Table2[[#This Row],[Transect]])</f>
        <v>3</v>
      </c>
      <c r="F226" t="s">
        <v>3</v>
      </c>
      <c r="G226">
        <v>3</v>
      </c>
      <c r="H226">
        <v>200</v>
      </c>
      <c r="J226">
        <f>Table2[[#This Row],[Hits]]/Table2[[#This Row],[Points]]*100</f>
        <v>1.5</v>
      </c>
      <c r="K226">
        <f>VLOOKUP(Table2[[#This Row],[Site]],'Site Info'!$A$1:$C$11,2, FALSE)</f>
        <v>17.7</v>
      </c>
      <c r="L226">
        <f>VLOOKUP(Table2[[#This Row],[Site]],'Site Info'!$A$1:$C$11,3, FALSE)</f>
        <v>10</v>
      </c>
      <c r="M226" t="str">
        <f>VLOOKUP(Table2[[#This Row],[Species]],'Species Table'!$A$1:$D$68,3, FALSE)</f>
        <v>Perennial</v>
      </c>
      <c r="O226" s="15">
        <f>IF(SUMPRODUCT(($A$2:$A226=A226)*($B$2:$B226=B226)*($F$2:$F226=F226))&gt;1,0,1)</f>
        <v>0</v>
      </c>
      <c r="P226" s="15">
        <f>IF(SUMPRODUCT(($A$2:$A226=A226)*($B$2:$B226=B226)*($D$2:$D226=D226))&gt;1,0,1)</f>
        <v>1</v>
      </c>
    </row>
    <row r="227" spans="1:16" x14ac:dyDescent="0.35">
      <c r="A227" t="s">
        <v>9</v>
      </c>
      <c r="B227">
        <v>2012</v>
      </c>
      <c r="C227" t="s">
        <v>53</v>
      </c>
      <c r="D227">
        <v>3.6</v>
      </c>
      <c r="E227">
        <f>INT(Table2[[#This Row],[Transect]])</f>
        <v>3</v>
      </c>
      <c r="F227" t="s">
        <v>31</v>
      </c>
      <c r="G227">
        <v>2</v>
      </c>
      <c r="H227">
        <v>200</v>
      </c>
      <c r="J227">
        <f>Table2[[#This Row],[Hits]]/Table2[[#This Row],[Points]]*100</f>
        <v>1</v>
      </c>
      <c r="K227">
        <f>VLOOKUP(Table2[[#This Row],[Site]],'Site Info'!$A$1:$C$11,2, FALSE)</f>
        <v>17.7</v>
      </c>
      <c r="L227">
        <f>VLOOKUP(Table2[[#This Row],[Site]],'Site Info'!$A$1:$C$11,3, FALSE)</f>
        <v>10</v>
      </c>
      <c r="M227" t="str">
        <f>VLOOKUP(Table2[[#This Row],[Species]],'Species Table'!$A$1:$D$68,3, FALSE)</f>
        <v>Perennial</v>
      </c>
      <c r="O227" s="15">
        <f>IF(SUMPRODUCT(($A$2:$A227=A227)*($B$2:$B227=B227)*($F$2:$F227=F227))&gt;1,0,1)</f>
        <v>1</v>
      </c>
      <c r="P227" s="15">
        <f>IF(SUMPRODUCT(($A$2:$A227=A227)*($B$2:$B227=B227)*($D$2:$D227=D227))&gt;1,0,1)</f>
        <v>0</v>
      </c>
    </row>
    <row r="228" spans="1:16" x14ac:dyDescent="0.35">
      <c r="A228" t="s">
        <v>9</v>
      </c>
      <c r="B228">
        <v>2012</v>
      </c>
      <c r="C228" t="s">
        <v>53</v>
      </c>
      <c r="D228">
        <v>3.6</v>
      </c>
      <c r="E228">
        <f>INT(Table2[[#This Row],[Transect]])</f>
        <v>3</v>
      </c>
      <c r="F228" t="s">
        <v>4</v>
      </c>
      <c r="G228">
        <v>1</v>
      </c>
      <c r="H228">
        <v>200</v>
      </c>
      <c r="J228">
        <f>Table2[[#This Row],[Hits]]/Table2[[#This Row],[Points]]*100</f>
        <v>0.5</v>
      </c>
      <c r="K228">
        <f>VLOOKUP(Table2[[#This Row],[Site]],'Site Info'!$A$1:$C$11,2, FALSE)</f>
        <v>17.7</v>
      </c>
      <c r="L228">
        <f>VLOOKUP(Table2[[#This Row],[Site]],'Site Info'!$A$1:$C$11,3, FALSE)</f>
        <v>10</v>
      </c>
      <c r="M228" t="str">
        <f>VLOOKUP(Table2[[#This Row],[Species]],'Species Table'!$A$1:$D$68,3, FALSE)</f>
        <v>Perennial</v>
      </c>
      <c r="O228" s="15">
        <f>IF(SUMPRODUCT(($A$2:$A228=A228)*($B$2:$B228=B228)*($F$2:$F228=F228))&gt;1,0,1)</f>
        <v>1</v>
      </c>
      <c r="P228" s="15">
        <f>IF(SUMPRODUCT(($A$2:$A228=A228)*($B$2:$B228=B228)*($D$2:$D228=D228))&gt;1,0,1)</f>
        <v>0</v>
      </c>
    </row>
    <row r="229" spans="1:16" x14ac:dyDescent="0.35">
      <c r="A229" t="s">
        <v>9</v>
      </c>
      <c r="B229">
        <v>2012</v>
      </c>
      <c r="C229" t="s">
        <v>54</v>
      </c>
      <c r="D229">
        <v>3.7</v>
      </c>
      <c r="E229">
        <f>INT(Table2[[#This Row],[Transect]])</f>
        <v>3</v>
      </c>
      <c r="F229" t="s">
        <v>11</v>
      </c>
      <c r="G229">
        <v>2</v>
      </c>
      <c r="H229">
        <v>200</v>
      </c>
      <c r="J229">
        <f>Table2[[#This Row],[Hits]]/Table2[[#This Row],[Points]]*100</f>
        <v>1</v>
      </c>
      <c r="K229">
        <f>VLOOKUP(Table2[[#This Row],[Site]],'Site Info'!$A$1:$C$11,2, FALSE)</f>
        <v>17.7</v>
      </c>
      <c r="L229">
        <f>VLOOKUP(Table2[[#This Row],[Site]],'Site Info'!$A$1:$C$11,3, FALSE)</f>
        <v>10</v>
      </c>
      <c r="M229" t="str">
        <f>VLOOKUP(Table2[[#This Row],[Species]],'Species Table'!$A$1:$D$68,3, FALSE)</f>
        <v>Perennial</v>
      </c>
      <c r="O229" s="15">
        <f>IF(SUMPRODUCT(($A$2:$A229=A229)*($B$2:$B229=B229)*($F$2:$F229=F229))&gt;1,0,1)</f>
        <v>0</v>
      </c>
      <c r="P229" s="15">
        <f>IF(SUMPRODUCT(($A$2:$A229=A229)*($B$2:$B229=B229)*($D$2:$D229=D229))&gt;1,0,1)</f>
        <v>1</v>
      </c>
    </row>
    <row r="230" spans="1:16" x14ac:dyDescent="0.35">
      <c r="A230" t="s">
        <v>9</v>
      </c>
      <c r="B230">
        <v>2012</v>
      </c>
      <c r="C230" t="s">
        <v>55</v>
      </c>
      <c r="D230">
        <v>4.0999999999999996</v>
      </c>
      <c r="E230">
        <f>INT(Table2[[#This Row],[Transect]])</f>
        <v>4</v>
      </c>
      <c r="F230" t="s">
        <v>11</v>
      </c>
      <c r="G230">
        <v>2</v>
      </c>
      <c r="H230">
        <v>200</v>
      </c>
      <c r="J230">
        <f>Table2[[#This Row],[Hits]]/Table2[[#This Row],[Points]]*100</f>
        <v>1</v>
      </c>
      <c r="K230">
        <f>VLOOKUP(Table2[[#This Row],[Site]],'Site Info'!$A$1:$C$11,2, FALSE)</f>
        <v>17.7</v>
      </c>
      <c r="L230">
        <f>VLOOKUP(Table2[[#This Row],[Site]],'Site Info'!$A$1:$C$11,3, FALSE)</f>
        <v>10</v>
      </c>
      <c r="M230" t="str">
        <f>VLOOKUP(Table2[[#This Row],[Species]],'Species Table'!$A$1:$D$68,3, FALSE)</f>
        <v>Perennial</v>
      </c>
      <c r="O230" s="15">
        <f>IF(SUMPRODUCT(($A$2:$A230=A230)*($B$2:$B230=B230)*($F$2:$F230=F230))&gt;1,0,1)</f>
        <v>0</v>
      </c>
      <c r="P230" s="15">
        <f>IF(SUMPRODUCT(($A$2:$A230=A230)*($B$2:$B230=B230)*($D$2:$D230=D230))&gt;1,0,1)</f>
        <v>1</v>
      </c>
    </row>
    <row r="231" spans="1:16" x14ac:dyDescent="0.35">
      <c r="A231" t="s">
        <v>9</v>
      </c>
      <c r="B231">
        <v>2012</v>
      </c>
      <c r="C231" t="s">
        <v>56</v>
      </c>
      <c r="D231">
        <v>4.2</v>
      </c>
      <c r="E231">
        <f>INT(Table2[[#This Row],[Transect]])</f>
        <v>4</v>
      </c>
      <c r="F231" t="s">
        <v>11</v>
      </c>
      <c r="G231">
        <v>6</v>
      </c>
      <c r="H231">
        <v>200</v>
      </c>
      <c r="J231">
        <f>Table2[[#This Row],[Hits]]/Table2[[#This Row],[Points]]*100</f>
        <v>3</v>
      </c>
      <c r="K231">
        <f>VLOOKUP(Table2[[#This Row],[Site]],'Site Info'!$A$1:$C$11,2, FALSE)</f>
        <v>17.7</v>
      </c>
      <c r="L231">
        <f>VLOOKUP(Table2[[#This Row],[Site]],'Site Info'!$A$1:$C$11,3, FALSE)</f>
        <v>10</v>
      </c>
      <c r="M231" t="str">
        <f>VLOOKUP(Table2[[#This Row],[Species]],'Species Table'!$A$1:$D$68,3, FALSE)</f>
        <v>Perennial</v>
      </c>
      <c r="O231" s="15">
        <f>IF(SUMPRODUCT(($A$2:$A231=A231)*($B$2:$B231=B231)*($F$2:$F231=F231))&gt;1,0,1)</f>
        <v>0</v>
      </c>
      <c r="P231" s="15">
        <f>IF(SUMPRODUCT(($A$2:$A231=A231)*($B$2:$B231=B231)*($D$2:$D231=D231))&gt;1,0,1)</f>
        <v>1</v>
      </c>
    </row>
    <row r="232" spans="1:16" x14ac:dyDescent="0.35">
      <c r="A232" t="s">
        <v>9</v>
      </c>
      <c r="B232">
        <v>2012</v>
      </c>
      <c r="C232" t="s">
        <v>57</v>
      </c>
      <c r="D232">
        <v>4.3</v>
      </c>
      <c r="E232">
        <f>INT(Table2[[#This Row],[Transect]])</f>
        <v>4</v>
      </c>
      <c r="F232" t="s">
        <v>11</v>
      </c>
      <c r="G232">
        <v>3</v>
      </c>
      <c r="H232">
        <v>200</v>
      </c>
      <c r="J232">
        <f>Table2[[#This Row],[Hits]]/Table2[[#This Row],[Points]]*100</f>
        <v>1.5</v>
      </c>
      <c r="K232">
        <f>VLOOKUP(Table2[[#This Row],[Site]],'Site Info'!$A$1:$C$11,2, FALSE)</f>
        <v>17.7</v>
      </c>
      <c r="L232">
        <f>VLOOKUP(Table2[[#This Row],[Site]],'Site Info'!$A$1:$C$11,3, FALSE)</f>
        <v>10</v>
      </c>
      <c r="M232" t="str">
        <f>VLOOKUP(Table2[[#This Row],[Species]],'Species Table'!$A$1:$D$68,3, FALSE)</f>
        <v>Perennial</v>
      </c>
      <c r="O232" s="15">
        <f>IF(SUMPRODUCT(($A$2:$A232=A232)*($B$2:$B232=B232)*($F$2:$F232=F232))&gt;1,0,1)</f>
        <v>0</v>
      </c>
      <c r="P232" s="15">
        <f>IF(SUMPRODUCT(($A$2:$A232=A232)*($B$2:$B232=B232)*($D$2:$D232=D232))&gt;1,0,1)</f>
        <v>1</v>
      </c>
    </row>
    <row r="233" spans="1:16" hidden="1" x14ac:dyDescent="0.35">
      <c r="A233" t="s">
        <v>9</v>
      </c>
      <c r="B233">
        <v>2012</v>
      </c>
      <c r="C233" t="s">
        <v>58</v>
      </c>
      <c r="D233">
        <v>4.4000000000000004</v>
      </c>
      <c r="E233">
        <f>INT(Table2[[#This Row],[Transect]])</f>
        <v>4</v>
      </c>
      <c r="F233" t="s">
        <v>127</v>
      </c>
      <c r="G233">
        <v>0</v>
      </c>
      <c r="H233">
        <v>200</v>
      </c>
      <c r="J233">
        <f>Table2[[#This Row],[Hits]]/Table2[[#This Row],[Points]]*100</f>
        <v>0</v>
      </c>
      <c r="K233">
        <f>VLOOKUP(Table2[[#This Row],[Site]],'Site Info'!$A$1:$C$11,2, FALSE)</f>
        <v>17.7</v>
      </c>
      <c r="L233">
        <f>VLOOKUP(Table2[[#This Row],[Site]],'Site Info'!$A$1:$C$11,3, FALSE)</f>
        <v>10</v>
      </c>
      <c r="M233" t="str">
        <f>VLOOKUP(Table2[[#This Row],[Species]],'Species Table'!$A$1:$D$68,3, FALSE)</f>
        <v>NA</v>
      </c>
      <c r="O233" s="15">
        <f>IF(SUMPRODUCT(($A$2:$A233=A233)*($B$2:$B233=B233)*($F$2:$F233=F233))&gt;1,0,1)</f>
        <v>0</v>
      </c>
      <c r="P233" s="15">
        <f>IF(SUMPRODUCT(($A$2:$A233=A233)*($B$2:$B233=B233)*($D$2:$D233=D233))&gt;1,0,1)</f>
        <v>1</v>
      </c>
    </row>
    <row r="234" spans="1:16" hidden="1" x14ac:dyDescent="0.35">
      <c r="A234" t="s">
        <v>9</v>
      </c>
      <c r="B234">
        <v>2012</v>
      </c>
      <c r="C234" t="s">
        <v>59</v>
      </c>
      <c r="D234">
        <v>4.5</v>
      </c>
      <c r="E234">
        <f>INT(Table2[[#This Row],[Transect]])</f>
        <v>4</v>
      </c>
      <c r="F234" t="s">
        <v>127</v>
      </c>
      <c r="G234">
        <v>0</v>
      </c>
      <c r="H234">
        <v>200</v>
      </c>
      <c r="J234">
        <f>Table2[[#This Row],[Hits]]/Table2[[#This Row],[Points]]*100</f>
        <v>0</v>
      </c>
      <c r="K234">
        <f>VLOOKUP(Table2[[#This Row],[Site]],'Site Info'!$A$1:$C$11,2, FALSE)</f>
        <v>17.7</v>
      </c>
      <c r="L234">
        <f>VLOOKUP(Table2[[#This Row],[Site]],'Site Info'!$A$1:$C$11,3, FALSE)</f>
        <v>10</v>
      </c>
      <c r="M234" t="str">
        <f>VLOOKUP(Table2[[#This Row],[Species]],'Species Table'!$A$1:$D$68,3, FALSE)</f>
        <v>NA</v>
      </c>
      <c r="O234" s="15">
        <f>IF(SUMPRODUCT(($A$2:$A234=A234)*($B$2:$B234=B234)*($F$2:$F234=F234))&gt;1,0,1)</f>
        <v>0</v>
      </c>
      <c r="P234" s="15">
        <f>IF(SUMPRODUCT(($A$2:$A234=A234)*($B$2:$B234=B234)*($D$2:$D234=D234))&gt;1,0,1)</f>
        <v>1</v>
      </c>
    </row>
    <row r="235" spans="1:16" x14ac:dyDescent="0.35">
      <c r="A235" t="s">
        <v>9</v>
      </c>
      <c r="B235">
        <v>2012</v>
      </c>
      <c r="C235" t="s">
        <v>60</v>
      </c>
      <c r="D235">
        <v>4.5999999999999996</v>
      </c>
      <c r="E235">
        <f>INT(Table2[[#This Row],[Transect]])</f>
        <v>4</v>
      </c>
      <c r="F235" t="s">
        <v>31</v>
      </c>
      <c r="G235">
        <v>12</v>
      </c>
      <c r="H235">
        <v>200</v>
      </c>
      <c r="J235">
        <f>Table2[[#This Row],[Hits]]/Table2[[#This Row],[Points]]*100</f>
        <v>6</v>
      </c>
      <c r="K235">
        <f>VLOOKUP(Table2[[#This Row],[Site]],'Site Info'!$A$1:$C$11,2, FALSE)</f>
        <v>17.7</v>
      </c>
      <c r="L235">
        <f>VLOOKUP(Table2[[#This Row],[Site]],'Site Info'!$A$1:$C$11,3, FALSE)</f>
        <v>10</v>
      </c>
      <c r="M235" t="str">
        <f>VLOOKUP(Table2[[#This Row],[Species]],'Species Table'!$A$1:$D$68,3, FALSE)</f>
        <v>Perennial</v>
      </c>
      <c r="O235" s="15">
        <f>IF(SUMPRODUCT(($A$2:$A235=A235)*($B$2:$B235=B235)*($F$2:$F235=F235))&gt;1,0,1)</f>
        <v>0</v>
      </c>
      <c r="P235" s="15">
        <f>IF(SUMPRODUCT(($A$2:$A235=A235)*($B$2:$B235=B235)*($D$2:$D235=D235))&gt;1,0,1)</f>
        <v>1</v>
      </c>
    </row>
    <row r="236" spans="1:16" x14ac:dyDescent="0.35">
      <c r="A236" t="s">
        <v>9</v>
      </c>
      <c r="B236">
        <v>2012</v>
      </c>
      <c r="C236" t="s">
        <v>61</v>
      </c>
      <c r="D236">
        <v>4.7</v>
      </c>
      <c r="E236">
        <f>INT(Table2[[#This Row],[Transect]])</f>
        <v>4</v>
      </c>
      <c r="F236" t="s">
        <v>3</v>
      </c>
      <c r="G236">
        <v>5</v>
      </c>
      <c r="H236">
        <v>200</v>
      </c>
      <c r="J236">
        <f>Table2[[#This Row],[Hits]]/Table2[[#This Row],[Points]]*100</f>
        <v>2.5</v>
      </c>
      <c r="K236">
        <f>VLOOKUP(Table2[[#This Row],[Site]],'Site Info'!$A$1:$C$11,2, FALSE)</f>
        <v>17.7</v>
      </c>
      <c r="L236">
        <f>VLOOKUP(Table2[[#This Row],[Site]],'Site Info'!$A$1:$C$11,3, FALSE)</f>
        <v>10</v>
      </c>
      <c r="M236" t="str">
        <f>VLOOKUP(Table2[[#This Row],[Species]],'Species Table'!$A$1:$D$68,3, FALSE)</f>
        <v>Perennial</v>
      </c>
      <c r="O236" s="15">
        <f>IF(SUMPRODUCT(($A$2:$A236=A236)*($B$2:$B236=B236)*($F$2:$F236=F236))&gt;1,0,1)</f>
        <v>0</v>
      </c>
      <c r="P236" s="15">
        <f>IF(SUMPRODUCT(($A$2:$A236=A236)*($B$2:$B236=B236)*($D$2:$D236=D236))&gt;1,0,1)</f>
        <v>1</v>
      </c>
    </row>
    <row r="237" spans="1:16" x14ac:dyDescent="0.35">
      <c r="A237" t="s">
        <v>9</v>
      </c>
      <c r="B237">
        <v>2012</v>
      </c>
      <c r="C237" t="s">
        <v>61</v>
      </c>
      <c r="D237">
        <v>4.7</v>
      </c>
      <c r="E237">
        <f>INT(Table2[[#This Row],[Transect]])</f>
        <v>4</v>
      </c>
      <c r="F237" t="s">
        <v>12</v>
      </c>
      <c r="G237">
        <v>4</v>
      </c>
      <c r="H237">
        <v>200</v>
      </c>
      <c r="J237">
        <f>Table2[[#This Row],[Hits]]/Table2[[#This Row],[Points]]*100</f>
        <v>2</v>
      </c>
      <c r="K237">
        <f>VLOOKUP(Table2[[#This Row],[Site]],'Site Info'!$A$1:$C$11,2, FALSE)</f>
        <v>17.7</v>
      </c>
      <c r="L237">
        <f>VLOOKUP(Table2[[#This Row],[Site]],'Site Info'!$A$1:$C$11,3, FALSE)</f>
        <v>10</v>
      </c>
      <c r="M237" t="str">
        <f>VLOOKUP(Table2[[#This Row],[Species]],'Species Table'!$A$1:$D$68,3, FALSE)</f>
        <v>Perennial</v>
      </c>
      <c r="O237" s="15">
        <f>IF(SUMPRODUCT(($A$2:$A237=A237)*($B$2:$B237=B237)*($F$2:$F237=F237))&gt;1,0,1)</f>
        <v>0</v>
      </c>
      <c r="P237" s="15">
        <f>IF(SUMPRODUCT(($A$2:$A237=A237)*($B$2:$B237=B237)*($D$2:$D237=D237))&gt;1,0,1)</f>
        <v>0</v>
      </c>
    </row>
    <row r="238" spans="1:16" x14ac:dyDescent="0.35">
      <c r="A238" t="s">
        <v>9</v>
      </c>
      <c r="B238">
        <v>2012</v>
      </c>
      <c r="C238" t="s">
        <v>62</v>
      </c>
      <c r="D238">
        <v>5.0999999999999996</v>
      </c>
      <c r="E238">
        <f>INT(Table2[[#This Row],[Transect]])</f>
        <v>5</v>
      </c>
      <c r="F238" t="s">
        <v>3</v>
      </c>
      <c r="G238">
        <v>21</v>
      </c>
      <c r="H238">
        <v>193</v>
      </c>
      <c r="J238">
        <f>Table2[[#This Row],[Hits]]/Table2[[#This Row],[Points]]*100</f>
        <v>10.880829015544041</v>
      </c>
      <c r="K238">
        <f>VLOOKUP(Table2[[#This Row],[Site]],'Site Info'!$A$1:$C$11,2, FALSE)</f>
        <v>17.7</v>
      </c>
      <c r="L238">
        <f>VLOOKUP(Table2[[#This Row],[Site]],'Site Info'!$A$1:$C$11,3, FALSE)</f>
        <v>10</v>
      </c>
      <c r="M238" t="str">
        <f>VLOOKUP(Table2[[#This Row],[Species]],'Species Table'!$A$1:$D$68,3, FALSE)</f>
        <v>Perennial</v>
      </c>
      <c r="O238" s="15">
        <f>IF(SUMPRODUCT(($A$2:$A238=A238)*($B$2:$B238=B238)*($F$2:$F238=F238))&gt;1,0,1)</f>
        <v>0</v>
      </c>
      <c r="P238" s="15">
        <f>IF(SUMPRODUCT(($A$2:$A238=A238)*($B$2:$B238=B238)*($D$2:$D238=D238))&gt;1,0,1)</f>
        <v>1</v>
      </c>
    </row>
    <row r="239" spans="1:16" x14ac:dyDescent="0.35">
      <c r="A239" t="s">
        <v>9</v>
      </c>
      <c r="B239">
        <v>2012</v>
      </c>
      <c r="C239" t="s">
        <v>62</v>
      </c>
      <c r="D239">
        <v>5.0999999999999996</v>
      </c>
      <c r="E239">
        <f>INT(Table2[[#This Row],[Transect]])</f>
        <v>5</v>
      </c>
      <c r="F239" t="s">
        <v>14</v>
      </c>
      <c r="G239">
        <v>2</v>
      </c>
      <c r="H239">
        <v>193</v>
      </c>
      <c r="J239">
        <f>Table2[[#This Row],[Hits]]/Table2[[#This Row],[Points]]*100</f>
        <v>1.0362694300518136</v>
      </c>
      <c r="K239">
        <f>VLOOKUP(Table2[[#This Row],[Site]],'Site Info'!$A$1:$C$11,2, FALSE)</f>
        <v>17.7</v>
      </c>
      <c r="L239">
        <f>VLOOKUP(Table2[[#This Row],[Site]],'Site Info'!$A$1:$C$11,3, FALSE)</f>
        <v>10</v>
      </c>
      <c r="M239" t="str">
        <f>VLOOKUP(Table2[[#This Row],[Species]],'Species Table'!$A$1:$D$68,3, FALSE)</f>
        <v>Perennial</v>
      </c>
      <c r="O239" s="15">
        <f>IF(SUMPRODUCT(($A$2:$A239=A239)*($B$2:$B239=B239)*($F$2:$F239=F239))&gt;1,0,1)</f>
        <v>1</v>
      </c>
      <c r="P239" s="15">
        <f>IF(SUMPRODUCT(($A$2:$A239=A239)*($B$2:$B239=B239)*($D$2:$D239=D239))&gt;1,0,1)</f>
        <v>0</v>
      </c>
    </row>
    <row r="240" spans="1:16" x14ac:dyDescent="0.35">
      <c r="A240" t="s">
        <v>9</v>
      </c>
      <c r="B240">
        <v>2012</v>
      </c>
      <c r="C240" t="s">
        <v>63</v>
      </c>
      <c r="D240">
        <v>5.2</v>
      </c>
      <c r="E240">
        <f>INT(Table2[[#This Row],[Transect]])</f>
        <v>5</v>
      </c>
      <c r="F240" t="s">
        <v>11</v>
      </c>
      <c r="G240">
        <v>4</v>
      </c>
      <c r="H240">
        <v>198</v>
      </c>
      <c r="J240">
        <f>Table2[[#This Row],[Hits]]/Table2[[#This Row],[Points]]*100</f>
        <v>2.0202020202020203</v>
      </c>
      <c r="K240">
        <f>VLOOKUP(Table2[[#This Row],[Site]],'Site Info'!$A$1:$C$11,2, FALSE)</f>
        <v>17.7</v>
      </c>
      <c r="L240">
        <f>VLOOKUP(Table2[[#This Row],[Site]],'Site Info'!$A$1:$C$11,3, FALSE)</f>
        <v>10</v>
      </c>
      <c r="M240" t="str">
        <f>VLOOKUP(Table2[[#This Row],[Species]],'Species Table'!$A$1:$D$68,3, FALSE)</f>
        <v>Perennial</v>
      </c>
      <c r="O240" s="15">
        <f>IF(SUMPRODUCT(($A$2:$A240=A240)*($B$2:$B240=B240)*($F$2:$F240=F240))&gt;1,0,1)</f>
        <v>0</v>
      </c>
      <c r="P240" s="15">
        <f>IF(SUMPRODUCT(($A$2:$A240=A240)*($B$2:$B240=B240)*($D$2:$D240=D240))&gt;1,0,1)</f>
        <v>1</v>
      </c>
    </row>
    <row r="241" spans="1:16" x14ac:dyDescent="0.35">
      <c r="A241" t="s">
        <v>9</v>
      </c>
      <c r="B241">
        <v>2012</v>
      </c>
      <c r="C241" t="s">
        <v>64</v>
      </c>
      <c r="D241">
        <v>5.3</v>
      </c>
      <c r="E241">
        <f>INT(Table2[[#This Row],[Transect]])</f>
        <v>5</v>
      </c>
      <c r="F241" t="s">
        <v>11</v>
      </c>
      <c r="G241">
        <v>10</v>
      </c>
      <c r="H241">
        <v>198</v>
      </c>
      <c r="J241">
        <f>Table2[[#This Row],[Hits]]/Table2[[#This Row],[Points]]*100</f>
        <v>5.0505050505050502</v>
      </c>
      <c r="K241">
        <f>VLOOKUP(Table2[[#This Row],[Site]],'Site Info'!$A$1:$C$11,2, FALSE)</f>
        <v>17.7</v>
      </c>
      <c r="L241">
        <f>VLOOKUP(Table2[[#This Row],[Site]],'Site Info'!$A$1:$C$11,3, FALSE)</f>
        <v>10</v>
      </c>
      <c r="M241" t="str">
        <f>VLOOKUP(Table2[[#This Row],[Species]],'Species Table'!$A$1:$D$68,3, FALSE)</f>
        <v>Perennial</v>
      </c>
      <c r="O241" s="15">
        <f>IF(SUMPRODUCT(($A$2:$A241=A241)*($B$2:$B241=B241)*($F$2:$F241=F241))&gt;1,0,1)</f>
        <v>0</v>
      </c>
      <c r="P241" s="15">
        <f>IF(SUMPRODUCT(($A$2:$A241=A241)*($B$2:$B241=B241)*($D$2:$D241=D241))&gt;1,0,1)</f>
        <v>1</v>
      </c>
    </row>
    <row r="242" spans="1:16" hidden="1" x14ac:dyDescent="0.35">
      <c r="A242" t="s">
        <v>9</v>
      </c>
      <c r="B242">
        <v>2012</v>
      </c>
      <c r="C242" t="s">
        <v>86</v>
      </c>
      <c r="D242">
        <v>5.4</v>
      </c>
      <c r="E242">
        <f>INT(Table2[[#This Row],[Transect]])</f>
        <v>5</v>
      </c>
      <c r="F242" t="s">
        <v>127</v>
      </c>
      <c r="G242">
        <v>0</v>
      </c>
      <c r="H242">
        <v>198</v>
      </c>
      <c r="J242">
        <f>Table2[[#This Row],[Hits]]/Table2[[#This Row],[Points]]*100</f>
        <v>0</v>
      </c>
      <c r="K242">
        <f>VLOOKUP(Table2[[#This Row],[Site]],'Site Info'!$A$1:$C$11,2, FALSE)</f>
        <v>17.7</v>
      </c>
      <c r="L242">
        <f>VLOOKUP(Table2[[#This Row],[Site]],'Site Info'!$A$1:$C$11,3, FALSE)</f>
        <v>10</v>
      </c>
      <c r="M242" t="str">
        <f>VLOOKUP(Table2[[#This Row],[Species]],'Species Table'!$A$1:$D$68,3, FALSE)</f>
        <v>NA</v>
      </c>
      <c r="O242" s="15">
        <f>IF(SUMPRODUCT(($A$2:$A242=A242)*($B$2:$B242=B242)*($F$2:$F242=F242))&gt;1,0,1)</f>
        <v>0</v>
      </c>
      <c r="P242" s="15">
        <f>IF(SUMPRODUCT(($A$2:$A242=A242)*($B$2:$B242=B242)*($D$2:$D242=D242))&gt;1,0,1)</f>
        <v>1</v>
      </c>
    </row>
    <row r="243" spans="1:16" x14ac:dyDescent="0.35">
      <c r="A243" t="s">
        <v>9</v>
      </c>
      <c r="B243">
        <v>2012</v>
      </c>
      <c r="C243" t="s">
        <v>65</v>
      </c>
      <c r="D243">
        <v>5.5</v>
      </c>
      <c r="E243">
        <f>INT(Table2[[#This Row],[Transect]])</f>
        <v>5</v>
      </c>
      <c r="F243" t="s">
        <v>11</v>
      </c>
      <c r="G243">
        <v>1</v>
      </c>
      <c r="H243">
        <v>198</v>
      </c>
      <c r="J243">
        <f>Table2[[#This Row],[Hits]]/Table2[[#This Row],[Points]]*100</f>
        <v>0.50505050505050508</v>
      </c>
      <c r="K243">
        <f>VLOOKUP(Table2[[#This Row],[Site]],'Site Info'!$A$1:$C$11,2, FALSE)</f>
        <v>17.7</v>
      </c>
      <c r="L243">
        <f>VLOOKUP(Table2[[#This Row],[Site]],'Site Info'!$A$1:$C$11,3, FALSE)</f>
        <v>10</v>
      </c>
      <c r="M243" t="str">
        <f>VLOOKUP(Table2[[#This Row],[Species]],'Species Table'!$A$1:$D$68,3, FALSE)</f>
        <v>Perennial</v>
      </c>
      <c r="O243" s="15">
        <f>IF(SUMPRODUCT(($A$2:$A243=A243)*($B$2:$B243=B243)*($F$2:$F243=F243))&gt;1,0,1)</f>
        <v>0</v>
      </c>
      <c r="P243" s="15">
        <f>IF(SUMPRODUCT(($A$2:$A243=A243)*($B$2:$B243=B243)*($D$2:$D243=D243))&gt;1,0,1)</f>
        <v>1</v>
      </c>
    </row>
    <row r="244" spans="1:16" x14ac:dyDescent="0.35">
      <c r="A244" t="s">
        <v>9</v>
      </c>
      <c r="B244">
        <v>2012</v>
      </c>
      <c r="C244" t="s">
        <v>128</v>
      </c>
      <c r="D244">
        <v>5.6</v>
      </c>
      <c r="E244">
        <f>INT(Table2[[#This Row],[Transect]])</f>
        <v>5</v>
      </c>
      <c r="F244" t="s">
        <v>11</v>
      </c>
      <c r="G244">
        <v>5</v>
      </c>
      <c r="H244">
        <v>200</v>
      </c>
      <c r="J244">
        <f>Table2[[#This Row],[Hits]]/Table2[[#This Row],[Points]]*100</f>
        <v>2.5</v>
      </c>
      <c r="K244">
        <f>VLOOKUP(Table2[[#This Row],[Site]],'Site Info'!$A$1:$C$11,2, FALSE)</f>
        <v>17.7</v>
      </c>
      <c r="L244">
        <f>VLOOKUP(Table2[[#This Row],[Site]],'Site Info'!$A$1:$C$11,3, FALSE)</f>
        <v>10</v>
      </c>
      <c r="M244" t="str">
        <f>VLOOKUP(Table2[[#This Row],[Species]],'Species Table'!$A$1:$D$68,3, FALSE)</f>
        <v>Perennial</v>
      </c>
      <c r="O244" s="15">
        <f>IF(SUMPRODUCT(($A$2:$A244=A244)*($B$2:$B244=B244)*($F$2:$F244=F244))&gt;1,0,1)</f>
        <v>0</v>
      </c>
      <c r="P244" s="15">
        <f>IF(SUMPRODUCT(($A$2:$A244=A244)*($B$2:$B244=B244)*($D$2:$D244=D244))&gt;1,0,1)</f>
        <v>1</v>
      </c>
    </row>
    <row r="245" spans="1:16" x14ac:dyDescent="0.35">
      <c r="A245" t="s">
        <v>9</v>
      </c>
      <c r="B245">
        <v>2012</v>
      </c>
      <c r="C245" t="s">
        <v>66</v>
      </c>
      <c r="D245">
        <v>5.7</v>
      </c>
      <c r="E245">
        <f>INT(Table2[[#This Row],[Transect]])</f>
        <v>5</v>
      </c>
      <c r="F245" t="s">
        <v>11</v>
      </c>
      <c r="G245">
        <v>13</v>
      </c>
      <c r="H245">
        <v>198</v>
      </c>
      <c r="J245">
        <f>Table2[[#This Row],[Hits]]/Table2[[#This Row],[Points]]*100</f>
        <v>6.5656565656565666</v>
      </c>
      <c r="K245">
        <f>VLOOKUP(Table2[[#This Row],[Site]],'Site Info'!$A$1:$C$11,2, FALSE)</f>
        <v>17.7</v>
      </c>
      <c r="L245">
        <f>VLOOKUP(Table2[[#This Row],[Site]],'Site Info'!$A$1:$C$11,3, FALSE)</f>
        <v>10</v>
      </c>
      <c r="M245" t="str">
        <f>VLOOKUP(Table2[[#This Row],[Species]],'Species Table'!$A$1:$D$68,3, FALSE)</f>
        <v>Perennial</v>
      </c>
      <c r="O245" s="15">
        <f>IF(SUMPRODUCT(($A$2:$A245=A245)*($B$2:$B245=B245)*($F$2:$F245=F245))&gt;1,0,1)</f>
        <v>0</v>
      </c>
      <c r="P245" s="15">
        <f>IF(SUMPRODUCT(($A$2:$A245=A245)*($B$2:$B245=B245)*($D$2:$D245=D245))&gt;1,0,1)</f>
        <v>1</v>
      </c>
    </row>
    <row r="246" spans="1:16" x14ac:dyDescent="0.35">
      <c r="A246" t="s">
        <v>9</v>
      </c>
      <c r="B246">
        <v>2012</v>
      </c>
      <c r="C246" t="s">
        <v>67</v>
      </c>
      <c r="D246">
        <v>6.1</v>
      </c>
      <c r="E246">
        <f>INT(Table2[[#This Row],[Transect]])</f>
        <v>6</v>
      </c>
      <c r="F246" t="s">
        <v>11</v>
      </c>
      <c r="G246">
        <v>3</v>
      </c>
      <c r="H246">
        <v>198</v>
      </c>
      <c r="J246">
        <f>Table2[[#This Row],[Hits]]/Table2[[#This Row],[Points]]*100</f>
        <v>1.5151515151515151</v>
      </c>
      <c r="K246">
        <f>VLOOKUP(Table2[[#This Row],[Site]],'Site Info'!$A$1:$C$11,2, FALSE)</f>
        <v>17.7</v>
      </c>
      <c r="L246">
        <f>VLOOKUP(Table2[[#This Row],[Site]],'Site Info'!$A$1:$C$11,3, FALSE)</f>
        <v>10</v>
      </c>
      <c r="M246" t="str">
        <f>VLOOKUP(Table2[[#This Row],[Species]],'Species Table'!$A$1:$D$68,3, FALSE)</f>
        <v>Perennial</v>
      </c>
      <c r="O246" s="15">
        <f>IF(SUMPRODUCT(($A$2:$A246=A246)*($B$2:$B246=B246)*($F$2:$F246=F246))&gt;1,0,1)</f>
        <v>0</v>
      </c>
      <c r="P246" s="15">
        <f>IF(SUMPRODUCT(($A$2:$A246=A246)*($B$2:$B246=B246)*($D$2:$D246=D246))&gt;1,0,1)</f>
        <v>1</v>
      </c>
    </row>
    <row r="247" spans="1:16" hidden="1" x14ac:dyDescent="0.35">
      <c r="A247" t="s">
        <v>9</v>
      </c>
      <c r="B247">
        <v>2012</v>
      </c>
      <c r="C247" t="s">
        <v>67</v>
      </c>
      <c r="D247">
        <v>6.1</v>
      </c>
      <c r="E247">
        <f>INT(Table2[[#This Row],[Transect]])</f>
        <v>6</v>
      </c>
      <c r="F247" t="s">
        <v>10</v>
      </c>
      <c r="G247">
        <v>1</v>
      </c>
      <c r="H247">
        <v>198</v>
      </c>
      <c r="J247">
        <f>Table2[[#This Row],[Hits]]/Table2[[#This Row],[Points]]*100</f>
        <v>0.50505050505050508</v>
      </c>
      <c r="K247">
        <f>VLOOKUP(Table2[[#This Row],[Site]],'Site Info'!$A$1:$C$11,2, FALSE)</f>
        <v>17.7</v>
      </c>
      <c r="L247">
        <f>VLOOKUP(Table2[[#This Row],[Site]],'Site Info'!$A$1:$C$11,3, FALSE)</f>
        <v>10</v>
      </c>
      <c r="M247" t="str">
        <f>VLOOKUP(Table2[[#This Row],[Species]],'Species Table'!$A$1:$D$68,3, FALSE)</f>
        <v>Annual</v>
      </c>
      <c r="O247" s="15">
        <f>IF(SUMPRODUCT(($A$2:$A247=A247)*($B$2:$B247=B247)*($F$2:$F247=F247))&gt;1,0,1)</f>
        <v>0</v>
      </c>
      <c r="P247" s="15">
        <f>IF(SUMPRODUCT(($A$2:$A247=A247)*($B$2:$B247=B247)*($D$2:$D247=D247))&gt;1,0,1)</f>
        <v>0</v>
      </c>
    </row>
    <row r="248" spans="1:16" hidden="1" x14ac:dyDescent="0.35">
      <c r="A248" t="s">
        <v>9</v>
      </c>
      <c r="B248">
        <v>2012</v>
      </c>
      <c r="C248" t="s">
        <v>88</v>
      </c>
      <c r="D248">
        <v>6.2</v>
      </c>
      <c r="E248">
        <f>INT(Table2[[#This Row],[Transect]])</f>
        <v>6</v>
      </c>
      <c r="F248" t="s">
        <v>127</v>
      </c>
      <c r="G248">
        <v>0</v>
      </c>
      <c r="H248">
        <v>198</v>
      </c>
      <c r="J248">
        <f>Table2[[#This Row],[Hits]]/Table2[[#This Row],[Points]]*100</f>
        <v>0</v>
      </c>
      <c r="K248">
        <f>VLOOKUP(Table2[[#This Row],[Site]],'Site Info'!$A$1:$C$11,2, FALSE)</f>
        <v>17.7</v>
      </c>
      <c r="L248">
        <f>VLOOKUP(Table2[[#This Row],[Site]],'Site Info'!$A$1:$C$11,3, FALSE)</f>
        <v>10</v>
      </c>
      <c r="M248" t="str">
        <f>VLOOKUP(Table2[[#This Row],[Species]],'Species Table'!$A$1:$D$68,3, FALSE)</f>
        <v>NA</v>
      </c>
      <c r="O248" s="15">
        <f>IF(SUMPRODUCT(($A$2:$A248=A248)*($B$2:$B248=B248)*($F$2:$F248=F248))&gt;1,0,1)</f>
        <v>0</v>
      </c>
      <c r="P248" s="15">
        <f>IF(SUMPRODUCT(($A$2:$A248=A248)*($B$2:$B248=B248)*($D$2:$D248=D248))&gt;1,0,1)</f>
        <v>1</v>
      </c>
    </row>
    <row r="249" spans="1:16" x14ac:dyDescent="0.35">
      <c r="A249" t="s">
        <v>9</v>
      </c>
      <c r="B249">
        <v>2012</v>
      </c>
      <c r="C249" t="s">
        <v>68</v>
      </c>
      <c r="D249">
        <v>6.3</v>
      </c>
      <c r="E249">
        <f>INT(Table2[[#This Row],[Transect]])</f>
        <v>6</v>
      </c>
      <c r="F249" t="s">
        <v>11</v>
      </c>
      <c r="G249">
        <v>3</v>
      </c>
      <c r="H249">
        <v>198</v>
      </c>
      <c r="J249">
        <f>Table2[[#This Row],[Hits]]/Table2[[#This Row],[Points]]*100</f>
        <v>1.5151515151515151</v>
      </c>
      <c r="K249">
        <f>VLOOKUP(Table2[[#This Row],[Site]],'Site Info'!$A$1:$C$11,2, FALSE)</f>
        <v>17.7</v>
      </c>
      <c r="L249">
        <f>VLOOKUP(Table2[[#This Row],[Site]],'Site Info'!$A$1:$C$11,3, FALSE)</f>
        <v>10</v>
      </c>
      <c r="M249" t="str">
        <f>VLOOKUP(Table2[[#This Row],[Species]],'Species Table'!$A$1:$D$68,3, FALSE)</f>
        <v>Perennial</v>
      </c>
      <c r="O249" s="15">
        <f>IF(SUMPRODUCT(($A$2:$A249=A249)*($B$2:$B249=B249)*($F$2:$F249=F249))&gt;1,0,1)</f>
        <v>0</v>
      </c>
      <c r="P249" s="15">
        <f>IF(SUMPRODUCT(($A$2:$A249=A249)*($B$2:$B249=B249)*($D$2:$D249=D249))&gt;1,0,1)</f>
        <v>1</v>
      </c>
    </row>
    <row r="250" spans="1:16" x14ac:dyDescent="0.35">
      <c r="A250" t="s">
        <v>9</v>
      </c>
      <c r="B250">
        <v>2012</v>
      </c>
      <c r="C250" t="s">
        <v>89</v>
      </c>
      <c r="D250">
        <v>6.4</v>
      </c>
      <c r="E250">
        <f>INT(Table2[[#This Row],[Transect]])</f>
        <v>6</v>
      </c>
      <c r="F250" t="s">
        <v>11</v>
      </c>
      <c r="G250">
        <v>3</v>
      </c>
      <c r="H250">
        <v>198</v>
      </c>
      <c r="J250">
        <f>Table2[[#This Row],[Hits]]/Table2[[#This Row],[Points]]*100</f>
        <v>1.5151515151515151</v>
      </c>
      <c r="K250">
        <f>VLOOKUP(Table2[[#This Row],[Site]],'Site Info'!$A$1:$C$11,2, FALSE)</f>
        <v>17.7</v>
      </c>
      <c r="L250">
        <f>VLOOKUP(Table2[[#This Row],[Site]],'Site Info'!$A$1:$C$11,3, FALSE)</f>
        <v>10</v>
      </c>
      <c r="M250" t="str">
        <f>VLOOKUP(Table2[[#This Row],[Species]],'Species Table'!$A$1:$D$68,3, FALSE)</f>
        <v>Perennial</v>
      </c>
      <c r="O250" s="15">
        <f>IF(SUMPRODUCT(($A$2:$A250=A250)*($B$2:$B250=B250)*($F$2:$F250=F250))&gt;1,0,1)</f>
        <v>0</v>
      </c>
      <c r="P250" s="15">
        <f>IF(SUMPRODUCT(($A$2:$A250=A250)*($B$2:$B250=B250)*($D$2:$D250=D250))&gt;1,0,1)</f>
        <v>1</v>
      </c>
    </row>
    <row r="251" spans="1:16" x14ac:dyDescent="0.35">
      <c r="A251" t="s">
        <v>9</v>
      </c>
      <c r="B251">
        <v>2012</v>
      </c>
      <c r="C251" t="s">
        <v>69</v>
      </c>
      <c r="D251">
        <v>6.5</v>
      </c>
      <c r="E251">
        <f>INT(Table2[[#This Row],[Transect]])</f>
        <v>6</v>
      </c>
      <c r="F251" t="s">
        <v>11</v>
      </c>
      <c r="G251">
        <v>11</v>
      </c>
      <c r="H251">
        <v>198</v>
      </c>
      <c r="J251">
        <f>Table2[[#This Row],[Hits]]/Table2[[#This Row],[Points]]*100</f>
        <v>5.5555555555555554</v>
      </c>
      <c r="K251">
        <f>VLOOKUP(Table2[[#This Row],[Site]],'Site Info'!$A$1:$C$11,2, FALSE)</f>
        <v>17.7</v>
      </c>
      <c r="L251">
        <f>VLOOKUP(Table2[[#This Row],[Site]],'Site Info'!$A$1:$C$11,3, FALSE)</f>
        <v>10</v>
      </c>
      <c r="M251" t="str">
        <f>VLOOKUP(Table2[[#This Row],[Species]],'Species Table'!$A$1:$D$68,3, FALSE)</f>
        <v>Perennial</v>
      </c>
      <c r="O251" s="15">
        <f>IF(SUMPRODUCT(($A$2:$A251=A251)*($B$2:$B251=B251)*($F$2:$F251=F251))&gt;1,0,1)</f>
        <v>0</v>
      </c>
      <c r="P251" s="15">
        <f>IF(SUMPRODUCT(($A$2:$A251=A251)*($B$2:$B251=B251)*($D$2:$D251=D251))&gt;1,0,1)</f>
        <v>1</v>
      </c>
    </row>
    <row r="252" spans="1:16" hidden="1" x14ac:dyDescent="0.35">
      <c r="A252" t="s">
        <v>9</v>
      </c>
      <c r="B252">
        <v>2012</v>
      </c>
      <c r="C252" t="s">
        <v>129</v>
      </c>
      <c r="D252">
        <v>6.6</v>
      </c>
      <c r="E252">
        <f>INT(Table2[[#This Row],[Transect]])</f>
        <v>6</v>
      </c>
      <c r="F252" t="s">
        <v>127</v>
      </c>
      <c r="G252">
        <v>0</v>
      </c>
      <c r="H252">
        <v>198</v>
      </c>
      <c r="J252">
        <f>Table2[[#This Row],[Hits]]/Table2[[#This Row],[Points]]*100</f>
        <v>0</v>
      </c>
      <c r="K252">
        <f>VLOOKUP(Table2[[#This Row],[Site]],'Site Info'!$A$1:$C$11,2, FALSE)</f>
        <v>17.7</v>
      </c>
      <c r="L252">
        <f>VLOOKUP(Table2[[#This Row],[Site]],'Site Info'!$A$1:$C$11,3, FALSE)</f>
        <v>10</v>
      </c>
      <c r="M252" t="str">
        <f>VLOOKUP(Table2[[#This Row],[Species]],'Species Table'!$A$1:$D$68,3, FALSE)</f>
        <v>NA</v>
      </c>
      <c r="O252" s="15">
        <f>IF(SUMPRODUCT(($A$2:$A252=A252)*($B$2:$B252=B252)*($F$2:$F252=F252))&gt;1,0,1)</f>
        <v>0</v>
      </c>
      <c r="P252" s="15">
        <f>IF(SUMPRODUCT(($A$2:$A252=A252)*($B$2:$B252=B252)*($D$2:$D252=D252))&gt;1,0,1)</f>
        <v>1</v>
      </c>
    </row>
    <row r="253" spans="1:16" x14ac:dyDescent="0.35">
      <c r="A253" t="s">
        <v>9</v>
      </c>
      <c r="B253">
        <v>2012</v>
      </c>
      <c r="C253" t="s">
        <v>70</v>
      </c>
      <c r="D253">
        <v>6.7</v>
      </c>
      <c r="E253">
        <f>INT(Table2[[#This Row],[Transect]])</f>
        <v>6</v>
      </c>
      <c r="F253" t="s">
        <v>11</v>
      </c>
      <c r="G253">
        <v>2</v>
      </c>
      <c r="H253">
        <v>198</v>
      </c>
      <c r="J253">
        <f>Table2[[#This Row],[Hits]]/Table2[[#This Row],[Points]]*100</f>
        <v>1.0101010101010102</v>
      </c>
      <c r="K253">
        <f>VLOOKUP(Table2[[#This Row],[Site]],'Site Info'!$A$1:$C$11,2, FALSE)</f>
        <v>17.7</v>
      </c>
      <c r="L253">
        <f>VLOOKUP(Table2[[#This Row],[Site]],'Site Info'!$A$1:$C$11,3, FALSE)</f>
        <v>10</v>
      </c>
      <c r="M253" t="str">
        <f>VLOOKUP(Table2[[#This Row],[Species]],'Species Table'!$A$1:$D$68,3, FALSE)</f>
        <v>Perennial</v>
      </c>
      <c r="O253" s="15">
        <f>IF(SUMPRODUCT(($A$2:$A253=A253)*($B$2:$B253=B253)*($F$2:$F253=F253))&gt;1,0,1)</f>
        <v>0</v>
      </c>
      <c r="P253" s="15">
        <f>IF(SUMPRODUCT(($A$2:$A253=A253)*($B$2:$B253=B253)*($D$2:$D253=D253))&gt;1,0,1)</f>
        <v>1</v>
      </c>
    </row>
    <row r="254" spans="1:16" x14ac:dyDescent="0.35">
      <c r="A254" t="s">
        <v>9</v>
      </c>
      <c r="B254">
        <v>2012</v>
      </c>
      <c r="C254" t="s">
        <v>70</v>
      </c>
      <c r="D254">
        <v>6.7</v>
      </c>
      <c r="E254">
        <f>INT(Table2[[#This Row],[Transect]])</f>
        <v>6</v>
      </c>
      <c r="F254" t="s">
        <v>3</v>
      </c>
      <c r="G254">
        <v>3</v>
      </c>
      <c r="H254">
        <v>198</v>
      </c>
      <c r="J254">
        <f>Table2[[#This Row],[Hits]]/Table2[[#This Row],[Points]]*100</f>
        <v>1.5151515151515151</v>
      </c>
      <c r="K254">
        <f>VLOOKUP(Table2[[#This Row],[Site]],'Site Info'!$A$1:$C$11,2, FALSE)</f>
        <v>17.7</v>
      </c>
      <c r="L254">
        <f>VLOOKUP(Table2[[#This Row],[Site]],'Site Info'!$A$1:$C$11,3, FALSE)</f>
        <v>10</v>
      </c>
      <c r="M254" t="str">
        <f>VLOOKUP(Table2[[#This Row],[Species]],'Species Table'!$A$1:$D$68,3, FALSE)</f>
        <v>Perennial</v>
      </c>
      <c r="O254" s="15">
        <f>IF(SUMPRODUCT(($A$2:$A254=A254)*($B$2:$B254=B254)*($F$2:$F254=F254))&gt;1,0,1)</f>
        <v>0</v>
      </c>
      <c r="P254" s="15">
        <f>IF(SUMPRODUCT(($A$2:$A254=A254)*($B$2:$B254=B254)*($D$2:$D254=D254))&gt;1,0,1)</f>
        <v>0</v>
      </c>
    </row>
    <row r="255" spans="1:16" hidden="1" x14ac:dyDescent="0.35">
      <c r="A255" t="s">
        <v>9</v>
      </c>
      <c r="B255">
        <v>2012</v>
      </c>
      <c r="C255" t="s">
        <v>71</v>
      </c>
      <c r="D255">
        <v>7.1</v>
      </c>
      <c r="E255">
        <f>INT(Table2[[#This Row],[Transect]])</f>
        <v>7</v>
      </c>
      <c r="F255" t="s">
        <v>127</v>
      </c>
      <c r="G255">
        <v>0</v>
      </c>
      <c r="H255">
        <v>200</v>
      </c>
      <c r="J255">
        <f>Table2[[#This Row],[Hits]]/Table2[[#This Row],[Points]]*100</f>
        <v>0</v>
      </c>
      <c r="K255">
        <f>VLOOKUP(Table2[[#This Row],[Site]],'Site Info'!$A$1:$C$11,2, FALSE)</f>
        <v>17.7</v>
      </c>
      <c r="L255">
        <f>VLOOKUP(Table2[[#This Row],[Site]],'Site Info'!$A$1:$C$11,3, FALSE)</f>
        <v>10</v>
      </c>
      <c r="M255" t="str">
        <f>VLOOKUP(Table2[[#This Row],[Species]],'Species Table'!$A$1:$D$68,3, FALSE)</f>
        <v>NA</v>
      </c>
      <c r="O255" s="15">
        <f>IF(SUMPRODUCT(($A$2:$A255=A255)*($B$2:$B255=B255)*($F$2:$F255=F255))&gt;1,0,1)</f>
        <v>0</v>
      </c>
      <c r="P255" s="15">
        <f>IF(SUMPRODUCT(($A$2:$A255=A255)*($B$2:$B255=B255)*($D$2:$D255=D255))&gt;1,0,1)</f>
        <v>1</v>
      </c>
    </row>
    <row r="256" spans="1:16" x14ac:dyDescent="0.35">
      <c r="A256" t="s">
        <v>9</v>
      </c>
      <c r="B256">
        <v>2012</v>
      </c>
      <c r="C256" t="s">
        <v>72</v>
      </c>
      <c r="D256">
        <v>7.2</v>
      </c>
      <c r="E256">
        <f>INT(Table2[[#This Row],[Transect]])</f>
        <v>7</v>
      </c>
      <c r="F256" t="s">
        <v>11</v>
      </c>
      <c r="G256">
        <v>2</v>
      </c>
      <c r="H256">
        <v>200</v>
      </c>
      <c r="J256">
        <f>Table2[[#This Row],[Hits]]/Table2[[#This Row],[Points]]*100</f>
        <v>1</v>
      </c>
      <c r="K256">
        <f>VLOOKUP(Table2[[#This Row],[Site]],'Site Info'!$A$1:$C$11,2, FALSE)</f>
        <v>17.7</v>
      </c>
      <c r="L256">
        <f>VLOOKUP(Table2[[#This Row],[Site]],'Site Info'!$A$1:$C$11,3, FALSE)</f>
        <v>10</v>
      </c>
      <c r="M256" t="str">
        <f>VLOOKUP(Table2[[#This Row],[Species]],'Species Table'!$A$1:$D$68,3, FALSE)</f>
        <v>Perennial</v>
      </c>
      <c r="O256" s="15">
        <f>IF(SUMPRODUCT(($A$2:$A256=A256)*($B$2:$B256=B256)*($F$2:$F256=F256))&gt;1,0,1)</f>
        <v>0</v>
      </c>
      <c r="P256" s="15">
        <f>IF(SUMPRODUCT(($A$2:$A256=A256)*($B$2:$B256=B256)*($D$2:$D256=D256))&gt;1,0,1)</f>
        <v>1</v>
      </c>
    </row>
    <row r="257" spans="1:16" x14ac:dyDescent="0.35">
      <c r="A257" t="s">
        <v>9</v>
      </c>
      <c r="B257">
        <v>2012</v>
      </c>
      <c r="C257" t="s">
        <v>72</v>
      </c>
      <c r="D257">
        <v>7.2</v>
      </c>
      <c r="E257">
        <f>INT(Table2[[#This Row],[Transect]])</f>
        <v>7</v>
      </c>
      <c r="F257" t="s">
        <v>13</v>
      </c>
      <c r="G257">
        <v>1</v>
      </c>
      <c r="H257">
        <v>200</v>
      </c>
      <c r="J257">
        <f>Table2[[#This Row],[Hits]]/Table2[[#This Row],[Points]]*100</f>
        <v>0.5</v>
      </c>
      <c r="K257">
        <f>VLOOKUP(Table2[[#This Row],[Site]],'Site Info'!$A$1:$C$11,2, FALSE)</f>
        <v>17.7</v>
      </c>
      <c r="L257">
        <f>VLOOKUP(Table2[[#This Row],[Site]],'Site Info'!$A$1:$C$11,3, FALSE)</f>
        <v>10</v>
      </c>
      <c r="M257" t="str">
        <f>VLOOKUP(Table2[[#This Row],[Species]],'Species Table'!$A$1:$D$68,3, FALSE)</f>
        <v>Perennial</v>
      </c>
      <c r="O257" s="15">
        <f>IF(SUMPRODUCT(($A$2:$A257=A257)*($B$2:$B257=B257)*($F$2:$F257=F257))&gt;1,0,1)</f>
        <v>1</v>
      </c>
      <c r="P257" s="15">
        <f>IF(SUMPRODUCT(($A$2:$A257=A257)*($B$2:$B257=B257)*($D$2:$D257=D257))&gt;1,0,1)</f>
        <v>0</v>
      </c>
    </row>
    <row r="258" spans="1:16" x14ac:dyDescent="0.35">
      <c r="A258" t="s">
        <v>9</v>
      </c>
      <c r="B258">
        <v>2012</v>
      </c>
      <c r="C258" t="s">
        <v>73</v>
      </c>
      <c r="D258">
        <v>7.3</v>
      </c>
      <c r="E258">
        <f>INT(Table2[[#This Row],[Transect]])</f>
        <v>7</v>
      </c>
      <c r="F258" t="s">
        <v>11</v>
      </c>
      <c r="G258">
        <v>2</v>
      </c>
      <c r="H258">
        <v>200</v>
      </c>
      <c r="J258">
        <f>Table2[[#This Row],[Hits]]/Table2[[#This Row],[Points]]*100</f>
        <v>1</v>
      </c>
      <c r="K258">
        <f>VLOOKUP(Table2[[#This Row],[Site]],'Site Info'!$A$1:$C$11,2, FALSE)</f>
        <v>17.7</v>
      </c>
      <c r="L258">
        <f>VLOOKUP(Table2[[#This Row],[Site]],'Site Info'!$A$1:$C$11,3, FALSE)</f>
        <v>10</v>
      </c>
      <c r="M258" t="str">
        <f>VLOOKUP(Table2[[#This Row],[Species]],'Species Table'!$A$1:$D$68,3, FALSE)</f>
        <v>Perennial</v>
      </c>
      <c r="O258" s="15">
        <f>IF(SUMPRODUCT(($A$2:$A258=A258)*($B$2:$B258=B258)*($F$2:$F258=F258))&gt;1,0,1)</f>
        <v>0</v>
      </c>
      <c r="P258" s="15">
        <f>IF(SUMPRODUCT(($A$2:$A258=A258)*($B$2:$B258=B258)*($D$2:$D258=D258))&gt;1,0,1)</f>
        <v>1</v>
      </c>
    </row>
    <row r="259" spans="1:16" x14ac:dyDescent="0.35">
      <c r="A259" t="s">
        <v>9</v>
      </c>
      <c r="B259">
        <v>2012</v>
      </c>
      <c r="C259" t="s">
        <v>73</v>
      </c>
      <c r="D259">
        <v>7.3</v>
      </c>
      <c r="E259">
        <f>INT(Table2[[#This Row],[Transect]])</f>
        <v>7</v>
      </c>
      <c r="F259" t="s">
        <v>3</v>
      </c>
      <c r="G259">
        <v>1</v>
      </c>
      <c r="H259">
        <v>200</v>
      </c>
      <c r="J259">
        <f>Table2[[#This Row],[Hits]]/Table2[[#This Row],[Points]]*100</f>
        <v>0.5</v>
      </c>
      <c r="K259">
        <f>VLOOKUP(Table2[[#This Row],[Site]],'Site Info'!$A$1:$C$11,2, FALSE)</f>
        <v>17.7</v>
      </c>
      <c r="L259">
        <f>VLOOKUP(Table2[[#This Row],[Site]],'Site Info'!$A$1:$C$11,3, FALSE)</f>
        <v>10</v>
      </c>
      <c r="M259" t="str">
        <f>VLOOKUP(Table2[[#This Row],[Species]],'Species Table'!$A$1:$D$68,3, FALSE)</f>
        <v>Perennial</v>
      </c>
      <c r="O259" s="15">
        <f>IF(SUMPRODUCT(($A$2:$A259=A259)*($B$2:$B259=B259)*($F$2:$F259=F259))&gt;1,0,1)</f>
        <v>0</v>
      </c>
      <c r="P259" s="15">
        <f>IF(SUMPRODUCT(($A$2:$A259=A259)*($B$2:$B259=B259)*($D$2:$D259=D259))&gt;1,0,1)</f>
        <v>0</v>
      </c>
    </row>
    <row r="260" spans="1:16" hidden="1" x14ac:dyDescent="0.35">
      <c r="A260" t="s">
        <v>9</v>
      </c>
      <c r="B260">
        <v>2012</v>
      </c>
      <c r="C260" t="s">
        <v>73</v>
      </c>
      <c r="D260">
        <v>7.3</v>
      </c>
      <c r="E260">
        <f>INT(Table2[[#This Row],[Transect]])</f>
        <v>7</v>
      </c>
      <c r="F260" t="s">
        <v>10</v>
      </c>
      <c r="G260">
        <v>1</v>
      </c>
      <c r="H260">
        <v>200</v>
      </c>
      <c r="J260">
        <f>Table2[[#This Row],[Hits]]/Table2[[#This Row],[Points]]*100</f>
        <v>0.5</v>
      </c>
      <c r="K260">
        <f>VLOOKUP(Table2[[#This Row],[Site]],'Site Info'!$A$1:$C$11,2, FALSE)</f>
        <v>17.7</v>
      </c>
      <c r="L260">
        <f>VLOOKUP(Table2[[#This Row],[Site]],'Site Info'!$A$1:$C$11,3, FALSE)</f>
        <v>10</v>
      </c>
      <c r="M260" t="str">
        <f>VLOOKUP(Table2[[#This Row],[Species]],'Species Table'!$A$1:$D$68,3, FALSE)</f>
        <v>Annual</v>
      </c>
      <c r="O260" s="15">
        <f>IF(SUMPRODUCT(($A$2:$A260=A260)*($B$2:$B260=B260)*($F$2:$F260=F260))&gt;1,0,1)</f>
        <v>0</v>
      </c>
      <c r="P260" s="15">
        <f>IF(SUMPRODUCT(($A$2:$A260=A260)*($B$2:$B260=B260)*($D$2:$D260=D260))&gt;1,0,1)</f>
        <v>0</v>
      </c>
    </row>
    <row r="261" spans="1:16" x14ac:dyDescent="0.35">
      <c r="A261" t="s">
        <v>9</v>
      </c>
      <c r="B261">
        <v>2012</v>
      </c>
      <c r="C261" t="s">
        <v>130</v>
      </c>
      <c r="D261">
        <v>7.4</v>
      </c>
      <c r="E261">
        <f>INT(Table2[[#This Row],[Transect]])</f>
        <v>7</v>
      </c>
      <c r="F261" t="s">
        <v>3</v>
      </c>
      <c r="G261">
        <v>1</v>
      </c>
      <c r="H261">
        <v>200</v>
      </c>
      <c r="J261">
        <f>Table2[[#This Row],[Hits]]/Table2[[#This Row],[Points]]*100</f>
        <v>0.5</v>
      </c>
      <c r="K261">
        <f>VLOOKUP(Table2[[#This Row],[Site]],'Site Info'!$A$1:$C$11,2, FALSE)</f>
        <v>17.7</v>
      </c>
      <c r="L261">
        <f>VLOOKUP(Table2[[#This Row],[Site]],'Site Info'!$A$1:$C$11,3, FALSE)</f>
        <v>10</v>
      </c>
      <c r="M261" t="str">
        <f>VLOOKUP(Table2[[#This Row],[Species]],'Species Table'!$A$1:$D$68,3, FALSE)</f>
        <v>Perennial</v>
      </c>
      <c r="O261" s="15">
        <f>IF(SUMPRODUCT(($A$2:$A261=A261)*($B$2:$B261=B261)*($F$2:$F261=F261))&gt;1,0,1)</f>
        <v>0</v>
      </c>
      <c r="P261" s="15">
        <f>IF(SUMPRODUCT(($A$2:$A261=A261)*($B$2:$B261=B261)*($D$2:$D261=D261))&gt;1,0,1)</f>
        <v>1</v>
      </c>
    </row>
    <row r="262" spans="1:16" x14ac:dyDescent="0.35">
      <c r="A262" t="s">
        <v>9</v>
      </c>
      <c r="B262">
        <v>2012</v>
      </c>
      <c r="C262" t="s">
        <v>74</v>
      </c>
      <c r="D262">
        <v>7.5</v>
      </c>
      <c r="E262">
        <f>INT(Table2[[#This Row],[Transect]])</f>
        <v>7</v>
      </c>
      <c r="F262" t="s">
        <v>11</v>
      </c>
      <c r="G262">
        <v>8</v>
      </c>
      <c r="H262">
        <v>200</v>
      </c>
      <c r="J262">
        <f>Table2[[#This Row],[Hits]]/Table2[[#This Row],[Points]]*100</f>
        <v>4</v>
      </c>
      <c r="K262">
        <f>VLOOKUP(Table2[[#This Row],[Site]],'Site Info'!$A$1:$C$11,2, FALSE)</f>
        <v>17.7</v>
      </c>
      <c r="L262">
        <f>VLOOKUP(Table2[[#This Row],[Site]],'Site Info'!$A$1:$C$11,3, FALSE)</f>
        <v>10</v>
      </c>
      <c r="M262" t="str">
        <f>VLOOKUP(Table2[[#This Row],[Species]],'Species Table'!$A$1:$D$68,3, FALSE)</f>
        <v>Perennial</v>
      </c>
      <c r="O262" s="15">
        <f>IF(SUMPRODUCT(($A$2:$A262=A262)*($B$2:$B262=B262)*($F$2:$F262=F262))&gt;1,0,1)</f>
        <v>0</v>
      </c>
      <c r="P262" s="15">
        <f>IF(SUMPRODUCT(($A$2:$A262=A262)*($B$2:$B262=B262)*($D$2:$D262=D262))&gt;1,0,1)</f>
        <v>1</v>
      </c>
    </row>
    <row r="263" spans="1:16" x14ac:dyDescent="0.35">
      <c r="A263" t="s">
        <v>9</v>
      </c>
      <c r="B263">
        <v>2012</v>
      </c>
      <c r="C263" t="s">
        <v>74</v>
      </c>
      <c r="D263">
        <v>7.5</v>
      </c>
      <c r="E263">
        <f>INT(Table2[[#This Row],[Transect]])</f>
        <v>7</v>
      </c>
      <c r="F263" t="s">
        <v>31</v>
      </c>
      <c r="G263">
        <v>3</v>
      </c>
      <c r="H263">
        <v>200</v>
      </c>
      <c r="J263">
        <f>Table2[[#This Row],[Hits]]/Table2[[#This Row],[Points]]*100</f>
        <v>1.5</v>
      </c>
      <c r="K263">
        <f>VLOOKUP(Table2[[#This Row],[Site]],'Site Info'!$A$1:$C$11,2, FALSE)</f>
        <v>17.7</v>
      </c>
      <c r="L263">
        <f>VLOOKUP(Table2[[#This Row],[Site]],'Site Info'!$A$1:$C$11,3, FALSE)</f>
        <v>10</v>
      </c>
      <c r="M263" t="str">
        <f>VLOOKUP(Table2[[#This Row],[Species]],'Species Table'!$A$1:$D$68,3, FALSE)</f>
        <v>Perennial</v>
      </c>
      <c r="O263" s="15">
        <f>IF(SUMPRODUCT(($A$2:$A263=A263)*($B$2:$B263=B263)*($F$2:$F263=F263))&gt;1,0,1)</f>
        <v>0</v>
      </c>
      <c r="P263" s="15">
        <f>IF(SUMPRODUCT(($A$2:$A263=A263)*($B$2:$B263=B263)*($D$2:$D263=D263))&gt;1,0,1)</f>
        <v>0</v>
      </c>
    </row>
    <row r="264" spans="1:16" x14ac:dyDescent="0.35">
      <c r="A264" t="s">
        <v>9</v>
      </c>
      <c r="B264">
        <v>2012</v>
      </c>
      <c r="C264" t="s">
        <v>75</v>
      </c>
      <c r="D264">
        <v>7.6</v>
      </c>
      <c r="E264">
        <f>INT(Table2[[#This Row],[Transect]])</f>
        <v>7</v>
      </c>
      <c r="F264" t="s">
        <v>11</v>
      </c>
      <c r="G264">
        <v>4</v>
      </c>
      <c r="H264">
        <v>200</v>
      </c>
      <c r="J264">
        <f>Table2[[#This Row],[Hits]]/Table2[[#This Row],[Points]]*100</f>
        <v>2</v>
      </c>
      <c r="K264">
        <f>VLOOKUP(Table2[[#This Row],[Site]],'Site Info'!$A$1:$C$11,2, FALSE)</f>
        <v>17.7</v>
      </c>
      <c r="L264">
        <f>VLOOKUP(Table2[[#This Row],[Site]],'Site Info'!$A$1:$C$11,3, FALSE)</f>
        <v>10</v>
      </c>
      <c r="M264" t="str">
        <f>VLOOKUP(Table2[[#This Row],[Species]],'Species Table'!$A$1:$D$68,3, FALSE)</f>
        <v>Perennial</v>
      </c>
      <c r="O264" s="15">
        <f>IF(SUMPRODUCT(($A$2:$A264=A264)*($B$2:$B264=B264)*($F$2:$F264=F264))&gt;1,0,1)</f>
        <v>0</v>
      </c>
      <c r="P264" s="15">
        <f>IF(SUMPRODUCT(($A$2:$A264=A264)*($B$2:$B264=B264)*($D$2:$D264=D264))&gt;1,0,1)</f>
        <v>1</v>
      </c>
    </row>
    <row r="265" spans="1:16" x14ac:dyDescent="0.35">
      <c r="A265" t="s">
        <v>9</v>
      </c>
      <c r="B265">
        <v>2012</v>
      </c>
      <c r="C265" t="s">
        <v>76</v>
      </c>
      <c r="D265">
        <v>7.7</v>
      </c>
      <c r="E265">
        <f>INT(Table2[[#This Row],[Transect]])</f>
        <v>7</v>
      </c>
      <c r="F265" t="s">
        <v>11</v>
      </c>
      <c r="G265">
        <v>4</v>
      </c>
      <c r="H265">
        <v>200</v>
      </c>
      <c r="J265">
        <f>Table2[[#This Row],[Hits]]/Table2[[#This Row],[Points]]*100</f>
        <v>2</v>
      </c>
      <c r="K265">
        <f>VLOOKUP(Table2[[#This Row],[Site]],'Site Info'!$A$1:$C$11,2, FALSE)</f>
        <v>17.7</v>
      </c>
      <c r="L265">
        <f>VLOOKUP(Table2[[#This Row],[Site]],'Site Info'!$A$1:$C$11,3, FALSE)</f>
        <v>10</v>
      </c>
      <c r="M265" t="str">
        <f>VLOOKUP(Table2[[#This Row],[Species]],'Species Table'!$A$1:$D$68,3, FALSE)</f>
        <v>Perennial</v>
      </c>
      <c r="O265" s="15">
        <f>IF(SUMPRODUCT(($A$2:$A265=A265)*($B$2:$B265=B265)*($F$2:$F265=F265))&gt;1,0,1)</f>
        <v>0</v>
      </c>
      <c r="P265" s="15">
        <f>IF(SUMPRODUCT(($A$2:$A265=A265)*($B$2:$B265=B265)*($D$2:$D265=D265))&gt;1,0,1)</f>
        <v>1</v>
      </c>
    </row>
    <row r="266" spans="1:16" x14ac:dyDescent="0.35">
      <c r="A266" t="s">
        <v>9</v>
      </c>
      <c r="B266">
        <v>2012</v>
      </c>
      <c r="C266" t="s">
        <v>76</v>
      </c>
      <c r="D266">
        <v>7.7</v>
      </c>
      <c r="E266">
        <f>INT(Table2[[#This Row],[Transect]])</f>
        <v>7</v>
      </c>
      <c r="F266" t="s">
        <v>3</v>
      </c>
      <c r="G266">
        <v>27</v>
      </c>
      <c r="H266">
        <v>200</v>
      </c>
      <c r="J266">
        <f>Table2[[#This Row],[Hits]]/Table2[[#This Row],[Points]]*100</f>
        <v>13.5</v>
      </c>
      <c r="K266">
        <f>VLOOKUP(Table2[[#This Row],[Site]],'Site Info'!$A$1:$C$11,2, FALSE)</f>
        <v>17.7</v>
      </c>
      <c r="L266">
        <f>VLOOKUP(Table2[[#This Row],[Site]],'Site Info'!$A$1:$C$11,3, FALSE)</f>
        <v>10</v>
      </c>
      <c r="M266" t="str">
        <f>VLOOKUP(Table2[[#This Row],[Species]],'Species Table'!$A$1:$D$68,3, FALSE)</f>
        <v>Perennial</v>
      </c>
      <c r="O266" s="15">
        <f>IF(SUMPRODUCT(($A$2:$A266=A266)*($B$2:$B266=B266)*($F$2:$F266=F266))&gt;1,0,1)</f>
        <v>0</v>
      </c>
      <c r="P266" s="15">
        <f>IF(SUMPRODUCT(($A$2:$A266=A266)*($B$2:$B266=B266)*($D$2:$D266=D266))&gt;1,0,1)</f>
        <v>0</v>
      </c>
    </row>
    <row r="267" spans="1:16" x14ac:dyDescent="0.35">
      <c r="A267" t="s">
        <v>9</v>
      </c>
      <c r="B267">
        <v>2012</v>
      </c>
      <c r="C267" t="s">
        <v>76</v>
      </c>
      <c r="D267">
        <v>7.7</v>
      </c>
      <c r="E267">
        <f>INT(Table2[[#This Row],[Transect]])</f>
        <v>7</v>
      </c>
      <c r="F267" t="s">
        <v>14</v>
      </c>
      <c r="G267">
        <v>7</v>
      </c>
      <c r="H267">
        <v>200</v>
      </c>
      <c r="J267">
        <f>Table2[[#This Row],[Hits]]/Table2[[#This Row],[Points]]*100</f>
        <v>3.5000000000000004</v>
      </c>
      <c r="K267">
        <f>VLOOKUP(Table2[[#This Row],[Site]],'Site Info'!$A$1:$C$11,2, FALSE)</f>
        <v>17.7</v>
      </c>
      <c r="L267">
        <f>VLOOKUP(Table2[[#This Row],[Site]],'Site Info'!$A$1:$C$11,3, FALSE)</f>
        <v>10</v>
      </c>
      <c r="M267" t="str">
        <f>VLOOKUP(Table2[[#This Row],[Species]],'Species Table'!$A$1:$D$68,3, FALSE)</f>
        <v>Perennial</v>
      </c>
      <c r="O267" s="15">
        <f>IF(SUMPRODUCT(($A$2:$A267=A267)*($B$2:$B267=B267)*($F$2:$F267=F267))&gt;1,0,1)</f>
        <v>0</v>
      </c>
      <c r="P267" s="15">
        <f>IF(SUMPRODUCT(($A$2:$A267=A267)*($B$2:$B267=B267)*($D$2:$D267=D267))&gt;1,0,1)</f>
        <v>0</v>
      </c>
    </row>
    <row r="268" spans="1:16" x14ac:dyDescent="0.35">
      <c r="A268" t="s">
        <v>9</v>
      </c>
      <c r="B268">
        <v>2012</v>
      </c>
      <c r="C268" t="s">
        <v>76</v>
      </c>
      <c r="D268">
        <v>7.7</v>
      </c>
      <c r="E268">
        <f>INT(Table2[[#This Row],[Transect]])</f>
        <v>7</v>
      </c>
      <c r="F268" t="s">
        <v>31</v>
      </c>
      <c r="G268">
        <v>5</v>
      </c>
      <c r="H268">
        <v>200</v>
      </c>
      <c r="J268">
        <f>Table2[[#This Row],[Hits]]/Table2[[#This Row],[Points]]*100</f>
        <v>2.5</v>
      </c>
      <c r="K268">
        <f>VLOOKUP(Table2[[#This Row],[Site]],'Site Info'!$A$1:$C$11,2, FALSE)</f>
        <v>17.7</v>
      </c>
      <c r="L268">
        <f>VLOOKUP(Table2[[#This Row],[Site]],'Site Info'!$A$1:$C$11,3, FALSE)</f>
        <v>10</v>
      </c>
      <c r="M268" t="str">
        <f>VLOOKUP(Table2[[#This Row],[Species]],'Species Table'!$A$1:$D$68,3, FALSE)</f>
        <v>Perennial</v>
      </c>
      <c r="O268" s="15">
        <f>IF(SUMPRODUCT(($A$2:$A268=A268)*($B$2:$B268=B268)*($F$2:$F268=F268))&gt;1,0,1)</f>
        <v>0</v>
      </c>
      <c r="P268" s="15">
        <f>IF(SUMPRODUCT(($A$2:$A268=A268)*($B$2:$B268=B268)*($D$2:$D268=D268))&gt;1,0,1)</f>
        <v>0</v>
      </c>
    </row>
    <row r="269" spans="1:16" hidden="1" x14ac:dyDescent="0.35">
      <c r="A269" t="s">
        <v>9</v>
      </c>
      <c r="B269">
        <v>2012</v>
      </c>
      <c r="C269" t="s">
        <v>76</v>
      </c>
      <c r="D269">
        <v>7.7</v>
      </c>
      <c r="E269">
        <f>INT(Table2[[#This Row],[Transect]])</f>
        <v>7</v>
      </c>
      <c r="F269" t="s">
        <v>10</v>
      </c>
      <c r="G269">
        <v>1</v>
      </c>
      <c r="H269">
        <v>200</v>
      </c>
      <c r="J269">
        <f>Table2[[#This Row],[Hits]]/Table2[[#This Row],[Points]]*100</f>
        <v>0.5</v>
      </c>
      <c r="K269">
        <f>VLOOKUP(Table2[[#This Row],[Site]],'Site Info'!$A$1:$C$11,2, FALSE)</f>
        <v>17.7</v>
      </c>
      <c r="L269">
        <f>VLOOKUP(Table2[[#This Row],[Site]],'Site Info'!$A$1:$C$11,3, FALSE)</f>
        <v>10</v>
      </c>
      <c r="M269" t="str">
        <f>VLOOKUP(Table2[[#This Row],[Species]],'Species Table'!$A$1:$D$68,3, FALSE)</f>
        <v>Annual</v>
      </c>
      <c r="O269" s="15">
        <f>IF(SUMPRODUCT(($A$2:$A269=A269)*($B$2:$B269=B269)*($F$2:$F269=F269))&gt;1,0,1)</f>
        <v>0</v>
      </c>
      <c r="P269" s="15">
        <f>IF(SUMPRODUCT(($A$2:$A269=A269)*($B$2:$B269=B269)*($D$2:$D269=D269))&gt;1,0,1)</f>
        <v>0</v>
      </c>
    </row>
    <row r="270" spans="1:16" x14ac:dyDescent="0.35">
      <c r="A270" t="s">
        <v>9</v>
      </c>
      <c r="B270">
        <v>2012</v>
      </c>
      <c r="C270" t="s">
        <v>77</v>
      </c>
      <c r="D270">
        <v>8.1</v>
      </c>
      <c r="E270">
        <f>INT(Table2[[#This Row],[Transect]])</f>
        <v>8</v>
      </c>
      <c r="F270" t="s">
        <v>14</v>
      </c>
      <c r="G270">
        <v>22</v>
      </c>
      <c r="H270">
        <v>200</v>
      </c>
      <c r="J270">
        <f>Table2[[#This Row],[Hits]]/Table2[[#This Row],[Points]]*100</f>
        <v>11</v>
      </c>
      <c r="K270">
        <f>VLOOKUP(Table2[[#This Row],[Site]],'Site Info'!$A$1:$C$11,2, FALSE)</f>
        <v>17.7</v>
      </c>
      <c r="L270">
        <f>VLOOKUP(Table2[[#This Row],[Site]],'Site Info'!$A$1:$C$11,3, FALSE)</f>
        <v>10</v>
      </c>
      <c r="M270" t="str">
        <f>VLOOKUP(Table2[[#This Row],[Species]],'Species Table'!$A$1:$D$68,3, FALSE)</f>
        <v>Perennial</v>
      </c>
      <c r="O270" s="15">
        <f>IF(SUMPRODUCT(($A$2:$A270=A270)*($B$2:$B270=B270)*($F$2:$F270=F270))&gt;1,0,1)</f>
        <v>0</v>
      </c>
      <c r="P270" s="15">
        <f>IF(SUMPRODUCT(($A$2:$A270=A270)*($B$2:$B270=B270)*($D$2:$D270=D270))&gt;1,0,1)</f>
        <v>1</v>
      </c>
    </row>
    <row r="271" spans="1:16" x14ac:dyDescent="0.35">
      <c r="A271" t="s">
        <v>9</v>
      </c>
      <c r="B271">
        <v>2012</v>
      </c>
      <c r="C271" t="s">
        <v>78</v>
      </c>
      <c r="D271">
        <v>8.1999999999999993</v>
      </c>
      <c r="E271">
        <f>INT(Table2[[#This Row],[Transect]])</f>
        <v>8</v>
      </c>
      <c r="F271" t="s">
        <v>3</v>
      </c>
      <c r="G271">
        <v>5</v>
      </c>
      <c r="H271">
        <v>200</v>
      </c>
      <c r="J271">
        <f>Table2[[#This Row],[Hits]]/Table2[[#This Row],[Points]]*100</f>
        <v>2.5</v>
      </c>
      <c r="K271">
        <f>VLOOKUP(Table2[[#This Row],[Site]],'Site Info'!$A$1:$C$11,2, FALSE)</f>
        <v>17.7</v>
      </c>
      <c r="L271">
        <f>VLOOKUP(Table2[[#This Row],[Site]],'Site Info'!$A$1:$C$11,3, FALSE)</f>
        <v>10</v>
      </c>
      <c r="M271" t="str">
        <f>VLOOKUP(Table2[[#This Row],[Species]],'Species Table'!$A$1:$D$68,3, FALSE)</f>
        <v>Perennial</v>
      </c>
      <c r="O271" s="15">
        <f>IF(SUMPRODUCT(($A$2:$A271=A271)*($B$2:$B271=B271)*($F$2:$F271=F271))&gt;1,0,1)</f>
        <v>0</v>
      </c>
      <c r="P271" s="15">
        <f>IF(SUMPRODUCT(($A$2:$A271=A271)*($B$2:$B271=B271)*($D$2:$D271=D271))&gt;1,0,1)</f>
        <v>1</v>
      </c>
    </row>
    <row r="272" spans="1:16" x14ac:dyDescent="0.35">
      <c r="A272" t="s">
        <v>9</v>
      </c>
      <c r="B272">
        <v>2012</v>
      </c>
      <c r="C272" t="s">
        <v>79</v>
      </c>
      <c r="D272">
        <v>8.3000000000000007</v>
      </c>
      <c r="E272">
        <f>INT(Table2[[#This Row],[Transect]])</f>
        <v>8</v>
      </c>
      <c r="F272" t="s">
        <v>3</v>
      </c>
      <c r="G272">
        <v>11</v>
      </c>
      <c r="H272">
        <v>200</v>
      </c>
      <c r="J272">
        <f>Table2[[#This Row],[Hits]]/Table2[[#This Row],[Points]]*100</f>
        <v>5.5</v>
      </c>
      <c r="K272">
        <f>VLOOKUP(Table2[[#This Row],[Site]],'Site Info'!$A$1:$C$11,2, FALSE)</f>
        <v>17.7</v>
      </c>
      <c r="L272">
        <f>VLOOKUP(Table2[[#This Row],[Site]],'Site Info'!$A$1:$C$11,3, FALSE)</f>
        <v>10</v>
      </c>
      <c r="M272" t="str">
        <f>VLOOKUP(Table2[[#This Row],[Species]],'Species Table'!$A$1:$D$68,3, FALSE)</f>
        <v>Perennial</v>
      </c>
      <c r="O272" s="15">
        <f>IF(SUMPRODUCT(($A$2:$A272=A272)*($B$2:$B272=B272)*($F$2:$F272=F272))&gt;1,0,1)</f>
        <v>0</v>
      </c>
      <c r="P272" s="15">
        <f>IF(SUMPRODUCT(($A$2:$A272=A272)*($B$2:$B272=B272)*($D$2:$D272=D272))&gt;1,0,1)</f>
        <v>1</v>
      </c>
    </row>
    <row r="273" spans="1:16" x14ac:dyDescent="0.35">
      <c r="A273" t="s">
        <v>9</v>
      </c>
      <c r="B273">
        <v>2012</v>
      </c>
      <c r="C273" t="s">
        <v>79</v>
      </c>
      <c r="D273">
        <v>8.3000000000000007</v>
      </c>
      <c r="E273">
        <f>INT(Table2[[#This Row],[Transect]])</f>
        <v>8</v>
      </c>
      <c r="F273" t="s">
        <v>6</v>
      </c>
      <c r="G273">
        <v>1</v>
      </c>
      <c r="H273">
        <v>200</v>
      </c>
      <c r="J273">
        <f>Table2[[#This Row],[Hits]]/Table2[[#This Row],[Points]]*100</f>
        <v>0.5</v>
      </c>
      <c r="K273">
        <f>VLOOKUP(Table2[[#This Row],[Site]],'Site Info'!$A$1:$C$11,2, FALSE)</f>
        <v>17.7</v>
      </c>
      <c r="L273">
        <f>VLOOKUP(Table2[[#This Row],[Site]],'Site Info'!$A$1:$C$11,3, FALSE)</f>
        <v>10</v>
      </c>
      <c r="M273" t="str">
        <f>VLOOKUP(Table2[[#This Row],[Species]],'Species Table'!$A$1:$D$68,3, FALSE)</f>
        <v>Perennial</v>
      </c>
      <c r="O273" s="15">
        <f>IF(SUMPRODUCT(($A$2:$A273=A273)*($B$2:$B273=B273)*($F$2:$F273=F273))&gt;1,0,1)</f>
        <v>1</v>
      </c>
      <c r="P273" s="15">
        <f>IF(SUMPRODUCT(($A$2:$A273=A273)*($B$2:$B273=B273)*($D$2:$D273=D273))&gt;1,0,1)</f>
        <v>0</v>
      </c>
    </row>
    <row r="274" spans="1:16" x14ac:dyDescent="0.35">
      <c r="A274" t="s">
        <v>9</v>
      </c>
      <c r="B274">
        <v>2012</v>
      </c>
      <c r="C274" t="s">
        <v>80</v>
      </c>
      <c r="D274">
        <v>8.4</v>
      </c>
      <c r="E274">
        <f>INT(Table2[[#This Row],[Transect]])</f>
        <v>8</v>
      </c>
      <c r="F274" t="s">
        <v>3</v>
      </c>
      <c r="G274">
        <v>5</v>
      </c>
      <c r="H274">
        <v>200</v>
      </c>
      <c r="J274">
        <f>Table2[[#This Row],[Hits]]/Table2[[#This Row],[Points]]*100</f>
        <v>2.5</v>
      </c>
      <c r="K274">
        <f>VLOOKUP(Table2[[#This Row],[Site]],'Site Info'!$A$1:$C$11,2, FALSE)</f>
        <v>17.7</v>
      </c>
      <c r="L274">
        <f>VLOOKUP(Table2[[#This Row],[Site]],'Site Info'!$A$1:$C$11,3, FALSE)</f>
        <v>10</v>
      </c>
      <c r="M274" t="str">
        <f>VLOOKUP(Table2[[#This Row],[Species]],'Species Table'!$A$1:$D$68,3, FALSE)</f>
        <v>Perennial</v>
      </c>
      <c r="O274" s="15">
        <f>IF(SUMPRODUCT(($A$2:$A274=A274)*($B$2:$B274=B274)*($F$2:$F274=F274))&gt;1,0,1)</f>
        <v>0</v>
      </c>
      <c r="P274" s="15">
        <f>IF(SUMPRODUCT(($A$2:$A274=A274)*($B$2:$B274=B274)*($D$2:$D274=D274))&gt;1,0,1)</f>
        <v>1</v>
      </c>
    </row>
    <row r="275" spans="1:16" x14ac:dyDescent="0.35">
      <c r="A275" t="s">
        <v>9</v>
      </c>
      <c r="B275">
        <v>2012</v>
      </c>
      <c r="C275" t="s">
        <v>80</v>
      </c>
      <c r="D275">
        <v>8.4</v>
      </c>
      <c r="E275">
        <f>INT(Table2[[#This Row],[Transect]])</f>
        <v>8</v>
      </c>
      <c r="F275" t="s">
        <v>6</v>
      </c>
      <c r="G275">
        <v>13</v>
      </c>
      <c r="H275">
        <v>200</v>
      </c>
      <c r="J275">
        <f>Table2[[#This Row],[Hits]]/Table2[[#This Row],[Points]]*100</f>
        <v>6.5</v>
      </c>
      <c r="K275">
        <f>VLOOKUP(Table2[[#This Row],[Site]],'Site Info'!$A$1:$C$11,2, FALSE)</f>
        <v>17.7</v>
      </c>
      <c r="L275">
        <f>VLOOKUP(Table2[[#This Row],[Site]],'Site Info'!$A$1:$C$11,3, FALSE)</f>
        <v>10</v>
      </c>
      <c r="M275" t="str">
        <f>VLOOKUP(Table2[[#This Row],[Species]],'Species Table'!$A$1:$D$68,3, FALSE)</f>
        <v>Perennial</v>
      </c>
      <c r="O275" s="15">
        <f>IF(SUMPRODUCT(($A$2:$A275=A275)*($B$2:$B275=B275)*($F$2:$F275=F275))&gt;1,0,1)</f>
        <v>0</v>
      </c>
      <c r="P275" s="15">
        <f>IF(SUMPRODUCT(($A$2:$A275=A275)*($B$2:$B275=B275)*($D$2:$D275=D275))&gt;1,0,1)</f>
        <v>0</v>
      </c>
    </row>
    <row r="276" spans="1:16" x14ac:dyDescent="0.35">
      <c r="A276" t="s">
        <v>9</v>
      </c>
      <c r="B276">
        <v>2012</v>
      </c>
      <c r="C276" t="s">
        <v>81</v>
      </c>
      <c r="D276">
        <v>8.5</v>
      </c>
      <c r="E276">
        <f>INT(Table2[[#This Row],[Transect]])</f>
        <v>8</v>
      </c>
      <c r="F276" t="s">
        <v>3</v>
      </c>
      <c r="G276">
        <v>9</v>
      </c>
      <c r="H276">
        <v>200</v>
      </c>
      <c r="J276">
        <f>Table2[[#This Row],[Hits]]/Table2[[#This Row],[Points]]*100</f>
        <v>4.5</v>
      </c>
      <c r="K276">
        <f>VLOOKUP(Table2[[#This Row],[Site]],'Site Info'!$A$1:$C$11,2, FALSE)</f>
        <v>17.7</v>
      </c>
      <c r="L276">
        <f>VLOOKUP(Table2[[#This Row],[Site]],'Site Info'!$A$1:$C$11,3, FALSE)</f>
        <v>10</v>
      </c>
      <c r="M276" t="str">
        <f>VLOOKUP(Table2[[#This Row],[Species]],'Species Table'!$A$1:$D$68,3, FALSE)</f>
        <v>Perennial</v>
      </c>
      <c r="O276" s="15">
        <f>IF(SUMPRODUCT(($A$2:$A276=A276)*($B$2:$B276=B276)*($F$2:$F276=F276))&gt;1,0,1)</f>
        <v>0</v>
      </c>
      <c r="P276" s="15">
        <f>IF(SUMPRODUCT(($A$2:$A276=A276)*($B$2:$B276=B276)*($D$2:$D276=D276))&gt;1,0,1)</f>
        <v>1</v>
      </c>
    </row>
    <row r="277" spans="1:16" x14ac:dyDescent="0.35">
      <c r="A277" t="s">
        <v>9</v>
      </c>
      <c r="B277">
        <v>2012</v>
      </c>
      <c r="C277" t="s">
        <v>81</v>
      </c>
      <c r="D277">
        <v>8.5</v>
      </c>
      <c r="E277">
        <f>INT(Table2[[#This Row],[Transect]])</f>
        <v>8</v>
      </c>
      <c r="F277" t="s">
        <v>6</v>
      </c>
      <c r="G277">
        <v>4</v>
      </c>
      <c r="H277">
        <v>200</v>
      </c>
      <c r="J277">
        <f>Table2[[#This Row],[Hits]]/Table2[[#This Row],[Points]]*100</f>
        <v>2</v>
      </c>
      <c r="K277">
        <f>VLOOKUP(Table2[[#This Row],[Site]],'Site Info'!$A$1:$C$11,2, FALSE)</f>
        <v>17.7</v>
      </c>
      <c r="L277">
        <f>VLOOKUP(Table2[[#This Row],[Site]],'Site Info'!$A$1:$C$11,3, FALSE)</f>
        <v>10</v>
      </c>
      <c r="M277" t="str">
        <f>VLOOKUP(Table2[[#This Row],[Species]],'Species Table'!$A$1:$D$68,3, FALSE)</f>
        <v>Perennial</v>
      </c>
      <c r="O277" s="15">
        <f>IF(SUMPRODUCT(($A$2:$A277=A277)*($B$2:$B277=B277)*($F$2:$F277=F277))&gt;1,0,1)</f>
        <v>0</v>
      </c>
      <c r="P277" s="15">
        <f>IF(SUMPRODUCT(($A$2:$A277=A277)*($B$2:$B277=B277)*($D$2:$D277=D277))&gt;1,0,1)</f>
        <v>0</v>
      </c>
    </row>
    <row r="278" spans="1:16" hidden="1" x14ac:dyDescent="0.35">
      <c r="A278" t="s">
        <v>18</v>
      </c>
      <c r="B278">
        <v>1999</v>
      </c>
      <c r="D278">
        <v>1.1000000000000001</v>
      </c>
      <c r="E278">
        <f>INT(Table2[[#This Row],[Transect]])</f>
        <v>1</v>
      </c>
      <c r="F278" t="s">
        <v>10</v>
      </c>
      <c r="G278">
        <v>80</v>
      </c>
      <c r="H278">
        <v>200</v>
      </c>
      <c r="J278">
        <f>Table2[[#This Row],[Hits]]/Table2[[#This Row],[Points]]*100</f>
        <v>40</v>
      </c>
      <c r="K278">
        <f>VLOOKUP(Table2[[#This Row],[Site]],'Site Info'!$A$1:$C$11,2, FALSE)</f>
        <v>15</v>
      </c>
      <c r="L278">
        <f>VLOOKUP(Table2[[#This Row],[Site]],'Site Info'!$A$1:$C$11,3, FALSE)</f>
        <v>12</v>
      </c>
      <c r="M278" t="str">
        <f>VLOOKUP(Table2[[#This Row],[Species]],'Species Table'!$A$1:$D$68,3, FALSE)</f>
        <v>Annual</v>
      </c>
      <c r="O278" s="15">
        <f>IF(SUMPRODUCT(($A$2:$A278=A278)*($B$2:$B278=B278)*($F$2:$F278=F278))&gt;1,0,1)</f>
        <v>1</v>
      </c>
      <c r="P278" s="15">
        <f>IF(SUMPRODUCT(($A$2:$A278=A278)*($B$2:$B278=B278)*($D$2:$D278=D278))&gt;1,0,1)</f>
        <v>1</v>
      </c>
    </row>
    <row r="279" spans="1:16" x14ac:dyDescent="0.35">
      <c r="A279" t="s">
        <v>18</v>
      </c>
      <c r="B279">
        <v>1999</v>
      </c>
      <c r="D279">
        <v>1.1000000000000001</v>
      </c>
      <c r="E279">
        <f>INT(Table2[[#This Row],[Transect]])</f>
        <v>1</v>
      </c>
      <c r="F279" t="s">
        <v>11</v>
      </c>
      <c r="G279">
        <v>5</v>
      </c>
      <c r="H279">
        <v>200</v>
      </c>
      <c r="J279">
        <f>Table2[[#This Row],[Hits]]/Table2[[#This Row],[Points]]*100</f>
        <v>2.5</v>
      </c>
      <c r="K279">
        <f>VLOOKUP(Table2[[#This Row],[Site]],'Site Info'!$A$1:$C$11,2, FALSE)</f>
        <v>15</v>
      </c>
      <c r="L279">
        <f>VLOOKUP(Table2[[#This Row],[Site]],'Site Info'!$A$1:$C$11,3, FALSE)</f>
        <v>12</v>
      </c>
      <c r="M279" t="str">
        <f>VLOOKUP(Table2[[#This Row],[Species]],'Species Table'!$A$1:$D$68,3, FALSE)</f>
        <v>Perennial</v>
      </c>
      <c r="O279" s="15">
        <f>IF(SUMPRODUCT(($A$2:$A279=A279)*($B$2:$B279=B279)*($F$2:$F279=F279))&gt;1,0,1)</f>
        <v>1</v>
      </c>
      <c r="P279" s="15">
        <f>IF(SUMPRODUCT(($A$2:$A279=A279)*($B$2:$B279=B279)*($D$2:$D279=D279))&gt;1,0,1)</f>
        <v>0</v>
      </c>
    </row>
    <row r="280" spans="1:16" x14ac:dyDescent="0.35">
      <c r="A280" t="s">
        <v>18</v>
      </c>
      <c r="B280">
        <v>1999</v>
      </c>
      <c r="D280">
        <v>1.1000000000000001</v>
      </c>
      <c r="E280">
        <f>INT(Table2[[#This Row],[Transect]])</f>
        <v>1</v>
      </c>
      <c r="F280" t="s">
        <v>170</v>
      </c>
      <c r="G280">
        <v>5</v>
      </c>
      <c r="H280">
        <v>200</v>
      </c>
      <c r="J280">
        <f>Table2[[#This Row],[Hits]]/Table2[[#This Row],[Points]]*100</f>
        <v>2.5</v>
      </c>
      <c r="K280">
        <f>VLOOKUP(Table2[[#This Row],[Site]],'Site Info'!$A$1:$C$11,2, FALSE)</f>
        <v>15</v>
      </c>
      <c r="L280">
        <f>VLOOKUP(Table2[[#This Row],[Site]],'Site Info'!$A$1:$C$11,3, FALSE)</f>
        <v>12</v>
      </c>
      <c r="M280" t="str">
        <f>VLOOKUP(Table2[[#This Row],[Species]],'Species Table'!$A$1:$D$68,3, FALSE)</f>
        <v>Perennial</v>
      </c>
      <c r="O280" s="15">
        <f>IF(SUMPRODUCT(($A$2:$A280=A280)*($B$2:$B280=B280)*($F$2:$F280=F280))&gt;1,0,1)</f>
        <v>1</v>
      </c>
      <c r="P280" s="15">
        <f>IF(SUMPRODUCT(($A$2:$A280=A280)*($B$2:$B280=B280)*($D$2:$D280=D280))&gt;1,0,1)</f>
        <v>0</v>
      </c>
    </row>
    <row r="281" spans="1:16" hidden="1" x14ac:dyDescent="0.35">
      <c r="A281" t="s">
        <v>18</v>
      </c>
      <c r="B281">
        <v>1999</v>
      </c>
      <c r="D281">
        <v>1.2</v>
      </c>
      <c r="E281">
        <f>INT(Table2[[#This Row],[Transect]])</f>
        <v>1</v>
      </c>
      <c r="F281" t="s">
        <v>10</v>
      </c>
      <c r="G281">
        <v>100</v>
      </c>
      <c r="H281">
        <v>200</v>
      </c>
      <c r="J281">
        <f>Table2[[#This Row],[Hits]]/Table2[[#This Row],[Points]]*100</f>
        <v>50</v>
      </c>
      <c r="K281">
        <f>VLOOKUP(Table2[[#This Row],[Site]],'Site Info'!$A$1:$C$11,2, FALSE)</f>
        <v>15</v>
      </c>
      <c r="L281">
        <f>VLOOKUP(Table2[[#This Row],[Site]],'Site Info'!$A$1:$C$11,3, FALSE)</f>
        <v>12</v>
      </c>
      <c r="M281" t="str">
        <f>VLOOKUP(Table2[[#This Row],[Species]],'Species Table'!$A$1:$D$68,3, FALSE)</f>
        <v>Annual</v>
      </c>
      <c r="O281" s="15">
        <f>IF(SUMPRODUCT(($A$2:$A281=A281)*($B$2:$B281=B281)*($F$2:$F281=F281))&gt;1,0,1)</f>
        <v>0</v>
      </c>
      <c r="P281" s="15">
        <f>IF(SUMPRODUCT(($A$2:$A281=A281)*($B$2:$B281=B281)*($D$2:$D281=D281))&gt;1,0,1)</f>
        <v>1</v>
      </c>
    </row>
    <row r="282" spans="1:16" x14ac:dyDescent="0.35">
      <c r="A282" t="s">
        <v>18</v>
      </c>
      <c r="B282">
        <v>1999</v>
      </c>
      <c r="D282">
        <v>1.2</v>
      </c>
      <c r="E282">
        <f>INT(Table2[[#This Row],[Transect]])</f>
        <v>1</v>
      </c>
      <c r="F282" t="s">
        <v>11</v>
      </c>
      <c r="G282">
        <v>2</v>
      </c>
      <c r="H282">
        <v>200</v>
      </c>
      <c r="J282">
        <f>Table2[[#This Row],[Hits]]/Table2[[#This Row],[Points]]*100</f>
        <v>1</v>
      </c>
      <c r="K282">
        <f>VLOOKUP(Table2[[#This Row],[Site]],'Site Info'!$A$1:$C$11,2, FALSE)</f>
        <v>15</v>
      </c>
      <c r="L282">
        <f>VLOOKUP(Table2[[#This Row],[Site]],'Site Info'!$A$1:$C$11,3, FALSE)</f>
        <v>12</v>
      </c>
      <c r="M282" t="str">
        <f>VLOOKUP(Table2[[#This Row],[Species]],'Species Table'!$A$1:$D$68,3, FALSE)</f>
        <v>Perennial</v>
      </c>
      <c r="O282" s="15">
        <f>IF(SUMPRODUCT(($A$2:$A282=A282)*($B$2:$B282=B282)*($F$2:$F282=F282))&gt;1,0,1)</f>
        <v>0</v>
      </c>
      <c r="P282" s="15">
        <f>IF(SUMPRODUCT(($A$2:$A282=A282)*($B$2:$B282=B282)*($D$2:$D282=D282))&gt;1,0,1)</f>
        <v>0</v>
      </c>
    </row>
    <row r="283" spans="1:16" hidden="1" x14ac:dyDescent="0.35">
      <c r="A283" t="s">
        <v>18</v>
      </c>
      <c r="B283">
        <v>1999</v>
      </c>
      <c r="D283">
        <v>1.3</v>
      </c>
      <c r="E283">
        <f>INT(Table2[[#This Row],[Transect]])</f>
        <v>1</v>
      </c>
      <c r="F283" t="s">
        <v>10</v>
      </c>
      <c r="G283">
        <v>20</v>
      </c>
      <c r="H283">
        <v>200</v>
      </c>
      <c r="J283">
        <f>Table2[[#This Row],[Hits]]/Table2[[#This Row],[Points]]*100</f>
        <v>10</v>
      </c>
      <c r="K283">
        <f>VLOOKUP(Table2[[#This Row],[Site]],'Site Info'!$A$1:$C$11,2, FALSE)</f>
        <v>15</v>
      </c>
      <c r="L283">
        <f>VLOOKUP(Table2[[#This Row],[Site]],'Site Info'!$A$1:$C$11,3, FALSE)</f>
        <v>12</v>
      </c>
      <c r="M283" t="str">
        <f>VLOOKUP(Table2[[#This Row],[Species]],'Species Table'!$A$1:$D$68,3, FALSE)</f>
        <v>Annual</v>
      </c>
      <c r="O283" s="15">
        <f>IF(SUMPRODUCT(($A$2:$A283=A283)*($B$2:$B283=B283)*($F$2:$F283=F283))&gt;1,0,1)</f>
        <v>0</v>
      </c>
      <c r="P283" s="15">
        <f>IF(SUMPRODUCT(($A$2:$A283=A283)*($B$2:$B283=B283)*($D$2:$D283=D283))&gt;1,0,1)</f>
        <v>1</v>
      </c>
    </row>
    <row r="284" spans="1:16" x14ac:dyDescent="0.35">
      <c r="A284" t="s">
        <v>18</v>
      </c>
      <c r="B284">
        <v>1999</v>
      </c>
      <c r="D284">
        <v>1.3</v>
      </c>
      <c r="E284">
        <f>INT(Table2[[#This Row],[Transect]])</f>
        <v>1</v>
      </c>
      <c r="F284" t="s">
        <v>11</v>
      </c>
      <c r="G284">
        <v>8</v>
      </c>
      <c r="H284">
        <v>200</v>
      </c>
      <c r="J284">
        <f>Table2[[#This Row],[Hits]]/Table2[[#This Row],[Points]]*100</f>
        <v>4</v>
      </c>
      <c r="K284">
        <f>VLOOKUP(Table2[[#This Row],[Site]],'Site Info'!$A$1:$C$11,2, FALSE)</f>
        <v>15</v>
      </c>
      <c r="L284">
        <f>VLOOKUP(Table2[[#This Row],[Site]],'Site Info'!$A$1:$C$11,3, FALSE)</f>
        <v>12</v>
      </c>
      <c r="M284" t="str">
        <f>VLOOKUP(Table2[[#This Row],[Species]],'Species Table'!$A$1:$D$68,3, FALSE)</f>
        <v>Perennial</v>
      </c>
      <c r="O284" s="15">
        <f>IF(SUMPRODUCT(($A$2:$A284=A284)*($B$2:$B284=B284)*($F$2:$F284=F284))&gt;1,0,1)</f>
        <v>0</v>
      </c>
      <c r="P284" s="15">
        <f>IF(SUMPRODUCT(($A$2:$A284=A284)*($B$2:$B284=B284)*($D$2:$D284=D284))&gt;1,0,1)</f>
        <v>0</v>
      </c>
    </row>
    <row r="285" spans="1:16" hidden="1" x14ac:dyDescent="0.35">
      <c r="A285" t="s">
        <v>18</v>
      </c>
      <c r="B285">
        <v>1999</v>
      </c>
      <c r="D285">
        <v>1.4</v>
      </c>
      <c r="E285">
        <f>INT(Table2[[#This Row],[Transect]])</f>
        <v>1</v>
      </c>
      <c r="F285" t="s">
        <v>10</v>
      </c>
      <c r="G285">
        <v>100</v>
      </c>
      <c r="H285">
        <v>200</v>
      </c>
      <c r="J285">
        <f>Table2[[#This Row],[Hits]]/Table2[[#This Row],[Points]]*100</f>
        <v>50</v>
      </c>
      <c r="K285">
        <f>VLOOKUP(Table2[[#This Row],[Site]],'Site Info'!$A$1:$C$11,2, FALSE)</f>
        <v>15</v>
      </c>
      <c r="L285">
        <f>VLOOKUP(Table2[[#This Row],[Site]],'Site Info'!$A$1:$C$11,3, FALSE)</f>
        <v>12</v>
      </c>
      <c r="M285" t="str">
        <f>VLOOKUP(Table2[[#This Row],[Species]],'Species Table'!$A$1:$D$68,3, FALSE)</f>
        <v>Annual</v>
      </c>
      <c r="O285" s="15">
        <f>IF(SUMPRODUCT(($A$2:$A285=A285)*($B$2:$B285=B285)*($F$2:$F285=F285))&gt;1,0,1)</f>
        <v>0</v>
      </c>
      <c r="P285" s="15">
        <f>IF(SUMPRODUCT(($A$2:$A285=A285)*($B$2:$B285=B285)*($D$2:$D285=D285))&gt;1,0,1)</f>
        <v>1</v>
      </c>
    </row>
    <row r="286" spans="1:16" hidden="1" x14ac:dyDescent="0.35">
      <c r="A286" t="s">
        <v>18</v>
      </c>
      <c r="B286">
        <v>1999</v>
      </c>
      <c r="D286">
        <v>1.5</v>
      </c>
      <c r="E286">
        <f>INT(Table2[[#This Row],[Transect]])</f>
        <v>1</v>
      </c>
      <c r="F286" t="s">
        <v>10</v>
      </c>
      <c r="G286">
        <v>30</v>
      </c>
      <c r="H286">
        <v>200</v>
      </c>
      <c r="J286">
        <f>Table2[[#This Row],[Hits]]/Table2[[#This Row],[Points]]*100</f>
        <v>15</v>
      </c>
      <c r="K286">
        <f>VLOOKUP(Table2[[#This Row],[Site]],'Site Info'!$A$1:$C$11,2, FALSE)</f>
        <v>15</v>
      </c>
      <c r="L286">
        <f>VLOOKUP(Table2[[#This Row],[Site]],'Site Info'!$A$1:$C$11,3, FALSE)</f>
        <v>12</v>
      </c>
      <c r="M286" t="str">
        <f>VLOOKUP(Table2[[#This Row],[Species]],'Species Table'!$A$1:$D$68,3, FALSE)</f>
        <v>Annual</v>
      </c>
      <c r="O286" s="15">
        <f>IF(SUMPRODUCT(($A$2:$A286=A286)*($B$2:$B286=B286)*($F$2:$F286=F286))&gt;1,0,1)</f>
        <v>0</v>
      </c>
      <c r="P286" s="15">
        <f>IF(SUMPRODUCT(($A$2:$A286=A286)*($B$2:$B286=B286)*($D$2:$D286=D286))&gt;1,0,1)</f>
        <v>1</v>
      </c>
    </row>
    <row r="287" spans="1:16" x14ac:dyDescent="0.35">
      <c r="A287" t="s">
        <v>18</v>
      </c>
      <c r="B287">
        <v>1999</v>
      </c>
      <c r="D287">
        <v>1.5</v>
      </c>
      <c r="E287">
        <f>INT(Table2[[#This Row],[Transect]])</f>
        <v>1</v>
      </c>
      <c r="F287" t="s">
        <v>11</v>
      </c>
      <c r="G287">
        <v>17</v>
      </c>
      <c r="H287">
        <v>200</v>
      </c>
      <c r="J287">
        <f>Table2[[#This Row],[Hits]]/Table2[[#This Row],[Points]]*100</f>
        <v>8.5</v>
      </c>
      <c r="K287">
        <f>VLOOKUP(Table2[[#This Row],[Site]],'Site Info'!$A$1:$C$11,2, FALSE)</f>
        <v>15</v>
      </c>
      <c r="L287">
        <f>VLOOKUP(Table2[[#This Row],[Site]],'Site Info'!$A$1:$C$11,3, FALSE)</f>
        <v>12</v>
      </c>
      <c r="M287" t="str">
        <f>VLOOKUP(Table2[[#This Row],[Species]],'Species Table'!$A$1:$D$68,3, FALSE)</f>
        <v>Perennial</v>
      </c>
      <c r="O287" s="15">
        <f>IF(SUMPRODUCT(($A$2:$A287=A287)*($B$2:$B287=B287)*($F$2:$F287=F287))&gt;1,0,1)</f>
        <v>0</v>
      </c>
      <c r="P287" s="15">
        <f>IF(SUMPRODUCT(($A$2:$A287=A287)*($B$2:$B287=B287)*($D$2:$D287=D287))&gt;1,0,1)</f>
        <v>0</v>
      </c>
    </row>
    <row r="288" spans="1:16" hidden="1" x14ac:dyDescent="0.35">
      <c r="A288" t="s">
        <v>18</v>
      </c>
      <c r="B288">
        <v>1999</v>
      </c>
      <c r="D288">
        <v>2.1</v>
      </c>
      <c r="E288">
        <f>INT(Table2[[#This Row],[Transect]])</f>
        <v>2</v>
      </c>
      <c r="F288" t="s">
        <v>10</v>
      </c>
      <c r="G288">
        <v>25</v>
      </c>
      <c r="H288">
        <v>200</v>
      </c>
      <c r="J288">
        <f>Table2[[#This Row],[Hits]]/Table2[[#This Row],[Points]]*100</f>
        <v>12.5</v>
      </c>
      <c r="K288">
        <f>VLOOKUP(Table2[[#This Row],[Site]],'Site Info'!$A$1:$C$11,2, FALSE)</f>
        <v>15</v>
      </c>
      <c r="L288">
        <f>VLOOKUP(Table2[[#This Row],[Site]],'Site Info'!$A$1:$C$11,3, FALSE)</f>
        <v>12</v>
      </c>
      <c r="M288" t="str">
        <f>VLOOKUP(Table2[[#This Row],[Species]],'Species Table'!$A$1:$D$68,3, FALSE)</f>
        <v>Annual</v>
      </c>
      <c r="O288" s="15">
        <f>IF(SUMPRODUCT(($A$2:$A288=A288)*($B$2:$B288=B288)*($F$2:$F288=F288))&gt;1,0,1)</f>
        <v>0</v>
      </c>
      <c r="P288" s="15">
        <f>IF(SUMPRODUCT(($A$2:$A288=A288)*($B$2:$B288=B288)*($D$2:$D288=D288))&gt;1,0,1)</f>
        <v>1</v>
      </c>
    </row>
    <row r="289" spans="1:16" x14ac:dyDescent="0.35">
      <c r="A289" t="s">
        <v>18</v>
      </c>
      <c r="B289">
        <v>1999</v>
      </c>
      <c r="D289">
        <v>2.1</v>
      </c>
      <c r="E289">
        <f>INT(Table2[[#This Row],[Transect]])</f>
        <v>2</v>
      </c>
      <c r="F289" t="s">
        <v>11</v>
      </c>
      <c r="G289">
        <v>8</v>
      </c>
      <c r="H289">
        <v>200</v>
      </c>
      <c r="J289">
        <f>Table2[[#This Row],[Hits]]/Table2[[#This Row],[Points]]*100</f>
        <v>4</v>
      </c>
      <c r="K289">
        <f>VLOOKUP(Table2[[#This Row],[Site]],'Site Info'!$A$1:$C$11,2, FALSE)</f>
        <v>15</v>
      </c>
      <c r="L289">
        <f>VLOOKUP(Table2[[#This Row],[Site]],'Site Info'!$A$1:$C$11,3, FALSE)</f>
        <v>12</v>
      </c>
      <c r="M289" t="str">
        <f>VLOOKUP(Table2[[#This Row],[Species]],'Species Table'!$A$1:$D$68,3, FALSE)</f>
        <v>Perennial</v>
      </c>
      <c r="O289" s="15">
        <f>IF(SUMPRODUCT(($A$2:$A289=A289)*($B$2:$B289=B289)*($F$2:$F289=F289))&gt;1,0,1)</f>
        <v>0</v>
      </c>
      <c r="P289" s="15">
        <f>IF(SUMPRODUCT(($A$2:$A289=A289)*($B$2:$B289=B289)*($D$2:$D289=D289))&gt;1,0,1)</f>
        <v>0</v>
      </c>
    </row>
    <row r="290" spans="1:16" hidden="1" x14ac:dyDescent="0.35">
      <c r="A290" t="s">
        <v>18</v>
      </c>
      <c r="B290">
        <v>1999</v>
      </c>
      <c r="D290">
        <v>2.2000000000000002</v>
      </c>
      <c r="E290">
        <f>INT(Table2[[#This Row],[Transect]])</f>
        <v>2</v>
      </c>
      <c r="F290" t="s">
        <v>10</v>
      </c>
      <c r="G290">
        <v>3</v>
      </c>
      <c r="H290">
        <v>200</v>
      </c>
      <c r="J290">
        <f>Table2[[#This Row],[Hits]]/Table2[[#This Row],[Points]]*100</f>
        <v>1.5</v>
      </c>
      <c r="K290">
        <f>VLOOKUP(Table2[[#This Row],[Site]],'Site Info'!$A$1:$C$11,2, FALSE)</f>
        <v>15</v>
      </c>
      <c r="L290">
        <f>VLOOKUP(Table2[[#This Row],[Site]],'Site Info'!$A$1:$C$11,3, FALSE)</f>
        <v>12</v>
      </c>
      <c r="M290" t="str">
        <f>VLOOKUP(Table2[[#This Row],[Species]],'Species Table'!$A$1:$D$68,3, FALSE)</f>
        <v>Annual</v>
      </c>
      <c r="O290" s="15">
        <f>IF(SUMPRODUCT(($A$2:$A290=A290)*($B$2:$B290=B290)*($F$2:$F290=F290))&gt;1,0,1)</f>
        <v>0</v>
      </c>
      <c r="P290" s="15">
        <f>IF(SUMPRODUCT(($A$2:$A290=A290)*($B$2:$B290=B290)*($D$2:$D290=D290))&gt;1,0,1)</f>
        <v>1</v>
      </c>
    </row>
    <row r="291" spans="1:16" x14ac:dyDescent="0.35">
      <c r="A291" t="s">
        <v>18</v>
      </c>
      <c r="B291">
        <v>1999</v>
      </c>
      <c r="D291">
        <v>2.2000000000000002</v>
      </c>
      <c r="E291">
        <f>INT(Table2[[#This Row],[Transect]])</f>
        <v>2</v>
      </c>
      <c r="F291" t="s">
        <v>11</v>
      </c>
      <c r="G291">
        <v>2</v>
      </c>
      <c r="H291">
        <v>200</v>
      </c>
      <c r="J291">
        <f>Table2[[#This Row],[Hits]]/Table2[[#This Row],[Points]]*100</f>
        <v>1</v>
      </c>
      <c r="K291">
        <f>VLOOKUP(Table2[[#This Row],[Site]],'Site Info'!$A$1:$C$11,2, FALSE)</f>
        <v>15</v>
      </c>
      <c r="L291">
        <f>VLOOKUP(Table2[[#This Row],[Site]],'Site Info'!$A$1:$C$11,3, FALSE)</f>
        <v>12</v>
      </c>
      <c r="M291" t="str">
        <f>VLOOKUP(Table2[[#This Row],[Species]],'Species Table'!$A$1:$D$68,3, FALSE)</f>
        <v>Perennial</v>
      </c>
      <c r="O291" s="15">
        <f>IF(SUMPRODUCT(($A$2:$A291=A291)*($B$2:$B291=B291)*($F$2:$F291=F291))&gt;1,0,1)</f>
        <v>0</v>
      </c>
      <c r="P291" s="15">
        <f>IF(SUMPRODUCT(($A$2:$A291=A291)*($B$2:$B291=B291)*($D$2:$D291=D291))&gt;1,0,1)</f>
        <v>0</v>
      </c>
    </row>
    <row r="292" spans="1:16" hidden="1" x14ac:dyDescent="0.35">
      <c r="A292" t="s">
        <v>18</v>
      </c>
      <c r="B292">
        <v>1999</v>
      </c>
      <c r="D292">
        <v>2.2999999999999998</v>
      </c>
      <c r="E292">
        <f>INT(Table2[[#This Row],[Transect]])</f>
        <v>2</v>
      </c>
      <c r="F292" t="s">
        <v>10</v>
      </c>
      <c r="G292">
        <v>25</v>
      </c>
      <c r="H292">
        <v>200</v>
      </c>
      <c r="J292">
        <f>Table2[[#This Row],[Hits]]/Table2[[#This Row],[Points]]*100</f>
        <v>12.5</v>
      </c>
      <c r="K292">
        <f>VLOOKUP(Table2[[#This Row],[Site]],'Site Info'!$A$1:$C$11,2, FALSE)</f>
        <v>15</v>
      </c>
      <c r="L292">
        <f>VLOOKUP(Table2[[#This Row],[Site]],'Site Info'!$A$1:$C$11,3, FALSE)</f>
        <v>12</v>
      </c>
      <c r="M292" t="str">
        <f>VLOOKUP(Table2[[#This Row],[Species]],'Species Table'!$A$1:$D$68,3, FALSE)</f>
        <v>Annual</v>
      </c>
      <c r="O292" s="15">
        <f>IF(SUMPRODUCT(($A$2:$A292=A292)*($B$2:$B292=B292)*($F$2:$F292=F292))&gt;1,0,1)</f>
        <v>0</v>
      </c>
      <c r="P292" s="15">
        <f>IF(SUMPRODUCT(($A$2:$A292=A292)*($B$2:$B292=B292)*($D$2:$D292=D292))&gt;1,0,1)</f>
        <v>1</v>
      </c>
    </row>
    <row r="293" spans="1:16" x14ac:dyDescent="0.35">
      <c r="A293" t="s">
        <v>18</v>
      </c>
      <c r="B293">
        <v>1999</v>
      </c>
      <c r="D293">
        <v>2.2999999999999998</v>
      </c>
      <c r="E293">
        <f>INT(Table2[[#This Row],[Transect]])</f>
        <v>2</v>
      </c>
      <c r="F293" t="s">
        <v>11</v>
      </c>
      <c r="G293">
        <v>7</v>
      </c>
      <c r="H293">
        <v>200</v>
      </c>
      <c r="J293">
        <f>Table2[[#This Row],[Hits]]/Table2[[#This Row],[Points]]*100</f>
        <v>3.5000000000000004</v>
      </c>
      <c r="K293">
        <f>VLOOKUP(Table2[[#This Row],[Site]],'Site Info'!$A$1:$C$11,2, FALSE)</f>
        <v>15</v>
      </c>
      <c r="L293">
        <f>VLOOKUP(Table2[[#This Row],[Site]],'Site Info'!$A$1:$C$11,3, FALSE)</f>
        <v>12</v>
      </c>
      <c r="M293" t="str">
        <f>VLOOKUP(Table2[[#This Row],[Species]],'Species Table'!$A$1:$D$68,3, FALSE)</f>
        <v>Perennial</v>
      </c>
      <c r="O293" s="15">
        <f>IF(SUMPRODUCT(($A$2:$A293=A293)*($B$2:$B293=B293)*($F$2:$F293=F293))&gt;1,0,1)</f>
        <v>0</v>
      </c>
      <c r="P293" s="15">
        <f>IF(SUMPRODUCT(($A$2:$A293=A293)*($B$2:$B293=B293)*($D$2:$D293=D293))&gt;1,0,1)</f>
        <v>0</v>
      </c>
    </row>
    <row r="294" spans="1:16" hidden="1" x14ac:dyDescent="0.35">
      <c r="A294" t="s">
        <v>18</v>
      </c>
      <c r="B294">
        <v>1999</v>
      </c>
      <c r="D294">
        <v>2.4</v>
      </c>
      <c r="E294">
        <f>INT(Table2[[#This Row],[Transect]])</f>
        <v>2</v>
      </c>
      <c r="F294" t="s">
        <v>10</v>
      </c>
      <c r="G294">
        <v>160</v>
      </c>
      <c r="H294">
        <v>200</v>
      </c>
      <c r="J294">
        <f>Table2[[#This Row],[Hits]]/Table2[[#This Row],[Points]]*100</f>
        <v>80</v>
      </c>
      <c r="K294">
        <f>VLOOKUP(Table2[[#This Row],[Site]],'Site Info'!$A$1:$C$11,2, FALSE)</f>
        <v>15</v>
      </c>
      <c r="L294">
        <f>VLOOKUP(Table2[[#This Row],[Site]],'Site Info'!$A$1:$C$11,3, FALSE)</f>
        <v>12</v>
      </c>
      <c r="M294" t="str">
        <f>VLOOKUP(Table2[[#This Row],[Species]],'Species Table'!$A$1:$D$68,3, FALSE)</f>
        <v>Annual</v>
      </c>
      <c r="O294" s="15">
        <f>IF(SUMPRODUCT(($A$2:$A294=A294)*($B$2:$B294=B294)*($F$2:$F294=F294))&gt;1,0,1)</f>
        <v>0</v>
      </c>
      <c r="P294" s="15">
        <f>IF(SUMPRODUCT(($A$2:$A294=A294)*($B$2:$B294=B294)*($D$2:$D294=D294))&gt;1,0,1)</f>
        <v>1</v>
      </c>
    </row>
    <row r="295" spans="1:16" hidden="1" x14ac:dyDescent="0.35">
      <c r="A295" t="s">
        <v>18</v>
      </c>
      <c r="B295">
        <v>1999</v>
      </c>
      <c r="D295">
        <v>2.5</v>
      </c>
      <c r="E295">
        <f>INT(Table2[[#This Row],[Transect]])</f>
        <v>2</v>
      </c>
      <c r="F295" t="s">
        <v>10</v>
      </c>
      <c r="G295">
        <v>160</v>
      </c>
      <c r="H295">
        <v>200</v>
      </c>
      <c r="J295">
        <f>Table2[[#This Row],[Hits]]/Table2[[#This Row],[Points]]*100</f>
        <v>80</v>
      </c>
      <c r="K295">
        <f>VLOOKUP(Table2[[#This Row],[Site]],'Site Info'!$A$1:$C$11,2, FALSE)</f>
        <v>15</v>
      </c>
      <c r="L295">
        <f>VLOOKUP(Table2[[#This Row],[Site]],'Site Info'!$A$1:$C$11,3, FALSE)</f>
        <v>12</v>
      </c>
      <c r="M295" t="str">
        <f>VLOOKUP(Table2[[#This Row],[Species]],'Species Table'!$A$1:$D$68,3, FALSE)</f>
        <v>Annual</v>
      </c>
      <c r="O295" s="15">
        <f>IF(SUMPRODUCT(($A$2:$A295=A295)*($B$2:$B295=B295)*($F$2:$F295=F295))&gt;1,0,1)</f>
        <v>0</v>
      </c>
      <c r="P295" s="15">
        <f>IF(SUMPRODUCT(($A$2:$A295=A295)*($B$2:$B295=B295)*($D$2:$D295=D295))&gt;1,0,1)</f>
        <v>1</v>
      </c>
    </row>
    <row r="296" spans="1:16" hidden="1" x14ac:dyDescent="0.35">
      <c r="A296" t="s">
        <v>18</v>
      </c>
      <c r="B296">
        <v>1999</v>
      </c>
      <c r="D296">
        <v>2.6</v>
      </c>
      <c r="E296">
        <f>INT(Table2[[#This Row],[Transect]])</f>
        <v>2</v>
      </c>
      <c r="F296" t="s">
        <v>10</v>
      </c>
      <c r="G296">
        <v>160</v>
      </c>
      <c r="H296">
        <v>200</v>
      </c>
      <c r="J296">
        <f>Table2[[#This Row],[Hits]]/Table2[[#This Row],[Points]]*100</f>
        <v>80</v>
      </c>
      <c r="K296">
        <f>VLOOKUP(Table2[[#This Row],[Site]],'Site Info'!$A$1:$C$11,2, FALSE)</f>
        <v>15</v>
      </c>
      <c r="L296">
        <f>VLOOKUP(Table2[[#This Row],[Site]],'Site Info'!$A$1:$C$11,3, FALSE)</f>
        <v>12</v>
      </c>
      <c r="M296" t="str">
        <f>VLOOKUP(Table2[[#This Row],[Species]],'Species Table'!$A$1:$D$68,3, FALSE)</f>
        <v>Annual</v>
      </c>
      <c r="O296" s="15">
        <f>IF(SUMPRODUCT(($A$2:$A296=A296)*($B$2:$B296=B296)*($F$2:$F296=F296))&gt;1,0,1)</f>
        <v>0</v>
      </c>
      <c r="P296" s="15">
        <f>IF(SUMPRODUCT(($A$2:$A296=A296)*($B$2:$B296=B296)*($D$2:$D296=D296))&gt;1,0,1)</f>
        <v>1</v>
      </c>
    </row>
    <row r="297" spans="1:16" hidden="1" x14ac:dyDescent="0.35">
      <c r="A297" t="s">
        <v>18</v>
      </c>
      <c r="B297">
        <v>1999</v>
      </c>
      <c r="D297">
        <v>2.7</v>
      </c>
      <c r="E297">
        <f>INT(Table2[[#This Row],[Transect]])</f>
        <v>2</v>
      </c>
      <c r="F297" t="s">
        <v>10</v>
      </c>
      <c r="G297">
        <v>140</v>
      </c>
      <c r="H297">
        <v>200</v>
      </c>
      <c r="J297">
        <f>Table2[[#This Row],[Hits]]/Table2[[#This Row],[Points]]*100</f>
        <v>70</v>
      </c>
      <c r="K297">
        <f>VLOOKUP(Table2[[#This Row],[Site]],'Site Info'!$A$1:$C$11,2, FALSE)</f>
        <v>15</v>
      </c>
      <c r="L297">
        <f>VLOOKUP(Table2[[#This Row],[Site]],'Site Info'!$A$1:$C$11,3, FALSE)</f>
        <v>12</v>
      </c>
      <c r="M297" t="str">
        <f>VLOOKUP(Table2[[#This Row],[Species]],'Species Table'!$A$1:$D$68,3, FALSE)</f>
        <v>Annual</v>
      </c>
      <c r="O297" s="15">
        <f>IF(SUMPRODUCT(($A$2:$A297=A297)*($B$2:$B297=B297)*($F$2:$F297=F297))&gt;1,0,1)</f>
        <v>0</v>
      </c>
      <c r="P297" s="15">
        <f>IF(SUMPRODUCT(($A$2:$A297=A297)*($B$2:$B297=B297)*($D$2:$D297=D297))&gt;1,0,1)</f>
        <v>1</v>
      </c>
    </row>
    <row r="298" spans="1:16" hidden="1" x14ac:dyDescent="0.35">
      <c r="A298" t="s">
        <v>18</v>
      </c>
      <c r="B298">
        <v>1999</v>
      </c>
      <c r="D298">
        <v>2.8</v>
      </c>
      <c r="E298">
        <f>INT(Table2[[#This Row],[Transect]])</f>
        <v>2</v>
      </c>
      <c r="F298" t="s">
        <v>10</v>
      </c>
      <c r="G298">
        <v>40</v>
      </c>
      <c r="H298">
        <v>199</v>
      </c>
      <c r="J298">
        <f>Table2[[#This Row],[Hits]]/Table2[[#This Row],[Points]]*100</f>
        <v>20.100502512562816</v>
      </c>
      <c r="K298">
        <f>VLOOKUP(Table2[[#This Row],[Site]],'Site Info'!$A$1:$C$11,2, FALSE)</f>
        <v>15</v>
      </c>
      <c r="L298">
        <f>VLOOKUP(Table2[[#This Row],[Site]],'Site Info'!$A$1:$C$11,3, FALSE)</f>
        <v>12</v>
      </c>
      <c r="M298" t="str">
        <f>VLOOKUP(Table2[[#This Row],[Species]],'Species Table'!$A$1:$D$68,3, FALSE)</f>
        <v>Annual</v>
      </c>
      <c r="O298" s="15">
        <f>IF(SUMPRODUCT(($A$2:$A298=A298)*($B$2:$B298=B298)*($F$2:$F298=F298))&gt;1,0,1)</f>
        <v>0</v>
      </c>
      <c r="P298" s="15">
        <f>IF(SUMPRODUCT(($A$2:$A298=A298)*($B$2:$B298=B298)*($D$2:$D298=D298))&gt;1,0,1)</f>
        <v>1</v>
      </c>
    </row>
    <row r="299" spans="1:16" x14ac:dyDescent="0.35">
      <c r="A299" t="s">
        <v>18</v>
      </c>
      <c r="B299">
        <v>1999</v>
      </c>
      <c r="D299">
        <v>2.8</v>
      </c>
      <c r="E299">
        <f>INT(Table2[[#This Row],[Transect]])</f>
        <v>2</v>
      </c>
      <c r="F299" t="s">
        <v>11</v>
      </c>
      <c r="G299">
        <v>9</v>
      </c>
      <c r="H299">
        <v>199</v>
      </c>
      <c r="J299">
        <f>Table2[[#This Row],[Hits]]/Table2[[#This Row],[Points]]*100</f>
        <v>4.5226130653266337</v>
      </c>
      <c r="K299">
        <f>VLOOKUP(Table2[[#This Row],[Site]],'Site Info'!$A$1:$C$11,2, FALSE)</f>
        <v>15</v>
      </c>
      <c r="L299">
        <f>VLOOKUP(Table2[[#This Row],[Site]],'Site Info'!$A$1:$C$11,3, FALSE)</f>
        <v>12</v>
      </c>
      <c r="M299" t="str">
        <f>VLOOKUP(Table2[[#This Row],[Species]],'Species Table'!$A$1:$D$68,3, FALSE)</f>
        <v>Perennial</v>
      </c>
      <c r="O299" s="15">
        <f>IF(SUMPRODUCT(($A$2:$A299=A299)*($B$2:$B299=B299)*($F$2:$F299=F299))&gt;1,0,1)</f>
        <v>0</v>
      </c>
      <c r="P299" s="15">
        <f>IF(SUMPRODUCT(($A$2:$A299=A299)*($B$2:$B299=B299)*($D$2:$D299=D299))&gt;1,0,1)</f>
        <v>0</v>
      </c>
    </row>
    <row r="300" spans="1:16" x14ac:dyDescent="0.35">
      <c r="A300" t="s">
        <v>18</v>
      </c>
      <c r="B300">
        <v>1999</v>
      </c>
      <c r="D300">
        <v>2.8</v>
      </c>
      <c r="E300">
        <f>INT(Table2[[#This Row],[Transect]])</f>
        <v>2</v>
      </c>
      <c r="F300" t="s">
        <v>170</v>
      </c>
      <c r="G300">
        <v>8</v>
      </c>
      <c r="H300">
        <v>199</v>
      </c>
      <c r="J300">
        <f>Table2[[#This Row],[Hits]]/Table2[[#This Row],[Points]]*100</f>
        <v>4.0201005025125625</v>
      </c>
      <c r="K300">
        <f>VLOOKUP(Table2[[#This Row],[Site]],'Site Info'!$A$1:$C$11,2, FALSE)</f>
        <v>15</v>
      </c>
      <c r="L300">
        <f>VLOOKUP(Table2[[#This Row],[Site]],'Site Info'!$A$1:$C$11,3, FALSE)</f>
        <v>12</v>
      </c>
      <c r="M300" t="str">
        <f>VLOOKUP(Table2[[#This Row],[Species]],'Species Table'!$A$1:$D$68,3, FALSE)</f>
        <v>Perennial</v>
      </c>
      <c r="O300" s="15">
        <f>IF(SUMPRODUCT(($A$2:$A300=A300)*($B$2:$B300=B300)*($F$2:$F300=F300))&gt;1,0,1)</f>
        <v>0</v>
      </c>
      <c r="P300" s="15">
        <f>IF(SUMPRODUCT(($A$2:$A300=A300)*($B$2:$B300=B300)*($D$2:$D300=D300))&gt;1,0,1)</f>
        <v>0</v>
      </c>
    </row>
    <row r="301" spans="1:16" hidden="1" x14ac:dyDescent="0.35">
      <c r="A301" t="s">
        <v>18</v>
      </c>
      <c r="B301">
        <v>1999</v>
      </c>
      <c r="D301">
        <v>3.1</v>
      </c>
      <c r="E301">
        <f>INT(Table2[[#This Row],[Transect]])</f>
        <v>3</v>
      </c>
      <c r="F301" t="s">
        <v>10</v>
      </c>
      <c r="G301">
        <v>100</v>
      </c>
      <c r="H301">
        <v>200</v>
      </c>
      <c r="J301">
        <f>Table2[[#This Row],[Hits]]/Table2[[#This Row],[Points]]*100</f>
        <v>50</v>
      </c>
      <c r="K301">
        <f>VLOOKUP(Table2[[#This Row],[Site]],'Site Info'!$A$1:$C$11,2, FALSE)</f>
        <v>15</v>
      </c>
      <c r="L301">
        <f>VLOOKUP(Table2[[#This Row],[Site]],'Site Info'!$A$1:$C$11,3, FALSE)</f>
        <v>12</v>
      </c>
      <c r="M301" t="str">
        <f>VLOOKUP(Table2[[#This Row],[Species]],'Species Table'!$A$1:$D$68,3, FALSE)</f>
        <v>Annual</v>
      </c>
      <c r="O301" s="15">
        <f>IF(SUMPRODUCT(($A$2:$A301=A301)*($B$2:$B301=B301)*($F$2:$F301=F301))&gt;1,0,1)</f>
        <v>0</v>
      </c>
      <c r="P301" s="15">
        <f>IF(SUMPRODUCT(($A$2:$A301=A301)*($B$2:$B301=B301)*($D$2:$D301=D301))&gt;1,0,1)</f>
        <v>1</v>
      </c>
    </row>
    <row r="302" spans="1:16" hidden="1" x14ac:dyDescent="0.35">
      <c r="A302" t="s">
        <v>18</v>
      </c>
      <c r="B302">
        <v>1999</v>
      </c>
      <c r="D302">
        <v>3.2</v>
      </c>
      <c r="E302">
        <f>INT(Table2[[#This Row],[Transect]])</f>
        <v>3</v>
      </c>
      <c r="F302" t="s">
        <v>10</v>
      </c>
      <c r="G302">
        <v>90</v>
      </c>
      <c r="H302">
        <v>200</v>
      </c>
      <c r="J302">
        <f>Table2[[#This Row],[Hits]]/Table2[[#This Row],[Points]]*100</f>
        <v>45</v>
      </c>
      <c r="K302">
        <f>VLOOKUP(Table2[[#This Row],[Site]],'Site Info'!$A$1:$C$11,2, FALSE)</f>
        <v>15</v>
      </c>
      <c r="L302">
        <f>VLOOKUP(Table2[[#This Row],[Site]],'Site Info'!$A$1:$C$11,3, FALSE)</f>
        <v>12</v>
      </c>
      <c r="M302" t="str">
        <f>VLOOKUP(Table2[[#This Row],[Species]],'Species Table'!$A$1:$D$68,3, FALSE)</f>
        <v>Annual</v>
      </c>
      <c r="O302" s="15">
        <f>IF(SUMPRODUCT(($A$2:$A302=A302)*($B$2:$B302=B302)*($F$2:$F302=F302))&gt;1,0,1)</f>
        <v>0</v>
      </c>
      <c r="P302" s="15">
        <f>IF(SUMPRODUCT(($A$2:$A302=A302)*($B$2:$B302=B302)*($D$2:$D302=D302))&gt;1,0,1)</f>
        <v>1</v>
      </c>
    </row>
    <row r="303" spans="1:16" hidden="1" x14ac:dyDescent="0.35">
      <c r="A303" t="s">
        <v>18</v>
      </c>
      <c r="B303">
        <v>1999</v>
      </c>
      <c r="D303">
        <v>3.3</v>
      </c>
      <c r="E303">
        <f>INT(Table2[[#This Row],[Transect]])</f>
        <v>3</v>
      </c>
      <c r="F303" t="s">
        <v>10</v>
      </c>
      <c r="G303">
        <v>60</v>
      </c>
      <c r="H303">
        <v>200</v>
      </c>
      <c r="J303">
        <f>Table2[[#This Row],[Hits]]/Table2[[#This Row],[Points]]*100</f>
        <v>30</v>
      </c>
      <c r="K303">
        <f>VLOOKUP(Table2[[#This Row],[Site]],'Site Info'!$A$1:$C$11,2, FALSE)</f>
        <v>15</v>
      </c>
      <c r="L303">
        <f>VLOOKUP(Table2[[#This Row],[Site]],'Site Info'!$A$1:$C$11,3, FALSE)</f>
        <v>12</v>
      </c>
      <c r="M303" t="str">
        <f>VLOOKUP(Table2[[#This Row],[Species]],'Species Table'!$A$1:$D$68,3, FALSE)</f>
        <v>Annual</v>
      </c>
      <c r="O303" s="15">
        <f>IF(SUMPRODUCT(($A$2:$A303=A303)*($B$2:$B303=B303)*($F$2:$F303=F303))&gt;1,0,1)</f>
        <v>0</v>
      </c>
      <c r="P303" s="15">
        <f>IF(SUMPRODUCT(($A$2:$A303=A303)*($B$2:$B303=B303)*($D$2:$D303=D303))&gt;1,0,1)</f>
        <v>1</v>
      </c>
    </row>
    <row r="304" spans="1:16" x14ac:dyDescent="0.35">
      <c r="A304" t="s">
        <v>18</v>
      </c>
      <c r="B304">
        <v>1999</v>
      </c>
      <c r="D304">
        <v>3.3</v>
      </c>
      <c r="E304">
        <f>INT(Table2[[#This Row],[Transect]])</f>
        <v>3</v>
      </c>
      <c r="F304" t="s">
        <v>11</v>
      </c>
      <c r="G304">
        <v>1</v>
      </c>
      <c r="H304">
        <v>200</v>
      </c>
      <c r="J304">
        <f>Table2[[#This Row],[Hits]]/Table2[[#This Row],[Points]]*100</f>
        <v>0.5</v>
      </c>
      <c r="K304">
        <f>VLOOKUP(Table2[[#This Row],[Site]],'Site Info'!$A$1:$C$11,2, FALSE)</f>
        <v>15</v>
      </c>
      <c r="L304">
        <f>VLOOKUP(Table2[[#This Row],[Site]],'Site Info'!$A$1:$C$11,3, FALSE)</f>
        <v>12</v>
      </c>
      <c r="M304" t="str">
        <f>VLOOKUP(Table2[[#This Row],[Species]],'Species Table'!$A$1:$D$68,3, FALSE)</f>
        <v>Perennial</v>
      </c>
      <c r="O304" s="15">
        <f>IF(SUMPRODUCT(($A$2:$A304=A304)*($B$2:$B304=B304)*($F$2:$F304=F304))&gt;1,0,1)</f>
        <v>0</v>
      </c>
      <c r="P304" s="15">
        <f>IF(SUMPRODUCT(($A$2:$A304=A304)*($B$2:$B304=B304)*($D$2:$D304=D304))&gt;1,0,1)</f>
        <v>0</v>
      </c>
    </row>
    <row r="305" spans="1:16" hidden="1" x14ac:dyDescent="0.35">
      <c r="A305" t="s">
        <v>18</v>
      </c>
      <c r="B305">
        <v>1999</v>
      </c>
      <c r="D305">
        <v>3.4</v>
      </c>
      <c r="E305">
        <f>INT(Table2[[#This Row],[Transect]])</f>
        <v>3</v>
      </c>
      <c r="F305" t="s">
        <v>10</v>
      </c>
      <c r="G305">
        <v>60</v>
      </c>
      <c r="H305">
        <v>200</v>
      </c>
      <c r="J305">
        <f>Table2[[#This Row],[Hits]]/Table2[[#This Row],[Points]]*100</f>
        <v>30</v>
      </c>
      <c r="K305">
        <f>VLOOKUP(Table2[[#This Row],[Site]],'Site Info'!$A$1:$C$11,2, FALSE)</f>
        <v>15</v>
      </c>
      <c r="L305">
        <f>VLOOKUP(Table2[[#This Row],[Site]],'Site Info'!$A$1:$C$11,3, FALSE)</f>
        <v>12</v>
      </c>
      <c r="M305" t="str">
        <f>VLOOKUP(Table2[[#This Row],[Species]],'Species Table'!$A$1:$D$68,3, FALSE)</f>
        <v>Annual</v>
      </c>
      <c r="O305" s="15">
        <f>IF(SUMPRODUCT(($A$2:$A305=A305)*($B$2:$B305=B305)*($F$2:$F305=F305))&gt;1,0,1)</f>
        <v>0</v>
      </c>
      <c r="P305" s="15">
        <f>IF(SUMPRODUCT(($A$2:$A305=A305)*($B$2:$B305=B305)*($D$2:$D305=D305))&gt;1,0,1)</f>
        <v>1</v>
      </c>
    </row>
    <row r="306" spans="1:16" hidden="1" x14ac:dyDescent="0.35">
      <c r="A306" t="s">
        <v>18</v>
      </c>
      <c r="B306">
        <v>1999</v>
      </c>
      <c r="D306">
        <v>3.5</v>
      </c>
      <c r="E306">
        <f>INT(Table2[[#This Row],[Transect]])</f>
        <v>3</v>
      </c>
      <c r="F306" t="s">
        <v>10</v>
      </c>
      <c r="G306">
        <v>20</v>
      </c>
      <c r="H306">
        <v>200</v>
      </c>
      <c r="J306">
        <f>Table2[[#This Row],[Hits]]/Table2[[#This Row],[Points]]*100</f>
        <v>10</v>
      </c>
      <c r="K306">
        <f>VLOOKUP(Table2[[#This Row],[Site]],'Site Info'!$A$1:$C$11,2, FALSE)</f>
        <v>15</v>
      </c>
      <c r="L306">
        <f>VLOOKUP(Table2[[#This Row],[Site]],'Site Info'!$A$1:$C$11,3, FALSE)</f>
        <v>12</v>
      </c>
      <c r="M306" t="str">
        <f>VLOOKUP(Table2[[#This Row],[Species]],'Species Table'!$A$1:$D$68,3, FALSE)</f>
        <v>Annual</v>
      </c>
      <c r="O306" s="15">
        <f>IF(SUMPRODUCT(($A$2:$A306=A306)*($B$2:$B306=B306)*($F$2:$F306=F306))&gt;1,0,1)</f>
        <v>0</v>
      </c>
      <c r="P306" s="15">
        <f>IF(SUMPRODUCT(($A$2:$A306=A306)*($B$2:$B306=B306)*($D$2:$D306=D306))&gt;1,0,1)</f>
        <v>1</v>
      </c>
    </row>
    <row r="307" spans="1:16" hidden="1" x14ac:dyDescent="0.35">
      <c r="A307" t="s">
        <v>18</v>
      </c>
      <c r="B307">
        <v>1999</v>
      </c>
      <c r="D307">
        <v>3.6</v>
      </c>
      <c r="E307">
        <f>INT(Table2[[#This Row],[Transect]])</f>
        <v>3</v>
      </c>
      <c r="F307" t="s">
        <v>10</v>
      </c>
      <c r="G307">
        <v>30</v>
      </c>
      <c r="H307">
        <v>200</v>
      </c>
      <c r="J307">
        <f>Table2[[#This Row],[Hits]]/Table2[[#This Row],[Points]]*100</f>
        <v>15</v>
      </c>
      <c r="K307">
        <f>VLOOKUP(Table2[[#This Row],[Site]],'Site Info'!$A$1:$C$11,2, FALSE)</f>
        <v>15</v>
      </c>
      <c r="L307">
        <f>VLOOKUP(Table2[[#This Row],[Site]],'Site Info'!$A$1:$C$11,3, FALSE)</f>
        <v>12</v>
      </c>
      <c r="M307" t="str">
        <f>VLOOKUP(Table2[[#This Row],[Species]],'Species Table'!$A$1:$D$68,3, FALSE)</f>
        <v>Annual</v>
      </c>
      <c r="O307" s="15">
        <f>IF(SUMPRODUCT(($A$2:$A307=A307)*($B$2:$B307=B307)*($F$2:$F307=F307))&gt;1,0,1)</f>
        <v>0</v>
      </c>
      <c r="P307" s="15">
        <f>IF(SUMPRODUCT(($A$2:$A307=A307)*($B$2:$B307=B307)*($D$2:$D307=D307))&gt;1,0,1)</f>
        <v>1</v>
      </c>
    </row>
    <row r="308" spans="1:16" x14ac:dyDescent="0.35">
      <c r="A308" t="s">
        <v>18</v>
      </c>
      <c r="B308">
        <v>1999</v>
      </c>
      <c r="D308">
        <v>3.6</v>
      </c>
      <c r="E308">
        <f>INT(Table2[[#This Row],[Transect]])</f>
        <v>3</v>
      </c>
      <c r="F308" t="s">
        <v>11</v>
      </c>
      <c r="G308">
        <v>2</v>
      </c>
      <c r="H308">
        <v>200</v>
      </c>
      <c r="J308">
        <f>Table2[[#This Row],[Hits]]/Table2[[#This Row],[Points]]*100</f>
        <v>1</v>
      </c>
      <c r="K308">
        <f>VLOOKUP(Table2[[#This Row],[Site]],'Site Info'!$A$1:$C$11,2, FALSE)</f>
        <v>15</v>
      </c>
      <c r="L308">
        <f>VLOOKUP(Table2[[#This Row],[Site]],'Site Info'!$A$1:$C$11,3, FALSE)</f>
        <v>12</v>
      </c>
      <c r="M308" t="str">
        <f>VLOOKUP(Table2[[#This Row],[Species]],'Species Table'!$A$1:$D$68,3, FALSE)</f>
        <v>Perennial</v>
      </c>
      <c r="O308" s="15">
        <f>IF(SUMPRODUCT(($A$2:$A308=A308)*($B$2:$B308=B308)*($F$2:$F308=F308))&gt;1,0,1)</f>
        <v>0</v>
      </c>
      <c r="P308" s="15">
        <f>IF(SUMPRODUCT(($A$2:$A308=A308)*($B$2:$B308=B308)*($D$2:$D308=D308))&gt;1,0,1)</f>
        <v>0</v>
      </c>
    </row>
    <row r="309" spans="1:16" hidden="1" x14ac:dyDescent="0.35">
      <c r="A309" t="s">
        <v>18</v>
      </c>
      <c r="B309">
        <v>1999</v>
      </c>
      <c r="D309">
        <v>3.7</v>
      </c>
      <c r="E309">
        <f>INT(Table2[[#This Row],[Transect]])</f>
        <v>3</v>
      </c>
      <c r="F309" t="s">
        <v>10</v>
      </c>
      <c r="G309">
        <v>20</v>
      </c>
      <c r="H309">
        <v>199</v>
      </c>
      <c r="J309">
        <f>Table2[[#This Row],[Hits]]/Table2[[#This Row],[Points]]*100</f>
        <v>10.050251256281408</v>
      </c>
      <c r="K309">
        <f>VLOOKUP(Table2[[#This Row],[Site]],'Site Info'!$A$1:$C$11,2, FALSE)</f>
        <v>15</v>
      </c>
      <c r="L309">
        <f>VLOOKUP(Table2[[#This Row],[Site]],'Site Info'!$A$1:$C$11,3, FALSE)</f>
        <v>12</v>
      </c>
      <c r="M309" t="str">
        <f>VLOOKUP(Table2[[#This Row],[Species]],'Species Table'!$A$1:$D$68,3, FALSE)</f>
        <v>Annual</v>
      </c>
      <c r="O309" s="15">
        <f>IF(SUMPRODUCT(($A$2:$A309=A309)*($B$2:$B309=B309)*($F$2:$F309=F309))&gt;1,0,1)</f>
        <v>0</v>
      </c>
      <c r="P309" s="15">
        <f>IF(SUMPRODUCT(($A$2:$A309=A309)*($B$2:$B309=B309)*($D$2:$D309=D309))&gt;1,0,1)</f>
        <v>1</v>
      </c>
    </row>
    <row r="310" spans="1:16" hidden="1" x14ac:dyDescent="0.35">
      <c r="A310" t="s">
        <v>18</v>
      </c>
      <c r="B310">
        <v>1999</v>
      </c>
      <c r="D310">
        <v>3.7</v>
      </c>
      <c r="E310">
        <f>INT(Table2[[#This Row],[Transect]])</f>
        <v>3</v>
      </c>
      <c r="F310" t="s">
        <v>22</v>
      </c>
      <c r="G310">
        <v>5</v>
      </c>
      <c r="H310">
        <v>199</v>
      </c>
      <c r="J310">
        <f>Table2[[#This Row],[Hits]]/Table2[[#This Row],[Points]]*100</f>
        <v>2.512562814070352</v>
      </c>
      <c r="K310">
        <f>VLOOKUP(Table2[[#This Row],[Site]],'Site Info'!$A$1:$C$11,2, FALSE)</f>
        <v>15</v>
      </c>
      <c r="L310">
        <f>VLOOKUP(Table2[[#This Row],[Site]],'Site Info'!$A$1:$C$11,3, FALSE)</f>
        <v>12</v>
      </c>
      <c r="M310" t="str">
        <f>VLOOKUP(Table2[[#This Row],[Species]],'Species Table'!$A$1:$D$68,3, FALSE)</f>
        <v>Annual/Biennial/Perennial</v>
      </c>
      <c r="O310" s="15">
        <f>IF(SUMPRODUCT(($A$2:$A310=A310)*($B$2:$B310=B310)*($F$2:$F310=F310))&gt;1,0,1)</f>
        <v>1</v>
      </c>
      <c r="P310" s="15">
        <f>IF(SUMPRODUCT(($A$2:$A310=A310)*($B$2:$B310=B310)*($D$2:$D310=D310))&gt;1,0,1)</f>
        <v>0</v>
      </c>
    </row>
    <row r="311" spans="1:16" x14ac:dyDescent="0.35">
      <c r="A311" t="s">
        <v>18</v>
      </c>
      <c r="B311">
        <v>1999</v>
      </c>
      <c r="D311">
        <v>3.7</v>
      </c>
      <c r="E311">
        <f>INT(Table2[[#This Row],[Transect]])</f>
        <v>3</v>
      </c>
      <c r="F311" t="s">
        <v>11</v>
      </c>
      <c r="G311">
        <v>7</v>
      </c>
      <c r="H311">
        <v>199</v>
      </c>
      <c r="J311">
        <f>Table2[[#This Row],[Hits]]/Table2[[#This Row],[Points]]*100</f>
        <v>3.5175879396984926</v>
      </c>
      <c r="K311">
        <f>VLOOKUP(Table2[[#This Row],[Site]],'Site Info'!$A$1:$C$11,2, FALSE)</f>
        <v>15</v>
      </c>
      <c r="L311">
        <f>VLOOKUP(Table2[[#This Row],[Site]],'Site Info'!$A$1:$C$11,3, FALSE)</f>
        <v>12</v>
      </c>
      <c r="M311" t="str">
        <f>VLOOKUP(Table2[[#This Row],[Species]],'Species Table'!$A$1:$D$68,3, FALSE)</f>
        <v>Perennial</v>
      </c>
      <c r="O311" s="15">
        <f>IF(SUMPRODUCT(($A$2:$A311=A311)*($B$2:$B311=B311)*($F$2:$F311=F311))&gt;1,0,1)</f>
        <v>0</v>
      </c>
      <c r="P311" s="15">
        <f>IF(SUMPRODUCT(($A$2:$A311=A311)*($B$2:$B311=B311)*($D$2:$D311=D311))&gt;1,0,1)</f>
        <v>0</v>
      </c>
    </row>
    <row r="312" spans="1:16" x14ac:dyDescent="0.35">
      <c r="A312" t="s">
        <v>18</v>
      </c>
      <c r="B312">
        <v>1999</v>
      </c>
      <c r="D312">
        <v>3.7</v>
      </c>
      <c r="E312">
        <f>INT(Table2[[#This Row],[Transect]])</f>
        <v>3</v>
      </c>
      <c r="F312" t="s">
        <v>12</v>
      </c>
      <c r="G312">
        <v>2</v>
      </c>
      <c r="H312">
        <v>199</v>
      </c>
      <c r="J312">
        <f>Table2[[#This Row],[Hits]]/Table2[[#This Row],[Points]]*100</f>
        <v>1.0050251256281406</v>
      </c>
      <c r="K312">
        <f>VLOOKUP(Table2[[#This Row],[Site]],'Site Info'!$A$1:$C$11,2, FALSE)</f>
        <v>15</v>
      </c>
      <c r="L312">
        <f>VLOOKUP(Table2[[#This Row],[Site]],'Site Info'!$A$1:$C$11,3, FALSE)</f>
        <v>12</v>
      </c>
      <c r="M312" t="str">
        <f>VLOOKUP(Table2[[#This Row],[Species]],'Species Table'!$A$1:$D$68,3, FALSE)</f>
        <v>Perennial</v>
      </c>
      <c r="O312" s="15">
        <f>IF(SUMPRODUCT(($A$2:$A312=A312)*($B$2:$B312=B312)*($F$2:$F312=F312))&gt;1,0,1)</f>
        <v>1</v>
      </c>
      <c r="P312" s="15">
        <f>IF(SUMPRODUCT(($A$2:$A312=A312)*($B$2:$B312=B312)*($D$2:$D312=D312))&gt;1,0,1)</f>
        <v>0</v>
      </c>
    </row>
    <row r="313" spans="1:16" hidden="1" x14ac:dyDescent="0.35">
      <c r="A313" t="s">
        <v>18</v>
      </c>
      <c r="B313">
        <v>1999</v>
      </c>
      <c r="D313">
        <v>4.0999999999999996</v>
      </c>
      <c r="E313">
        <f>INT(Table2[[#This Row],[Transect]])</f>
        <v>4</v>
      </c>
      <c r="F313" t="s">
        <v>10</v>
      </c>
      <c r="G313">
        <v>40</v>
      </c>
      <c r="H313">
        <v>200</v>
      </c>
      <c r="J313">
        <f>Table2[[#This Row],[Hits]]/Table2[[#This Row],[Points]]*100</f>
        <v>20</v>
      </c>
      <c r="K313">
        <f>VLOOKUP(Table2[[#This Row],[Site]],'Site Info'!$A$1:$C$11,2, FALSE)</f>
        <v>15</v>
      </c>
      <c r="L313">
        <f>VLOOKUP(Table2[[#This Row],[Site]],'Site Info'!$A$1:$C$11,3, FALSE)</f>
        <v>12</v>
      </c>
      <c r="M313" t="str">
        <f>VLOOKUP(Table2[[#This Row],[Species]],'Species Table'!$A$1:$D$68,3, FALSE)</f>
        <v>Annual</v>
      </c>
      <c r="O313" s="15">
        <f>IF(SUMPRODUCT(($A$2:$A313=A313)*($B$2:$B313=B313)*($F$2:$F313=F313))&gt;1,0,1)</f>
        <v>0</v>
      </c>
      <c r="P313" s="15">
        <f>IF(SUMPRODUCT(($A$2:$A313=A313)*($B$2:$B313=B313)*($D$2:$D313=D313))&gt;1,0,1)</f>
        <v>1</v>
      </c>
    </row>
    <row r="314" spans="1:16" x14ac:dyDescent="0.35">
      <c r="A314" t="s">
        <v>18</v>
      </c>
      <c r="B314">
        <v>1999</v>
      </c>
      <c r="D314">
        <v>4.0999999999999996</v>
      </c>
      <c r="E314">
        <f>INT(Table2[[#This Row],[Transect]])</f>
        <v>4</v>
      </c>
      <c r="F314" t="s">
        <v>11</v>
      </c>
      <c r="G314">
        <v>3</v>
      </c>
      <c r="H314">
        <v>200</v>
      </c>
      <c r="J314">
        <f>Table2[[#This Row],[Hits]]/Table2[[#This Row],[Points]]*100</f>
        <v>1.5</v>
      </c>
      <c r="K314">
        <f>VLOOKUP(Table2[[#This Row],[Site]],'Site Info'!$A$1:$C$11,2, FALSE)</f>
        <v>15</v>
      </c>
      <c r="L314">
        <f>VLOOKUP(Table2[[#This Row],[Site]],'Site Info'!$A$1:$C$11,3, FALSE)</f>
        <v>12</v>
      </c>
      <c r="M314" t="str">
        <f>VLOOKUP(Table2[[#This Row],[Species]],'Species Table'!$A$1:$D$68,3, FALSE)</f>
        <v>Perennial</v>
      </c>
      <c r="O314" s="15">
        <f>IF(SUMPRODUCT(($A$2:$A314=A314)*($B$2:$B314=B314)*($F$2:$F314=F314))&gt;1,0,1)</f>
        <v>0</v>
      </c>
      <c r="P314" s="15">
        <f>IF(SUMPRODUCT(($A$2:$A314=A314)*($B$2:$B314=B314)*($D$2:$D314=D314))&gt;1,0,1)</f>
        <v>0</v>
      </c>
    </row>
    <row r="315" spans="1:16" hidden="1" x14ac:dyDescent="0.35">
      <c r="A315" t="s">
        <v>18</v>
      </c>
      <c r="B315">
        <v>1999</v>
      </c>
      <c r="D315">
        <v>4.2</v>
      </c>
      <c r="E315">
        <f>INT(Table2[[#This Row],[Transect]])</f>
        <v>4</v>
      </c>
      <c r="F315" t="s">
        <v>10</v>
      </c>
      <c r="G315">
        <v>50</v>
      </c>
      <c r="H315">
        <v>200</v>
      </c>
      <c r="J315">
        <f>Table2[[#This Row],[Hits]]/Table2[[#This Row],[Points]]*100</f>
        <v>25</v>
      </c>
      <c r="K315">
        <f>VLOOKUP(Table2[[#This Row],[Site]],'Site Info'!$A$1:$C$11,2, FALSE)</f>
        <v>15</v>
      </c>
      <c r="L315">
        <f>VLOOKUP(Table2[[#This Row],[Site]],'Site Info'!$A$1:$C$11,3, FALSE)</f>
        <v>12</v>
      </c>
      <c r="M315" t="str">
        <f>VLOOKUP(Table2[[#This Row],[Species]],'Species Table'!$A$1:$D$68,3, FALSE)</f>
        <v>Annual</v>
      </c>
      <c r="O315" s="15">
        <f>IF(SUMPRODUCT(($A$2:$A315=A315)*($B$2:$B315=B315)*($F$2:$F315=F315))&gt;1,0,1)</f>
        <v>0</v>
      </c>
      <c r="P315" s="15">
        <f>IF(SUMPRODUCT(($A$2:$A315=A315)*($B$2:$B315=B315)*($D$2:$D315=D315))&gt;1,0,1)</f>
        <v>1</v>
      </c>
    </row>
    <row r="316" spans="1:16" hidden="1" x14ac:dyDescent="0.35">
      <c r="A316" t="s">
        <v>18</v>
      </c>
      <c r="B316">
        <v>1999</v>
      </c>
      <c r="D316">
        <v>4.3</v>
      </c>
      <c r="E316">
        <f>INT(Table2[[#This Row],[Transect]])</f>
        <v>4</v>
      </c>
      <c r="F316" t="s">
        <v>10</v>
      </c>
      <c r="G316">
        <v>50</v>
      </c>
      <c r="H316">
        <v>200</v>
      </c>
      <c r="J316">
        <f>Table2[[#This Row],[Hits]]/Table2[[#This Row],[Points]]*100</f>
        <v>25</v>
      </c>
      <c r="K316">
        <f>VLOOKUP(Table2[[#This Row],[Site]],'Site Info'!$A$1:$C$11,2, FALSE)</f>
        <v>15</v>
      </c>
      <c r="L316">
        <f>VLOOKUP(Table2[[#This Row],[Site]],'Site Info'!$A$1:$C$11,3, FALSE)</f>
        <v>12</v>
      </c>
      <c r="M316" t="str">
        <f>VLOOKUP(Table2[[#This Row],[Species]],'Species Table'!$A$1:$D$68,3, FALSE)</f>
        <v>Annual</v>
      </c>
      <c r="O316" s="15">
        <f>IF(SUMPRODUCT(($A$2:$A316=A316)*($B$2:$B316=B316)*($F$2:$F316=F316))&gt;1,0,1)</f>
        <v>0</v>
      </c>
      <c r="P316" s="15">
        <f>IF(SUMPRODUCT(($A$2:$A316=A316)*($B$2:$B316=B316)*($D$2:$D316=D316))&gt;1,0,1)</f>
        <v>1</v>
      </c>
    </row>
    <row r="317" spans="1:16" hidden="1" x14ac:dyDescent="0.35">
      <c r="A317" t="s">
        <v>18</v>
      </c>
      <c r="B317">
        <v>1999</v>
      </c>
      <c r="D317">
        <v>4.4000000000000004</v>
      </c>
      <c r="E317">
        <f>INT(Table2[[#This Row],[Transect]])</f>
        <v>4</v>
      </c>
      <c r="F317" t="s">
        <v>10</v>
      </c>
      <c r="G317">
        <v>2</v>
      </c>
      <c r="H317">
        <v>200</v>
      </c>
      <c r="J317">
        <f>Table2[[#This Row],[Hits]]/Table2[[#This Row],[Points]]*100</f>
        <v>1</v>
      </c>
      <c r="K317">
        <f>VLOOKUP(Table2[[#This Row],[Site]],'Site Info'!$A$1:$C$11,2, FALSE)</f>
        <v>15</v>
      </c>
      <c r="L317">
        <f>VLOOKUP(Table2[[#This Row],[Site]],'Site Info'!$A$1:$C$11,3, FALSE)</f>
        <v>12</v>
      </c>
      <c r="M317" t="str">
        <f>VLOOKUP(Table2[[#This Row],[Species]],'Species Table'!$A$1:$D$68,3, FALSE)</f>
        <v>Annual</v>
      </c>
      <c r="O317" s="15">
        <f>IF(SUMPRODUCT(($A$2:$A317=A317)*($B$2:$B317=B317)*($F$2:$F317=F317))&gt;1,0,1)</f>
        <v>0</v>
      </c>
      <c r="P317" s="15">
        <f>IF(SUMPRODUCT(($A$2:$A317=A317)*($B$2:$B317=B317)*($D$2:$D317=D317))&gt;1,0,1)</f>
        <v>1</v>
      </c>
    </row>
    <row r="318" spans="1:16" hidden="1" x14ac:dyDescent="0.35">
      <c r="A318" t="s">
        <v>18</v>
      </c>
      <c r="B318">
        <v>1999</v>
      </c>
      <c r="D318">
        <v>4.5</v>
      </c>
      <c r="E318">
        <f>INT(Table2[[#This Row],[Transect]])</f>
        <v>4</v>
      </c>
      <c r="F318" t="s">
        <v>10</v>
      </c>
      <c r="G318">
        <v>30</v>
      </c>
      <c r="H318">
        <v>200</v>
      </c>
      <c r="J318">
        <f>Table2[[#This Row],[Hits]]/Table2[[#This Row],[Points]]*100</f>
        <v>15</v>
      </c>
      <c r="K318">
        <f>VLOOKUP(Table2[[#This Row],[Site]],'Site Info'!$A$1:$C$11,2, FALSE)</f>
        <v>15</v>
      </c>
      <c r="L318">
        <f>VLOOKUP(Table2[[#This Row],[Site]],'Site Info'!$A$1:$C$11,3, FALSE)</f>
        <v>12</v>
      </c>
      <c r="M318" t="str">
        <f>VLOOKUP(Table2[[#This Row],[Species]],'Species Table'!$A$1:$D$68,3, FALSE)</f>
        <v>Annual</v>
      </c>
      <c r="O318" s="15">
        <f>IF(SUMPRODUCT(($A$2:$A318=A318)*($B$2:$B318=B318)*($F$2:$F318=F318))&gt;1,0,1)</f>
        <v>0</v>
      </c>
      <c r="P318" s="15">
        <f>IF(SUMPRODUCT(($A$2:$A318=A318)*($B$2:$B318=B318)*($D$2:$D318=D318))&gt;1,0,1)</f>
        <v>1</v>
      </c>
    </row>
    <row r="319" spans="1:16" hidden="1" x14ac:dyDescent="0.35">
      <c r="A319" t="s">
        <v>18</v>
      </c>
      <c r="B319">
        <v>1999</v>
      </c>
      <c r="D319">
        <v>4.5999999999999996</v>
      </c>
      <c r="E319">
        <f>INT(Table2[[#This Row],[Transect]])</f>
        <v>4</v>
      </c>
      <c r="F319" t="s">
        <v>10</v>
      </c>
      <c r="G319">
        <v>12</v>
      </c>
      <c r="H319">
        <v>200</v>
      </c>
      <c r="J319">
        <f>Table2[[#This Row],[Hits]]/Table2[[#This Row],[Points]]*100</f>
        <v>6</v>
      </c>
      <c r="K319">
        <f>VLOOKUP(Table2[[#This Row],[Site]],'Site Info'!$A$1:$C$11,2, FALSE)</f>
        <v>15</v>
      </c>
      <c r="L319">
        <f>VLOOKUP(Table2[[#This Row],[Site]],'Site Info'!$A$1:$C$11,3, FALSE)</f>
        <v>12</v>
      </c>
      <c r="M319" t="str">
        <f>VLOOKUP(Table2[[#This Row],[Species]],'Species Table'!$A$1:$D$68,3, FALSE)</f>
        <v>Annual</v>
      </c>
      <c r="O319" s="15">
        <f>IF(SUMPRODUCT(($A$2:$A319=A319)*($B$2:$B319=B319)*($F$2:$F319=F319))&gt;1,0,1)</f>
        <v>0</v>
      </c>
      <c r="P319" s="15">
        <f>IF(SUMPRODUCT(($A$2:$A319=A319)*($B$2:$B319=B319)*($D$2:$D319=D319))&gt;1,0,1)</f>
        <v>1</v>
      </c>
    </row>
    <row r="320" spans="1:16" x14ac:dyDescent="0.35">
      <c r="A320" t="s">
        <v>18</v>
      </c>
      <c r="B320">
        <v>1999</v>
      </c>
      <c r="D320">
        <v>4.5999999999999996</v>
      </c>
      <c r="E320">
        <f>INT(Table2[[#This Row],[Transect]])</f>
        <v>4</v>
      </c>
      <c r="F320" t="s">
        <v>11</v>
      </c>
      <c r="G320">
        <v>6</v>
      </c>
      <c r="H320">
        <v>200</v>
      </c>
      <c r="J320">
        <f>Table2[[#This Row],[Hits]]/Table2[[#This Row],[Points]]*100</f>
        <v>3</v>
      </c>
      <c r="K320">
        <f>VLOOKUP(Table2[[#This Row],[Site]],'Site Info'!$A$1:$C$11,2, FALSE)</f>
        <v>15</v>
      </c>
      <c r="L320">
        <f>VLOOKUP(Table2[[#This Row],[Site]],'Site Info'!$A$1:$C$11,3, FALSE)</f>
        <v>12</v>
      </c>
      <c r="M320" t="str">
        <f>VLOOKUP(Table2[[#This Row],[Species]],'Species Table'!$A$1:$D$68,3, FALSE)</f>
        <v>Perennial</v>
      </c>
      <c r="O320" s="15">
        <f>IF(SUMPRODUCT(($A$2:$A320=A320)*($B$2:$B320=B320)*($F$2:$F320=F320))&gt;1,0,1)</f>
        <v>0</v>
      </c>
      <c r="P320" s="15">
        <f>IF(SUMPRODUCT(($A$2:$A320=A320)*($B$2:$B320=B320)*($D$2:$D320=D320))&gt;1,0,1)</f>
        <v>0</v>
      </c>
    </row>
    <row r="321" spans="1:16" x14ac:dyDescent="0.35">
      <c r="A321" t="s">
        <v>18</v>
      </c>
      <c r="B321">
        <v>1999</v>
      </c>
      <c r="D321">
        <v>4.7</v>
      </c>
      <c r="E321">
        <f>INT(Table2[[#This Row],[Transect]])</f>
        <v>4</v>
      </c>
      <c r="F321" t="s">
        <v>11</v>
      </c>
      <c r="G321">
        <v>25</v>
      </c>
      <c r="H321">
        <v>189</v>
      </c>
      <c r="J321">
        <f>Table2[[#This Row],[Hits]]/Table2[[#This Row],[Points]]*100</f>
        <v>13.227513227513226</v>
      </c>
      <c r="K321">
        <f>VLOOKUP(Table2[[#This Row],[Site]],'Site Info'!$A$1:$C$11,2, FALSE)</f>
        <v>15</v>
      </c>
      <c r="L321">
        <f>VLOOKUP(Table2[[#This Row],[Site]],'Site Info'!$A$1:$C$11,3, FALSE)</f>
        <v>12</v>
      </c>
      <c r="M321" t="str">
        <f>VLOOKUP(Table2[[#This Row],[Species]],'Species Table'!$A$1:$D$68,3, FALSE)</f>
        <v>Perennial</v>
      </c>
      <c r="O321" s="15">
        <f>IF(SUMPRODUCT(($A$2:$A321=A321)*($B$2:$B321=B321)*($F$2:$F321=F321))&gt;1,0,1)</f>
        <v>0</v>
      </c>
      <c r="P321" s="15">
        <f>IF(SUMPRODUCT(($A$2:$A321=A321)*($B$2:$B321=B321)*($D$2:$D321=D321))&gt;1,0,1)</f>
        <v>1</v>
      </c>
    </row>
    <row r="322" spans="1:16" x14ac:dyDescent="0.35">
      <c r="A322" t="s">
        <v>18</v>
      </c>
      <c r="B322">
        <v>1999</v>
      </c>
      <c r="D322">
        <v>4.7</v>
      </c>
      <c r="E322">
        <f>INT(Table2[[#This Row],[Transect]])</f>
        <v>4</v>
      </c>
      <c r="F322" t="s">
        <v>12</v>
      </c>
      <c r="G322">
        <v>5</v>
      </c>
      <c r="H322">
        <v>189</v>
      </c>
      <c r="J322">
        <f>Table2[[#This Row],[Hits]]/Table2[[#This Row],[Points]]*100</f>
        <v>2.6455026455026456</v>
      </c>
      <c r="K322">
        <f>VLOOKUP(Table2[[#This Row],[Site]],'Site Info'!$A$1:$C$11,2, FALSE)</f>
        <v>15</v>
      </c>
      <c r="L322">
        <f>VLOOKUP(Table2[[#This Row],[Site]],'Site Info'!$A$1:$C$11,3, FALSE)</f>
        <v>12</v>
      </c>
      <c r="M322" t="str">
        <f>VLOOKUP(Table2[[#This Row],[Species]],'Species Table'!$A$1:$D$68,3, FALSE)</f>
        <v>Perennial</v>
      </c>
      <c r="O322" s="15">
        <f>IF(SUMPRODUCT(($A$2:$A322=A322)*($B$2:$B322=B322)*($F$2:$F322=F322))&gt;1,0,1)</f>
        <v>0</v>
      </c>
      <c r="P322" s="15">
        <f>IF(SUMPRODUCT(($A$2:$A322=A322)*($B$2:$B322=B322)*($D$2:$D322=D322))&gt;1,0,1)</f>
        <v>0</v>
      </c>
    </row>
    <row r="323" spans="1:16" x14ac:dyDescent="0.35">
      <c r="A323" t="s">
        <v>18</v>
      </c>
      <c r="B323">
        <v>1999</v>
      </c>
      <c r="D323">
        <v>5.0999999999999996</v>
      </c>
      <c r="E323">
        <f>INT(Table2[[#This Row],[Transect]])</f>
        <v>5</v>
      </c>
      <c r="F323" t="s">
        <v>11</v>
      </c>
      <c r="G323">
        <v>17</v>
      </c>
      <c r="H323">
        <v>200</v>
      </c>
      <c r="J323">
        <f>Table2[[#This Row],[Hits]]/Table2[[#This Row],[Points]]*100</f>
        <v>8.5</v>
      </c>
      <c r="K323">
        <f>VLOOKUP(Table2[[#This Row],[Site]],'Site Info'!$A$1:$C$11,2, FALSE)</f>
        <v>15</v>
      </c>
      <c r="L323">
        <f>VLOOKUP(Table2[[#This Row],[Site]],'Site Info'!$A$1:$C$11,3, FALSE)</f>
        <v>12</v>
      </c>
      <c r="M323" t="str">
        <f>VLOOKUP(Table2[[#This Row],[Species]],'Species Table'!$A$1:$D$68,3, FALSE)</f>
        <v>Perennial</v>
      </c>
      <c r="O323" s="15">
        <f>IF(SUMPRODUCT(($A$2:$A323=A323)*($B$2:$B323=B323)*($F$2:$F323=F323))&gt;1,0,1)</f>
        <v>0</v>
      </c>
      <c r="P323" s="15">
        <f>IF(SUMPRODUCT(($A$2:$A323=A323)*($B$2:$B323=B323)*($D$2:$D323=D323))&gt;1,0,1)</f>
        <v>1</v>
      </c>
    </row>
    <row r="324" spans="1:16" x14ac:dyDescent="0.35">
      <c r="A324" t="s">
        <v>18</v>
      </c>
      <c r="B324">
        <v>1999</v>
      </c>
      <c r="D324">
        <v>5.0999999999999996</v>
      </c>
      <c r="E324">
        <f>INT(Table2[[#This Row],[Transect]])</f>
        <v>5</v>
      </c>
      <c r="F324" t="s">
        <v>12</v>
      </c>
      <c r="G324">
        <v>4</v>
      </c>
      <c r="H324">
        <v>200</v>
      </c>
      <c r="J324">
        <f>Table2[[#This Row],[Hits]]/Table2[[#This Row],[Points]]*100</f>
        <v>2</v>
      </c>
      <c r="K324">
        <f>VLOOKUP(Table2[[#This Row],[Site]],'Site Info'!$A$1:$C$11,2, FALSE)</f>
        <v>15</v>
      </c>
      <c r="L324">
        <f>VLOOKUP(Table2[[#This Row],[Site]],'Site Info'!$A$1:$C$11,3, FALSE)</f>
        <v>12</v>
      </c>
      <c r="M324" t="str">
        <f>VLOOKUP(Table2[[#This Row],[Species]],'Species Table'!$A$1:$D$68,3, FALSE)</f>
        <v>Perennial</v>
      </c>
      <c r="O324" s="15">
        <f>IF(SUMPRODUCT(($A$2:$A324=A324)*($B$2:$B324=B324)*($F$2:$F324=F324))&gt;1,0,1)</f>
        <v>0</v>
      </c>
      <c r="P324" s="15">
        <f>IF(SUMPRODUCT(($A$2:$A324=A324)*($B$2:$B324=B324)*($D$2:$D324=D324))&gt;1,0,1)</f>
        <v>0</v>
      </c>
    </row>
    <row r="325" spans="1:16" hidden="1" x14ac:dyDescent="0.35">
      <c r="A325" t="s">
        <v>18</v>
      </c>
      <c r="B325">
        <v>1999</v>
      </c>
      <c r="D325">
        <v>5.2</v>
      </c>
      <c r="E325">
        <f>INT(Table2[[#This Row],[Transect]])</f>
        <v>5</v>
      </c>
      <c r="F325" t="s">
        <v>10</v>
      </c>
      <c r="G325">
        <v>2</v>
      </c>
      <c r="H325">
        <v>200</v>
      </c>
      <c r="J325">
        <f>Table2[[#This Row],[Hits]]/Table2[[#This Row],[Points]]*100</f>
        <v>1</v>
      </c>
      <c r="K325">
        <f>VLOOKUP(Table2[[#This Row],[Site]],'Site Info'!$A$1:$C$11,2, FALSE)</f>
        <v>15</v>
      </c>
      <c r="L325">
        <f>VLOOKUP(Table2[[#This Row],[Site]],'Site Info'!$A$1:$C$11,3, FALSE)</f>
        <v>12</v>
      </c>
      <c r="M325" t="str">
        <f>VLOOKUP(Table2[[#This Row],[Species]],'Species Table'!$A$1:$D$68,3, FALSE)</f>
        <v>Annual</v>
      </c>
      <c r="O325" s="15">
        <f>IF(SUMPRODUCT(($A$2:$A325=A325)*($B$2:$B325=B325)*($F$2:$F325=F325))&gt;1,0,1)</f>
        <v>0</v>
      </c>
      <c r="P325" s="15">
        <f>IF(SUMPRODUCT(($A$2:$A325=A325)*($B$2:$B325=B325)*($D$2:$D325=D325))&gt;1,0,1)</f>
        <v>1</v>
      </c>
    </row>
    <row r="326" spans="1:16" x14ac:dyDescent="0.35">
      <c r="A326" t="s">
        <v>18</v>
      </c>
      <c r="B326">
        <v>1999</v>
      </c>
      <c r="D326">
        <v>5.2</v>
      </c>
      <c r="E326">
        <f>INT(Table2[[#This Row],[Transect]])</f>
        <v>5</v>
      </c>
      <c r="F326" t="s">
        <v>11</v>
      </c>
      <c r="G326">
        <v>9</v>
      </c>
      <c r="H326">
        <v>200</v>
      </c>
      <c r="J326">
        <f>Table2[[#This Row],[Hits]]/Table2[[#This Row],[Points]]*100</f>
        <v>4.5</v>
      </c>
      <c r="K326">
        <f>VLOOKUP(Table2[[#This Row],[Site]],'Site Info'!$A$1:$C$11,2, FALSE)</f>
        <v>15</v>
      </c>
      <c r="L326">
        <f>VLOOKUP(Table2[[#This Row],[Site]],'Site Info'!$A$1:$C$11,3, FALSE)</f>
        <v>12</v>
      </c>
      <c r="M326" t="str">
        <f>VLOOKUP(Table2[[#This Row],[Species]],'Species Table'!$A$1:$D$68,3, FALSE)</f>
        <v>Perennial</v>
      </c>
      <c r="O326" s="15">
        <f>IF(SUMPRODUCT(($A$2:$A326=A326)*($B$2:$B326=B326)*($F$2:$F326=F326))&gt;1,0,1)</f>
        <v>0</v>
      </c>
      <c r="P326" s="15">
        <f>IF(SUMPRODUCT(($A$2:$A326=A326)*($B$2:$B326=B326)*($D$2:$D326=D326))&gt;1,0,1)</f>
        <v>0</v>
      </c>
    </row>
    <row r="327" spans="1:16" x14ac:dyDescent="0.35">
      <c r="A327" t="s">
        <v>18</v>
      </c>
      <c r="B327">
        <v>1999</v>
      </c>
      <c r="D327">
        <v>5.2</v>
      </c>
      <c r="E327">
        <f>INT(Table2[[#This Row],[Transect]])</f>
        <v>5</v>
      </c>
      <c r="F327" t="s">
        <v>12</v>
      </c>
      <c r="G327">
        <v>6</v>
      </c>
      <c r="H327">
        <v>200</v>
      </c>
      <c r="J327">
        <f>Table2[[#This Row],[Hits]]/Table2[[#This Row],[Points]]*100</f>
        <v>3</v>
      </c>
      <c r="K327">
        <f>VLOOKUP(Table2[[#This Row],[Site]],'Site Info'!$A$1:$C$11,2, FALSE)</f>
        <v>15</v>
      </c>
      <c r="L327">
        <f>VLOOKUP(Table2[[#This Row],[Site]],'Site Info'!$A$1:$C$11,3, FALSE)</f>
        <v>12</v>
      </c>
      <c r="M327" t="str">
        <f>VLOOKUP(Table2[[#This Row],[Species]],'Species Table'!$A$1:$D$68,3, FALSE)</f>
        <v>Perennial</v>
      </c>
      <c r="O327" s="15">
        <f>IF(SUMPRODUCT(($A$2:$A327=A327)*($B$2:$B327=B327)*($F$2:$F327=F327))&gt;1,0,1)</f>
        <v>0</v>
      </c>
      <c r="P327" s="15">
        <f>IF(SUMPRODUCT(($A$2:$A327=A327)*($B$2:$B327=B327)*($D$2:$D327=D327))&gt;1,0,1)</f>
        <v>0</v>
      </c>
    </row>
    <row r="328" spans="1:16" x14ac:dyDescent="0.35">
      <c r="A328" t="s">
        <v>18</v>
      </c>
      <c r="B328">
        <v>1999</v>
      </c>
      <c r="D328">
        <v>5.2</v>
      </c>
      <c r="E328">
        <f>INT(Table2[[#This Row],[Transect]])</f>
        <v>5</v>
      </c>
      <c r="F328" t="s">
        <v>170</v>
      </c>
      <c r="G328">
        <v>15</v>
      </c>
      <c r="H328">
        <v>200</v>
      </c>
      <c r="J328">
        <f>Table2[[#This Row],[Hits]]/Table2[[#This Row],[Points]]*100</f>
        <v>7.5</v>
      </c>
      <c r="K328">
        <f>VLOOKUP(Table2[[#This Row],[Site]],'Site Info'!$A$1:$C$11,2, FALSE)</f>
        <v>15</v>
      </c>
      <c r="L328">
        <f>VLOOKUP(Table2[[#This Row],[Site]],'Site Info'!$A$1:$C$11,3, FALSE)</f>
        <v>12</v>
      </c>
      <c r="M328" t="str">
        <f>VLOOKUP(Table2[[#This Row],[Species]],'Species Table'!$A$1:$D$68,3, FALSE)</f>
        <v>Perennial</v>
      </c>
      <c r="O328" s="15">
        <f>IF(SUMPRODUCT(($A$2:$A328=A328)*($B$2:$B328=B328)*($F$2:$F328=F328))&gt;1,0,1)</f>
        <v>0</v>
      </c>
      <c r="P328" s="15">
        <f>IF(SUMPRODUCT(($A$2:$A328=A328)*($B$2:$B328=B328)*($D$2:$D328=D328))&gt;1,0,1)</f>
        <v>0</v>
      </c>
    </row>
    <row r="329" spans="1:16" hidden="1" x14ac:dyDescent="0.35">
      <c r="A329" t="s">
        <v>18</v>
      </c>
      <c r="B329">
        <v>1999</v>
      </c>
      <c r="D329">
        <v>5.3</v>
      </c>
      <c r="E329">
        <f>INT(Table2[[#This Row],[Transect]])</f>
        <v>5</v>
      </c>
      <c r="F329" t="s">
        <v>10</v>
      </c>
      <c r="G329">
        <v>2</v>
      </c>
      <c r="H329">
        <v>200</v>
      </c>
      <c r="J329">
        <f>Table2[[#This Row],[Hits]]/Table2[[#This Row],[Points]]*100</f>
        <v>1</v>
      </c>
      <c r="K329">
        <f>VLOOKUP(Table2[[#This Row],[Site]],'Site Info'!$A$1:$C$11,2, FALSE)</f>
        <v>15</v>
      </c>
      <c r="L329">
        <f>VLOOKUP(Table2[[#This Row],[Site]],'Site Info'!$A$1:$C$11,3, FALSE)</f>
        <v>12</v>
      </c>
      <c r="M329" t="str">
        <f>VLOOKUP(Table2[[#This Row],[Species]],'Species Table'!$A$1:$D$68,3, FALSE)</f>
        <v>Annual</v>
      </c>
      <c r="O329" s="15">
        <f>IF(SUMPRODUCT(($A$2:$A329=A329)*($B$2:$B329=B329)*($F$2:$F329=F329))&gt;1,0,1)</f>
        <v>0</v>
      </c>
      <c r="P329" s="15">
        <f>IF(SUMPRODUCT(($A$2:$A329=A329)*($B$2:$B329=B329)*($D$2:$D329=D329))&gt;1,0,1)</f>
        <v>1</v>
      </c>
    </row>
    <row r="330" spans="1:16" x14ac:dyDescent="0.35">
      <c r="A330" t="s">
        <v>18</v>
      </c>
      <c r="B330">
        <v>1999</v>
      </c>
      <c r="D330">
        <v>5.3</v>
      </c>
      <c r="E330">
        <f>INT(Table2[[#This Row],[Transect]])</f>
        <v>5</v>
      </c>
      <c r="F330" t="s">
        <v>11</v>
      </c>
      <c r="G330">
        <v>3</v>
      </c>
      <c r="H330">
        <v>200</v>
      </c>
      <c r="J330">
        <f>Table2[[#This Row],[Hits]]/Table2[[#This Row],[Points]]*100</f>
        <v>1.5</v>
      </c>
      <c r="K330">
        <f>VLOOKUP(Table2[[#This Row],[Site]],'Site Info'!$A$1:$C$11,2, FALSE)</f>
        <v>15</v>
      </c>
      <c r="L330">
        <f>VLOOKUP(Table2[[#This Row],[Site]],'Site Info'!$A$1:$C$11,3, FALSE)</f>
        <v>12</v>
      </c>
      <c r="M330" t="str">
        <f>VLOOKUP(Table2[[#This Row],[Species]],'Species Table'!$A$1:$D$68,3, FALSE)</f>
        <v>Perennial</v>
      </c>
      <c r="O330" s="15">
        <f>IF(SUMPRODUCT(($A$2:$A330=A330)*($B$2:$B330=B330)*($F$2:$F330=F330))&gt;1,0,1)</f>
        <v>0</v>
      </c>
      <c r="P330" s="15">
        <f>IF(SUMPRODUCT(($A$2:$A330=A330)*($B$2:$B330=B330)*($D$2:$D330=D330))&gt;1,0,1)</f>
        <v>0</v>
      </c>
    </row>
    <row r="331" spans="1:16" hidden="1" x14ac:dyDescent="0.35">
      <c r="A331" t="s">
        <v>18</v>
      </c>
      <c r="B331">
        <v>1999</v>
      </c>
      <c r="D331">
        <v>5.4</v>
      </c>
      <c r="E331">
        <f>INT(Table2[[#This Row],[Transect]])</f>
        <v>5</v>
      </c>
      <c r="F331" t="s">
        <v>10</v>
      </c>
      <c r="G331">
        <v>2</v>
      </c>
      <c r="H331">
        <v>200</v>
      </c>
      <c r="J331">
        <f>Table2[[#This Row],[Hits]]/Table2[[#This Row],[Points]]*100</f>
        <v>1</v>
      </c>
      <c r="K331">
        <f>VLOOKUP(Table2[[#This Row],[Site]],'Site Info'!$A$1:$C$11,2, FALSE)</f>
        <v>15</v>
      </c>
      <c r="L331">
        <f>VLOOKUP(Table2[[#This Row],[Site]],'Site Info'!$A$1:$C$11,3, FALSE)</f>
        <v>12</v>
      </c>
      <c r="M331" t="str">
        <f>VLOOKUP(Table2[[#This Row],[Species]],'Species Table'!$A$1:$D$68,3, FALSE)</f>
        <v>Annual</v>
      </c>
      <c r="O331" s="15">
        <f>IF(SUMPRODUCT(($A$2:$A331=A331)*($B$2:$B331=B331)*($F$2:$F331=F331))&gt;1,0,1)</f>
        <v>0</v>
      </c>
      <c r="P331" s="15">
        <f>IF(SUMPRODUCT(($A$2:$A331=A331)*($B$2:$B331=B331)*($D$2:$D331=D331))&gt;1,0,1)</f>
        <v>1</v>
      </c>
    </row>
    <row r="332" spans="1:16" x14ac:dyDescent="0.35">
      <c r="A332" t="s">
        <v>18</v>
      </c>
      <c r="B332">
        <v>1999</v>
      </c>
      <c r="D332">
        <v>5.4</v>
      </c>
      <c r="E332">
        <f>INT(Table2[[#This Row],[Transect]])</f>
        <v>5</v>
      </c>
      <c r="F332" t="s">
        <v>11</v>
      </c>
      <c r="G332">
        <v>1</v>
      </c>
      <c r="H332">
        <v>200</v>
      </c>
      <c r="J332">
        <f>Table2[[#This Row],[Hits]]/Table2[[#This Row],[Points]]*100</f>
        <v>0.5</v>
      </c>
      <c r="K332">
        <f>VLOOKUP(Table2[[#This Row],[Site]],'Site Info'!$A$1:$C$11,2, FALSE)</f>
        <v>15</v>
      </c>
      <c r="L332">
        <f>VLOOKUP(Table2[[#This Row],[Site]],'Site Info'!$A$1:$C$11,3, FALSE)</f>
        <v>12</v>
      </c>
      <c r="M332" t="str">
        <f>VLOOKUP(Table2[[#This Row],[Species]],'Species Table'!$A$1:$D$68,3, FALSE)</f>
        <v>Perennial</v>
      </c>
      <c r="O332" s="15">
        <f>IF(SUMPRODUCT(($A$2:$A332=A332)*($B$2:$B332=B332)*($F$2:$F332=F332))&gt;1,0,1)</f>
        <v>0</v>
      </c>
      <c r="P332" s="15">
        <f>IF(SUMPRODUCT(($A$2:$A332=A332)*($B$2:$B332=B332)*($D$2:$D332=D332))&gt;1,0,1)</f>
        <v>0</v>
      </c>
    </row>
    <row r="333" spans="1:16" hidden="1" x14ac:dyDescent="0.35">
      <c r="A333" t="s">
        <v>18</v>
      </c>
      <c r="B333">
        <v>1999</v>
      </c>
      <c r="D333">
        <v>5.5</v>
      </c>
      <c r="E333">
        <f>INT(Table2[[#This Row],[Transect]])</f>
        <v>5</v>
      </c>
      <c r="F333" t="s">
        <v>10</v>
      </c>
      <c r="G333">
        <v>2</v>
      </c>
      <c r="H333">
        <v>200</v>
      </c>
      <c r="J333">
        <f>Table2[[#This Row],[Hits]]/Table2[[#This Row],[Points]]*100</f>
        <v>1</v>
      </c>
      <c r="K333">
        <f>VLOOKUP(Table2[[#This Row],[Site]],'Site Info'!$A$1:$C$11,2, FALSE)</f>
        <v>15</v>
      </c>
      <c r="L333">
        <f>VLOOKUP(Table2[[#This Row],[Site]],'Site Info'!$A$1:$C$11,3, FALSE)</f>
        <v>12</v>
      </c>
      <c r="M333" t="str">
        <f>VLOOKUP(Table2[[#This Row],[Species]],'Species Table'!$A$1:$D$68,3, FALSE)</f>
        <v>Annual</v>
      </c>
      <c r="O333" s="15">
        <f>IF(SUMPRODUCT(($A$2:$A333=A333)*($B$2:$B333=B333)*($F$2:$F333=F333))&gt;1,0,1)</f>
        <v>0</v>
      </c>
      <c r="P333" s="15">
        <f>IF(SUMPRODUCT(($A$2:$A333=A333)*($B$2:$B333=B333)*($D$2:$D333=D333))&gt;1,0,1)</f>
        <v>1</v>
      </c>
    </row>
    <row r="334" spans="1:16" x14ac:dyDescent="0.35">
      <c r="A334" t="s">
        <v>18</v>
      </c>
      <c r="B334">
        <v>1999</v>
      </c>
      <c r="D334">
        <v>5.5</v>
      </c>
      <c r="E334">
        <f>INT(Table2[[#This Row],[Transect]])</f>
        <v>5</v>
      </c>
      <c r="F334" t="s">
        <v>11</v>
      </c>
      <c r="G334">
        <v>9</v>
      </c>
      <c r="H334">
        <v>200</v>
      </c>
      <c r="J334">
        <f>Table2[[#This Row],[Hits]]/Table2[[#This Row],[Points]]*100</f>
        <v>4.5</v>
      </c>
      <c r="K334">
        <f>VLOOKUP(Table2[[#This Row],[Site]],'Site Info'!$A$1:$C$11,2, FALSE)</f>
        <v>15</v>
      </c>
      <c r="L334">
        <f>VLOOKUP(Table2[[#This Row],[Site]],'Site Info'!$A$1:$C$11,3, FALSE)</f>
        <v>12</v>
      </c>
      <c r="M334" t="str">
        <f>VLOOKUP(Table2[[#This Row],[Species]],'Species Table'!$A$1:$D$68,3, FALSE)</f>
        <v>Perennial</v>
      </c>
      <c r="O334" s="15">
        <f>IF(SUMPRODUCT(($A$2:$A334=A334)*($B$2:$B334=B334)*($F$2:$F334=F334))&gt;1,0,1)</f>
        <v>0</v>
      </c>
      <c r="P334" s="15">
        <f>IF(SUMPRODUCT(($A$2:$A334=A334)*($B$2:$B334=B334)*($D$2:$D334=D334))&gt;1,0,1)</f>
        <v>0</v>
      </c>
    </row>
    <row r="335" spans="1:16" hidden="1" x14ac:dyDescent="0.35">
      <c r="A335" t="s">
        <v>18</v>
      </c>
      <c r="B335">
        <v>1999</v>
      </c>
      <c r="D335">
        <v>5.6</v>
      </c>
      <c r="E335">
        <f>INT(Table2[[#This Row],[Transect]])</f>
        <v>5</v>
      </c>
      <c r="F335" t="s">
        <v>10</v>
      </c>
      <c r="G335">
        <v>4</v>
      </c>
      <c r="H335">
        <v>200</v>
      </c>
      <c r="J335">
        <f>Table2[[#This Row],[Hits]]/Table2[[#This Row],[Points]]*100</f>
        <v>2</v>
      </c>
      <c r="K335">
        <f>VLOOKUP(Table2[[#This Row],[Site]],'Site Info'!$A$1:$C$11,2, FALSE)</f>
        <v>15</v>
      </c>
      <c r="L335">
        <f>VLOOKUP(Table2[[#This Row],[Site]],'Site Info'!$A$1:$C$11,3, FALSE)</f>
        <v>12</v>
      </c>
      <c r="M335" t="str">
        <f>VLOOKUP(Table2[[#This Row],[Species]],'Species Table'!$A$1:$D$68,3, FALSE)</f>
        <v>Annual</v>
      </c>
      <c r="O335" s="15">
        <f>IF(SUMPRODUCT(($A$2:$A335=A335)*($B$2:$B335=B335)*($F$2:$F335=F335))&gt;1,0,1)</f>
        <v>0</v>
      </c>
      <c r="P335" s="15">
        <f>IF(SUMPRODUCT(($A$2:$A335=A335)*($B$2:$B335=B335)*($D$2:$D335=D335))&gt;1,0,1)</f>
        <v>1</v>
      </c>
    </row>
    <row r="336" spans="1:16" x14ac:dyDescent="0.35">
      <c r="A336" t="s">
        <v>18</v>
      </c>
      <c r="B336">
        <v>1999</v>
      </c>
      <c r="D336">
        <v>5.6</v>
      </c>
      <c r="E336">
        <f>INT(Table2[[#This Row],[Transect]])</f>
        <v>5</v>
      </c>
      <c r="F336" t="s">
        <v>11</v>
      </c>
      <c r="G336">
        <v>1</v>
      </c>
      <c r="H336">
        <v>200</v>
      </c>
      <c r="J336">
        <f>Table2[[#This Row],[Hits]]/Table2[[#This Row],[Points]]*100</f>
        <v>0.5</v>
      </c>
      <c r="K336">
        <f>VLOOKUP(Table2[[#This Row],[Site]],'Site Info'!$A$1:$C$11,2, FALSE)</f>
        <v>15</v>
      </c>
      <c r="L336">
        <f>VLOOKUP(Table2[[#This Row],[Site]],'Site Info'!$A$1:$C$11,3, FALSE)</f>
        <v>12</v>
      </c>
      <c r="M336" t="str">
        <f>VLOOKUP(Table2[[#This Row],[Species]],'Species Table'!$A$1:$D$68,3, FALSE)</f>
        <v>Perennial</v>
      </c>
      <c r="O336" s="15">
        <f>IF(SUMPRODUCT(($A$2:$A336=A336)*($B$2:$B336=B336)*($F$2:$F336=F336))&gt;1,0,1)</f>
        <v>0</v>
      </c>
      <c r="P336" s="15">
        <f>IF(SUMPRODUCT(($A$2:$A336=A336)*($B$2:$B336=B336)*($D$2:$D336=D336))&gt;1,0,1)</f>
        <v>0</v>
      </c>
    </row>
    <row r="337" spans="1:16" hidden="1" x14ac:dyDescent="0.35">
      <c r="A337" t="s">
        <v>18</v>
      </c>
      <c r="B337">
        <v>1999</v>
      </c>
      <c r="D337">
        <v>6.1</v>
      </c>
      <c r="E337">
        <f>INT(Table2[[#This Row],[Transect]])</f>
        <v>6</v>
      </c>
      <c r="F337" t="s">
        <v>10</v>
      </c>
      <c r="G337">
        <v>20</v>
      </c>
      <c r="H337">
        <v>200</v>
      </c>
      <c r="J337">
        <f>Table2[[#This Row],[Hits]]/Table2[[#This Row],[Points]]*100</f>
        <v>10</v>
      </c>
      <c r="K337">
        <f>VLOOKUP(Table2[[#This Row],[Site]],'Site Info'!$A$1:$C$11,2, FALSE)</f>
        <v>15</v>
      </c>
      <c r="L337">
        <f>VLOOKUP(Table2[[#This Row],[Site]],'Site Info'!$A$1:$C$11,3, FALSE)</f>
        <v>12</v>
      </c>
      <c r="M337" t="str">
        <f>VLOOKUP(Table2[[#This Row],[Species]],'Species Table'!$A$1:$D$68,3, FALSE)</f>
        <v>Annual</v>
      </c>
      <c r="O337" s="15">
        <f>IF(SUMPRODUCT(($A$2:$A337=A337)*($B$2:$B337=B337)*($F$2:$F337=F337))&gt;1,0,1)</f>
        <v>0</v>
      </c>
      <c r="P337" s="15">
        <f>IF(SUMPRODUCT(($A$2:$A337=A337)*($B$2:$B337=B337)*($D$2:$D337=D337))&gt;1,0,1)</f>
        <v>1</v>
      </c>
    </row>
    <row r="338" spans="1:16" x14ac:dyDescent="0.35">
      <c r="A338" t="s">
        <v>18</v>
      </c>
      <c r="B338">
        <v>1999</v>
      </c>
      <c r="D338">
        <v>6.1</v>
      </c>
      <c r="E338">
        <f>INT(Table2[[#This Row],[Transect]])</f>
        <v>6</v>
      </c>
      <c r="F338" t="s">
        <v>11</v>
      </c>
      <c r="G338">
        <v>4</v>
      </c>
      <c r="H338">
        <v>200</v>
      </c>
      <c r="J338">
        <f>Table2[[#This Row],[Hits]]/Table2[[#This Row],[Points]]*100</f>
        <v>2</v>
      </c>
      <c r="K338">
        <f>VLOOKUP(Table2[[#This Row],[Site]],'Site Info'!$A$1:$C$11,2, FALSE)</f>
        <v>15</v>
      </c>
      <c r="L338">
        <f>VLOOKUP(Table2[[#This Row],[Site]],'Site Info'!$A$1:$C$11,3, FALSE)</f>
        <v>12</v>
      </c>
      <c r="M338" t="str">
        <f>VLOOKUP(Table2[[#This Row],[Species]],'Species Table'!$A$1:$D$68,3, FALSE)</f>
        <v>Perennial</v>
      </c>
      <c r="O338" s="15">
        <f>IF(SUMPRODUCT(($A$2:$A338=A338)*($B$2:$B338=B338)*($F$2:$F338=F338))&gt;1,0,1)</f>
        <v>0</v>
      </c>
      <c r="P338" s="15">
        <f>IF(SUMPRODUCT(($A$2:$A338=A338)*($B$2:$B338=B338)*($D$2:$D338=D338))&gt;1,0,1)</f>
        <v>0</v>
      </c>
    </row>
    <row r="339" spans="1:16" hidden="1" x14ac:dyDescent="0.35">
      <c r="A339" t="s">
        <v>18</v>
      </c>
      <c r="B339">
        <v>1999</v>
      </c>
      <c r="D339">
        <v>6.2</v>
      </c>
      <c r="E339">
        <f>INT(Table2[[#This Row],[Transect]])</f>
        <v>6</v>
      </c>
      <c r="F339" t="s">
        <v>10</v>
      </c>
      <c r="G339">
        <v>30</v>
      </c>
      <c r="H339">
        <v>200</v>
      </c>
      <c r="J339">
        <f>Table2[[#This Row],[Hits]]/Table2[[#This Row],[Points]]*100</f>
        <v>15</v>
      </c>
      <c r="K339">
        <f>VLOOKUP(Table2[[#This Row],[Site]],'Site Info'!$A$1:$C$11,2, FALSE)</f>
        <v>15</v>
      </c>
      <c r="L339">
        <f>VLOOKUP(Table2[[#This Row],[Site]],'Site Info'!$A$1:$C$11,3, FALSE)</f>
        <v>12</v>
      </c>
      <c r="M339" t="str">
        <f>VLOOKUP(Table2[[#This Row],[Species]],'Species Table'!$A$1:$D$68,3, FALSE)</f>
        <v>Annual</v>
      </c>
      <c r="O339" s="15">
        <f>IF(SUMPRODUCT(($A$2:$A339=A339)*($B$2:$B339=B339)*($F$2:$F339=F339))&gt;1,0,1)</f>
        <v>0</v>
      </c>
      <c r="P339" s="15">
        <f>IF(SUMPRODUCT(($A$2:$A339=A339)*($B$2:$B339=B339)*($D$2:$D339=D339))&gt;1,0,1)</f>
        <v>1</v>
      </c>
    </row>
    <row r="340" spans="1:16" x14ac:dyDescent="0.35">
      <c r="A340" t="s">
        <v>18</v>
      </c>
      <c r="B340">
        <v>1999</v>
      </c>
      <c r="D340">
        <v>6.2</v>
      </c>
      <c r="E340">
        <f>INT(Table2[[#This Row],[Transect]])</f>
        <v>6</v>
      </c>
      <c r="F340" t="s">
        <v>11</v>
      </c>
      <c r="G340">
        <v>9</v>
      </c>
      <c r="H340">
        <v>200</v>
      </c>
      <c r="J340">
        <f>Table2[[#This Row],[Hits]]/Table2[[#This Row],[Points]]*100</f>
        <v>4.5</v>
      </c>
      <c r="K340">
        <f>VLOOKUP(Table2[[#This Row],[Site]],'Site Info'!$A$1:$C$11,2, FALSE)</f>
        <v>15</v>
      </c>
      <c r="L340">
        <f>VLOOKUP(Table2[[#This Row],[Site]],'Site Info'!$A$1:$C$11,3, FALSE)</f>
        <v>12</v>
      </c>
      <c r="M340" t="str">
        <f>VLOOKUP(Table2[[#This Row],[Species]],'Species Table'!$A$1:$D$68,3, FALSE)</f>
        <v>Perennial</v>
      </c>
      <c r="O340" s="15">
        <f>IF(SUMPRODUCT(($A$2:$A340=A340)*($B$2:$B340=B340)*($F$2:$F340=F340))&gt;1,0,1)</f>
        <v>0</v>
      </c>
      <c r="P340" s="15">
        <f>IF(SUMPRODUCT(($A$2:$A340=A340)*($B$2:$B340=B340)*($D$2:$D340=D340))&gt;1,0,1)</f>
        <v>0</v>
      </c>
    </row>
    <row r="341" spans="1:16" hidden="1" x14ac:dyDescent="0.35">
      <c r="A341" t="s">
        <v>18</v>
      </c>
      <c r="B341">
        <v>1999</v>
      </c>
      <c r="D341">
        <v>6.3</v>
      </c>
      <c r="E341">
        <f>INT(Table2[[#This Row],[Transect]])</f>
        <v>6</v>
      </c>
      <c r="F341" t="s">
        <v>10</v>
      </c>
      <c r="G341">
        <v>30</v>
      </c>
      <c r="H341">
        <v>200</v>
      </c>
      <c r="J341">
        <f>Table2[[#This Row],[Hits]]/Table2[[#This Row],[Points]]*100</f>
        <v>15</v>
      </c>
      <c r="K341">
        <f>VLOOKUP(Table2[[#This Row],[Site]],'Site Info'!$A$1:$C$11,2, FALSE)</f>
        <v>15</v>
      </c>
      <c r="L341">
        <f>VLOOKUP(Table2[[#This Row],[Site]],'Site Info'!$A$1:$C$11,3, FALSE)</f>
        <v>12</v>
      </c>
      <c r="M341" t="str">
        <f>VLOOKUP(Table2[[#This Row],[Species]],'Species Table'!$A$1:$D$68,3, FALSE)</f>
        <v>Annual</v>
      </c>
      <c r="O341" s="15">
        <f>IF(SUMPRODUCT(($A$2:$A341=A341)*($B$2:$B341=B341)*($F$2:$F341=F341))&gt;1,0,1)</f>
        <v>0</v>
      </c>
      <c r="P341" s="15">
        <f>IF(SUMPRODUCT(($A$2:$A341=A341)*($B$2:$B341=B341)*($D$2:$D341=D341))&gt;1,0,1)</f>
        <v>1</v>
      </c>
    </row>
    <row r="342" spans="1:16" x14ac:dyDescent="0.35">
      <c r="A342" t="s">
        <v>18</v>
      </c>
      <c r="B342">
        <v>1999</v>
      </c>
      <c r="D342">
        <v>6.3</v>
      </c>
      <c r="E342">
        <f>INT(Table2[[#This Row],[Transect]])</f>
        <v>6</v>
      </c>
      <c r="F342" t="s">
        <v>11</v>
      </c>
      <c r="G342">
        <v>4</v>
      </c>
      <c r="H342">
        <v>200</v>
      </c>
      <c r="J342">
        <f>Table2[[#This Row],[Hits]]/Table2[[#This Row],[Points]]*100</f>
        <v>2</v>
      </c>
      <c r="K342">
        <f>VLOOKUP(Table2[[#This Row],[Site]],'Site Info'!$A$1:$C$11,2, FALSE)</f>
        <v>15</v>
      </c>
      <c r="L342">
        <f>VLOOKUP(Table2[[#This Row],[Site]],'Site Info'!$A$1:$C$11,3, FALSE)</f>
        <v>12</v>
      </c>
      <c r="M342" t="str">
        <f>VLOOKUP(Table2[[#This Row],[Species]],'Species Table'!$A$1:$D$68,3, FALSE)</f>
        <v>Perennial</v>
      </c>
      <c r="O342" s="15">
        <f>IF(SUMPRODUCT(($A$2:$A342=A342)*($B$2:$B342=B342)*($F$2:$F342=F342))&gt;1,0,1)</f>
        <v>0</v>
      </c>
      <c r="P342" s="15">
        <f>IF(SUMPRODUCT(($A$2:$A342=A342)*($B$2:$B342=B342)*($D$2:$D342=D342))&gt;1,0,1)</f>
        <v>0</v>
      </c>
    </row>
    <row r="343" spans="1:16" hidden="1" x14ac:dyDescent="0.35">
      <c r="A343" t="s">
        <v>18</v>
      </c>
      <c r="B343">
        <v>1999</v>
      </c>
      <c r="D343">
        <v>6.4</v>
      </c>
      <c r="E343">
        <f>INT(Table2[[#This Row],[Transect]])</f>
        <v>6</v>
      </c>
      <c r="F343" t="s">
        <v>10</v>
      </c>
      <c r="G343">
        <v>20</v>
      </c>
      <c r="H343">
        <v>200</v>
      </c>
      <c r="J343">
        <f>Table2[[#This Row],[Hits]]/Table2[[#This Row],[Points]]*100</f>
        <v>10</v>
      </c>
      <c r="K343">
        <f>VLOOKUP(Table2[[#This Row],[Site]],'Site Info'!$A$1:$C$11,2, FALSE)</f>
        <v>15</v>
      </c>
      <c r="L343">
        <f>VLOOKUP(Table2[[#This Row],[Site]],'Site Info'!$A$1:$C$11,3, FALSE)</f>
        <v>12</v>
      </c>
      <c r="M343" t="str">
        <f>VLOOKUP(Table2[[#This Row],[Species]],'Species Table'!$A$1:$D$68,3, FALSE)</f>
        <v>Annual</v>
      </c>
      <c r="O343" s="15">
        <f>IF(SUMPRODUCT(($A$2:$A343=A343)*($B$2:$B343=B343)*($F$2:$F343=F343))&gt;1,0,1)</f>
        <v>0</v>
      </c>
      <c r="P343" s="15">
        <f>IF(SUMPRODUCT(($A$2:$A343=A343)*($B$2:$B343=B343)*($D$2:$D343=D343))&gt;1,0,1)</f>
        <v>1</v>
      </c>
    </row>
    <row r="344" spans="1:16" x14ac:dyDescent="0.35">
      <c r="A344" t="s">
        <v>18</v>
      </c>
      <c r="B344">
        <v>1999</v>
      </c>
      <c r="D344">
        <v>6.4</v>
      </c>
      <c r="E344">
        <f>INT(Table2[[#This Row],[Transect]])</f>
        <v>6</v>
      </c>
      <c r="F344" t="s">
        <v>11</v>
      </c>
      <c r="G344">
        <v>1</v>
      </c>
      <c r="H344">
        <v>200</v>
      </c>
      <c r="J344">
        <f>Table2[[#This Row],[Hits]]/Table2[[#This Row],[Points]]*100</f>
        <v>0.5</v>
      </c>
      <c r="K344">
        <f>VLOOKUP(Table2[[#This Row],[Site]],'Site Info'!$A$1:$C$11,2, FALSE)</f>
        <v>15</v>
      </c>
      <c r="L344">
        <f>VLOOKUP(Table2[[#This Row],[Site]],'Site Info'!$A$1:$C$11,3, FALSE)</f>
        <v>12</v>
      </c>
      <c r="M344" t="str">
        <f>VLOOKUP(Table2[[#This Row],[Species]],'Species Table'!$A$1:$D$68,3, FALSE)</f>
        <v>Perennial</v>
      </c>
      <c r="O344" s="15">
        <f>IF(SUMPRODUCT(($A$2:$A344=A344)*($B$2:$B344=B344)*($F$2:$F344=F344))&gt;1,0,1)</f>
        <v>0</v>
      </c>
      <c r="P344" s="15">
        <f>IF(SUMPRODUCT(($A$2:$A344=A344)*($B$2:$B344=B344)*($D$2:$D344=D344))&gt;1,0,1)</f>
        <v>0</v>
      </c>
    </row>
    <row r="345" spans="1:16" hidden="1" x14ac:dyDescent="0.35">
      <c r="A345" t="s">
        <v>18</v>
      </c>
      <c r="B345">
        <v>1999</v>
      </c>
      <c r="D345">
        <v>6.5</v>
      </c>
      <c r="E345">
        <f>INT(Table2[[#This Row],[Transect]])</f>
        <v>6</v>
      </c>
      <c r="F345" t="s">
        <v>10</v>
      </c>
      <c r="G345">
        <v>70</v>
      </c>
      <c r="H345">
        <v>200</v>
      </c>
      <c r="J345">
        <f>Table2[[#This Row],[Hits]]/Table2[[#This Row],[Points]]*100</f>
        <v>35</v>
      </c>
      <c r="K345">
        <f>VLOOKUP(Table2[[#This Row],[Site]],'Site Info'!$A$1:$C$11,2, FALSE)</f>
        <v>15</v>
      </c>
      <c r="L345">
        <f>VLOOKUP(Table2[[#This Row],[Site]],'Site Info'!$A$1:$C$11,3, FALSE)</f>
        <v>12</v>
      </c>
      <c r="M345" t="str">
        <f>VLOOKUP(Table2[[#This Row],[Species]],'Species Table'!$A$1:$D$68,3, FALSE)</f>
        <v>Annual</v>
      </c>
      <c r="O345" s="15">
        <f>IF(SUMPRODUCT(($A$2:$A345=A345)*($B$2:$B345=B345)*($F$2:$F345=F345))&gt;1,0,1)</f>
        <v>0</v>
      </c>
      <c r="P345" s="15">
        <f>IF(SUMPRODUCT(($A$2:$A345=A345)*($B$2:$B345=B345)*($D$2:$D345=D345))&gt;1,0,1)</f>
        <v>1</v>
      </c>
    </row>
    <row r="346" spans="1:16" hidden="1" x14ac:dyDescent="0.35">
      <c r="A346" t="s">
        <v>18</v>
      </c>
      <c r="B346">
        <v>1999</v>
      </c>
      <c r="D346">
        <v>7.1</v>
      </c>
      <c r="E346">
        <f>INT(Table2[[#This Row],[Transect]])</f>
        <v>7</v>
      </c>
      <c r="F346" t="s">
        <v>10</v>
      </c>
      <c r="G346">
        <v>20</v>
      </c>
      <c r="H346">
        <v>200</v>
      </c>
      <c r="J346">
        <f>Table2[[#This Row],[Hits]]/Table2[[#This Row],[Points]]*100</f>
        <v>10</v>
      </c>
      <c r="K346">
        <f>VLOOKUP(Table2[[#This Row],[Site]],'Site Info'!$A$1:$C$11,2, FALSE)</f>
        <v>15</v>
      </c>
      <c r="L346">
        <f>VLOOKUP(Table2[[#This Row],[Site]],'Site Info'!$A$1:$C$11,3, FALSE)</f>
        <v>12</v>
      </c>
      <c r="M346" t="str">
        <f>VLOOKUP(Table2[[#This Row],[Species]],'Species Table'!$A$1:$D$68,3, FALSE)</f>
        <v>Annual</v>
      </c>
      <c r="O346" s="15">
        <f>IF(SUMPRODUCT(($A$2:$A346=A346)*($B$2:$B346=B346)*($F$2:$F346=F346))&gt;1,0,1)</f>
        <v>0</v>
      </c>
      <c r="P346" s="15">
        <f>IF(SUMPRODUCT(($A$2:$A346=A346)*($B$2:$B346=B346)*($D$2:$D346=D346))&gt;1,0,1)</f>
        <v>1</v>
      </c>
    </row>
    <row r="347" spans="1:16" x14ac:dyDescent="0.35">
      <c r="A347" t="s">
        <v>18</v>
      </c>
      <c r="B347">
        <v>1999</v>
      </c>
      <c r="D347">
        <v>7.1</v>
      </c>
      <c r="E347">
        <f>INT(Table2[[#This Row],[Transect]])</f>
        <v>7</v>
      </c>
      <c r="F347" t="s">
        <v>11</v>
      </c>
      <c r="G347">
        <v>1</v>
      </c>
      <c r="H347">
        <v>200</v>
      </c>
      <c r="J347">
        <f>Table2[[#This Row],[Hits]]/Table2[[#This Row],[Points]]*100</f>
        <v>0.5</v>
      </c>
      <c r="K347">
        <f>VLOOKUP(Table2[[#This Row],[Site]],'Site Info'!$A$1:$C$11,2, FALSE)</f>
        <v>15</v>
      </c>
      <c r="L347">
        <f>VLOOKUP(Table2[[#This Row],[Site]],'Site Info'!$A$1:$C$11,3, FALSE)</f>
        <v>12</v>
      </c>
      <c r="M347" t="str">
        <f>VLOOKUP(Table2[[#This Row],[Species]],'Species Table'!$A$1:$D$68,3, FALSE)</f>
        <v>Perennial</v>
      </c>
      <c r="O347" s="15">
        <f>IF(SUMPRODUCT(($A$2:$A347=A347)*($B$2:$B347=B347)*($F$2:$F347=F347))&gt;1,0,1)</f>
        <v>0</v>
      </c>
      <c r="P347" s="15">
        <f>IF(SUMPRODUCT(($A$2:$A347=A347)*($B$2:$B347=B347)*($D$2:$D347=D347))&gt;1,0,1)</f>
        <v>0</v>
      </c>
    </row>
    <row r="348" spans="1:16" x14ac:dyDescent="0.35">
      <c r="A348" t="s">
        <v>18</v>
      </c>
      <c r="B348">
        <v>1999</v>
      </c>
      <c r="D348">
        <v>7.1</v>
      </c>
      <c r="E348">
        <f>INT(Table2[[#This Row],[Transect]])</f>
        <v>7</v>
      </c>
      <c r="F348" t="s">
        <v>12</v>
      </c>
      <c r="G348">
        <v>9</v>
      </c>
      <c r="H348">
        <v>200</v>
      </c>
      <c r="J348">
        <f>Table2[[#This Row],[Hits]]/Table2[[#This Row],[Points]]*100</f>
        <v>4.5</v>
      </c>
      <c r="K348">
        <f>VLOOKUP(Table2[[#This Row],[Site]],'Site Info'!$A$1:$C$11,2, FALSE)</f>
        <v>15</v>
      </c>
      <c r="L348">
        <f>VLOOKUP(Table2[[#This Row],[Site]],'Site Info'!$A$1:$C$11,3, FALSE)</f>
        <v>12</v>
      </c>
      <c r="M348" t="str">
        <f>VLOOKUP(Table2[[#This Row],[Species]],'Species Table'!$A$1:$D$68,3, FALSE)</f>
        <v>Perennial</v>
      </c>
      <c r="O348" s="15">
        <f>IF(SUMPRODUCT(($A$2:$A348=A348)*($B$2:$B348=B348)*($F$2:$F348=F348))&gt;1,0,1)</f>
        <v>0</v>
      </c>
      <c r="P348" s="15">
        <f>IF(SUMPRODUCT(($A$2:$A348=A348)*($B$2:$B348=B348)*($D$2:$D348=D348))&gt;1,0,1)</f>
        <v>0</v>
      </c>
    </row>
    <row r="349" spans="1:16" x14ac:dyDescent="0.35">
      <c r="A349" t="s">
        <v>18</v>
      </c>
      <c r="B349">
        <v>1999</v>
      </c>
      <c r="D349">
        <v>7.1</v>
      </c>
      <c r="E349">
        <f>INT(Table2[[#This Row],[Transect]])</f>
        <v>7</v>
      </c>
      <c r="F349" t="s">
        <v>170</v>
      </c>
      <c r="G349">
        <v>2</v>
      </c>
      <c r="H349">
        <v>200</v>
      </c>
      <c r="J349">
        <f>Table2[[#This Row],[Hits]]/Table2[[#This Row],[Points]]*100</f>
        <v>1</v>
      </c>
      <c r="K349">
        <f>VLOOKUP(Table2[[#This Row],[Site]],'Site Info'!$A$1:$C$11,2, FALSE)</f>
        <v>15</v>
      </c>
      <c r="L349">
        <f>VLOOKUP(Table2[[#This Row],[Site]],'Site Info'!$A$1:$C$11,3, FALSE)</f>
        <v>12</v>
      </c>
      <c r="M349" t="str">
        <f>VLOOKUP(Table2[[#This Row],[Species]],'Species Table'!$A$1:$D$68,3, FALSE)</f>
        <v>Perennial</v>
      </c>
      <c r="O349" s="15">
        <f>IF(SUMPRODUCT(($A$2:$A349=A349)*($B$2:$B349=B349)*($F$2:$F349=F349))&gt;1,0,1)</f>
        <v>0</v>
      </c>
      <c r="P349" s="15">
        <f>IF(SUMPRODUCT(($A$2:$A349=A349)*($B$2:$B349=B349)*($D$2:$D349=D349))&gt;1,0,1)</f>
        <v>0</v>
      </c>
    </row>
    <row r="350" spans="1:16" x14ac:dyDescent="0.35">
      <c r="A350" t="s">
        <v>18</v>
      </c>
      <c r="B350">
        <v>1999</v>
      </c>
      <c r="D350">
        <v>7.2</v>
      </c>
      <c r="E350">
        <f>INT(Table2[[#This Row],[Transect]])</f>
        <v>7</v>
      </c>
      <c r="F350" t="s">
        <v>170</v>
      </c>
      <c r="G350">
        <v>5</v>
      </c>
      <c r="H350">
        <v>200</v>
      </c>
      <c r="J350">
        <f>Table2[[#This Row],[Hits]]/Table2[[#This Row],[Points]]*100</f>
        <v>2.5</v>
      </c>
      <c r="K350">
        <f>VLOOKUP(Table2[[#This Row],[Site]],'Site Info'!$A$1:$C$11,2, FALSE)</f>
        <v>15</v>
      </c>
      <c r="L350">
        <f>VLOOKUP(Table2[[#This Row],[Site]],'Site Info'!$A$1:$C$11,3, FALSE)</f>
        <v>12</v>
      </c>
      <c r="M350" t="str">
        <f>VLOOKUP(Table2[[#This Row],[Species]],'Species Table'!$A$1:$D$68,3, FALSE)</f>
        <v>Perennial</v>
      </c>
      <c r="O350" s="15">
        <f>IF(SUMPRODUCT(($A$2:$A350=A350)*($B$2:$B350=B350)*($F$2:$F350=F350))&gt;1,0,1)</f>
        <v>0</v>
      </c>
      <c r="P350" s="15">
        <f>IF(SUMPRODUCT(($A$2:$A350=A350)*($B$2:$B350=B350)*($D$2:$D350=D350))&gt;1,0,1)</f>
        <v>1</v>
      </c>
    </row>
    <row r="351" spans="1:16" hidden="1" x14ac:dyDescent="0.35">
      <c r="A351" t="s">
        <v>18</v>
      </c>
      <c r="B351">
        <v>1999</v>
      </c>
      <c r="D351">
        <v>7.3</v>
      </c>
      <c r="E351">
        <f>INT(Table2[[#This Row],[Transect]])</f>
        <v>7</v>
      </c>
      <c r="F351" t="s">
        <v>10</v>
      </c>
      <c r="G351">
        <v>60</v>
      </c>
      <c r="H351">
        <v>200</v>
      </c>
      <c r="J351">
        <f>Table2[[#This Row],[Hits]]/Table2[[#This Row],[Points]]*100</f>
        <v>30</v>
      </c>
      <c r="K351">
        <f>VLOOKUP(Table2[[#This Row],[Site]],'Site Info'!$A$1:$C$11,2, FALSE)</f>
        <v>15</v>
      </c>
      <c r="L351">
        <f>VLOOKUP(Table2[[#This Row],[Site]],'Site Info'!$A$1:$C$11,3, FALSE)</f>
        <v>12</v>
      </c>
      <c r="M351" t="str">
        <f>VLOOKUP(Table2[[#This Row],[Species]],'Species Table'!$A$1:$D$68,3, FALSE)</f>
        <v>Annual</v>
      </c>
      <c r="O351" s="15">
        <f>IF(SUMPRODUCT(($A$2:$A351=A351)*($B$2:$B351=B351)*($F$2:$F351=F351))&gt;1,0,1)</f>
        <v>0</v>
      </c>
      <c r="P351" s="15">
        <f>IF(SUMPRODUCT(($A$2:$A351=A351)*($B$2:$B351=B351)*($D$2:$D351=D351))&gt;1,0,1)</f>
        <v>1</v>
      </c>
    </row>
    <row r="352" spans="1:16" x14ac:dyDescent="0.35">
      <c r="A352" t="s">
        <v>18</v>
      </c>
      <c r="B352">
        <v>1999</v>
      </c>
      <c r="D352">
        <v>7.3</v>
      </c>
      <c r="E352">
        <f>INT(Table2[[#This Row],[Transect]])</f>
        <v>7</v>
      </c>
      <c r="F352" t="s">
        <v>11</v>
      </c>
      <c r="G352">
        <v>4</v>
      </c>
      <c r="H352">
        <v>200</v>
      </c>
      <c r="J352">
        <f>Table2[[#This Row],[Hits]]/Table2[[#This Row],[Points]]*100</f>
        <v>2</v>
      </c>
      <c r="K352">
        <f>VLOOKUP(Table2[[#This Row],[Site]],'Site Info'!$A$1:$C$11,2, FALSE)</f>
        <v>15</v>
      </c>
      <c r="L352">
        <f>VLOOKUP(Table2[[#This Row],[Site]],'Site Info'!$A$1:$C$11,3, FALSE)</f>
        <v>12</v>
      </c>
      <c r="M352" t="str">
        <f>VLOOKUP(Table2[[#This Row],[Species]],'Species Table'!$A$1:$D$68,3, FALSE)</f>
        <v>Perennial</v>
      </c>
      <c r="O352" s="15">
        <f>IF(SUMPRODUCT(($A$2:$A352=A352)*($B$2:$B352=B352)*($F$2:$F352=F352))&gt;1,0,1)</f>
        <v>0</v>
      </c>
      <c r="P352" s="15">
        <f>IF(SUMPRODUCT(($A$2:$A352=A352)*($B$2:$B352=B352)*($D$2:$D352=D352))&gt;1,0,1)</f>
        <v>0</v>
      </c>
    </row>
    <row r="353" spans="1:16" x14ac:dyDescent="0.35">
      <c r="A353" t="s">
        <v>18</v>
      </c>
      <c r="B353">
        <v>1999</v>
      </c>
      <c r="D353">
        <v>7.3</v>
      </c>
      <c r="E353">
        <f>INT(Table2[[#This Row],[Transect]])</f>
        <v>7</v>
      </c>
      <c r="F353" t="s">
        <v>170</v>
      </c>
      <c r="G353">
        <v>10</v>
      </c>
      <c r="H353">
        <v>200</v>
      </c>
      <c r="J353">
        <f>Table2[[#This Row],[Hits]]/Table2[[#This Row],[Points]]*100</f>
        <v>5</v>
      </c>
      <c r="K353">
        <f>VLOOKUP(Table2[[#This Row],[Site]],'Site Info'!$A$1:$C$11,2, FALSE)</f>
        <v>15</v>
      </c>
      <c r="L353">
        <f>VLOOKUP(Table2[[#This Row],[Site]],'Site Info'!$A$1:$C$11,3, FALSE)</f>
        <v>12</v>
      </c>
      <c r="M353" t="str">
        <f>VLOOKUP(Table2[[#This Row],[Species]],'Species Table'!$A$1:$D$68,3, FALSE)</f>
        <v>Perennial</v>
      </c>
      <c r="O353" s="15">
        <f>IF(SUMPRODUCT(($A$2:$A353=A353)*($B$2:$B353=B353)*($F$2:$F353=F353))&gt;1,0,1)</f>
        <v>0</v>
      </c>
      <c r="P353" s="15">
        <f>IF(SUMPRODUCT(($A$2:$A353=A353)*($B$2:$B353=B353)*($D$2:$D353=D353))&gt;1,0,1)</f>
        <v>0</v>
      </c>
    </row>
    <row r="354" spans="1:16" hidden="1" x14ac:dyDescent="0.35">
      <c r="A354" t="s">
        <v>18</v>
      </c>
      <c r="B354">
        <v>1999</v>
      </c>
      <c r="D354">
        <v>7.4</v>
      </c>
      <c r="E354">
        <f>INT(Table2[[#This Row],[Transect]])</f>
        <v>7</v>
      </c>
      <c r="F354" t="s">
        <v>10</v>
      </c>
      <c r="G354">
        <v>4</v>
      </c>
      <c r="H354">
        <v>200</v>
      </c>
      <c r="J354">
        <f>Table2[[#This Row],[Hits]]/Table2[[#This Row],[Points]]*100</f>
        <v>2</v>
      </c>
      <c r="K354">
        <f>VLOOKUP(Table2[[#This Row],[Site]],'Site Info'!$A$1:$C$11,2, FALSE)</f>
        <v>15</v>
      </c>
      <c r="L354">
        <f>VLOOKUP(Table2[[#This Row],[Site]],'Site Info'!$A$1:$C$11,3, FALSE)</f>
        <v>12</v>
      </c>
      <c r="M354" t="str">
        <f>VLOOKUP(Table2[[#This Row],[Species]],'Species Table'!$A$1:$D$68,3, FALSE)</f>
        <v>Annual</v>
      </c>
      <c r="O354" s="15">
        <f>IF(SUMPRODUCT(($A$2:$A354=A354)*($B$2:$B354=B354)*($F$2:$F354=F354))&gt;1,0,1)</f>
        <v>0</v>
      </c>
      <c r="P354" s="15">
        <f>IF(SUMPRODUCT(($A$2:$A354=A354)*($B$2:$B354=B354)*($D$2:$D354=D354))&gt;1,0,1)</f>
        <v>1</v>
      </c>
    </row>
    <row r="355" spans="1:16" x14ac:dyDescent="0.35">
      <c r="A355" t="s">
        <v>18</v>
      </c>
      <c r="B355">
        <v>1999</v>
      </c>
      <c r="D355">
        <v>7.4</v>
      </c>
      <c r="E355">
        <f>INT(Table2[[#This Row],[Transect]])</f>
        <v>7</v>
      </c>
      <c r="F355" t="s">
        <v>11</v>
      </c>
      <c r="G355">
        <v>24</v>
      </c>
      <c r="H355">
        <v>200</v>
      </c>
      <c r="J355">
        <f>Table2[[#This Row],[Hits]]/Table2[[#This Row],[Points]]*100</f>
        <v>12</v>
      </c>
      <c r="K355">
        <f>VLOOKUP(Table2[[#This Row],[Site]],'Site Info'!$A$1:$C$11,2, FALSE)</f>
        <v>15</v>
      </c>
      <c r="L355">
        <f>VLOOKUP(Table2[[#This Row],[Site]],'Site Info'!$A$1:$C$11,3, FALSE)</f>
        <v>12</v>
      </c>
      <c r="M355" t="str">
        <f>VLOOKUP(Table2[[#This Row],[Species]],'Species Table'!$A$1:$D$68,3, FALSE)</f>
        <v>Perennial</v>
      </c>
      <c r="O355" s="15">
        <f>IF(SUMPRODUCT(($A$2:$A355=A355)*($B$2:$B355=B355)*($F$2:$F355=F355))&gt;1,0,1)</f>
        <v>0</v>
      </c>
      <c r="P355" s="15">
        <f>IF(SUMPRODUCT(($A$2:$A355=A355)*($B$2:$B355=B355)*($D$2:$D355=D355))&gt;1,0,1)</f>
        <v>0</v>
      </c>
    </row>
    <row r="356" spans="1:16" x14ac:dyDescent="0.35">
      <c r="A356" t="s">
        <v>18</v>
      </c>
      <c r="B356">
        <v>2003</v>
      </c>
      <c r="D356">
        <v>1.1000000000000001</v>
      </c>
      <c r="E356">
        <f>INT(Table2[[#This Row],[Transect]])</f>
        <v>1</v>
      </c>
      <c r="F356" t="s">
        <v>11</v>
      </c>
      <c r="G356">
        <v>3</v>
      </c>
      <c r="H356">
        <v>200</v>
      </c>
      <c r="J356">
        <f>Table2[[#This Row],[Hits]]/Table2[[#This Row],[Points]]*100</f>
        <v>1.5</v>
      </c>
      <c r="K356">
        <f>VLOOKUP(Table2[[#This Row],[Site]],'Site Info'!$A$1:$C$11,2, FALSE)</f>
        <v>15</v>
      </c>
      <c r="L356">
        <f>VLOOKUP(Table2[[#This Row],[Site]],'Site Info'!$A$1:$C$11,3, FALSE)</f>
        <v>12</v>
      </c>
      <c r="M356" t="str">
        <f>VLOOKUP(Table2[[#This Row],[Species]],'Species Table'!$A$1:$D$68,3, FALSE)</f>
        <v>Perennial</v>
      </c>
      <c r="O356" s="15">
        <f>IF(SUMPRODUCT(($A$2:$A356=A356)*($B$2:$B356=B356)*($F$2:$F356=F356))&gt;1,0,1)</f>
        <v>1</v>
      </c>
      <c r="P356" s="15">
        <f>IF(SUMPRODUCT(($A$2:$A356=A356)*($B$2:$B356=B356)*($D$2:$D356=D356))&gt;1,0,1)</f>
        <v>1</v>
      </c>
    </row>
    <row r="357" spans="1:16" x14ac:dyDescent="0.35">
      <c r="A357" t="s">
        <v>18</v>
      </c>
      <c r="B357">
        <v>2003</v>
      </c>
      <c r="D357">
        <v>1.2</v>
      </c>
      <c r="E357">
        <f>INT(Table2[[#This Row],[Transect]])</f>
        <v>1</v>
      </c>
      <c r="F357" t="s">
        <v>11</v>
      </c>
      <c r="G357">
        <v>2</v>
      </c>
      <c r="H357">
        <v>200</v>
      </c>
      <c r="J357">
        <f>Table2[[#This Row],[Hits]]/Table2[[#This Row],[Points]]*100</f>
        <v>1</v>
      </c>
      <c r="K357">
        <f>VLOOKUP(Table2[[#This Row],[Site]],'Site Info'!$A$1:$C$11,2, FALSE)</f>
        <v>15</v>
      </c>
      <c r="L357">
        <f>VLOOKUP(Table2[[#This Row],[Site]],'Site Info'!$A$1:$C$11,3, FALSE)</f>
        <v>12</v>
      </c>
      <c r="M357" t="str">
        <f>VLOOKUP(Table2[[#This Row],[Species]],'Species Table'!$A$1:$D$68,3, FALSE)</f>
        <v>Perennial</v>
      </c>
      <c r="O357" s="15">
        <f>IF(SUMPRODUCT(($A$2:$A357=A357)*($B$2:$B357=B357)*($F$2:$F357=F357))&gt;1,0,1)</f>
        <v>0</v>
      </c>
      <c r="P357" s="15">
        <f>IF(SUMPRODUCT(($A$2:$A357=A357)*($B$2:$B357=B357)*($D$2:$D357=D357))&gt;1,0,1)</f>
        <v>1</v>
      </c>
    </row>
    <row r="358" spans="1:16" hidden="1" x14ac:dyDescent="0.35">
      <c r="A358" t="s">
        <v>18</v>
      </c>
      <c r="B358">
        <v>2003</v>
      </c>
      <c r="D358">
        <v>1.3</v>
      </c>
      <c r="E358">
        <f>INT(Table2[[#This Row],[Transect]])</f>
        <v>1</v>
      </c>
      <c r="F358" t="s">
        <v>10</v>
      </c>
      <c r="G358">
        <v>2</v>
      </c>
      <c r="H358">
        <v>200</v>
      </c>
      <c r="J358">
        <f>Table2[[#This Row],[Hits]]/Table2[[#This Row],[Points]]*100</f>
        <v>1</v>
      </c>
      <c r="K358">
        <f>VLOOKUP(Table2[[#This Row],[Site]],'Site Info'!$A$1:$C$11,2, FALSE)</f>
        <v>15</v>
      </c>
      <c r="L358">
        <f>VLOOKUP(Table2[[#This Row],[Site]],'Site Info'!$A$1:$C$11,3, FALSE)</f>
        <v>12</v>
      </c>
      <c r="M358" t="str">
        <f>VLOOKUP(Table2[[#This Row],[Species]],'Species Table'!$A$1:$D$68,3, FALSE)</f>
        <v>Annual</v>
      </c>
      <c r="O358" s="15">
        <f>IF(SUMPRODUCT(($A$2:$A358=A358)*($B$2:$B358=B358)*($F$2:$F358=F358))&gt;1,0,1)</f>
        <v>1</v>
      </c>
      <c r="P358" s="15">
        <f>IF(SUMPRODUCT(($A$2:$A358=A358)*($B$2:$B358=B358)*($D$2:$D358=D358))&gt;1,0,1)</f>
        <v>1</v>
      </c>
    </row>
    <row r="359" spans="1:16" x14ac:dyDescent="0.35">
      <c r="A359" t="s">
        <v>18</v>
      </c>
      <c r="B359">
        <v>2003</v>
      </c>
      <c r="D359">
        <v>1.3</v>
      </c>
      <c r="E359">
        <f>INT(Table2[[#This Row],[Transect]])</f>
        <v>1</v>
      </c>
      <c r="F359" t="s">
        <v>11</v>
      </c>
      <c r="G359">
        <v>11</v>
      </c>
      <c r="H359">
        <v>200</v>
      </c>
      <c r="J359">
        <f>Table2[[#This Row],[Hits]]/Table2[[#This Row],[Points]]*100</f>
        <v>5.5</v>
      </c>
      <c r="K359">
        <f>VLOOKUP(Table2[[#This Row],[Site]],'Site Info'!$A$1:$C$11,2, FALSE)</f>
        <v>15</v>
      </c>
      <c r="L359">
        <f>VLOOKUP(Table2[[#This Row],[Site]],'Site Info'!$A$1:$C$11,3, FALSE)</f>
        <v>12</v>
      </c>
      <c r="M359" t="str">
        <f>VLOOKUP(Table2[[#This Row],[Species]],'Species Table'!$A$1:$D$68,3, FALSE)</f>
        <v>Perennial</v>
      </c>
      <c r="O359" s="15">
        <f>IF(SUMPRODUCT(($A$2:$A359=A359)*($B$2:$B359=B359)*($F$2:$F359=F359))&gt;1,0,1)</f>
        <v>0</v>
      </c>
      <c r="P359" s="15">
        <f>IF(SUMPRODUCT(($A$2:$A359=A359)*($B$2:$B359=B359)*($D$2:$D359=D359))&gt;1,0,1)</f>
        <v>0</v>
      </c>
    </row>
    <row r="360" spans="1:16" hidden="1" x14ac:dyDescent="0.35">
      <c r="A360" t="s">
        <v>18</v>
      </c>
      <c r="B360">
        <v>2003</v>
      </c>
      <c r="D360">
        <v>1.4</v>
      </c>
      <c r="E360">
        <f>INT(Table2[[#This Row],[Transect]])</f>
        <v>1</v>
      </c>
      <c r="F360" t="s">
        <v>127</v>
      </c>
      <c r="G360">
        <v>0</v>
      </c>
      <c r="H360">
        <v>200</v>
      </c>
      <c r="J360">
        <f>Table2[[#This Row],[Hits]]/Table2[[#This Row],[Points]]*100</f>
        <v>0</v>
      </c>
      <c r="K360">
        <f>VLOOKUP(Table2[[#This Row],[Site]],'Site Info'!$A$1:$C$11,2, FALSE)</f>
        <v>15</v>
      </c>
      <c r="L360">
        <f>VLOOKUP(Table2[[#This Row],[Site]],'Site Info'!$A$1:$C$11,3, FALSE)</f>
        <v>12</v>
      </c>
      <c r="M360" t="str">
        <f>VLOOKUP(Table2[[#This Row],[Species]],'Species Table'!$A$1:$D$68,3, FALSE)</f>
        <v>NA</v>
      </c>
      <c r="O360" s="15">
        <f>IF(SUMPRODUCT(($A$2:$A360=A360)*($B$2:$B360=B360)*($F$2:$F360=F360))&gt;1,0,1)</f>
        <v>1</v>
      </c>
      <c r="P360" s="15">
        <f>IF(SUMPRODUCT(($A$2:$A360=A360)*($B$2:$B360=B360)*($D$2:$D360=D360))&gt;1,0,1)</f>
        <v>1</v>
      </c>
    </row>
    <row r="361" spans="1:16" x14ac:dyDescent="0.35">
      <c r="A361" t="s">
        <v>18</v>
      </c>
      <c r="B361">
        <v>2003</v>
      </c>
      <c r="D361">
        <v>1.5</v>
      </c>
      <c r="E361">
        <f>INT(Table2[[#This Row],[Transect]])</f>
        <v>1</v>
      </c>
      <c r="F361" t="s">
        <v>11</v>
      </c>
      <c r="G361">
        <v>12</v>
      </c>
      <c r="H361">
        <v>200</v>
      </c>
      <c r="J361">
        <f>Table2[[#This Row],[Hits]]/Table2[[#This Row],[Points]]*100</f>
        <v>6</v>
      </c>
      <c r="K361">
        <f>VLOOKUP(Table2[[#This Row],[Site]],'Site Info'!$A$1:$C$11,2, FALSE)</f>
        <v>15</v>
      </c>
      <c r="L361">
        <f>VLOOKUP(Table2[[#This Row],[Site]],'Site Info'!$A$1:$C$11,3, FALSE)</f>
        <v>12</v>
      </c>
      <c r="M361" t="str">
        <f>VLOOKUP(Table2[[#This Row],[Species]],'Species Table'!$A$1:$D$68,3, FALSE)</f>
        <v>Perennial</v>
      </c>
      <c r="O361" s="15">
        <f>IF(SUMPRODUCT(($A$2:$A361=A361)*($B$2:$B361=B361)*($F$2:$F361=F361))&gt;1,0,1)</f>
        <v>0</v>
      </c>
      <c r="P361" s="15">
        <f>IF(SUMPRODUCT(($A$2:$A361=A361)*($B$2:$B361=B361)*($D$2:$D361=D361))&gt;1,0,1)</f>
        <v>1</v>
      </c>
    </row>
    <row r="362" spans="1:16" hidden="1" x14ac:dyDescent="0.35">
      <c r="A362" t="s">
        <v>18</v>
      </c>
      <c r="B362">
        <v>2003</v>
      </c>
      <c r="D362">
        <v>2.1</v>
      </c>
      <c r="E362">
        <f>INT(Table2[[#This Row],[Transect]])</f>
        <v>2</v>
      </c>
      <c r="F362" t="s">
        <v>10</v>
      </c>
      <c r="G362">
        <v>5</v>
      </c>
      <c r="H362">
        <v>200</v>
      </c>
      <c r="J362">
        <f>Table2[[#This Row],[Hits]]/Table2[[#This Row],[Points]]*100</f>
        <v>2.5</v>
      </c>
      <c r="K362">
        <f>VLOOKUP(Table2[[#This Row],[Site]],'Site Info'!$A$1:$C$11,2, FALSE)</f>
        <v>15</v>
      </c>
      <c r="L362">
        <f>VLOOKUP(Table2[[#This Row],[Site]],'Site Info'!$A$1:$C$11,3, FALSE)</f>
        <v>12</v>
      </c>
      <c r="M362" t="str">
        <f>VLOOKUP(Table2[[#This Row],[Species]],'Species Table'!$A$1:$D$68,3, FALSE)</f>
        <v>Annual</v>
      </c>
      <c r="O362" s="15">
        <f>IF(SUMPRODUCT(($A$2:$A362=A362)*($B$2:$B362=B362)*($F$2:$F362=F362))&gt;1,0,1)</f>
        <v>0</v>
      </c>
      <c r="P362" s="15">
        <f>IF(SUMPRODUCT(($A$2:$A362=A362)*($B$2:$B362=B362)*($D$2:$D362=D362))&gt;1,0,1)</f>
        <v>1</v>
      </c>
    </row>
    <row r="363" spans="1:16" x14ac:dyDescent="0.35">
      <c r="A363" t="s">
        <v>18</v>
      </c>
      <c r="B363">
        <v>2003</v>
      </c>
      <c r="D363">
        <v>2.1</v>
      </c>
      <c r="E363">
        <f>INT(Table2[[#This Row],[Transect]])</f>
        <v>2</v>
      </c>
      <c r="F363" t="s">
        <v>11</v>
      </c>
      <c r="G363">
        <v>13</v>
      </c>
      <c r="H363">
        <v>200</v>
      </c>
      <c r="J363">
        <f>Table2[[#This Row],[Hits]]/Table2[[#This Row],[Points]]*100</f>
        <v>6.5</v>
      </c>
      <c r="K363">
        <f>VLOOKUP(Table2[[#This Row],[Site]],'Site Info'!$A$1:$C$11,2, FALSE)</f>
        <v>15</v>
      </c>
      <c r="L363">
        <f>VLOOKUP(Table2[[#This Row],[Site]],'Site Info'!$A$1:$C$11,3, FALSE)</f>
        <v>12</v>
      </c>
      <c r="M363" t="str">
        <f>VLOOKUP(Table2[[#This Row],[Species]],'Species Table'!$A$1:$D$68,3, FALSE)</f>
        <v>Perennial</v>
      </c>
      <c r="O363" s="15">
        <f>IF(SUMPRODUCT(($A$2:$A363=A363)*($B$2:$B363=B363)*($F$2:$F363=F363))&gt;1,0,1)</f>
        <v>0</v>
      </c>
      <c r="P363" s="15">
        <f>IF(SUMPRODUCT(($A$2:$A363=A363)*($B$2:$B363=B363)*($D$2:$D363=D363))&gt;1,0,1)</f>
        <v>0</v>
      </c>
    </row>
    <row r="364" spans="1:16" hidden="1" x14ac:dyDescent="0.35">
      <c r="A364" t="s">
        <v>18</v>
      </c>
      <c r="B364">
        <v>2003</v>
      </c>
      <c r="D364">
        <v>2.2000000000000002</v>
      </c>
      <c r="E364">
        <f>INT(Table2[[#This Row],[Transect]])</f>
        <v>2</v>
      </c>
      <c r="F364" t="s">
        <v>10</v>
      </c>
      <c r="G364">
        <v>4</v>
      </c>
      <c r="H364">
        <v>200</v>
      </c>
      <c r="J364">
        <f>Table2[[#This Row],[Hits]]/Table2[[#This Row],[Points]]*100</f>
        <v>2</v>
      </c>
      <c r="K364">
        <f>VLOOKUP(Table2[[#This Row],[Site]],'Site Info'!$A$1:$C$11,2, FALSE)</f>
        <v>15</v>
      </c>
      <c r="L364">
        <f>VLOOKUP(Table2[[#This Row],[Site]],'Site Info'!$A$1:$C$11,3, FALSE)</f>
        <v>12</v>
      </c>
      <c r="M364" t="str">
        <f>VLOOKUP(Table2[[#This Row],[Species]],'Species Table'!$A$1:$D$68,3, FALSE)</f>
        <v>Annual</v>
      </c>
      <c r="O364" s="15">
        <f>IF(SUMPRODUCT(($A$2:$A364=A364)*($B$2:$B364=B364)*($F$2:$F364=F364))&gt;1,0,1)</f>
        <v>0</v>
      </c>
      <c r="P364" s="15">
        <f>IF(SUMPRODUCT(($A$2:$A364=A364)*($B$2:$B364=B364)*($D$2:$D364=D364))&gt;1,0,1)</f>
        <v>1</v>
      </c>
    </row>
    <row r="365" spans="1:16" x14ac:dyDescent="0.35">
      <c r="A365" t="s">
        <v>18</v>
      </c>
      <c r="B365">
        <v>2003</v>
      </c>
      <c r="D365">
        <v>2.2000000000000002</v>
      </c>
      <c r="E365">
        <f>INT(Table2[[#This Row],[Transect]])</f>
        <v>2</v>
      </c>
      <c r="F365" t="s">
        <v>11</v>
      </c>
      <c r="G365">
        <v>4</v>
      </c>
      <c r="H365">
        <v>200</v>
      </c>
      <c r="J365">
        <f>Table2[[#This Row],[Hits]]/Table2[[#This Row],[Points]]*100</f>
        <v>2</v>
      </c>
      <c r="K365">
        <f>VLOOKUP(Table2[[#This Row],[Site]],'Site Info'!$A$1:$C$11,2, FALSE)</f>
        <v>15</v>
      </c>
      <c r="L365">
        <f>VLOOKUP(Table2[[#This Row],[Site]],'Site Info'!$A$1:$C$11,3, FALSE)</f>
        <v>12</v>
      </c>
      <c r="M365" t="str">
        <f>VLOOKUP(Table2[[#This Row],[Species]],'Species Table'!$A$1:$D$68,3, FALSE)</f>
        <v>Perennial</v>
      </c>
      <c r="O365" s="15">
        <f>IF(SUMPRODUCT(($A$2:$A365=A365)*($B$2:$B365=B365)*($F$2:$F365=F365))&gt;1,0,1)</f>
        <v>0</v>
      </c>
      <c r="P365" s="15">
        <f>IF(SUMPRODUCT(($A$2:$A365=A365)*($B$2:$B365=B365)*($D$2:$D365=D365))&gt;1,0,1)</f>
        <v>0</v>
      </c>
    </row>
    <row r="366" spans="1:16" hidden="1" x14ac:dyDescent="0.35">
      <c r="A366" t="s">
        <v>18</v>
      </c>
      <c r="B366">
        <v>2003</v>
      </c>
      <c r="D366">
        <v>2.2000000000000002</v>
      </c>
      <c r="E366">
        <f>INT(Table2[[#This Row],[Transect]])</f>
        <v>2</v>
      </c>
      <c r="F366" t="s">
        <v>237</v>
      </c>
      <c r="G366">
        <v>2</v>
      </c>
      <c r="H366">
        <v>200</v>
      </c>
      <c r="J366">
        <f>Table2[[#This Row],[Hits]]/Table2[[#This Row],[Points]]*100</f>
        <v>1</v>
      </c>
      <c r="K366">
        <f>VLOOKUP(Table2[[#This Row],[Site]],'Site Info'!$A$1:$C$11,2, FALSE)</f>
        <v>15</v>
      </c>
      <c r="L366">
        <f>VLOOKUP(Table2[[#This Row],[Site]],'Site Info'!$A$1:$C$11,3, FALSE)</f>
        <v>12</v>
      </c>
      <c r="M366" t="str">
        <f>VLOOKUP(Table2[[#This Row],[Species]],'Species Table'!$A$1:$D$68,3, FALSE)</f>
        <v>Unknown</v>
      </c>
      <c r="O366" s="15">
        <f>IF(SUMPRODUCT(($A$2:$A366=A366)*($B$2:$B366=B366)*($F$2:$F366=F366))&gt;1,0,1)</f>
        <v>1</v>
      </c>
      <c r="P366" s="15">
        <f>IF(SUMPRODUCT(($A$2:$A366=A366)*($B$2:$B366=B366)*($D$2:$D366=D366))&gt;1,0,1)</f>
        <v>0</v>
      </c>
    </row>
    <row r="367" spans="1:16" hidden="1" x14ac:dyDescent="0.35">
      <c r="A367" t="s">
        <v>18</v>
      </c>
      <c r="B367">
        <v>2003</v>
      </c>
      <c r="D367">
        <v>2.2999999999999998</v>
      </c>
      <c r="E367">
        <f>INT(Table2[[#This Row],[Transect]])</f>
        <v>2</v>
      </c>
      <c r="F367" t="s">
        <v>10</v>
      </c>
      <c r="G367">
        <v>1</v>
      </c>
      <c r="H367">
        <v>200</v>
      </c>
      <c r="J367">
        <f>Table2[[#This Row],[Hits]]/Table2[[#This Row],[Points]]*100</f>
        <v>0.5</v>
      </c>
      <c r="K367">
        <f>VLOOKUP(Table2[[#This Row],[Site]],'Site Info'!$A$1:$C$11,2, FALSE)</f>
        <v>15</v>
      </c>
      <c r="L367">
        <f>VLOOKUP(Table2[[#This Row],[Site]],'Site Info'!$A$1:$C$11,3, FALSE)</f>
        <v>12</v>
      </c>
      <c r="M367" t="str">
        <f>VLOOKUP(Table2[[#This Row],[Species]],'Species Table'!$A$1:$D$68,3, FALSE)</f>
        <v>Annual</v>
      </c>
      <c r="O367" s="15">
        <f>IF(SUMPRODUCT(($A$2:$A367=A367)*($B$2:$B367=B367)*($F$2:$F367=F367))&gt;1,0,1)</f>
        <v>0</v>
      </c>
      <c r="P367" s="15">
        <f>IF(SUMPRODUCT(($A$2:$A367=A367)*($B$2:$B367=B367)*($D$2:$D367=D367))&gt;1,0,1)</f>
        <v>1</v>
      </c>
    </row>
    <row r="368" spans="1:16" x14ac:dyDescent="0.35">
      <c r="A368" t="s">
        <v>18</v>
      </c>
      <c r="B368">
        <v>2003</v>
      </c>
      <c r="D368">
        <v>2.2999999999999998</v>
      </c>
      <c r="E368">
        <f>INT(Table2[[#This Row],[Transect]])</f>
        <v>2</v>
      </c>
      <c r="F368" t="s">
        <v>11</v>
      </c>
      <c r="G368">
        <v>8</v>
      </c>
      <c r="H368">
        <v>200</v>
      </c>
      <c r="J368">
        <f>Table2[[#This Row],[Hits]]/Table2[[#This Row],[Points]]*100</f>
        <v>4</v>
      </c>
      <c r="K368">
        <f>VLOOKUP(Table2[[#This Row],[Site]],'Site Info'!$A$1:$C$11,2, FALSE)</f>
        <v>15</v>
      </c>
      <c r="L368">
        <f>VLOOKUP(Table2[[#This Row],[Site]],'Site Info'!$A$1:$C$11,3, FALSE)</f>
        <v>12</v>
      </c>
      <c r="M368" t="str">
        <f>VLOOKUP(Table2[[#This Row],[Species]],'Species Table'!$A$1:$D$68,3, FALSE)</f>
        <v>Perennial</v>
      </c>
      <c r="O368" s="15">
        <f>IF(SUMPRODUCT(($A$2:$A368=A368)*($B$2:$B368=B368)*($F$2:$F368=F368))&gt;1,0,1)</f>
        <v>0</v>
      </c>
      <c r="P368" s="15">
        <f>IF(SUMPRODUCT(($A$2:$A368=A368)*($B$2:$B368=B368)*($D$2:$D368=D368))&gt;1,0,1)</f>
        <v>0</v>
      </c>
    </row>
    <row r="369" spans="1:16" x14ac:dyDescent="0.35">
      <c r="A369" t="s">
        <v>18</v>
      </c>
      <c r="B369">
        <v>2003</v>
      </c>
      <c r="D369">
        <v>2.4</v>
      </c>
      <c r="E369">
        <f>INT(Table2[[#This Row],[Transect]])</f>
        <v>2</v>
      </c>
      <c r="F369" t="s">
        <v>11</v>
      </c>
      <c r="G369">
        <v>1</v>
      </c>
      <c r="H369">
        <v>200</v>
      </c>
      <c r="J369">
        <f>Table2[[#This Row],[Hits]]/Table2[[#This Row],[Points]]*100</f>
        <v>0.5</v>
      </c>
      <c r="K369">
        <f>VLOOKUP(Table2[[#This Row],[Site]],'Site Info'!$A$1:$C$11,2, FALSE)</f>
        <v>15</v>
      </c>
      <c r="L369">
        <f>VLOOKUP(Table2[[#This Row],[Site]],'Site Info'!$A$1:$C$11,3, FALSE)</f>
        <v>12</v>
      </c>
      <c r="M369" t="str">
        <f>VLOOKUP(Table2[[#This Row],[Species]],'Species Table'!$A$1:$D$68,3, FALSE)</f>
        <v>Perennial</v>
      </c>
      <c r="O369" s="15">
        <f>IF(SUMPRODUCT(($A$2:$A369=A369)*($B$2:$B369=B369)*($F$2:$F369=F369))&gt;1,0,1)</f>
        <v>0</v>
      </c>
      <c r="P369" s="15">
        <f>IF(SUMPRODUCT(($A$2:$A369=A369)*($B$2:$B369=B369)*($D$2:$D369=D369))&gt;1,0,1)</f>
        <v>1</v>
      </c>
    </row>
    <row r="370" spans="1:16" hidden="1" x14ac:dyDescent="0.35">
      <c r="A370" t="s">
        <v>18</v>
      </c>
      <c r="B370">
        <v>2003</v>
      </c>
      <c r="D370">
        <v>2.5</v>
      </c>
      <c r="E370">
        <f>INT(Table2[[#This Row],[Transect]])</f>
        <v>2</v>
      </c>
      <c r="F370" t="s">
        <v>127</v>
      </c>
      <c r="G370">
        <v>0</v>
      </c>
      <c r="H370">
        <v>200</v>
      </c>
      <c r="J370">
        <f>Table2[[#This Row],[Hits]]/Table2[[#This Row],[Points]]*100</f>
        <v>0</v>
      </c>
      <c r="K370">
        <f>VLOOKUP(Table2[[#This Row],[Site]],'Site Info'!$A$1:$C$11,2, FALSE)</f>
        <v>15</v>
      </c>
      <c r="L370">
        <f>VLOOKUP(Table2[[#This Row],[Site]],'Site Info'!$A$1:$C$11,3, FALSE)</f>
        <v>12</v>
      </c>
      <c r="M370" t="str">
        <f>VLOOKUP(Table2[[#This Row],[Species]],'Species Table'!$A$1:$D$68,3, FALSE)</f>
        <v>NA</v>
      </c>
      <c r="O370" s="15">
        <f>IF(SUMPRODUCT(($A$2:$A370=A370)*($B$2:$B370=B370)*($F$2:$F370=F370))&gt;1,0,1)</f>
        <v>0</v>
      </c>
      <c r="P370" s="15">
        <f>IF(SUMPRODUCT(($A$2:$A370=A370)*($B$2:$B370=B370)*($D$2:$D370=D370))&gt;1,0,1)</f>
        <v>1</v>
      </c>
    </row>
    <row r="371" spans="1:16" hidden="1" x14ac:dyDescent="0.35">
      <c r="A371" t="s">
        <v>18</v>
      </c>
      <c r="B371">
        <v>2003</v>
      </c>
      <c r="D371">
        <v>2.6</v>
      </c>
      <c r="E371">
        <f>INT(Table2[[#This Row],[Transect]])</f>
        <v>2</v>
      </c>
      <c r="F371" t="s">
        <v>127</v>
      </c>
      <c r="G371">
        <v>0</v>
      </c>
      <c r="H371">
        <v>200</v>
      </c>
      <c r="J371">
        <f>Table2[[#This Row],[Hits]]/Table2[[#This Row],[Points]]*100</f>
        <v>0</v>
      </c>
      <c r="K371">
        <f>VLOOKUP(Table2[[#This Row],[Site]],'Site Info'!$A$1:$C$11,2, FALSE)</f>
        <v>15</v>
      </c>
      <c r="L371">
        <f>VLOOKUP(Table2[[#This Row],[Site]],'Site Info'!$A$1:$C$11,3, FALSE)</f>
        <v>12</v>
      </c>
      <c r="M371" t="str">
        <f>VLOOKUP(Table2[[#This Row],[Species]],'Species Table'!$A$1:$D$68,3, FALSE)</f>
        <v>NA</v>
      </c>
      <c r="O371" s="15">
        <f>IF(SUMPRODUCT(($A$2:$A371=A371)*($B$2:$B371=B371)*($F$2:$F371=F371))&gt;1,0,1)</f>
        <v>0</v>
      </c>
      <c r="P371" s="15">
        <f>IF(SUMPRODUCT(($A$2:$A371=A371)*($B$2:$B371=B371)*($D$2:$D371=D371))&gt;1,0,1)</f>
        <v>1</v>
      </c>
    </row>
    <row r="372" spans="1:16" hidden="1" x14ac:dyDescent="0.35">
      <c r="A372" t="s">
        <v>18</v>
      </c>
      <c r="B372">
        <v>2003</v>
      </c>
      <c r="D372">
        <v>2.7</v>
      </c>
      <c r="E372">
        <f>INT(Table2[[#This Row],[Transect]])</f>
        <v>2</v>
      </c>
      <c r="F372" t="s">
        <v>127</v>
      </c>
      <c r="G372">
        <v>0</v>
      </c>
      <c r="H372">
        <v>200</v>
      </c>
      <c r="J372">
        <f>Table2[[#This Row],[Hits]]/Table2[[#This Row],[Points]]*100</f>
        <v>0</v>
      </c>
      <c r="K372">
        <f>VLOOKUP(Table2[[#This Row],[Site]],'Site Info'!$A$1:$C$11,2, FALSE)</f>
        <v>15</v>
      </c>
      <c r="L372">
        <f>VLOOKUP(Table2[[#This Row],[Site]],'Site Info'!$A$1:$C$11,3, FALSE)</f>
        <v>12</v>
      </c>
      <c r="M372" t="str">
        <f>VLOOKUP(Table2[[#This Row],[Species]],'Species Table'!$A$1:$D$68,3, FALSE)</f>
        <v>NA</v>
      </c>
      <c r="O372" s="15">
        <f>IF(SUMPRODUCT(($A$2:$A372=A372)*($B$2:$B372=B372)*($F$2:$F372=F372))&gt;1,0,1)</f>
        <v>0</v>
      </c>
      <c r="P372" s="15">
        <f>IF(SUMPRODUCT(($A$2:$A372=A372)*($B$2:$B372=B372)*($D$2:$D372=D372))&gt;1,0,1)</f>
        <v>1</v>
      </c>
    </row>
    <row r="373" spans="1:16" x14ac:dyDescent="0.35">
      <c r="A373" t="s">
        <v>18</v>
      </c>
      <c r="B373">
        <v>2003</v>
      </c>
      <c r="D373">
        <v>2.8</v>
      </c>
      <c r="E373">
        <f>INT(Table2[[#This Row],[Transect]])</f>
        <v>2</v>
      </c>
      <c r="F373" t="s">
        <v>11</v>
      </c>
      <c r="G373">
        <v>16</v>
      </c>
      <c r="H373">
        <v>199</v>
      </c>
      <c r="J373">
        <f>Table2[[#This Row],[Hits]]/Table2[[#This Row],[Points]]*100</f>
        <v>8.0402010050251249</v>
      </c>
      <c r="K373">
        <f>VLOOKUP(Table2[[#This Row],[Site]],'Site Info'!$A$1:$C$11,2, FALSE)</f>
        <v>15</v>
      </c>
      <c r="L373">
        <f>VLOOKUP(Table2[[#This Row],[Site]],'Site Info'!$A$1:$C$11,3, FALSE)</f>
        <v>12</v>
      </c>
      <c r="M373" t="str">
        <f>VLOOKUP(Table2[[#This Row],[Species]],'Species Table'!$A$1:$D$68,3, FALSE)</f>
        <v>Perennial</v>
      </c>
      <c r="O373" s="15">
        <f>IF(SUMPRODUCT(($A$2:$A373=A373)*($B$2:$B373=B373)*($F$2:$F373=F373))&gt;1,0,1)</f>
        <v>0</v>
      </c>
      <c r="P373" s="15">
        <f>IF(SUMPRODUCT(($A$2:$A373=A373)*($B$2:$B373=B373)*($D$2:$D373=D373))&gt;1,0,1)</f>
        <v>1</v>
      </c>
    </row>
    <row r="374" spans="1:16" x14ac:dyDescent="0.35">
      <c r="A374" t="s">
        <v>18</v>
      </c>
      <c r="B374">
        <v>2003</v>
      </c>
      <c r="D374">
        <v>2.8</v>
      </c>
      <c r="E374">
        <f>INT(Table2[[#This Row],[Transect]])</f>
        <v>2</v>
      </c>
      <c r="F374" t="s">
        <v>170</v>
      </c>
      <c r="G374">
        <v>16</v>
      </c>
      <c r="H374">
        <v>199</v>
      </c>
      <c r="J374">
        <f>Table2[[#This Row],[Hits]]/Table2[[#This Row],[Points]]*100</f>
        <v>8.0402010050251249</v>
      </c>
      <c r="K374">
        <f>VLOOKUP(Table2[[#This Row],[Site]],'Site Info'!$A$1:$C$11,2, FALSE)</f>
        <v>15</v>
      </c>
      <c r="L374">
        <f>VLOOKUP(Table2[[#This Row],[Site]],'Site Info'!$A$1:$C$11,3, FALSE)</f>
        <v>12</v>
      </c>
      <c r="M374" t="str">
        <f>VLOOKUP(Table2[[#This Row],[Species]],'Species Table'!$A$1:$D$68,3, FALSE)</f>
        <v>Perennial</v>
      </c>
      <c r="O374" s="15">
        <f>IF(SUMPRODUCT(($A$2:$A374=A374)*($B$2:$B374=B374)*($F$2:$F374=F374))&gt;1,0,1)</f>
        <v>1</v>
      </c>
      <c r="P374" s="15">
        <f>IF(SUMPRODUCT(($A$2:$A374=A374)*($B$2:$B374=B374)*($D$2:$D374=D374))&gt;1,0,1)</f>
        <v>0</v>
      </c>
    </row>
    <row r="375" spans="1:16" hidden="1" x14ac:dyDescent="0.35">
      <c r="A375" t="s">
        <v>18</v>
      </c>
      <c r="B375">
        <v>2003</v>
      </c>
      <c r="D375">
        <v>3.1</v>
      </c>
      <c r="E375">
        <f>INT(Table2[[#This Row],[Transect]])</f>
        <v>3</v>
      </c>
      <c r="F375" t="s">
        <v>127</v>
      </c>
      <c r="G375">
        <v>0</v>
      </c>
      <c r="H375">
        <v>200</v>
      </c>
      <c r="J375">
        <f>Table2[[#This Row],[Hits]]/Table2[[#This Row],[Points]]*100</f>
        <v>0</v>
      </c>
      <c r="K375">
        <f>VLOOKUP(Table2[[#This Row],[Site]],'Site Info'!$A$1:$C$11,2, FALSE)</f>
        <v>15</v>
      </c>
      <c r="L375">
        <f>VLOOKUP(Table2[[#This Row],[Site]],'Site Info'!$A$1:$C$11,3, FALSE)</f>
        <v>12</v>
      </c>
      <c r="M375" t="str">
        <f>VLOOKUP(Table2[[#This Row],[Species]],'Species Table'!$A$1:$D$68,3, FALSE)</f>
        <v>NA</v>
      </c>
      <c r="O375" s="15">
        <f>IF(SUMPRODUCT(($A$2:$A375=A375)*($B$2:$B375=B375)*($F$2:$F375=F375))&gt;1,0,1)</f>
        <v>0</v>
      </c>
      <c r="P375" s="15">
        <f>IF(SUMPRODUCT(($A$2:$A375=A375)*($B$2:$B375=B375)*($D$2:$D375=D375))&gt;1,0,1)</f>
        <v>1</v>
      </c>
    </row>
    <row r="376" spans="1:16" hidden="1" x14ac:dyDescent="0.35">
      <c r="A376" t="s">
        <v>18</v>
      </c>
      <c r="B376">
        <v>2003</v>
      </c>
      <c r="D376">
        <v>3.2</v>
      </c>
      <c r="E376">
        <f>INT(Table2[[#This Row],[Transect]])</f>
        <v>3</v>
      </c>
      <c r="F376" t="s">
        <v>127</v>
      </c>
      <c r="G376">
        <v>0</v>
      </c>
      <c r="H376">
        <v>200</v>
      </c>
      <c r="J376">
        <f>Table2[[#This Row],[Hits]]/Table2[[#This Row],[Points]]*100</f>
        <v>0</v>
      </c>
      <c r="K376">
        <f>VLOOKUP(Table2[[#This Row],[Site]],'Site Info'!$A$1:$C$11,2, FALSE)</f>
        <v>15</v>
      </c>
      <c r="L376">
        <f>VLOOKUP(Table2[[#This Row],[Site]],'Site Info'!$A$1:$C$11,3, FALSE)</f>
        <v>12</v>
      </c>
      <c r="M376" t="str">
        <f>VLOOKUP(Table2[[#This Row],[Species]],'Species Table'!$A$1:$D$68,3, FALSE)</f>
        <v>NA</v>
      </c>
      <c r="O376" s="15">
        <f>IF(SUMPRODUCT(($A$2:$A376=A376)*($B$2:$B376=B376)*($F$2:$F376=F376))&gt;1,0,1)</f>
        <v>0</v>
      </c>
      <c r="P376" s="15">
        <f>IF(SUMPRODUCT(($A$2:$A376=A376)*($B$2:$B376=B376)*($D$2:$D376=D376))&gt;1,0,1)</f>
        <v>1</v>
      </c>
    </row>
    <row r="377" spans="1:16" hidden="1" x14ac:dyDescent="0.35">
      <c r="A377" t="s">
        <v>18</v>
      </c>
      <c r="B377">
        <v>2003</v>
      </c>
      <c r="D377">
        <v>3.3</v>
      </c>
      <c r="E377">
        <f>INT(Table2[[#This Row],[Transect]])</f>
        <v>3</v>
      </c>
      <c r="F377" t="s">
        <v>10</v>
      </c>
      <c r="G377">
        <v>1</v>
      </c>
      <c r="H377">
        <v>200</v>
      </c>
      <c r="J377">
        <f>Table2[[#This Row],[Hits]]/Table2[[#This Row],[Points]]*100</f>
        <v>0.5</v>
      </c>
      <c r="K377">
        <f>VLOOKUP(Table2[[#This Row],[Site]],'Site Info'!$A$1:$C$11,2, FALSE)</f>
        <v>15</v>
      </c>
      <c r="L377">
        <f>VLOOKUP(Table2[[#This Row],[Site]],'Site Info'!$A$1:$C$11,3, FALSE)</f>
        <v>12</v>
      </c>
      <c r="M377" t="str">
        <f>VLOOKUP(Table2[[#This Row],[Species]],'Species Table'!$A$1:$D$68,3, FALSE)</f>
        <v>Annual</v>
      </c>
      <c r="O377" s="15">
        <f>IF(SUMPRODUCT(($A$2:$A377=A377)*($B$2:$B377=B377)*($F$2:$F377=F377))&gt;1,0,1)</f>
        <v>0</v>
      </c>
      <c r="P377" s="15">
        <f>IF(SUMPRODUCT(($A$2:$A377=A377)*($B$2:$B377=B377)*($D$2:$D377=D377))&gt;1,0,1)</f>
        <v>1</v>
      </c>
    </row>
    <row r="378" spans="1:16" hidden="1" x14ac:dyDescent="0.35">
      <c r="A378" t="s">
        <v>18</v>
      </c>
      <c r="B378">
        <v>2003</v>
      </c>
      <c r="D378">
        <v>3.4</v>
      </c>
      <c r="E378">
        <f>INT(Table2[[#This Row],[Transect]])</f>
        <v>3</v>
      </c>
      <c r="F378" t="s">
        <v>127</v>
      </c>
      <c r="G378">
        <v>0</v>
      </c>
      <c r="H378">
        <v>200</v>
      </c>
      <c r="J378">
        <f>Table2[[#This Row],[Hits]]/Table2[[#This Row],[Points]]*100</f>
        <v>0</v>
      </c>
      <c r="K378">
        <f>VLOOKUP(Table2[[#This Row],[Site]],'Site Info'!$A$1:$C$11,2, FALSE)</f>
        <v>15</v>
      </c>
      <c r="L378">
        <f>VLOOKUP(Table2[[#This Row],[Site]],'Site Info'!$A$1:$C$11,3, FALSE)</f>
        <v>12</v>
      </c>
      <c r="M378" t="str">
        <f>VLOOKUP(Table2[[#This Row],[Species]],'Species Table'!$A$1:$D$68,3, FALSE)</f>
        <v>NA</v>
      </c>
      <c r="O378" s="15">
        <f>IF(SUMPRODUCT(($A$2:$A378=A378)*($B$2:$B378=B378)*($F$2:$F378=F378))&gt;1,0,1)</f>
        <v>0</v>
      </c>
      <c r="P378" s="15">
        <f>IF(SUMPRODUCT(($A$2:$A378=A378)*($B$2:$B378=B378)*($D$2:$D378=D378))&gt;1,0,1)</f>
        <v>1</v>
      </c>
    </row>
    <row r="379" spans="1:16" hidden="1" x14ac:dyDescent="0.35">
      <c r="A379" t="s">
        <v>18</v>
      </c>
      <c r="B379">
        <v>2003</v>
      </c>
      <c r="D379">
        <v>3.5</v>
      </c>
      <c r="E379">
        <f>INT(Table2[[#This Row],[Transect]])</f>
        <v>3</v>
      </c>
      <c r="F379" t="s">
        <v>237</v>
      </c>
      <c r="G379">
        <v>2</v>
      </c>
      <c r="H379">
        <v>200</v>
      </c>
      <c r="J379">
        <f>Table2[[#This Row],[Hits]]/Table2[[#This Row],[Points]]*100</f>
        <v>1</v>
      </c>
      <c r="K379">
        <f>VLOOKUP(Table2[[#This Row],[Site]],'Site Info'!$A$1:$C$11,2, FALSE)</f>
        <v>15</v>
      </c>
      <c r="L379">
        <f>VLOOKUP(Table2[[#This Row],[Site]],'Site Info'!$A$1:$C$11,3, FALSE)</f>
        <v>12</v>
      </c>
      <c r="M379" t="str">
        <f>VLOOKUP(Table2[[#This Row],[Species]],'Species Table'!$A$1:$D$68,3, FALSE)</f>
        <v>Unknown</v>
      </c>
      <c r="O379" s="15">
        <f>IF(SUMPRODUCT(($A$2:$A379=A379)*($B$2:$B379=B379)*($F$2:$F379=F379))&gt;1,0,1)</f>
        <v>0</v>
      </c>
      <c r="P379" s="15">
        <f>IF(SUMPRODUCT(($A$2:$A379=A379)*($B$2:$B379=B379)*($D$2:$D379=D379))&gt;1,0,1)</f>
        <v>1</v>
      </c>
    </row>
    <row r="380" spans="1:16" hidden="1" x14ac:dyDescent="0.35">
      <c r="A380" t="s">
        <v>18</v>
      </c>
      <c r="B380">
        <v>2003</v>
      </c>
      <c r="D380">
        <v>3.6</v>
      </c>
      <c r="E380">
        <f>INT(Table2[[#This Row],[Transect]])</f>
        <v>3</v>
      </c>
      <c r="F380" t="s">
        <v>127</v>
      </c>
      <c r="G380">
        <v>0</v>
      </c>
      <c r="H380">
        <v>200</v>
      </c>
      <c r="J380">
        <f>Table2[[#This Row],[Hits]]/Table2[[#This Row],[Points]]*100</f>
        <v>0</v>
      </c>
      <c r="K380">
        <f>VLOOKUP(Table2[[#This Row],[Site]],'Site Info'!$A$1:$C$11,2, FALSE)</f>
        <v>15</v>
      </c>
      <c r="L380">
        <f>VLOOKUP(Table2[[#This Row],[Site]],'Site Info'!$A$1:$C$11,3, FALSE)</f>
        <v>12</v>
      </c>
      <c r="M380" t="str">
        <f>VLOOKUP(Table2[[#This Row],[Species]],'Species Table'!$A$1:$D$68,3, FALSE)</f>
        <v>NA</v>
      </c>
      <c r="O380" s="15">
        <f>IF(SUMPRODUCT(($A$2:$A380=A380)*($B$2:$B380=B380)*($F$2:$F380=F380))&gt;1,0,1)</f>
        <v>0</v>
      </c>
      <c r="P380" s="15">
        <f>IF(SUMPRODUCT(($A$2:$A380=A380)*($B$2:$B380=B380)*($D$2:$D380=D380))&gt;1,0,1)</f>
        <v>1</v>
      </c>
    </row>
    <row r="381" spans="1:16" x14ac:dyDescent="0.35">
      <c r="A381" t="s">
        <v>18</v>
      </c>
      <c r="B381">
        <v>2003</v>
      </c>
      <c r="D381">
        <v>3.7</v>
      </c>
      <c r="E381">
        <f>INT(Table2[[#This Row],[Transect]])</f>
        <v>3</v>
      </c>
      <c r="F381" t="s">
        <v>11</v>
      </c>
      <c r="G381">
        <v>29</v>
      </c>
      <c r="H381">
        <v>199</v>
      </c>
      <c r="J381">
        <f>Table2[[#This Row],[Hits]]/Table2[[#This Row],[Points]]*100</f>
        <v>14.572864321608039</v>
      </c>
      <c r="K381">
        <f>VLOOKUP(Table2[[#This Row],[Site]],'Site Info'!$A$1:$C$11,2, FALSE)</f>
        <v>15</v>
      </c>
      <c r="L381">
        <f>VLOOKUP(Table2[[#This Row],[Site]],'Site Info'!$A$1:$C$11,3, FALSE)</f>
        <v>12</v>
      </c>
      <c r="M381" t="str">
        <f>VLOOKUP(Table2[[#This Row],[Species]],'Species Table'!$A$1:$D$68,3, FALSE)</f>
        <v>Perennial</v>
      </c>
      <c r="O381" s="15">
        <f>IF(SUMPRODUCT(($A$2:$A381=A381)*($B$2:$B381=B381)*($F$2:$F381=F381))&gt;1,0,1)</f>
        <v>0</v>
      </c>
      <c r="P381" s="15">
        <f>IF(SUMPRODUCT(($A$2:$A381=A381)*($B$2:$B381=B381)*($D$2:$D381=D381))&gt;1,0,1)</f>
        <v>1</v>
      </c>
    </row>
    <row r="382" spans="1:16" x14ac:dyDescent="0.35">
      <c r="A382" t="s">
        <v>18</v>
      </c>
      <c r="B382">
        <v>2003</v>
      </c>
      <c r="D382">
        <v>3.7</v>
      </c>
      <c r="E382">
        <f>INT(Table2[[#This Row],[Transect]])</f>
        <v>3</v>
      </c>
      <c r="F382" t="s">
        <v>31</v>
      </c>
      <c r="G382">
        <v>2</v>
      </c>
      <c r="H382">
        <v>199</v>
      </c>
      <c r="J382">
        <f>Table2[[#This Row],[Hits]]/Table2[[#This Row],[Points]]*100</f>
        <v>1.0050251256281406</v>
      </c>
      <c r="K382">
        <f>VLOOKUP(Table2[[#This Row],[Site]],'Site Info'!$A$1:$C$11,2, FALSE)</f>
        <v>15</v>
      </c>
      <c r="L382">
        <f>VLOOKUP(Table2[[#This Row],[Site]],'Site Info'!$A$1:$C$11,3, FALSE)</f>
        <v>12</v>
      </c>
      <c r="M382" t="str">
        <f>VLOOKUP(Table2[[#This Row],[Species]],'Species Table'!$A$1:$D$68,3, FALSE)</f>
        <v>Perennial</v>
      </c>
      <c r="O382" s="15">
        <f>IF(SUMPRODUCT(($A$2:$A382=A382)*($B$2:$B382=B382)*($F$2:$F382=F382))&gt;1,0,1)</f>
        <v>1</v>
      </c>
      <c r="P382" s="15">
        <f>IF(SUMPRODUCT(($A$2:$A382=A382)*($B$2:$B382=B382)*($D$2:$D382=D382))&gt;1,0,1)</f>
        <v>0</v>
      </c>
    </row>
    <row r="383" spans="1:16" x14ac:dyDescent="0.35">
      <c r="A383" t="s">
        <v>18</v>
      </c>
      <c r="B383">
        <v>2003</v>
      </c>
      <c r="D383">
        <v>4.0999999999999996</v>
      </c>
      <c r="E383">
        <f>INT(Table2[[#This Row],[Transect]])</f>
        <v>4</v>
      </c>
      <c r="F383" t="s">
        <v>11</v>
      </c>
      <c r="G383">
        <v>2</v>
      </c>
      <c r="H383">
        <v>200</v>
      </c>
      <c r="J383">
        <f>Table2[[#This Row],[Hits]]/Table2[[#This Row],[Points]]*100</f>
        <v>1</v>
      </c>
      <c r="K383">
        <f>VLOOKUP(Table2[[#This Row],[Site]],'Site Info'!$A$1:$C$11,2, FALSE)</f>
        <v>15</v>
      </c>
      <c r="L383">
        <f>VLOOKUP(Table2[[#This Row],[Site]],'Site Info'!$A$1:$C$11,3, FALSE)</f>
        <v>12</v>
      </c>
      <c r="M383" t="str">
        <f>VLOOKUP(Table2[[#This Row],[Species]],'Species Table'!$A$1:$D$68,3, FALSE)</f>
        <v>Perennial</v>
      </c>
      <c r="O383" s="15">
        <f>IF(SUMPRODUCT(($A$2:$A383=A383)*($B$2:$B383=B383)*($F$2:$F383=F383))&gt;1,0,1)</f>
        <v>0</v>
      </c>
      <c r="P383" s="15">
        <f>IF(SUMPRODUCT(($A$2:$A383=A383)*($B$2:$B383=B383)*($D$2:$D383=D383))&gt;1,0,1)</f>
        <v>1</v>
      </c>
    </row>
    <row r="384" spans="1:16" x14ac:dyDescent="0.35">
      <c r="A384" t="s">
        <v>18</v>
      </c>
      <c r="B384">
        <v>2003</v>
      </c>
      <c r="D384">
        <v>4.2</v>
      </c>
      <c r="E384">
        <f>INT(Table2[[#This Row],[Transect]])</f>
        <v>4</v>
      </c>
      <c r="F384" t="s">
        <v>11</v>
      </c>
      <c r="G384">
        <v>4</v>
      </c>
      <c r="H384">
        <v>200</v>
      </c>
      <c r="J384">
        <f>Table2[[#This Row],[Hits]]/Table2[[#This Row],[Points]]*100</f>
        <v>2</v>
      </c>
      <c r="K384">
        <f>VLOOKUP(Table2[[#This Row],[Site]],'Site Info'!$A$1:$C$11,2, FALSE)</f>
        <v>15</v>
      </c>
      <c r="L384">
        <f>VLOOKUP(Table2[[#This Row],[Site]],'Site Info'!$A$1:$C$11,3, FALSE)</f>
        <v>12</v>
      </c>
      <c r="M384" t="str">
        <f>VLOOKUP(Table2[[#This Row],[Species]],'Species Table'!$A$1:$D$68,3, FALSE)</f>
        <v>Perennial</v>
      </c>
      <c r="O384" s="15">
        <f>IF(SUMPRODUCT(($A$2:$A384=A384)*($B$2:$B384=B384)*($F$2:$F384=F384))&gt;1,0,1)</f>
        <v>0</v>
      </c>
      <c r="P384" s="15">
        <f>IF(SUMPRODUCT(($A$2:$A384=A384)*($B$2:$B384=B384)*($D$2:$D384=D384))&gt;1,0,1)</f>
        <v>1</v>
      </c>
    </row>
    <row r="385" spans="1:16" x14ac:dyDescent="0.35">
      <c r="A385" t="s">
        <v>18</v>
      </c>
      <c r="B385">
        <v>2003</v>
      </c>
      <c r="D385">
        <v>4.3</v>
      </c>
      <c r="E385">
        <f>INT(Table2[[#This Row],[Transect]])</f>
        <v>4</v>
      </c>
      <c r="F385" t="s">
        <v>11</v>
      </c>
      <c r="G385">
        <v>2</v>
      </c>
      <c r="H385">
        <v>200</v>
      </c>
      <c r="J385">
        <f>Table2[[#This Row],[Hits]]/Table2[[#This Row],[Points]]*100</f>
        <v>1</v>
      </c>
      <c r="K385">
        <f>VLOOKUP(Table2[[#This Row],[Site]],'Site Info'!$A$1:$C$11,2, FALSE)</f>
        <v>15</v>
      </c>
      <c r="L385">
        <f>VLOOKUP(Table2[[#This Row],[Site]],'Site Info'!$A$1:$C$11,3, FALSE)</f>
        <v>12</v>
      </c>
      <c r="M385" t="str">
        <f>VLOOKUP(Table2[[#This Row],[Species]],'Species Table'!$A$1:$D$68,3, FALSE)</f>
        <v>Perennial</v>
      </c>
      <c r="O385" s="15">
        <f>IF(SUMPRODUCT(($A$2:$A385=A385)*($B$2:$B385=B385)*($F$2:$F385=F385))&gt;1,0,1)</f>
        <v>0</v>
      </c>
      <c r="P385" s="15">
        <f>IF(SUMPRODUCT(($A$2:$A385=A385)*($B$2:$B385=B385)*($D$2:$D385=D385))&gt;1,0,1)</f>
        <v>1</v>
      </c>
    </row>
    <row r="386" spans="1:16" x14ac:dyDescent="0.35">
      <c r="A386" t="s">
        <v>18</v>
      </c>
      <c r="B386">
        <v>2003</v>
      </c>
      <c r="D386">
        <v>4.4000000000000004</v>
      </c>
      <c r="E386">
        <f>INT(Table2[[#This Row],[Transect]])</f>
        <v>4</v>
      </c>
      <c r="F386" t="s">
        <v>11</v>
      </c>
      <c r="G386">
        <v>9</v>
      </c>
      <c r="H386">
        <v>200</v>
      </c>
      <c r="J386">
        <f>Table2[[#This Row],[Hits]]/Table2[[#This Row],[Points]]*100</f>
        <v>4.5</v>
      </c>
      <c r="K386">
        <f>VLOOKUP(Table2[[#This Row],[Site]],'Site Info'!$A$1:$C$11,2, FALSE)</f>
        <v>15</v>
      </c>
      <c r="L386">
        <f>VLOOKUP(Table2[[#This Row],[Site]],'Site Info'!$A$1:$C$11,3, FALSE)</f>
        <v>12</v>
      </c>
      <c r="M386" t="str">
        <f>VLOOKUP(Table2[[#This Row],[Species]],'Species Table'!$A$1:$D$68,3, FALSE)</f>
        <v>Perennial</v>
      </c>
      <c r="O386" s="15">
        <f>IF(SUMPRODUCT(($A$2:$A386=A386)*($B$2:$B386=B386)*($F$2:$F386=F386))&gt;1,0,1)</f>
        <v>0</v>
      </c>
      <c r="P386" s="15">
        <f>IF(SUMPRODUCT(($A$2:$A386=A386)*($B$2:$B386=B386)*($D$2:$D386=D386))&gt;1,0,1)</f>
        <v>1</v>
      </c>
    </row>
    <row r="387" spans="1:16" x14ac:dyDescent="0.35">
      <c r="A387" t="s">
        <v>18</v>
      </c>
      <c r="B387">
        <v>2003</v>
      </c>
      <c r="D387">
        <v>4.5</v>
      </c>
      <c r="E387">
        <f>INT(Table2[[#This Row],[Transect]])</f>
        <v>4</v>
      </c>
      <c r="F387" t="s">
        <v>11</v>
      </c>
      <c r="G387">
        <v>5</v>
      </c>
      <c r="H387">
        <v>200</v>
      </c>
      <c r="J387">
        <f>Table2[[#This Row],[Hits]]/Table2[[#This Row],[Points]]*100</f>
        <v>2.5</v>
      </c>
      <c r="K387">
        <f>VLOOKUP(Table2[[#This Row],[Site]],'Site Info'!$A$1:$C$11,2, FALSE)</f>
        <v>15</v>
      </c>
      <c r="L387">
        <f>VLOOKUP(Table2[[#This Row],[Site]],'Site Info'!$A$1:$C$11,3, FALSE)</f>
        <v>12</v>
      </c>
      <c r="M387" t="str">
        <f>VLOOKUP(Table2[[#This Row],[Species]],'Species Table'!$A$1:$D$68,3, FALSE)</f>
        <v>Perennial</v>
      </c>
      <c r="O387" s="15">
        <f>IF(SUMPRODUCT(($A$2:$A387=A387)*($B$2:$B387=B387)*($F$2:$F387=F387))&gt;1,0,1)</f>
        <v>0</v>
      </c>
      <c r="P387" s="15">
        <f>IF(SUMPRODUCT(($A$2:$A387=A387)*($B$2:$B387=B387)*($D$2:$D387=D387))&gt;1,0,1)</f>
        <v>1</v>
      </c>
    </row>
    <row r="388" spans="1:16" x14ac:dyDescent="0.35">
      <c r="A388" t="s">
        <v>18</v>
      </c>
      <c r="B388">
        <v>2003</v>
      </c>
      <c r="D388">
        <v>4.5999999999999996</v>
      </c>
      <c r="E388">
        <f>INT(Table2[[#This Row],[Transect]])</f>
        <v>4</v>
      </c>
      <c r="F388" t="s">
        <v>11</v>
      </c>
      <c r="G388">
        <v>4</v>
      </c>
      <c r="H388">
        <v>200</v>
      </c>
      <c r="J388">
        <f>Table2[[#This Row],[Hits]]/Table2[[#This Row],[Points]]*100</f>
        <v>2</v>
      </c>
      <c r="K388">
        <f>VLOOKUP(Table2[[#This Row],[Site]],'Site Info'!$A$1:$C$11,2, FALSE)</f>
        <v>15</v>
      </c>
      <c r="L388">
        <f>VLOOKUP(Table2[[#This Row],[Site]],'Site Info'!$A$1:$C$11,3, FALSE)</f>
        <v>12</v>
      </c>
      <c r="M388" t="str">
        <f>VLOOKUP(Table2[[#This Row],[Species]],'Species Table'!$A$1:$D$68,3, FALSE)</f>
        <v>Perennial</v>
      </c>
      <c r="O388" s="15">
        <f>IF(SUMPRODUCT(($A$2:$A388=A388)*($B$2:$B388=B388)*($F$2:$F388=F388))&gt;1,0,1)</f>
        <v>0</v>
      </c>
      <c r="P388" s="15">
        <f>IF(SUMPRODUCT(($A$2:$A388=A388)*($B$2:$B388=B388)*($D$2:$D388=D388))&gt;1,0,1)</f>
        <v>1</v>
      </c>
    </row>
    <row r="389" spans="1:16" x14ac:dyDescent="0.35">
      <c r="A389" t="s">
        <v>18</v>
      </c>
      <c r="B389">
        <v>2003</v>
      </c>
      <c r="D389">
        <v>4.7</v>
      </c>
      <c r="E389">
        <f>INT(Table2[[#This Row],[Transect]])</f>
        <v>4</v>
      </c>
      <c r="F389" t="s">
        <v>11</v>
      </c>
      <c r="G389">
        <v>17</v>
      </c>
      <c r="H389">
        <v>189</v>
      </c>
      <c r="J389">
        <f>Table2[[#This Row],[Hits]]/Table2[[#This Row],[Points]]*100</f>
        <v>8.9947089947089935</v>
      </c>
      <c r="K389">
        <f>VLOOKUP(Table2[[#This Row],[Site]],'Site Info'!$A$1:$C$11,2, FALSE)</f>
        <v>15</v>
      </c>
      <c r="L389">
        <f>VLOOKUP(Table2[[#This Row],[Site]],'Site Info'!$A$1:$C$11,3, FALSE)</f>
        <v>12</v>
      </c>
      <c r="M389" t="str">
        <f>VLOOKUP(Table2[[#This Row],[Species]],'Species Table'!$A$1:$D$68,3, FALSE)</f>
        <v>Perennial</v>
      </c>
      <c r="O389" s="15">
        <f>IF(SUMPRODUCT(($A$2:$A389=A389)*($B$2:$B389=B389)*($F$2:$F389=F389))&gt;1,0,1)</f>
        <v>0</v>
      </c>
      <c r="P389" s="15">
        <f>IF(SUMPRODUCT(($A$2:$A389=A389)*($B$2:$B389=B389)*($D$2:$D389=D389))&gt;1,0,1)</f>
        <v>1</v>
      </c>
    </row>
    <row r="390" spans="1:16" x14ac:dyDescent="0.35">
      <c r="A390" t="s">
        <v>18</v>
      </c>
      <c r="B390">
        <v>2003</v>
      </c>
      <c r="D390">
        <v>4.7</v>
      </c>
      <c r="E390">
        <f>INT(Table2[[#This Row],[Transect]])</f>
        <v>4</v>
      </c>
      <c r="F390" t="s">
        <v>12</v>
      </c>
      <c r="G390">
        <v>7</v>
      </c>
      <c r="H390">
        <v>189</v>
      </c>
      <c r="J390">
        <f>Table2[[#This Row],[Hits]]/Table2[[#This Row],[Points]]*100</f>
        <v>3.7037037037037033</v>
      </c>
      <c r="K390">
        <f>VLOOKUP(Table2[[#This Row],[Site]],'Site Info'!$A$1:$C$11,2, FALSE)</f>
        <v>15</v>
      </c>
      <c r="L390">
        <f>VLOOKUP(Table2[[#This Row],[Site]],'Site Info'!$A$1:$C$11,3, FALSE)</f>
        <v>12</v>
      </c>
      <c r="M390" t="str">
        <f>VLOOKUP(Table2[[#This Row],[Species]],'Species Table'!$A$1:$D$68,3, FALSE)</f>
        <v>Perennial</v>
      </c>
      <c r="O390" s="15">
        <f>IF(SUMPRODUCT(($A$2:$A390=A390)*($B$2:$B390=B390)*($F$2:$F390=F390))&gt;1,0,1)</f>
        <v>1</v>
      </c>
      <c r="P390" s="15">
        <f>IF(SUMPRODUCT(($A$2:$A390=A390)*($B$2:$B390=B390)*($D$2:$D390=D390))&gt;1,0,1)</f>
        <v>0</v>
      </c>
    </row>
    <row r="391" spans="1:16" x14ac:dyDescent="0.35">
      <c r="A391" t="s">
        <v>18</v>
      </c>
      <c r="B391">
        <v>2003</v>
      </c>
      <c r="D391">
        <v>5.0999999999999996</v>
      </c>
      <c r="E391">
        <f>INT(Table2[[#This Row],[Transect]])</f>
        <v>5</v>
      </c>
      <c r="F391" t="s">
        <v>11</v>
      </c>
      <c r="G391">
        <v>21</v>
      </c>
      <c r="H391">
        <v>200</v>
      </c>
      <c r="J391">
        <f>Table2[[#This Row],[Hits]]/Table2[[#This Row],[Points]]*100</f>
        <v>10.5</v>
      </c>
      <c r="K391">
        <f>VLOOKUP(Table2[[#This Row],[Site]],'Site Info'!$A$1:$C$11,2, FALSE)</f>
        <v>15</v>
      </c>
      <c r="L391">
        <f>VLOOKUP(Table2[[#This Row],[Site]],'Site Info'!$A$1:$C$11,3, FALSE)</f>
        <v>12</v>
      </c>
      <c r="M391" t="str">
        <f>VLOOKUP(Table2[[#This Row],[Species]],'Species Table'!$A$1:$D$68,3, FALSE)</f>
        <v>Perennial</v>
      </c>
      <c r="O391" s="15">
        <f>IF(SUMPRODUCT(($A$2:$A391=A391)*($B$2:$B391=B391)*($F$2:$F391=F391))&gt;1,0,1)</f>
        <v>0</v>
      </c>
      <c r="P391" s="15">
        <f>IF(SUMPRODUCT(($A$2:$A391=A391)*($B$2:$B391=B391)*($D$2:$D391=D391))&gt;1,0,1)</f>
        <v>1</v>
      </c>
    </row>
    <row r="392" spans="1:16" x14ac:dyDescent="0.35">
      <c r="A392" t="s">
        <v>18</v>
      </c>
      <c r="B392">
        <v>2003</v>
      </c>
      <c r="D392">
        <v>5.0999999999999996</v>
      </c>
      <c r="E392">
        <f>INT(Table2[[#This Row],[Transect]])</f>
        <v>5</v>
      </c>
      <c r="F392" t="s">
        <v>12</v>
      </c>
      <c r="G392">
        <v>11</v>
      </c>
      <c r="H392">
        <v>200</v>
      </c>
      <c r="J392">
        <f>Table2[[#This Row],[Hits]]/Table2[[#This Row],[Points]]*100</f>
        <v>5.5</v>
      </c>
      <c r="K392">
        <f>VLOOKUP(Table2[[#This Row],[Site]],'Site Info'!$A$1:$C$11,2, FALSE)</f>
        <v>15</v>
      </c>
      <c r="L392">
        <f>VLOOKUP(Table2[[#This Row],[Site]],'Site Info'!$A$1:$C$11,3, FALSE)</f>
        <v>12</v>
      </c>
      <c r="M392" t="str">
        <f>VLOOKUP(Table2[[#This Row],[Species]],'Species Table'!$A$1:$D$68,3, FALSE)</f>
        <v>Perennial</v>
      </c>
      <c r="O392" s="15">
        <f>IF(SUMPRODUCT(($A$2:$A392=A392)*($B$2:$B392=B392)*($F$2:$F392=F392))&gt;1,0,1)</f>
        <v>0</v>
      </c>
      <c r="P392" s="15">
        <f>IF(SUMPRODUCT(($A$2:$A392=A392)*($B$2:$B392=B392)*($D$2:$D392=D392))&gt;1,0,1)</f>
        <v>0</v>
      </c>
    </row>
    <row r="393" spans="1:16" x14ac:dyDescent="0.35">
      <c r="A393" t="s">
        <v>18</v>
      </c>
      <c r="B393">
        <v>2003</v>
      </c>
      <c r="D393">
        <v>5.2</v>
      </c>
      <c r="E393">
        <f>INT(Table2[[#This Row],[Transect]])</f>
        <v>5</v>
      </c>
      <c r="F393" t="s">
        <v>11</v>
      </c>
      <c r="G393">
        <v>9</v>
      </c>
      <c r="H393">
        <v>200</v>
      </c>
      <c r="J393">
        <f>Table2[[#This Row],[Hits]]/Table2[[#This Row],[Points]]*100</f>
        <v>4.5</v>
      </c>
      <c r="K393">
        <f>VLOOKUP(Table2[[#This Row],[Site]],'Site Info'!$A$1:$C$11,2, FALSE)</f>
        <v>15</v>
      </c>
      <c r="L393">
        <f>VLOOKUP(Table2[[#This Row],[Site]],'Site Info'!$A$1:$C$11,3, FALSE)</f>
        <v>12</v>
      </c>
      <c r="M393" t="str">
        <f>VLOOKUP(Table2[[#This Row],[Species]],'Species Table'!$A$1:$D$68,3, FALSE)</f>
        <v>Perennial</v>
      </c>
      <c r="O393" s="15">
        <f>IF(SUMPRODUCT(($A$2:$A393=A393)*($B$2:$B393=B393)*($F$2:$F393=F393))&gt;1,0,1)</f>
        <v>0</v>
      </c>
      <c r="P393" s="15">
        <f>IF(SUMPRODUCT(($A$2:$A393=A393)*($B$2:$B393=B393)*($D$2:$D393=D393))&gt;1,0,1)</f>
        <v>1</v>
      </c>
    </row>
    <row r="394" spans="1:16" x14ac:dyDescent="0.35">
      <c r="A394" t="s">
        <v>18</v>
      </c>
      <c r="B394">
        <v>2003</v>
      </c>
      <c r="D394">
        <v>5.2</v>
      </c>
      <c r="E394">
        <f>INT(Table2[[#This Row],[Transect]])</f>
        <v>5</v>
      </c>
      <c r="F394" t="s">
        <v>12</v>
      </c>
      <c r="G394">
        <v>6</v>
      </c>
      <c r="H394">
        <v>200</v>
      </c>
      <c r="J394">
        <f>Table2[[#This Row],[Hits]]/Table2[[#This Row],[Points]]*100</f>
        <v>3</v>
      </c>
      <c r="K394">
        <f>VLOOKUP(Table2[[#This Row],[Site]],'Site Info'!$A$1:$C$11,2, FALSE)</f>
        <v>15</v>
      </c>
      <c r="L394">
        <f>VLOOKUP(Table2[[#This Row],[Site]],'Site Info'!$A$1:$C$11,3, FALSE)</f>
        <v>12</v>
      </c>
      <c r="M394" t="str">
        <f>VLOOKUP(Table2[[#This Row],[Species]],'Species Table'!$A$1:$D$68,3, FALSE)</f>
        <v>Perennial</v>
      </c>
      <c r="O394" s="15">
        <f>IF(SUMPRODUCT(($A$2:$A394=A394)*($B$2:$B394=B394)*($F$2:$F394=F394))&gt;1,0,1)</f>
        <v>0</v>
      </c>
      <c r="P394" s="15">
        <f>IF(SUMPRODUCT(($A$2:$A394=A394)*($B$2:$B394=B394)*($D$2:$D394=D394))&gt;1,0,1)</f>
        <v>0</v>
      </c>
    </row>
    <row r="395" spans="1:16" x14ac:dyDescent="0.35">
      <c r="A395" t="s">
        <v>18</v>
      </c>
      <c r="B395">
        <v>2003</v>
      </c>
      <c r="D395">
        <v>5.2</v>
      </c>
      <c r="E395">
        <f>INT(Table2[[#This Row],[Transect]])</f>
        <v>5</v>
      </c>
      <c r="F395" t="s">
        <v>170</v>
      </c>
      <c r="G395">
        <v>18</v>
      </c>
      <c r="H395">
        <v>200</v>
      </c>
      <c r="J395">
        <f>Table2[[#This Row],[Hits]]/Table2[[#This Row],[Points]]*100</f>
        <v>9</v>
      </c>
      <c r="K395">
        <f>VLOOKUP(Table2[[#This Row],[Site]],'Site Info'!$A$1:$C$11,2, FALSE)</f>
        <v>15</v>
      </c>
      <c r="L395">
        <f>VLOOKUP(Table2[[#This Row],[Site]],'Site Info'!$A$1:$C$11,3, FALSE)</f>
        <v>12</v>
      </c>
      <c r="M395" t="str">
        <f>VLOOKUP(Table2[[#This Row],[Species]],'Species Table'!$A$1:$D$68,3, FALSE)</f>
        <v>Perennial</v>
      </c>
      <c r="O395" s="15">
        <f>IF(SUMPRODUCT(($A$2:$A395=A395)*($B$2:$B395=B395)*($F$2:$F395=F395))&gt;1,0,1)</f>
        <v>0</v>
      </c>
      <c r="P395" s="15">
        <f>IF(SUMPRODUCT(($A$2:$A395=A395)*($B$2:$B395=B395)*($D$2:$D395=D395))&gt;1,0,1)</f>
        <v>0</v>
      </c>
    </row>
    <row r="396" spans="1:16" hidden="1" x14ac:dyDescent="0.35">
      <c r="A396" t="s">
        <v>18</v>
      </c>
      <c r="B396">
        <v>2003</v>
      </c>
      <c r="D396">
        <v>5.3</v>
      </c>
      <c r="E396">
        <f>INT(Table2[[#This Row],[Transect]])</f>
        <v>5</v>
      </c>
      <c r="F396" t="s">
        <v>127</v>
      </c>
      <c r="G396">
        <v>0</v>
      </c>
      <c r="H396">
        <v>200</v>
      </c>
      <c r="J396">
        <f>Table2[[#This Row],[Hits]]/Table2[[#This Row],[Points]]*100</f>
        <v>0</v>
      </c>
      <c r="K396">
        <f>VLOOKUP(Table2[[#This Row],[Site]],'Site Info'!$A$1:$C$11,2, FALSE)</f>
        <v>15</v>
      </c>
      <c r="L396">
        <f>VLOOKUP(Table2[[#This Row],[Site]],'Site Info'!$A$1:$C$11,3, FALSE)</f>
        <v>12</v>
      </c>
      <c r="M396" t="str">
        <f>VLOOKUP(Table2[[#This Row],[Species]],'Species Table'!$A$1:$D$68,3, FALSE)</f>
        <v>NA</v>
      </c>
      <c r="O396" s="15">
        <f>IF(SUMPRODUCT(($A$2:$A396=A396)*($B$2:$B396=B396)*($F$2:$F396=F396))&gt;1,0,1)</f>
        <v>0</v>
      </c>
      <c r="P396" s="15">
        <f>IF(SUMPRODUCT(($A$2:$A396=A396)*($B$2:$B396=B396)*($D$2:$D396=D396))&gt;1,0,1)</f>
        <v>1</v>
      </c>
    </row>
    <row r="397" spans="1:16" x14ac:dyDescent="0.35">
      <c r="A397" t="s">
        <v>18</v>
      </c>
      <c r="B397">
        <v>2003</v>
      </c>
      <c r="D397">
        <v>5.4</v>
      </c>
      <c r="E397">
        <f>INT(Table2[[#This Row],[Transect]])</f>
        <v>5</v>
      </c>
      <c r="F397" t="s">
        <v>11</v>
      </c>
      <c r="G397">
        <v>3</v>
      </c>
      <c r="H397">
        <v>200</v>
      </c>
      <c r="J397">
        <f>Table2[[#This Row],[Hits]]/Table2[[#This Row],[Points]]*100</f>
        <v>1.5</v>
      </c>
      <c r="K397">
        <f>VLOOKUP(Table2[[#This Row],[Site]],'Site Info'!$A$1:$C$11,2, FALSE)</f>
        <v>15</v>
      </c>
      <c r="L397">
        <f>VLOOKUP(Table2[[#This Row],[Site]],'Site Info'!$A$1:$C$11,3, FALSE)</f>
        <v>12</v>
      </c>
      <c r="M397" t="str">
        <f>VLOOKUP(Table2[[#This Row],[Species]],'Species Table'!$A$1:$D$68,3, FALSE)</f>
        <v>Perennial</v>
      </c>
      <c r="O397" s="15">
        <f>IF(SUMPRODUCT(($A$2:$A397=A397)*($B$2:$B397=B397)*($F$2:$F397=F397))&gt;1,0,1)</f>
        <v>0</v>
      </c>
      <c r="P397" s="15">
        <f>IF(SUMPRODUCT(($A$2:$A397=A397)*($B$2:$B397=B397)*($D$2:$D397=D397))&gt;1,0,1)</f>
        <v>1</v>
      </c>
    </row>
    <row r="398" spans="1:16" x14ac:dyDescent="0.35">
      <c r="A398" t="s">
        <v>18</v>
      </c>
      <c r="B398">
        <v>2003</v>
      </c>
      <c r="D398">
        <v>5.5</v>
      </c>
      <c r="E398">
        <f>INT(Table2[[#This Row],[Transect]])</f>
        <v>5</v>
      </c>
      <c r="F398" t="s">
        <v>11</v>
      </c>
      <c r="G398">
        <v>8</v>
      </c>
      <c r="H398">
        <v>200</v>
      </c>
      <c r="J398">
        <f>Table2[[#This Row],[Hits]]/Table2[[#This Row],[Points]]*100</f>
        <v>4</v>
      </c>
      <c r="K398">
        <f>VLOOKUP(Table2[[#This Row],[Site]],'Site Info'!$A$1:$C$11,2, FALSE)</f>
        <v>15</v>
      </c>
      <c r="L398">
        <f>VLOOKUP(Table2[[#This Row],[Site]],'Site Info'!$A$1:$C$11,3, FALSE)</f>
        <v>12</v>
      </c>
      <c r="M398" t="str">
        <f>VLOOKUP(Table2[[#This Row],[Species]],'Species Table'!$A$1:$D$68,3, FALSE)</f>
        <v>Perennial</v>
      </c>
      <c r="O398" s="15">
        <f>IF(SUMPRODUCT(($A$2:$A398=A398)*($B$2:$B398=B398)*($F$2:$F398=F398))&gt;1,0,1)</f>
        <v>0</v>
      </c>
      <c r="P398" s="15">
        <f>IF(SUMPRODUCT(($A$2:$A398=A398)*($B$2:$B398=B398)*($D$2:$D398=D398))&gt;1,0,1)</f>
        <v>1</v>
      </c>
    </row>
    <row r="399" spans="1:16" hidden="1" x14ac:dyDescent="0.35">
      <c r="A399" t="s">
        <v>18</v>
      </c>
      <c r="B399">
        <v>2003</v>
      </c>
      <c r="D399">
        <v>5.6</v>
      </c>
      <c r="E399">
        <f>INT(Table2[[#This Row],[Transect]])</f>
        <v>5</v>
      </c>
      <c r="F399" t="s">
        <v>127</v>
      </c>
      <c r="G399">
        <v>0</v>
      </c>
      <c r="H399">
        <v>200</v>
      </c>
      <c r="J399">
        <f>Table2[[#This Row],[Hits]]/Table2[[#This Row],[Points]]*100</f>
        <v>0</v>
      </c>
      <c r="K399">
        <f>VLOOKUP(Table2[[#This Row],[Site]],'Site Info'!$A$1:$C$11,2, FALSE)</f>
        <v>15</v>
      </c>
      <c r="L399">
        <f>VLOOKUP(Table2[[#This Row],[Site]],'Site Info'!$A$1:$C$11,3, FALSE)</f>
        <v>12</v>
      </c>
      <c r="M399" t="str">
        <f>VLOOKUP(Table2[[#This Row],[Species]],'Species Table'!$A$1:$D$68,3, FALSE)</f>
        <v>NA</v>
      </c>
      <c r="O399" s="15">
        <f>IF(SUMPRODUCT(($A$2:$A399=A399)*($B$2:$B399=B399)*($F$2:$F399=F399))&gt;1,0,1)</f>
        <v>0</v>
      </c>
      <c r="P399" s="15">
        <f>IF(SUMPRODUCT(($A$2:$A399=A399)*($B$2:$B399=B399)*($D$2:$D399=D399))&gt;1,0,1)</f>
        <v>1</v>
      </c>
    </row>
    <row r="400" spans="1:16" x14ac:dyDescent="0.35">
      <c r="A400" t="s">
        <v>18</v>
      </c>
      <c r="B400">
        <v>2003</v>
      </c>
      <c r="D400">
        <v>6.1</v>
      </c>
      <c r="E400">
        <f>INT(Table2[[#This Row],[Transect]])</f>
        <v>6</v>
      </c>
      <c r="F400" t="s">
        <v>11</v>
      </c>
      <c r="G400">
        <v>6</v>
      </c>
      <c r="H400">
        <v>200</v>
      </c>
      <c r="J400">
        <f>Table2[[#This Row],[Hits]]/Table2[[#This Row],[Points]]*100</f>
        <v>3</v>
      </c>
      <c r="K400">
        <f>VLOOKUP(Table2[[#This Row],[Site]],'Site Info'!$A$1:$C$11,2, FALSE)</f>
        <v>15</v>
      </c>
      <c r="L400">
        <f>VLOOKUP(Table2[[#This Row],[Site]],'Site Info'!$A$1:$C$11,3, FALSE)</f>
        <v>12</v>
      </c>
      <c r="M400" t="str">
        <f>VLOOKUP(Table2[[#This Row],[Species]],'Species Table'!$A$1:$D$68,3, FALSE)</f>
        <v>Perennial</v>
      </c>
      <c r="O400" s="15">
        <f>IF(SUMPRODUCT(($A$2:$A400=A400)*($B$2:$B400=B400)*($F$2:$F400=F400))&gt;1,0,1)</f>
        <v>0</v>
      </c>
      <c r="P400" s="15">
        <f>IF(SUMPRODUCT(($A$2:$A400=A400)*($B$2:$B400=B400)*($D$2:$D400=D400))&gt;1,0,1)</f>
        <v>1</v>
      </c>
    </row>
    <row r="401" spans="1:16" x14ac:dyDescent="0.35">
      <c r="A401" t="s">
        <v>18</v>
      </c>
      <c r="B401">
        <v>2003</v>
      </c>
      <c r="D401">
        <v>6.2</v>
      </c>
      <c r="E401">
        <f>INT(Table2[[#This Row],[Transect]])</f>
        <v>6</v>
      </c>
      <c r="F401" t="s">
        <v>11</v>
      </c>
      <c r="G401">
        <v>11</v>
      </c>
      <c r="H401">
        <v>200</v>
      </c>
      <c r="J401">
        <f>Table2[[#This Row],[Hits]]/Table2[[#This Row],[Points]]*100</f>
        <v>5.5</v>
      </c>
      <c r="K401">
        <f>VLOOKUP(Table2[[#This Row],[Site]],'Site Info'!$A$1:$C$11,2, FALSE)</f>
        <v>15</v>
      </c>
      <c r="L401">
        <f>VLOOKUP(Table2[[#This Row],[Site]],'Site Info'!$A$1:$C$11,3, FALSE)</f>
        <v>12</v>
      </c>
      <c r="M401" t="str">
        <f>VLOOKUP(Table2[[#This Row],[Species]],'Species Table'!$A$1:$D$68,3, FALSE)</f>
        <v>Perennial</v>
      </c>
      <c r="O401" s="15">
        <f>IF(SUMPRODUCT(($A$2:$A401=A401)*($B$2:$B401=B401)*($F$2:$F401=F401))&gt;1,0,1)</f>
        <v>0</v>
      </c>
      <c r="P401" s="15">
        <f>IF(SUMPRODUCT(($A$2:$A401=A401)*($B$2:$B401=B401)*($D$2:$D401=D401))&gt;1,0,1)</f>
        <v>1</v>
      </c>
    </row>
    <row r="402" spans="1:16" x14ac:dyDescent="0.35">
      <c r="A402" t="s">
        <v>18</v>
      </c>
      <c r="B402">
        <v>2003</v>
      </c>
      <c r="D402">
        <v>6.3</v>
      </c>
      <c r="E402">
        <f>INT(Table2[[#This Row],[Transect]])</f>
        <v>6</v>
      </c>
      <c r="F402" t="s">
        <v>11</v>
      </c>
      <c r="G402">
        <v>5</v>
      </c>
      <c r="H402">
        <v>200</v>
      </c>
      <c r="J402">
        <f>Table2[[#This Row],[Hits]]/Table2[[#This Row],[Points]]*100</f>
        <v>2.5</v>
      </c>
      <c r="K402">
        <f>VLOOKUP(Table2[[#This Row],[Site]],'Site Info'!$A$1:$C$11,2, FALSE)</f>
        <v>15</v>
      </c>
      <c r="L402">
        <f>VLOOKUP(Table2[[#This Row],[Site]],'Site Info'!$A$1:$C$11,3, FALSE)</f>
        <v>12</v>
      </c>
      <c r="M402" t="str">
        <f>VLOOKUP(Table2[[#This Row],[Species]],'Species Table'!$A$1:$D$68,3, FALSE)</f>
        <v>Perennial</v>
      </c>
      <c r="O402" s="15">
        <f>IF(SUMPRODUCT(($A$2:$A402=A402)*($B$2:$B402=B402)*($F$2:$F402=F402))&gt;1,0,1)</f>
        <v>0</v>
      </c>
      <c r="P402" s="15">
        <f>IF(SUMPRODUCT(($A$2:$A402=A402)*($B$2:$B402=B402)*($D$2:$D402=D402))&gt;1,0,1)</f>
        <v>1</v>
      </c>
    </row>
    <row r="403" spans="1:16" hidden="1" x14ac:dyDescent="0.35">
      <c r="A403" t="s">
        <v>18</v>
      </c>
      <c r="B403">
        <v>2003</v>
      </c>
      <c r="D403">
        <v>6.4</v>
      </c>
      <c r="E403">
        <f>INT(Table2[[#This Row],[Transect]])</f>
        <v>6</v>
      </c>
      <c r="F403" t="s">
        <v>127</v>
      </c>
      <c r="G403">
        <v>0</v>
      </c>
      <c r="H403">
        <v>200</v>
      </c>
      <c r="J403">
        <f>Table2[[#This Row],[Hits]]/Table2[[#This Row],[Points]]*100</f>
        <v>0</v>
      </c>
      <c r="K403">
        <f>VLOOKUP(Table2[[#This Row],[Site]],'Site Info'!$A$1:$C$11,2, FALSE)</f>
        <v>15</v>
      </c>
      <c r="L403">
        <f>VLOOKUP(Table2[[#This Row],[Site]],'Site Info'!$A$1:$C$11,3, FALSE)</f>
        <v>12</v>
      </c>
      <c r="M403" t="str">
        <f>VLOOKUP(Table2[[#This Row],[Species]],'Species Table'!$A$1:$D$68,3, FALSE)</f>
        <v>NA</v>
      </c>
      <c r="O403" s="15">
        <f>IF(SUMPRODUCT(($A$2:$A403=A403)*($B$2:$B403=B403)*($F$2:$F403=F403))&gt;1,0,1)</f>
        <v>0</v>
      </c>
      <c r="P403" s="15">
        <f>IF(SUMPRODUCT(($A$2:$A403=A403)*($B$2:$B403=B403)*($D$2:$D403=D403))&gt;1,0,1)</f>
        <v>1</v>
      </c>
    </row>
    <row r="404" spans="1:16" hidden="1" x14ac:dyDescent="0.35">
      <c r="A404" t="s">
        <v>18</v>
      </c>
      <c r="B404">
        <v>2003</v>
      </c>
      <c r="D404">
        <v>6.5</v>
      </c>
      <c r="E404">
        <f>INT(Table2[[#This Row],[Transect]])</f>
        <v>6</v>
      </c>
      <c r="F404" t="s">
        <v>127</v>
      </c>
      <c r="G404">
        <v>0</v>
      </c>
      <c r="H404">
        <v>200</v>
      </c>
      <c r="J404">
        <f>Table2[[#This Row],[Hits]]/Table2[[#This Row],[Points]]*100</f>
        <v>0</v>
      </c>
      <c r="K404">
        <f>VLOOKUP(Table2[[#This Row],[Site]],'Site Info'!$A$1:$C$11,2, FALSE)</f>
        <v>15</v>
      </c>
      <c r="L404">
        <f>VLOOKUP(Table2[[#This Row],[Site]],'Site Info'!$A$1:$C$11,3, FALSE)</f>
        <v>12</v>
      </c>
      <c r="M404" t="str">
        <f>VLOOKUP(Table2[[#This Row],[Species]],'Species Table'!$A$1:$D$68,3, FALSE)</f>
        <v>NA</v>
      </c>
      <c r="O404" s="15">
        <f>IF(SUMPRODUCT(($A$2:$A404=A404)*($B$2:$B404=B404)*($F$2:$F404=F404))&gt;1,0,1)</f>
        <v>0</v>
      </c>
      <c r="P404" s="15">
        <f>IF(SUMPRODUCT(($A$2:$A404=A404)*($B$2:$B404=B404)*($D$2:$D404=D404))&gt;1,0,1)</f>
        <v>1</v>
      </c>
    </row>
    <row r="405" spans="1:16" hidden="1" x14ac:dyDescent="0.35">
      <c r="A405" t="s">
        <v>18</v>
      </c>
      <c r="B405">
        <v>2003</v>
      </c>
      <c r="D405">
        <v>7.1</v>
      </c>
      <c r="E405">
        <f>INT(Table2[[#This Row],[Transect]])</f>
        <v>7</v>
      </c>
      <c r="F405" t="s">
        <v>10</v>
      </c>
      <c r="G405">
        <v>14</v>
      </c>
      <c r="H405">
        <v>200</v>
      </c>
      <c r="J405">
        <f>Table2[[#This Row],[Hits]]/Table2[[#This Row],[Points]]*100</f>
        <v>7.0000000000000009</v>
      </c>
      <c r="K405">
        <f>VLOOKUP(Table2[[#This Row],[Site]],'Site Info'!$A$1:$C$11,2, FALSE)</f>
        <v>15</v>
      </c>
      <c r="L405">
        <f>VLOOKUP(Table2[[#This Row],[Site]],'Site Info'!$A$1:$C$11,3, FALSE)</f>
        <v>12</v>
      </c>
      <c r="M405" t="str">
        <f>VLOOKUP(Table2[[#This Row],[Species]],'Species Table'!$A$1:$D$68,3, FALSE)</f>
        <v>Annual</v>
      </c>
      <c r="O405" s="15">
        <f>IF(SUMPRODUCT(($A$2:$A405=A405)*($B$2:$B405=B405)*($F$2:$F405=F405))&gt;1,0,1)</f>
        <v>0</v>
      </c>
      <c r="P405" s="15">
        <f>IF(SUMPRODUCT(($A$2:$A405=A405)*($B$2:$B405=B405)*($D$2:$D405=D405))&gt;1,0,1)</f>
        <v>1</v>
      </c>
    </row>
    <row r="406" spans="1:16" x14ac:dyDescent="0.35">
      <c r="A406" t="s">
        <v>18</v>
      </c>
      <c r="B406">
        <v>2003</v>
      </c>
      <c r="D406">
        <v>7.1</v>
      </c>
      <c r="E406">
        <f>INT(Table2[[#This Row],[Transect]])</f>
        <v>7</v>
      </c>
      <c r="F406" t="s">
        <v>11</v>
      </c>
      <c r="G406">
        <v>1</v>
      </c>
      <c r="H406">
        <v>200</v>
      </c>
      <c r="J406">
        <f>Table2[[#This Row],[Hits]]/Table2[[#This Row],[Points]]*100</f>
        <v>0.5</v>
      </c>
      <c r="K406">
        <f>VLOOKUP(Table2[[#This Row],[Site]],'Site Info'!$A$1:$C$11,2, FALSE)</f>
        <v>15</v>
      </c>
      <c r="L406">
        <f>VLOOKUP(Table2[[#This Row],[Site]],'Site Info'!$A$1:$C$11,3, FALSE)</f>
        <v>12</v>
      </c>
      <c r="M406" t="str">
        <f>VLOOKUP(Table2[[#This Row],[Species]],'Species Table'!$A$1:$D$68,3, FALSE)</f>
        <v>Perennial</v>
      </c>
      <c r="O406" s="15">
        <f>IF(SUMPRODUCT(($A$2:$A406=A406)*($B$2:$B406=B406)*($F$2:$F406=F406))&gt;1,0,1)</f>
        <v>0</v>
      </c>
      <c r="P406" s="15">
        <f>IF(SUMPRODUCT(($A$2:$A406=A406)*($B$2:$B406=B406)*($D$2:$D406=D406))&gt;1,0,1)</f>
        <v>0</v>
      </c>
    </row>
    <row r="407" spans="1:16" x14ac:dyDescent="0.35">
      <c r="A407" t="s">
        <v>18</v>
      </c>
      <c r="B407">
        <v>2003</v>
      </c>
      <c r="D407">
        <v>7.1</v>
      </c>
      <c r="E407">
        <f>INT(Table2[[#This Row],[Transect]])</f>
        <v>7</v>
      </c>
      <c r="F407" t="s">
        <v>12</v>
      </c>
      <c r="G407">
        <v>11</v>
      </c>
      <c r="H407">
        <v>200</v>
      </c>
      <c r="J407">
        <f>Table2[[#This Row],[Hits]]/Table2[[#This Row],[Points]]*100</f>
        <v>5.5</v>
      </c>
      <c r="K407">
        <f>VLOOKUP(Table2[[#This Row],[Site]],'Site Info'!$A$1:$C$11,2, FALSE)</f>
        <v>15</v>
      </c>
      <c r="L407">
        <f>VLOOKUP(Table2[[#This Row],[Site]],'Site Info'!$A$1:$C$11,3, FALSE)</f>
        <v>12</v>
      </c>
      <c r="M407" t="str">
        <f>VLOOKUP(Table2[[#This Row],[Species]],'Species Table'!$A$1:$D$68,3, FALSE)</f>
        <v>Perennial</v>
      </c>
      <c r="O407" s="15">
        <f>IF(SUMPRODUCT(($A$2:$A407=A407)*($B$2:$B407=B407)*($F$2:$F407=F407))&gt;1,0,1)</f>
        <v>0</v>
      </c>
      <c r="P407" s="15">
        <f>IF(SUMPRODUCT(($A$2:$A407=A407)*($B$2:$B407=B407)*($D$2:$D407=D407))&gt;1,0,1)</f>
        <v>0</v>
      </c>
    </row>
    <row r="408" spans="1:16" x14ac:dyDescent="0.35">
      <c r="A408" t="s">
        <v>18</v>
      </c>
      <c r="B408">
        <v>2003</v>
      </c>
      <c r="D408">
        <v>7.1</v>
      </c>
      <c r="E408">
        <f>INT(Table2[[#This Row],[Transect]])</f>
        <v>7</v>
      </c>
      <c r="F408" t="s">
        <v>170</v>
      </c>
      <c r="G408">
        <v>3</v>
      </c>
      <c r="H408">
        <v>200</v>
      </c>
      <c r="J408">
        <f>Table2[[#This Row],[Hits]]/Table2[[#This Row],[Points]]*100</f>
        <v>1.5</v>
      </c>
      <c r="K408">
        <f>VLOOKUP(Table2[[#This Row],[Site]],'Site Info'!$A$1:$C$11,2, FALSE)</f>
        <v>15</v>
      </c>
      <c r="L408">
        <f>VLOOKUP(Table2[[#This Row],[Site]],'Site Info'!$A$1:$C$11,3, FALSE)</f>
        <v>12</v>
      </c>
      <c r="M408" t="str">
        <f>VLOOKUP(Table2[[#This Row],[Species]],'Species Table'!$A$1:$D$68,3, FALSE)</f>
        <v>Perennial</v>
      </c>
      <c r="O408" s="15">
        <f>IF(SUMPRODUCT(($A$2:$A408=A408)*($B$2:$B408=B408)*($F$2:$F408=F408))&gt;1,0,1)</f>
        <v>0</v>
      </c>
      <c r="P408" s="15">
        <f>IF(SUMPRODUCT(($A$2:$A408=A408)*($B$2:$B408=B408)*($D$2:$D408=D408))&gt;1,0,1)</f>
        <v>0</v>
      </c>
    </row>
    <row r="409" spans="1:16" hidden="1" x14ac:dyDescent="0.35">
      <c r="A409" t="s">
        <v>18</v>
      </c>
      <c r="B409">
        <v>2003</v>
      </c>
      <c r="D409">
        <v>7.1</v>
      </c>
      <c r="E409">
        <f>INT(Table2[[#This Row],[Transect]])</f>
        <v>7</v>
      </c>
      <c r="F409" t="s">
        <v>237</v>
      </c>
      <c r="G409">
        <v>2</v>
      </c>
      <c r="H409">
        <v>200</v>
      </c>
      <c r="J409">
        <f>Table2[[#This Row],[Hits]]/Table2[[#This Row],[Points]]*100</f>
        <v>1</v>
      </c>
      <c r="K409">
        <f>VLOOKUP(Table2[[#This Row],[Site]],'Site Info'!$A$1:$C$11,2, FALSE)</f>
        <v>15</v>
      </c>
      <c r="L409">
        <f>VLOOKUP(Table2[[#This Row],[Site]],'Site Info'!$A$1:$C$11,3, FALSE)</f>
        <v>12</v>
      </c>
      <c r="M409" t="str">
        <f>VLOOKUP(Table2[[#This Row],[Species]],'Species Table'!$A$1:$D$68,3, FALSE)</f>
        <v>Unknown</v>
      </c>
      <c r="O409" s="15">
        <f>IF(SUMPRODUCT(($A$2:$A409=A409)*($B$2:$B409=B409)*($F$2:$F409=F409))&gt;1,0,1)</f>
        <v>0</v>
      </c>
      <c r="P409" s="15">
        <f>IF(SUMPRODUCT(($A$2:$A409=A409)*($B$2:$B409=B409)*($D$2:$D409=D409))&gt;1,0,1)</f>
        <v>0</v>
      </c>
    </row>
    <row r="410" spans="1:16" x14ac:dyDescent="0.35">
      <c r="A410" t="s">
        <v>18</v>
      </c>
      <c r="B410">
        <v>2003</v>
      </c>
      <c r="D410">
        <v>7.2</v>
      </c>
      <c r="E410">
        <f>INT(Table2[[#This Row],[Transect]])</f>
        <v>7</v>
      </c>
      <c r="F410" t="s">
        <v>170</v>
      </c>
      <c r="G410">
        <v>4</v>
      </c>
      <c r="H410">
        <v>200</v>
      </c>
      <c r="J410">
        <f>Table2[[#This Row],[Hits]]/Table2[[#This Row],[Points]]*100</f>
        <v>2</v>
      </c>
      <c r="K410">
        <f>VLOOKUP(Table2[[#This Row],[Site]],'Site Info'!$A$1:$C$11,2, FALSE)</f>
        <v>15</v>
      </c>
      <c r="L410">
        <f>VLOOKUP(Table2[[#This Row],[Site]],'Site Info'!$A$1:$C$11,3, FALSE)</f>
        <v>12</v>
      </c>
      <c r="M410" t="str">
        <f>VLOOKUP(Table2[[#This Row],[Species]],'Species Table'!$A$1:$D$68,3, FALSE)</f>
        <v>Perennial</v>
      </c>
      <c r="O410" s="15">
        <f>IF(SUMPRODUCT(($A$2:$A410=A410)*($B$2:$B410=B410)*($F$2:$F410=F410))&gt;1,0,1)</f>
        <v>0</v>
      </c>
      <c r="P410" s="15">
        <f>IF(SUMPRODUCT(($A$2:$A410=A410)*($B$2:$B410=B410)*($D$2:$D410=D410))&gt;1,0,1)</f>
        <v>1</v>
      </c>
    </row>
    <row r="411" spans="1:16" x14ac:dyDescent="0.35">
      <c r="A411" t="s">
        <v>18</v>
      </c>
      <c r="B411">
        <v>2003</v>
      </c>
      <c r="D411">
        <v>7.3</v>
      </c>
      <c r="E411">
        <f>INT(Table2[[#This Row],[Transect]])</f>
        <v>7</v>
      </c>
      <c r="F411" t="s">
        <v>11</v>
      </c>
      <c r="G411">
        <v>4</v>
      </c>
      <c r="H411">
        <v>200</v>
      </c>
      <c r="J411">
        <f>Table2[[#This Row],[Hits]]/Table2[[#This Row],[Points]]*100</f>
        <v>2</v>
      </c>
      <c r="K411">
        <f>VLOOKUP(Table2[[#This Row],[Site]],'Site Info'!$A$1:$C$11,2, FALSE)</f>
        <v>15</v>
      </c>
      <c r="L411">
        <f>VLOOKUP(Table2[[#This Row],[Site]],'Site Info'!$A$1:$C$11,3, FALSE)</f>
        <v>12</v>
      </c>
      <c r="M411" t="str">
        <f>VLOOKUP(Table2[[#This Row],[Species]],'Species Table'!$A$1:$D$68,3, FALSE)</f>
        <v>Perennial</v>
      </c>
      <c r="O411" s="15">
        <f>IF(SUMPRODUCT(($A$2:$A411=A411)*($B$2:$B411=B411)*($F$2:$F411=F411))&gt;1,0,1)</f>
        <v>0</v>
      </c>
      <c r="P411" s="15">
        <f>IF(SUMPRODUCT(($A$2:$A411=A411)*($B$2:$B411=B411)*($D$2:$D411=D411))&gt;1,0,1)</f>
        <v>1</v>
      </c>
    </row>
    <row r="412" spans="1:16" x14ac:dyDescent="0.35">
      <c r="A412" t="s">
        <v>18</v>
      </c>
      <c r="B412">
        <v>2003</v>
      </c>
      <c r="D412">
        <v>7.3</v>
      </c>
      <c r="E412">
        <f>INT(Table2[[#This Row],[Transect]])</f>
        <v>7</v>
      </c>
      <c r="F412" t="s">
        <v>170</v>
      </c>
      <c r="G412">
        <v>1</v>
      </c>
      <c r="H412">
        <v>200</v>
      </c>
      <c r="J412">
        <f>Table2[[#This Row],[Hits]]/Table2[[#This Row],[Points]]*100</f>
        <v>0.5</v>
      </c>
      <c r="K412">
        <f>VLOOKUP(Table2[[#This Row],[Site]],'Site Info'!$A$1:$C$11,2, FALSE)</f>
        <v>15</v>
      </c>
      <c r="L412">
        <f>VLOOKUP(Table2[[#This Row],[Site]],'Site Info'!$A$1:$C$11,3, FALSE)</f>
        <v>12</v>
      </c>
      <c r="M412" t="str">
        <f>VLOOKUP(Table2[[#This Row],[Species]],'Species Table'!$A$1:$D$68,3, FALSE)</f>
        <v>Perennial</v>
      </c>
      <c r="O412" s="15">
        <f>IF(SUMPRODUCT(($A$2:$A412=A412)*($B$2:$B412=B412)*($F$2:$F412=F412))&gt;1,0,1)</f>
        <v>0</v>
      </c>
      <c r="P412" s="15">
        <f>IF(SUMPRODUCT(($A$2:$A412=A412)*($B$2:$B412=B412)*($D$2:$D412=D412))&gt;1,0,1)</f>
        <v>0</v>
      </c>
    </row>
    <row r="413" spans="1:16" x14ac:dyDescent="0.35">
      <c r="A413" t="s">
        <v>18</v>
      </c>
      <c r="B413">
        <v>2003</v>
      </c>
      <c r="D413">
        <v>7.4</v>
      </c>
      <c r="E413">
        <f>INT(Table2[[#This Row],[Transect]])</f>
        <v>7</v>
      </c>
      <c r="F413" t="s">
        <v>11</v>
      </c>
      <c r="G413">
        <v>25</v>
      </c>
      <c r="H413">
        <v>200</v>
      </c>
      <c r="J413">
        <f>Table2[[#This Row],[Hits]]/Table2[[#This Row],[Points]]*100</f>
        <v>12.5</v>
      </c>
      <c r="K413">
        <f>VLOOKUP(Table2[[#This Row],[Site]],'Site Info'!$A$1:$C$11,2, FALSE)</f>
        <v>15</v>
      </c>
      <c r="L413">
        <f>VLOOKUP(Table2[[#This Row],[Site]],'Site Info'!$A$1:$C$11,3, FALSE)</f>
        <v>12</v>
      </c>
      <c r="M413" t="str">
        <f>VLOOKUP(Table2[[#This Row],[Species]],'Species Table'!$A$1:$D$68,3, FALSE)</f>
        <v>Perennial</v>
      </c>
      <c r="O413" s="15">
        <f>IF(SUMPRODUCT(($A$2:$A413=A413)*($B$2:$B413=B413)*($F$2:$F413=F413))&gt;1,0,1)</f>
        <v>0</v>
      </c>
      <c r="P413" s="15">
        <f>IF(SUMPRODUCT(($A$2:$A413=A413)*($B$2:$B413=B413)*($D$2:$D413=D413))&gt;1,0,1)</f>
        <v>1</v>
      </c>
    </row>
    <row r="414" spans="1:16" x14ac:dyDescent="0.35">
      <c r="A414" t="s">
        <v>18</v>
      </c>
      <c r="B414">
        <v>2007</v>
      </c>
      <c r="C414" t="s">
        <v>82</v>
      </c>
      <c r="D414">
        <v>1.1000000000000001</v>
      </c>
      <c r="E414">
        <f>INT(Table2[[#This Row],[Transect]])</f>
        <v>1</v>
      </c>
      <c r="F414" t="s">
        <v>11</v>
      </c>
      <c r="G414">
        <v>6</v>
      </c>
      <c r="H414">
        <v>200</v>
      </c>
      <c r="J414">
        <f>Table2[[#This Row],[Hits]]/Table2[[#This Row],[Points]]*100</f>
        <v>3</v>
      </c>
      <c r="K414">
        <f>VLOOKUP(Table2[[#This Row],[Site]],'Site Info'!$A$1:$C$11,2, FALSE)</f>
        <v>15</v>
      </c>
      <c r="L414">
        <f>VLOOKUP(Table2[[#This Row],[Site]],'Site Info'!$A$1:$C$11,3, FALSE)</f>
        <v>12</v>
      </c>
      <c r="M414" t="str">
        <f>VLOOKUP(Table2[[#This Row],[Species]],'Species Table'!$A$1:$D$68,3, FALSE)</f>
        <v>Perennial</v>
      </c>
      <c r="O414" s="15">
        <f>IF(SUMPRODUCT(($A$2:$A414=A414)*($B$2:$B414=B414)*($F$2:$F414=F414))&gt;1,0,1)</f>
        <v>1</v>
      </c>
      <c r="P414" s="15">
        <f>IF(SUMPRODUCT(($A$2:$A414=A414)*($B$2:$B414=B414)*($D$2:$D414=D414))&gt;1,0,1)</f>
        <v>1</v>
      </c>
    </row>
    <row r="415" spans="1:16" x14ac:dyDescent="0.35">
      <c r="A415" t="s">
        <v>18</v>
      </c>
      <c r="B415">
        <v>2007</v>
      </c>
      <c r="C415" t="s">
        <v>38</v>
      </c>
      <c r="D415">
        <v>1.2</v>
      </c>
      <c r="E415">
        <f>INT(Table2[[#This Row],[Transect]])</f>
        <v>1</v>
      </c>
      <c r="F415" t="s">
        <v>11</v>
      </c>
      <c r="G415">
        <v>1</v>
      </c>
      <c r="H415">
        <v>200</v>
      </c>
      <c r="J415">
        <f>Table2[[#This Row],[Hits]]/Table2[[#This Row],[Points]]*100</f>
        <v>0.5</v>
      </c>
      <c r="K415">
        <f>VLOOKUP(Table2[[#This Row],[Site]],'Site Info'!$A$1:$C$11,2, FALSE)</f>
        <v>15</v>
      </c>
      <c r="L415">
        <f>VLOOKUP(Table2[[#This Row],[Site]],'Site Info'!$A$1:$C$11,3, FALSE)</f>
        <v>12</v>
      </c>
      <c r="M415" t="str">
        <f>VLOOKUP(Table2[[#This Row],[Species]],'Species Table'!$A$1:$D$68,3, FALSE)</f>
        <v>Perennial</v>
      </c>
      <c r="O415" s="15">
        <f>IF(SUMPRODUCT(($A$2:$A415=A415)*($B$2:$B415=B415)*($F$2:$F415=F415))&gt;1,0,1)</f>
        <v>0</v>
      </c>
      <c r="P415" s="15">
        <f>IF(SUMPRODUCT(($A$2:$A415=A415)*($B$2:$B415=B415)*($D$2:$D415=D415))&gt;1,0,1)</f>
        <v>1</v>
      </c>
    </row>
    <row r="416" spans="1:16" x14ac:dyDescent="0.35">
      <c r="A416" t="s">
        <v>18</v>
      </c>
      <c r="B416">
        <v>2007</v>
      </c>
      <c r="C416" t="s">
        <v>83</v>
      </c>
      <c r="D416">
        <v>1.3</v>
      </c>
      <c r="E416">
        <f>INT(Table2[[#This Row],[Transect]])</f>
        <v>1</v>
      </c>
      <c r="F416" t="s">
        <v>11</v>
      </c>
      <c r="G416">
        <v>5</v>
      </c>
      <c r="H416">
        <v>200</v>
      </c>
      <c r="J416">
        <f>Table2[[#This Row],[Hits]]/Table2[[#This Row],[Points]]*100</f>
        <v>2.5</v>
      </c>
      <c r="K416">
        <f>VLOOKUP(Table2[[#This Row],[Site]],'Site Info'!$A$1:$C$11,2, FALSE)</f>
        <v>15</v>
      </c>
      <c r="L416">
        <f>VLOOKUP(Table2[[#This Row],[Site]],'Site Info'!$A$1:$C$11,3, FALSE)</f>
        <v>12</v>
      </c>
      <c r="M416" t="str">
        <f>VLOOKUP(Table2[[#This Row],[Species]],'Species Table'!$A$1:$D$68,3, FALSE)</f>
        <v>Perennial</v>
      </c>
      <c r="O416" s="15">
        <f>IF(SUMPRODUCT(($A$2:$A416=A416)*($B$2:$B416=B416)*($F$2:$F416=F416))&gt;1,0,1)</f>
        <v>0</v>
      </c>
      <c r="P416" s="15">
        <f>IF(SUMPRODUCT(($A$2:$A416=A416)*($B$2:$B416=B416)*($D$2:$D416=D416))&gt;1,0,1)</f>
        <v>1</v>
      </c>
    </row>
    <row r="417" spans="1:16" hidden="1" x14ac:dyDescent="0.35">
      <c r="A417" t="s">
        <v>18</v>
      </c>
      <c r="B417">
        <v>2007</v>
      </c>
      <c r="C417" t="s">
        <v>39</v>
      </c>
      <c r="D417">
        <v>1.4</v>
      </c>
      <c r="E417">
        <f>INT(Table2[[#This Row],[Transect]])</f>
        <v>1</v>
      </c>
      <c r="F417" t="s">
        <v>127</v>
      </c>
      <c r="G417">
        <v>0</v>
      </c>
      <c r="H417">
        <v>200</v>
      </c>
      <c r="J417">
        <f>Table2[[#This Row],[Hits]]/Table2[[#This Row],[Points]]*100</f>
        <v>0</v>
      </c>
      <c r="K417">
        <f>VLOOKUP(Table2[[#This Row],[Site]],'Site Info'!$A$1:$C$11,2, FALSE)</f>
        <v>15</v>
      </c>
      <c r="L417">
        <f>VLOOKUP(Table2[[#This Row],[Site]],'Site Info'!$A$1:$C$11,3, FALSE)</f>
        <v>12</v>
      </c>
      <c r="M417" t="str">
        <f>VLOOKUP(Table2[[#This Row],[Species]],'Species Table'!$A$1:$D$68,3, FALSE)</f>
        <v>NA</v>
      </c>
      <c r="O417" s="15">
        <f>IF(SUMPRODUCT(($A$2:$A417=A417)*($B$2:$B417=B417)*($F$2:$F417=F417))&gt;1,0,1)</f>
        <v>1</v>
      </c>
      <c r="P417" s="15">
        <f>IF(SUMPRODUCT(($A$2:$A417=A417)*($B$2:$B417=B417)*($D$2:$D417=D417))&gt;1,0,1)</f>
        <v>1</v>
      </c>
    </row>
    <row r="418" spans="1:16" x14ac:dyDescent="0.35">
      <c r="A418" t="s">
        <v>18</v>
      </c>
      <c r="B418">
        <v>2007</v>
      </c>
      <c r="C418" t="s">
        <v>84</v>
      </c>
      <c r="D418">
        <v>1.5</v>
      </c>
      <c r="E418">
        <f>INT(Table2[[#This Row],[Transect]])</f>
        <v>1</v>
      </c>
      <c r="F418" t="s">
        <v>11</v>
      </c>
      <c r="G418">
        <v>7</v>
      </c>
      <c r="H418">
        <v>200</v>
      </c>
      <c r="J418">
        <f>Table2[[#This Row],[Hits]]/Table2[[#This Row],[Points]]*100</f>
        <v>3.5000000000000004</v>
      </c>
      <c r="K418">
        <f>VLOOKUP(Table2[[#This Row],[Site]],'Site Info'!$A$1:$C$11,2, FALSE)</f>
        <v>15</v>
      </c>
      <c r="L418">
        <f>VLOOKUP(Table2[[#This Row],[Site]],'Site Info'!$A$1:$C$11,3, FALSE)</f>
        <v>12</v>
      </c>
      <c r="M418" t="str">
        <f>VLOOKUP(Table2[[#This Row],[Species]],'Species Table'!$A$1:$D$68,3, FALSE)</f>
        <v>Perennial</v>
      </c>
      <c r="O418" s="15">
        <f>IF(SUMPRODUCT(($A$2:$A418=A418)*($B$2:$B418=B418)*($F$2:$F418=F418))&gt;1,0,1)</f>
        <v>0</v>
      </c>
      <c r="P418" s="15">
        <f>IF(SUMPRODUCT(($A$2:$A418=A418)*($B$2:$B418=B418)*($D$2:$D418=D418))&gt;1,0,1)</f>
        <v>1</v>
      </c>
    </row>
    <row r="419" spans="1:16" x14ac:dyDescent="0.35">
      <c r="A419" t="s">
        <v>18</v>
      </c>
      <c r="B419">
        <v>2007</v>
      </c>
      <c r="C419" t="s">
        <v>43</v>
      </c>
      <c r="D419">
        <v>2.1</v>
      </c>
      <c r="E419">
        <f>INT(Table2[[#This Row],[Transect]])</f>
        <v>2</v>
      </c>
      <c r="F419" t="s">
        <v>11</v>
      </c>
      <c r="G419">
        <v>4</v>
      </c>
      <c r="H419">
        <v>200</v>
      </c>
      <c r="J419">
        <f>Table2[[#This Row],[Hits]]/Table2[[#This Row],[Points]]*100</f>
        <v>2</v>
      </c>
      <c r="K419">
        <f>VLOOKUP(Table2[[#This Row],[Site]],'Site Info'!$A$1:$C$11,2, FALSE)</f>
        <v>15</v>
      </c>
      <c r="L419">
        <f>VLOOKUP(Table2[[#This Row],[Site]],'Site Info'!$A$1:$C$11,3, FALSE)</f>
        <v>12</v>
      </c>
      <c r="M419" t="str">
        <f>VLOOKUP(Table2[[#This Row],[Species]],'Species Table'!$A$1:$D$68,3, FALSE)</f>
        <v>Perennial</v>
      </c>
      <c r="O419" s="15">
        <f>IF(SUMPRODUCT(($A$2:$A419=A419)*($B$2:$B419=B419)*($F$2:$F419=F419))&gt;1,0,1)</f>
        <v>0</v>
      </c>
      <c r="P419" s="15">
        <f>IF(SUMPRODUCT(($A$2:$A419=A419)*($B$2:$B419=B419)*($D$2:$D419=D419))&gt;1,0,1)</f>
        <v>1</v>
      </c>
    </row>
    <row r="420" spans="1:16" hidden="1" x14ac:dyDescent="0.35">
      <c r="A420" t="s">
        <v>18</v>
      </c>
      <c r="B420">
        <v>2007</v>
      </c>
      <c r="C420" t="s">
        <v>44</v>
      </c>
      <c r="D420">
        <v>2.2000000000000002</v>
      </c>
      <c r="E420">
        <f>INT(Table2[[#This Row],[Transect]])</f>
        <v>2</v>
      </c>
      <c r="F420" t="s">
        <v>127</v>
      </c>
      <c r="G420">
        <v>0</v>
      </c>
      <c r="H420">
        <v>200</v>
      </c>
      <c r="J420">
        <f>Table2[[#This Row],[Hits]]/Table2[[#This Row],[Points]]*100</f>
        <v>0</v>
      </c>
      <c r="K420">
        <f>VLOOKUP(Table2[[#This Row],[Site]],'Site Info'!$A$1:$C$11,2, FALSE)</f>
        <v>15</v>
      </c>
      <c r="L420">
        <f>VLOOKUP(Table2[[#This Row],[Site]],'Site Info'!$A$1:$C$11,3, FALSE)</f>
        <v>12</v>
      </c>
      <c r="M420" t="str">
        <f>VLOOKUP(Table2[[#This Row],[Species]],'Species Table'!$A$1:$D$68,3, FALSE)</f>
        <v>NA</v>
      </c>
      <c r="O420" s="15">
        <f>IF(SUMPRODUCT(($A$2:$A420=A420)*($B$2:$B420=B420)*($F$2:$F420=F420))&gt;1,0,1)</f>
        <v>0</v>
      </c>
      <c r="P420" s="15">
        <f>IF(SUMPRODUCT(($A$2:$A420=A420)*($B$2:$B420=B420)*($D$2:$D420=D420))&gt;1,0,1)</f>
        <v>1</v>
      </c>
    </row>
    <row r="421" spans="1:16" x14ac:dyDescent="0.35">
      <c r="A421" t="s">
        <v>18</v>
      </c>
      <c r="B421">
        <v>2007</v>
      </c>
      <c r="C421" t="s">
        <v>45</v>
      </c>
      <c r="D421">
        <v>2.2999999999999998</v>
      </c>
      <c r="E421">
        <f>INT(Table2[[#This Row],[Transect]])</f>
        <v>2</v>
      </c>
      <c r="F421" t="s">
        <v>11</v>
      </c>
      <c r="G421">
        <v>8</v>
      </c>
      <c r="H421">
        <v>200</v>
      </c>
      <c r="J421">
        <f>Table2[[#This Row],[Hits]]/Table2[[#This Row],[Points]]*100</f>
        <v>4</v>
      </c>
      <c r="K421">
        <f>VLOOKUP(Table2[[#This Row],[Site]],'Site Info'!$A$1:$C$11,2, FALSE)</f>
        <v>15</v>
      </c>
      <c r="L421">
        <f>VLOOKUP(Table2[[#This Row],[Site]],'Site Info'!$A$1:$C$11,3, FALSE)</f>
        <v>12</v>
      </c>
      <c r="M421" t="str">
        <f>VLOOKUP(Table2[[#This Row],[Species]],'Species Table'!$A$1:$D$68,3, FALSE)</f>
        <v>Perennial</v>
      </c>
      <c r="O421" s="15">
        <f>IF(SUMPRODUCT(($A$2:$A421=A421)*($B$2:$B421=B421)*($F$2:$F421=F421))&gt;1,0,1)</f>
        <v>0</v>
      </c>
      <c r="P421" s="15">
        <f>IF(SUMPRODUCT(($A$2:$A421=A421)*($B$2:$B421=B421)*($D$2:$D421=D421))&gt;1,0,1)</f>
        <v>1</v>
      </c>
    </row>
    <row r="422" spans="1:16" x14ac:dyDescent="0.35">
      <c r="A422" t="s">
        <v>18</v>
      </c>
      <c r="B422">
        <v>2007</v>
      </c>
      <c r="C422" t="s">
        <v>46</v>
      </c>
      <c r="D422">
        <v>2.4</v>
      </c>
      <c r="E422">
        <f>INT(Table2[[#This Row],[Transect]])</f>
        <v>2</v>
      </c>
      <c r="F422" t="s">
        <v>11</v>
      </c>
      <c r="G422">
        <v>2</v>
      </c>
      <c r="H422">
        <v>200</v>
      </c>
      <c r="J422">
        <f>Table2[[#This Row],[Hits]]/Table2[[#This Row],[Points]]*100</f>
        <v>1</v>
      </c>
      <c r="K422">
        <f>VLOOKUP(Table2[[#This Row],[Site]],'Site Info'!$A$1:$C$11,2, FALSE)</f>
        <v>15</v>
      </c>
      <c r="L422">
        <f>VLOOKUP(Table2[[#This Row],[Site]],'Site Info'!$A$1:$C$11,3, FALSE)</f>
        <v>12</v>
      </c>
      <c r="M422" t="str">
        <f>VLOOKUP(Table2[[#This Row],[Species]],'Species Table'!$A$1:$D$68,3, FALSE)</f>
        <v>Perennial</v>
      </c>
      <c r="O422" s="15">
        <f>IF(SUMPRODUCT(($A$2:$A422=A422)*($B$2:$B422=B422)*($F$2:$F422=F422))&gt;1,0,1)</f>
        <v>0</v>
      </c>
      <c r="P422" s="15">
        <f>IF(SUMPRODUCT(($A$2:$A422=A422)*($B$2:$B422=B422)*($D$2:$D422=D422))&gt;1,0,1)</f>
        <v>1</v>
      </c>
    </row>
    <row r="423" spans="1:16" hidden="1" x14ac:dyDescent="0.35">
      <c r="A423" t="s">
        <v>18</v>
      </c>
      <c r="B423">
        <v>2007</v>
      </c>
      <c r="C423" t="s">
        <v>47</v>
      </c>
      <c r="D423">
        <v>2.5</v>
      </c>
      <c r="E423">
        <f>INT(Table2[[#This Row],[Transect]])</f>
        <v>2</v>
      </c>
      <c r="F423" t="s">
        <v>127</v>
      </c>
      <c r="G423">
        <v>0</v>
      </c>
      <c r="H423">
        <v>200</v>
      </c>
      <c r="J423">
        <f>Table2[[#This Row],[Hits]]/Table2[[#This Row],[Points]]*100</f>
        <v>0</v>
      </c>
      <c r="K423">
        <f>VLOOKUP(Table2[[#This Row],[Site]],'Site Info'!$A$1:$C$11,2, FALSE)</f>
        <v>15</v>
      </c>
      <c r="L423">
        <f>VLOOKUP(Table2[[#This Row],[Site]],'Site Info'!$A$1:$C$11,3, FALSE)</f>
        <v>12</v>
      </c>
      <c r="M423" t="str">
        <f>VLOOKUP(Table2[[#This Row],[Species]],'Species Table'!$A$1:$D$68,3, FALSE)</f>
        <v>NA</v>
      </c>
      <c r="O423" s="15">
        <f>IF(SUMPRODUCT(($A$2:$A423=A423)*($B$2:$B423=B423)*($F$2:$F423=F423))&gt;1,0,1)</f>
        <v>0</v>
      </c>
      <c r="P423" s="15">
        <f>IF(SUMPRODUCT(($A$2:$A423=A423)*($B$2:$B423=B423)*($D$2:$D423=D423))&gt;1,0,1)</f>
        <v>1</v>
      </c>
    </row>
    <row r="424" spans="1:16" hidden="1" x14ac:dyDescent="0.35">
      <c r="A424" t="s">
        <v>18</v>
      </c>
      <c r="B424">
        <v>2007</v>
      </c>
      <c r="C424" t="s">
        <v>48</v>
      </c>
      <c r="D424">
        <v>2.6</v>
      </c>
      <c r="E424">
        <f>INT(Table2[[#This Row],[Transect]])</f>
        <v>2</v>
      </c>
      <c r="F424" t="s">
        <v>127</v>
      </c>
      <c r="G424">
        <v>0</v>
      </c>
      <c r="H424">
        <v>200</v>
      </c>
      <c r="J424">
        <f>Table2[[#This Row],[Hits]]/Table2[[#This Row],[Points]]*100</f>
        <v>0</v>
      </c>
      <c r="K424">
        <f>VLOOKUP(Table2[[#This Row],[Site]],'Site Info'!$A$1:$C$11,2, FALSE)</f>
        <v>15</v>
      </c>
      <c r="L424">
        <f>VLOOKUP(Table2[[#This Row],[Site]],'Site Info'!$A$1:$C$11,3, FALSE)</f>
        <v>12</v>
      </c>
      <c r="M424" t="str">
        <f>VLOOKUP(Table2[[#This Row],[Species]],'Species Table'!$A$1:$D$68,3, FALSE)</f>
        <v>NA</v>
      </c>
      <c r="O424" s="15">
        <f>IF(SUMPRODUCT(($A$2:$A424=A424)*($B$2:$B424=B424)*($F$2:$F424=F424))&gt;1,0,1)</f>
        <v>0</v>
      </c>
      <c r="P424" s="15">
        <f>IF(SUMPRODUCT(($A$2:$A424=A424)*($B$2:$B424=B424)*($D$2:$D424=D424))&gt;1,0,1)</f>
        <v>1</v>
      </c>
    </row>
    <row r="425" spans="1:16" hidden="1" x14ac:dyDescent="0.35">
      <c r="A425" t="s">
        <v>18</v>
      </c>
      <c r="B425">
        <v>2007</v>
      </c>
      <c r="C425" t="s">
        <v>125</v>
      </c>
      <c r="D425">
        <v>2.7</v>
      </c>
      <c r="E425">
        <f>INT(Table2[[#This Row],[Transect]])</f>
        <v>2</v>
      </c>
      <c r="F425" t="s">
        <v>127</v>
      </c>
      <c r="G425">
        <v>0</v>
      </c>
      <c r="H425">
        <v>200</v>
      </c>
      <c r="J425">
        <f>Table2[[#This Row],[Hits]]/Table2[[#This Row],[Points]]*100</f>
        <v>0</v>
      </c>
      <c r="K425">
        <f>VLOOKUP(Table2[[#This Row],[Site]],'Site Info'!$A$1:$C$11,2, FALSE)</f>
        <v>15</v>
      </c>
      <c r="L425">
        <f>VLOOKUP(Table2[[#This Row],[Site]],'Site Info'!$A$1:$C$11,3, FALSE)</f>
        <v>12</v>
      </c>
      <c r="M425" t="str">
        <f>VLOOKUP(Table2[[#This Row],[Species]],'Species Table'!$A$1:$D$68,3, FALSE)</f>
        <v>NA</v>
      </c>
      <c r="O425" s="15">
        <f>IF(SUMPRODUCT(($A$2:$A425=A425)*($B$2:$B425=B425)*($F$2:$F425=F425))&gt;1,0,1)</f>
        <v>0</v>
      </c>
      <c r="P425" s="15">
        <f>IF(SUMPRODUCT(($A$2:$A425=A425)*($B$2:$B425=B425)*($D$2:$D425=D425))&gt;1,0,1)</f>
        <v>1</v>
      </c>
    </row>
    <row r="426" spans="1:16" x14ac:dyDescent="0.35">
      <c r="A426" t="s">
        <v>18</v>
      </c>
      <c r="B426">
        <v>2007</v>
      </c>
      <c r="C426" t="s">
        <v>85</v>
      </c>
      <c r="D426">
        <v>2.8</v>
      </c>
      <c r="E426">
        <f>INT(Table2[[#This Row],[Transect]])</f>
        <v>2</v>
      </c>
      <c r="F426" t="s">
        <v>11</v>
      </c>
      <c r="G426">
        <v>16</v>
      </c>
      <c r="H426">
        <v>200</v>
      </c>
      <c r="J426">
        <f>Table2[[#This Row],[Hits]]/Table2[[#This Row],[Points]]*100</f>
        <v>8</v>
      </c>
      <c r="K426">
        <f>VLOOKUP(Table2[[#This Row],[Site]],'Site Info'!$A$1:$C$11,2, FALSE)</f>
        <v>15</v>
      </c>
      <c r="L426">
        <f>VLOOKUP(Table2[[#This Row],[Site]],'Site Info'!$A$1:$C$11,3, FALSE)</f>
        <v>12</v>
      </c>
      <c r="M426" t="str">
        <f>VLOOKUP(Table2[[#This Row],[Species]],'Species Table'!$A$1:$D$68,3, FALSE)</f>
        <v>Perennial</v>
      </c>
      <c r="O426" s="15">
        <f>IF(SUMPRODUCT(($A$2:$A426=A426)*($B$2:$B426=B426)*($F$2:$F426=F426))&gt;1,0,1)</f>
        <v>0</v>
      </c>
      <c r="P426" s="15">
        <f>IF(SUMPRODUCT(($A$2:$A426=A426)*($B$2:$B426=B426)*($D$2:$D426=D426))&gt;1,0,1)</f>
        <v>1</v>
      </c>
    </row>
    <row r="427" spans="1:16" x14ac:dyDescent="0.35">
      <c r="A427" t="s">
        <v>18</v>
      </c>
      <c r="B427">
        <v>2007</v>
      </c>
      <c r="C427" t="s">
        <v>85</v>
      </c>
      <c r="D427">
        <v>2.8</v>
      </c>
      <c r="E427">
        <f>INT(Table2[[#This Row],[Transect]])</f>
        <v>2</v>
      </c>
      <c r="F427" t="s">
        <v>170</v>
      </c>
      <c r="G427">
        <v>6</v>
      </c>
      <c r="H427">
        <v>200</v>
      </c>
      <c r="J427">
        <f>Table2[[#This Row],[Hits]]/Table2[[#This Row],[Points]]*100</f>
        <v>3</v>
      </c>
      <c r="K427">
        <f>VLOOKUP(Table2[[#This Row],[Site]],'Site Info'!$A$1:$C$11,2, FALSE)</f>
        <v>15</v>
      </c>
      <c r="L427">
        <f>VLOOKUP(Table2[[#This Row],[Site]],'Site Info'!$A$1:$C$11,3, FALSE)</f>
        <v>12</v>
      </c>
      <c r="M427" t="str">
        <f>VLOOKUP(Table2[[#This Row],[Species]],'Species Table'!$A$1:$D$68,3, FALSE)</f>
        <v>Perennial</v>
      </c>
      <c r="O427" s="15">
        <f>IF(SUMPRODUCT(($A$2:$A427=A427)*($B$2:$B427=B427)*($F$2:$F427=F427))&gt;1,0,1)</f>
        <v>1</v>
      </c>
      <c r="P427" s="15">
        <f>IF(SUMPRODUCT(($A$2:$A427=A427)*($B$2:$B427=B427)*($D$2:$D427=D427))&gt;1,0,1)</f>
        <v>0</v>
      </c>
    </row>
    <row r="428" spans="1:16" hidden="1" x14ac:dyDescent="0.35">
      <c r="A428" t="s">
        <v>18</v>
      </c>
      <c r="B428">
        <v>2007</v>
      </c>
      <c r="C428" t="s">
        <v>50</v>
      </c>
      <c r="D428">
        <v>3.1</v>
      </c>
      <c r="E428">
        <f>INT(Table2[[#This Row],[Transect]])</f>
        <v>3</v>
      </c>
      <c r="F428" t="s">
        <v>127</v>
      </c>
      <c r="G428">
        <v>0</v>
      </c>
      <c r="H428">
        <v>200</v>
      </c>
      <c r="J428">
        <f>Table2[[#This Row],[Hits]]/Table2[[#This Row],[Points]]*100</f>
        <v>0</v>
      </c>
      <c r="K428">
        <f>VLOOKUP(Table2[[#This Row],[Site]],'Site Info'!$A$1:$C$11,2, FALSE)</f>
        <v>15</v>
      </c>
      <c r="L428">
        <f>VLOOKUP(Table2[[#This Row],[Site]],'Site Info'!$A$1:$C$11,3, FALSE)</f>
        <v>12</v>
      </c>
      <c r="M428" t="str">
        <f>VLOOKUP(Table2[[#This Row],[Species]],'Species Table'!$A$1:$D$68,3, FALSE)</f>
        <v>NA</v>
      </c>
      <c r="O428" s="15">
        <f>IF(SUMPRODUCT(($A$2:$A428=A428)*($B$2:$B428=B428)*($F$2:$F428=F428))&gt;1,0,1)</f>
        <v>0</v>
      </c>
      <c r="P428" s="15">
        <f>IF(SUMPRODUCT(($A$2:$A428=A428)*($B$2:$B428=B428)*($D$2:$D428=D428))&gt;1,0,1)</f>
        <v>1</v>
      </c>
    </row>
    <row r="429" spans="1:16" hidden="1" x14ac:dyDescent="0.35">
      <c r="A429" t="s">
        <v>18</v>
      </c>
      <c r="B429">
        <v>2007</v>
      </c>
      <c r="C429" t="s">
        <v>131</v>
      </c>
      <c r="D429">
        <v>3.2</v>
      </c>
      <c r="E429">
        <f>INT(Table2[[#This Row],[Transect]])</f>
        <v>3</v>
      </c>
      <c r="F429" t="s">
        <v>127</v>
      </c>
      <c r="G429">
        <v>0</v>
      </c>
      <c r="H429">
        <v>200</v>
      </c>
      <c r="J429">
        <f>Table2[[#This Row],[Hits]]/Table2[[#This Row],[Points]]*100</f>
        <v>0</v>
      </c>
      <c r="K429">
        <f>VLOOKUP(Table2[[#This Row],[Site]],'Site Info'!$A$1:$C$11,2, FALSE)</f>
        <v>15</v>
      </c>
      <c r="L429">
        <f>VLOOKUP(Table2[[#This Row],[Site]],'Site Info'!$A$1:$C$11,3, FALSE)</f>
        <v>12</v>
      </c>
      <c r="M429" t="str">
        <f>VLOOKUP(Table2[[#This Row],[Species]],'Species Table'!$A$1:$D$68,3, FALSE)</f>
        <v>NA</v>
      </c>
      <c r="O429" s="15">
        <f>IF(SUMPRODUCT(($A$2:$A429=A429)*($B$2:$B429=B429)*($F$2:$F429=F429))&gt;1,0,1)</f>
        <v>0</v>
      </c>
      <c r="P429" s="15">
        <f>IF(SUMPRODUCT(($A$2:$A429=A429)*($B$2:$B429=B429)*($D$2:$D429=D429))&gt;1,0,1)</f>
        <v>1</v>
      </c>
    </row>
    <row r="430" spans="1:16" hidden="1" x14ac:dyDescent="0.35">
      <c r="A430" t="s">
        <v>18</v>
      </c>
      <c r="B430">
        <v>2007</v>
      </c>
      <c r="C430" t="s">
        <v>52</v>
      </c>
      <c r="D430">
        <v>3.3</v>
      </c>
      <c r="E430">
        <f>INT(Table2[[#This Row],[Transect]])</f>
        <v>3</v>
      </c>
      <c r="F430" t="s">
        <v>127</v>
      </c>
      <c r="G430">
        <v>0</v>
      </c>
      <c r="H430">
        <v>200</v>
      </c>
      <c r="J430">
        <f>Table2[[#This Row],[Hits]]/Table2[[#This Row],[Points]]*100</f>
        <v>0</v>
      </c>
      <c r="K430">
        <f>VLOOKUP(Table2[[#This Row],[Site]],'Site Info'!$A$1:$C$11,2, FALSE)</f>
        <v>15</v>
      </c>
      <c r="L430">
        <f>VLOOKUP(Table2[[#This Row],[Site]],'Site Info'!$A$1:$C$11,3, FALSE)</f>
        <v>12</v>
      </c>
      <c r="M430" t="str">
        <f>VLOOKUP(Table2[[#This Row],[Species]],'Species Table'!$A$1:$D$68,3, FALSE)</f>
        <v>NA</v>
      </c>
      <c r="O430" s="15">
        <f>IF(SUMPRODUCT(($A$2:$A430=A430)*($B$2:$B430=B430)*($F$2:$F430=F430))&gt;1,0,1)</f>
        <v>0</v>
      </c>
      <c r="P430" s="15">
        <f>IF(SUMPRODUCT(($A$2:$A430=A430)*($B$2:$B430=B430)*($D$2:$D430=D430))&gt;1,0,1)</f>
        <v>1</v>
      </c>
    </row>
    <row r="431" spans="1:16" hidden="1" x14ac:dyDescent="0.35">
      <c r="A431" t="s">
        <v>18</v>
      </c>
      <c r="B431">
        <v>2007</v>
      </c>
      <c r="C431" t="s">
        <v>101</v>
      </c>
      <c r="D431">
        <v>3.4</v>
      </c>
      <c r="E431">
        <f>INT(Table2[[#This Row],[Transect]])</f>
        <v>3</v>
      </c>
      <c r="F431" t="s">
        <v>127</v>
      </c>
      <c r="G431">
        <v>0</v>
      </c>
      <c r="H431">
        <v>200</v>
      </c>
      <c r="J431">
        <f>Table2[[#This Row],[Hits]]/Table2[[#This Row],[Points]]*100</f>
        <v>0</v>
      </c>
      <c r="K431">
        <f>VLOOKUP(Table2[[#This Row],[Site]],'Site Info'!$A$1:$C$11,2, FALSE)</f>
        <v>15</v>
      </c>
      <c r="L431">
        <f>VLOOKUP(Table2[[#This Row],[Site]],'Site Info'!$A$1:$C$11,3, FALSE)</f>
        <v>12</v>
      </c>
      <c r="M431" t="str">
        <f>VLOOKUP(Table2[[#This Row],[Species]],'Species Table'!$A$1:$D$68,3, FALSE)</f>
        <v>NA</v>
      </c>
      <c r="O431" s="15">
        <f>IF(SUMPRODUCT(($A$2:$A431=A431)*($B$2:$B431=B431)*($F$2:$F431=F431))&gt;1,0,1)</f>
        <v>0</v>
      </c>
      <c r="P431" s="15">
        <f>IF(SUMPRODUCT(($A$2:$A431=A431)*($B$2:$B431=B431)*($D$2:$D431=D431))&gt;1,0,1)</f>
        <v>1</v>
      </c>
    </row>
    <row r="432" spans="1:16" hidden="1" x14ac:dyDescent="0.35">
      <c r="A432" t="s">
        <v>18</v>
      </c>
      <c r="B432">
        <v>2007</v>
      </c>
      <c r="C432" t="s">
        <v>102</v>
      </c>
      <c r="D432">
        <v>3.5</v>
      </c>
      <c r="E432">
        <f>INT(Table2[[#This Row],[Transect]])</f>
        <v>3</v>
      </c>
      <c r="F432" t="s">
        <v>127</v>
      </c>
      <c r="G432">
        <v>0</v>
      </c>
      <c r="H432">
        <v>200</v>
      </c>
      <c r="J432">
        <f>Table2[[#This Row],[Hits]]/Table2[[#This Row],[Points]]*100</f>
        <v>0</v>
      </c>
      <c r="K432">
        <f>VLOOKUP(Table2[[#This Row],[Site]],'Site Info'!$A$1:$C$11,2, FALSE)</f>
        <v>15</v>
      </c>
      <c r="L432">
        <f>VLOOKUP(Table2[[#This Row],[Site]],'Site Info'!$A$1:$C$11,3, FALSE)</f>
        <v>12</v>
      </c>
      <c r="M432" t="str">
        <f>VLOOKUP(Table2[[#This Row],[Species]],'Species Table'!$A$1:$D$68,3, FALSE)</f>
        <v>NA</v>
      </c>
      <c r="O432" s="15">
        <f>IF(SUMPRODUCT(($A$2:$A432=A432)*($B$2:$B432=B432)*($F$2:$F432=F432))&gt;1,0,1)</f>
        <v>0</v>
      </c>
      <c r="P432" s="15">
        <f>IF(SUMPRODUCT(($A$2:$A432=A432)*($B$2:$B432=B432)*($D$2:$D432=D432))&gt;1,0,1)</f>
        <v>1</v>
      </c>
    </row>
    <row r="433" spans="1:16" hidden="1" x14ac:dyDescent="0.35">
      <c r="A433" t="s">
        <v>18</v>
      </c>
      <c r="B433">
        <v>2007</v>
      </c>
      <c r="C433" t="s">
        <v>53</v>
      </c>
      <c r="D433">
        <v>3.6</v>
      </c>
      <c r="E433">
        <f>INT(Table2[[#This Row],[Transect]])</f>
        <v>3</v>
      </c>
      <c r="F433" t="s">
        <v>127</v>
      </c>
      <c r="G433">
        <v>0</v>
      </c>
      <c r="H433">
        <v>200</v>
      </c>
      <c r="J433">
        <f>Table2[[#This Row],[Hits]]/Table2[[#This Row],[Points]]*100</f>
        <v>0</v>
      </c>
      <c r="K433">
        <f>VLOOKUP(Table2[[#This Row],[Site]],'Site Info'!$A$1:$C$11,2, FALSE)</f>
        <v>15</v>
      </c>
      <c r="L433">
        <f>VLOOKUP(Table2[[#This Row],[Site]],'Site Info'!$A$1:$C$11,3, FALSE)</f>
        <v>12</v>
      </c>
      <c r="M433" t="str">
        <f>VLOOKUP(Table2[[#This Row],[Species]],'Species Table'!$A$1:$D$68,3, FALSE)</f>
        <v>NA</v>
      </c>
      <c r="O433" s="15">
        <f>IF(SUMPRODUCT(($A$2:$A433=A433)*($B$2:$B433=B433)*($F$2:$F433=F433))&gt;1,0,1)</f>
        <v>0</v>
      </c>
      <c r="P433" s="15">
        <f>IF(SUMPRODUCT(($A$2:$A433=A433)*($B$2:$B433=B433)*($D$2:$D433=D433))&gt;1,0,1)</f>
        <v>1</v>
      </c>
    </row>
    <row r="434" spans="1:16" x14ac:dyDescent="0.35">
      <c r="A434" t="s">
        <v>18</v>
      </c>
      <c r="B434">
        <v>2007</v>
      </c>
      <c r="C434" t="s">
        <v>54</v>
      </c>
      <c r="D434">
        <v>3.7</v>
      </c>
      <c r="E434">
        <f>INT(Table2[[#This Row],[Transect]])</f>
        <v>3</v>
      </c>
      <c r="F434" t="s">
        <v>11</v>
      </c>
      <c r="G434">
        <v>10</v>
      </c>
      <c r="H434">
        <v>199</v>
      </c>
      <c r="J434">
        <f>Table2[[#This Row],[Hits]]/Table2[[#This Row],[Points]]*100</f>
        <v>5.025125628140704</v>
      </c>
      <c r="K434">
        <f>VLOOKUP(Table2[[#This Row],[Site]],'Site Info'!$A$1:$C$11,2, FALSE)</f>
        <v>15</v>
      </c>
      <c r="L434">
        <f>VLOOKUP(Table2[[#This Row],[Site]],'Site Info'!$A$1:$C$11,3, FALSE)</f>
        <v>12</v>
      </c>
      <c r="M434" t="str">
        <f>VLOOKUP(Table2[[#This Row],[Species]],'Species Table'!$A$1:$D$68,3, FALSE)</f>
        <v>Perennial</v>
      </c>
      <c r="O434" s="15">
        <f>IF(SUMPRODUCT(($A$2:$A434=A434)*($B$2:$B434=B434)*($F$2:$F434=F434))&gt;1,0,1)</f>
        <v>0</v>
      </c>
      <c r="P434" s="15">
        <f>IF(SUMPRODUCT(($A$2:$A434=A434)*($B$2:$B434=B434)*($D$2:$D434=D434))&gt;1,0,1)</f>
        <v>1</v>
      </c>
    </row>
    <row r="435" spans="1:16" x14ac:dyDescent="0.35">
      <c r="A435" t="s">
        <v>18</v>
      </c>
      <c r="B435">
        <v>2007</v>
      </c>
      <c r="C435" t="s">
        <v>54</v>
      </c>
      <c r="D435">
        <v>3.7</v>
      </c>
      <c r="E435">
        <f>INT(Table2[[#This Row],[Transect]])</f>
        <v>3</v>
      </c>
      <c r="F435" t="s">
        <v>31</v>
      </c>
      <c r="G435">
        <v>1</v>
      </c>
      <c r="H435">
        <v>199</v>
      </c>
      <c r="J435">
        <f>Table2[[#This Row],[Hits]]/Table2[[#This Row],[Points]]*100</f>
        <v>0.50251256281407031</v>
      </c>
      <c r="K435">
        <f>VLOOKUP(Table2[[#This Row],[Site]],'Site Info'!$A$1:$C$11,2, FALSE)</f>
        <v>15</v>
      </c>
      <c r="L435">
        <f>VLOOKUP(Table2[[#This Row],[Site]],'Site Info'!$A$1:$C$11,3, FALSE)</f>
        <v>12</v>
      </c>
      <c r="M435" t="str">
        <f>VLOOKUP(Table2[[#This Row],[Species]],'Species Table'!$A$1:$D$68,3, FALSE)</f>
        <v>Perennial</v>
      </c>
      <c r="O435" s="15">
        <f>IF(SUMPRODUCT(($A$2:$A435=A435)*($B$2:$B435=B435)*($F$2:$F435=F435))&gt;1,0,1)</f>
        <v>1</v>
      </c>
      <c r="P435" s="15">
        <f>IF(SUMPRODUCT(($A$2:$A435=A435)*($B$2:$B435=B435)*($D$2:$D435=D435))&gt;1,0,1)</f>
        <v>0</v>
      </c>
    </row>
    <row r="436" spans="1:16" x14ac:dyDescent="0.35">
      <c r="A436" t="s">
        <v>18</v>
      </c>
      <c r="B436">
        <v>2007</v>
      </c>
      <c r="C436" t="s">
        <v>55</v>
      </c>
      <c r="D436">
        <v>4.0999999999999996</v>
      </c>
      <c r="E436">
        <f>INT(Table2[[#This Row],[Transect]])</f>
        <v>4</v>
      </c>
      <c r="F436" t="s">
        <v>11</v>
      </c>
      <c r="G436">
        <v>2</v>
      </c>
      <c r="H436">
        <v>200</v>
      </c>
      <c r="J436">
        <f>Table2[[#This Row],[Hits]]/Table2[[#This Row],[Points]]*100</f>
        <v>1</v>
      </c>
      <c r="K436">
        <f>VLOOKUP(Table2[[#This Row],[Site]],'Site Info'!$A$1:$C$11,2, FALSE)</f>
        <v>15</v>
      </c>
      <c r="L436">
        <f>VLOOKUP(Table2[[#This Row],[Site]],'Site Info'!$A$1:$C$11,3, FALSE)</f>
        <v>12</v>
      </c>
      <c r="M436" t="str">
        <f>VLOOKUP(Table2[[#This Row],[Species]],'Species Table'!$A$1:$D$68,3, FALSE)</f>
        <v>Perennial</v>
      </c>
      <c r="O436" s="15">
        <f>IF(SUMPRODUCT(($A$2:$A436=A436)*($B$2:$B436=B436)*($F$2:$F436=F436))&gt;1,0,1)</f>
        <v>0</v>
      </c>
      <c r="P436" s="15">
        <f>IF(SUMPRODUCT(($A$2:$A436=A436)*($B$2:$B436=B436)*($D$2:$D436=D436))&gt;1,0,1)</f>
        <v>1</v>
      </c>
    </row>
    <row r="437" spans="1:16" x14ac:dyDescent="0.35">
      <c r="A437" t="s">
        <v>18</v>
      </c>
      <c r="B437">
        <v>2007</v>
      </c>
      <c r="C437" t="s">
        <v>56</v>
      </c>
      <c r="D437">
        <v>4.2</v>
      </c>
      <c r="E437">
        <f>INT(Table2[[#This Row],[Transect]])</f>
        <v>4</v>
      </c>
      <c r="F437" t="s">
        <v>11</v>
      </c>
      <c r="G437">
        <v>6</v>
      </c>
      <c r="H437">
        <v>200</v>
      </c>
      <c r="J437">
        <f>Table2[[#This Row],[Hits]]/Table2[[#This Row],[Points]]*100</f>
        <v>3</v>
      </c>
      <c r="K437">
        <f>VLOOKUP(Table2[[#This Row],[Site]],'Site Info'!$A$1:$C$11,2, FALSE)</f>
        <v>15</v>
      </c>
      <c r="L437">
        <f>VLOOKUP(Table2[[#This Row],[Site]],'Site Info'!$A$1:$C$11,3, FALSE)</f>
        <v>12</v>
      </c>
      <c r="M437" t="str">
        <f>VLOOKUP(Table2[[#This Row],[Species]],'Species Table'!$A$1:$D$68,3, FALSE)</f>
        <v>Perennial</v>
      </c>
      <c r="O437" s="15">
        <f>IF(SUMPRODUCT(($A$2:$A437=A437)*($B$2:$B437=B437)*($F$2:$F437=F437))&gt;1,0,1)</f>
        <v>0</v>
      </c>
      <c r="P437" s="15">
        <f>IF(SUMPRODUCT(($A$2:$A437=A437)*($B$2:$B437=B437)*($D$2:$D437=D437))&gt;1,0,1)</f>
        <v>1</v>
      </c>
    </row>
    <row r="438" spans="1:16" hidden="1" x14ac:dyDescent="0.35">
      <c r="A438" t="s">
        <v>18</v>
      </c>
      <c r="B438">
        <v>2007</v>
      </c>
      <c r="C438" t="s">
        <v>57</v>
      </c>
      <c r="D438">
        <v>4.3</v>
      </c>
      <c r="E438">
        <f>INT(Table2[[#This Row],[Transect]])</f>
        <v>4</v>
      </c>
      <c r="F438" t="s">
        <v>127</v>
      </c>
      <c r="G438">
        <v>0</v>
      </c>
      <c r="H438">
        <v>200</v>
      </c>
      <c r="J438">
        <f>Table2[[#This Row],[Hits]]/Table2[[#This Row],[Points]]*100</f>
        <v>0</v>
      </c>
      <c r="K438">
        <f>VLOOKUP(Table2[[#This Row],[Site]],'Site Info'!$A$1:$C$11,2, FALSE)</f>
        <v>15</v>
      </c>
      <c r="L438">
        <f>VLOOKUP(Table2[[#This Row],[Site]],'Site Info'!$A$1:$C$11,3, FALSE)</f>
        <v>12</v>
      </c>
      <c r="M438" t="str">
        <f>VLOOKUP(Table2[[#This Row],[Species]],'Species Table'!$A$1:$D$68,3, FALSE)</f>
        <v>NA</v>
      </c>
      <c r="O438" s="15">
        <f>IF(SUMPRODUCT(($A$2:$A438=A438)*($B$2:$B438=B438)*($F$2:$F438=F438))&gt;1,0,1)</f>
        <v>0</v>
      </c>
      <c r="P438" s="15">
        <f>IF(SUMPRODUCT(($A$2:$A438=A438)*($B$2:$B438=B438)*($D$2:$D438=D438))&gt;1,0,1)</f>
        <v>1</v>
      </c>
    </row>
    <row r="439" spans="1:16" x14ac:dyDescent="0.35">
      <c r="A439" t="s">
        <v>18</v>
      </c>
      <c r="B439">
        <v>2007</v>
      </c>
      <c r="C439" t="s">
        <v>58</v>
      </c>
      <c r="D439">
        <v>4.4000000000000004</v>
      </c>
      <c r="E439">
        <f>INT(Table2[[#This Row],[Transect]])</f>
        <v>4</v>
      </c>
      <c r="F439" t="s">
        <v>11</v>
      </c>
      <c r="G439">
        <v>12</v>
      </c>
      <c r="H439">
        <v>200</v>
      </c>
      <c r="J439">
        <f>Table2[[#This Row],[Hits]]/Table2[[#This Row],[Points]]*100</f>
        <v>6</v>
      </c>
      <c r="K439">
        <f>VLOOKUP(Table2[[#This Row],[Site]],'Site Info'!$A$1:$C$11,2, FALSE)</f>
        <v>15</v>
      </c>
      <c r="L439">
        <f>VLOOKUP(Table2[[#This Row],[Site]],'Site Info'!$A$1:$C$11,3, FALSE)</f>
        <v>12</v>
      </c>
      <c r="M439" t="str">
        <f>VLOOKUP(Table2[[#This Row],[Species]],'Species Table'!$A$1:$D$68,3, FALSE)</f>
        <v>Perennial</v>
      </c>
      <c r="O439" s="15">
        <f>IF(SUMPRODUCT(($A$2:$A439=A439)*($B$2:$B439=B439)*($F$2:$F439=F439))&gt;1,0,1)</f>
        <v>0</v>
      </c>
      <c r="P439" s="15">
        <f>IF(SUMPRODUCT(($A$2:$A439=A439)*($B$2:$B439=B439)*($D$2:$D439=D439))&gt;1,0,1)</f>
        <v>1</v>
      </c>
    </row>
    <row r="440" spans="1:16" x14ac:dyDescent="0.35">
      <c r="A440" t="s">
        <v>18</v>
      </c>
      <c r="B440">
        <v>2007</v>
      </c>
      <c r="C440" t="s">
        <v>59</v>
      </c>
      <c r="D440">
        <v>4.5</v>
      </c>
      <c r="E440">
        <f>INT(Table2[[#This Row],[Transect]])</f>
        <v>4</v>
      </c>
      <c r="F440" t="s">
        <v>11</v>
      </c>
      <c r="G440">
        <v>11</v>
      </c>
      <c r="H440">
        <v>200</v>
      </c>
      <c r="J440">
        <f>Table2[[#This Row],[Hits]]/Table2[[#This Row],[Points]]*100</f>
        <v>5.5</v>
      </c>
      <c r="K440">
        <f>VLOOKUP(Table2[[#This Row],[Site]],'Site Info'!$A$1:$C$11,2, FALSE)</f>
        <v>15</v>
      </c>
      <c r="L440">
        <f>VLOOKUP(Table2[[#This Row],[Site]],'Site Info'!$A$1:$C$11,3, FALSE)</f>
        <v>12</v>
      </c>
      <c r="M440" t="str">
        <f>VLOOKUP(Table2[[#This Row],[Species]],'Species Table'!$A$1:$D$68,3, FALSE)</f>
        <v>Perennial</v>
      </c>
      <c r="O440" s="15">
        <f>IF(SUMPRODUCT(($A$2:$A440=A440)*($B$2:$B440=B440)*($F$2:$F440=F440))&gt;1,0,1)</f>
        <v>0</v>
      </c>
      <c r="P440" s="15">
        <f>IF(SUMPRODUCT(($A$2:$A440=A440)*($B$2:$B440=B440)*($D$2:$D440=D440))&gt;1,0,1)</f>
        <v>1</v>
      </c>
    </row>
    <row r="441" spans="1:16" x14ac:dyDescent="0.35">
      <c r="A441" t="s">
        <v>18</v>
      </c>
      <c r="B441">
        <v>2007</v>
      </c>
      <c r="C441" t="s">
        <v>60</v>
      </c>
      <c r="D441">
        <v>4.5999999999999996</v>
      </c>
      <c r="E441">
        <f>INT(Table2[[#This Row],[Transect]])</f>
        <v>4</v>
      </c>
      <c r="F441" t="s">
        <v>11</v>
      </c>
      <c r="G441">
        <v>5</v>
      </c>
      <c r="H441">
        <v>200</v>
      </c>
      <c r="J441">
        <f>Table2[[#This Row],[Hits]]/Table2[[#This Row],[Points]]*100</f>
        <v>2.5</v>
      </c>
      <c r="K441">
        <f>VLOOKUP(Table2[[#This Row],[Site]],'Site Info'!$A$1:$C$11,2, FALSE)</f>
        <v>15</v>
      </c>
      <c r="L441">
        <f>VLOOKUP(Table2[[#This Row],[Site]],'Site Info'!$A$1:$C$11,3, FALSE)</f>
        <v>12</v>
      </c>
      <c r="M441" t="str">
        <f>VLOOKUP(Table2[[#This Row],[Species]],'Species Table'!$A$1:$D$68,3, FALSE)</f>
        <v>Perennial</v>
      </c>
      <c r="O441" s="15">
        <f>IF(SUMPRODUCT(($A$2:$A441=A441)*($B$2:$B441=B441)*($F$2:$F441=F441))&gt;1,0,1)</f>
        <v>0</v>
      </c>
      <c r="P441" s="15">
        <f>IF(SUMPRODUCT(($A$2:$A441=A441)*($B$2:$B441=B441)*($D$2:$D441=D441))&gt;1,0,1)</f>
        <v>1</v>
      </c>
    </row>
    <row r="442" spans="1:16" x14ac:dyDescent="0.35">
      <c r="A442" t="s">
        <v>18</v>
      </c>
      <c r="B442">
        <v>2007</v>
      </c>
      <c r="C442" t="s">
        <v>61</v>
      </c>
      <c r="D442">
        <v>4.7</v>
      </c>
      <c r="E442">
        <f>INT(Table2[[#This Row],[Transect]])</f>
        <v>4</v>
      </c>
      <c r="F442" t="s">
        <v>11</v>
      </c>
      <c r="G442">
        <v>16</v>
      </c>
      <c r="H442">
        <v>200</v>
      </c>
      <c r="J442">
        <f>Table2[[#This Row],[Hits]]/Table2[[#This Row],[Points]]*100</f>
        <v>8</v>
      </c>
      <c r="K442">
        <f>VLOOKUP(Table2[[#This Row],[Site]],'Site Info'!$A$1:$C$11,2, FALSE)</f>
        <v>15</v>
      </c>
      <c r="L442">
        <f>VLOOKUP(Table2[[#This Row],[Site]],'Site Info'!$A$1:$C$11,3, FALSE)</f>
        <v>12</v>
      </c>
      <c r="M442" t="str">
        <f>VLOOKUP(Table2[[#This Row],[Species]],'Species Table'!$A$1:$D$68,3, FALSE)</f>
        <v>Perennial</v>
      </c>
      <c r="O442" s="15">
        <f>IF(SUMPRODUCT(($A$2:$A442=A442)*($B$2:$B442=B442)*($F$2:$F442=F442))&gt;1,0,1)</f>
        <v>0</v>
      </c>
      <c r="P442" s="15">
        <f>IF(SUMPRODUCT(($A$2:$A442=A442)*($B$2:$B442=B442)*($D$2:$D442=D442))&gt;1,0,1)</f>
        <v>1</v>
      </c>
    </row>
    <row r="443" spans="1:16" x14ac:dyDescent="0.35">
      <c r="A443" t="s">
        <v>18</v>
      </c>
      <c r="B443">
        <v>2007</v>
      </c>
      <c r="C443" t="s">
        <v>62</v>
      </c>
      <c r="D443">
        <v>5.0999999999999996</v>
      </c>
      <c r="E443">
        <f>INT(Table2[[#This Row],[Transect]])</f>
        <v>5</v>
      </c>
      <c r="F443" t="s">
        <v>11</v>
      </c>
      <c r="G443">
        <v>13</v>
      </c>
      <c r="H443">
        <v>200</v>
      </c>
      <c r="J443">
        <f>Table2[[#This Row],[Hits]]/Table2[[#This Row],[Points]]*100</f>
        <v>6.5</v>
      </c>
      <c r="K443">
        <f>VLOOKUP(Table2[[#This Row],[Site]],'Site Info'!$A$1:$C$11,2, FALSE)</f>
        <v>15</v>
      </c>
      <c r="L443">
        <f>VLOOKUP(Table2[[#This Row],[Site]],'Site Info'!$A$1:$C$11,3, FALSE)</f>
        <v>12</v>
      </c>
      <c r="M443" t="str">
        <f>VLOOKUP(Table2[[#This Row],[Species]],'Species Table'!$A$1:$D$68,3, FALSE)</f>
        <v>Perennial</v>
      </c>
      <c r="O443" s="15">
        <f>IF(SUMPRODUCT(($A$2:$A443=A443)*($B$2:$B443=B443)*($F$2:$F443=F443))&gt;1,0,1)</f>
        <v>0</v>
      </c>
      <c r="P443" s="15">
        <f>IF(SUMPRODUCT(($A$2:$A443=A443)*($B$2:$B443=B443)*($D$2:$D443=D443))&gt;1,0,1)</f>
        <v>1</v>
      </c>
    </row>
    <row r="444" spans="1:16" x14ac:dyDescent="0.35">
      <c r="A444" t="s">
        <v>18</v>
      </c>
      <c r="B444">
        <v>2007</v>
      </c>
      <c r="C444" t="s">
        <v>62</v>
      </c>
      <c r="D444">
        <v>5.0999999999999996</v>
      </c>
      <c r="E444">
        <f>INT(Table2[[#This Row],[Transect]])</f>
        <v>5</v>
      </c>
      <c r="F444" t="s">
        <v>12</v>
      </c>
      <c r="G444">
        <v>2</v>
      </c>
      <c r="H444">
        <v>200</v>
      </c>
      <c r="J444">
        <f>Table2[[#This Row],[Hits]]/Table2[[#This Row],[Points]]*100</f>
        <v>1</v>
      </c>
      <c r="K444">
        <f>VLOOKUP(Table2[[#This Row],[Site]],'Site Info'!$A$1:$C$11,2, FALSE)</f>
        <v>15</v>
      </c>
      <c r="L444">
        <f>VLOOKUP(Table2[[#This Row],[Site]],'Site Info'!$A$1:$C$11,3, FALSE)</f>
        <v>12</v>
      </c>
      <c r="M444" t="str">
        <f>VLOOKUP(Table2[[#This Row],[Species]],'Species Table'!$A$1:$D$68,3, FALSE)</f>
        <v>Perennial</v>
      </c>
      <c r="O444" s="15">
        <f>IF(SUMPRODUCT(($A$2:$A444=A444)*($B$2:$B444=B444)*($F$2:$F444=F444))&gt;1,0,1)</f>
        <v>1</v>
      </c>
      <c r="P444" s="15">
        <f>IF(SUMPRODUCT(($A$2:$A444=A444)*($B$2:$B444=B444)*($D$2:$D444=D444))&gt;1,0,1)</f>
        <v>0</v>
      </c>
    </row>
    <row r="445" spans="1:16" x14ac:dyDescent="0.35">
      <c r="A445" t="s">
        <v>18</v>
      </c>
      <c r="B445">
        <v>2007</v>
      </c>
      <c r="C445" t="s">
        <v>63</v>
      </c>
      <c r="D445">
        <v>5.2</v>
      </c>
      <c r="E445">
        <f>INT(Table2[[#This Row],[Transect]])</f>
        <v>5</v>
      </c>
      <c r="F445" t="s">
        <v>11</v>
      </c>
      <c r="G445">
        <v>16</v>
      </c>
      <c r="H445">
        <v>200</v>
      </c>
      <c r="J445">
        <f>Table2[[#This Row],[Hits]]/Table2[[#This Row],[Points]]*100</f>
        <v>8</v>
      </c>
      <c r="K445">
        <f>VLOOKUP(Table2[[#This Row],[Site]],'Site Info'!$A$1:$C$11,2, FALSE)</f>
        <v>15</v>
      </c>
      <c r="L445">
        <f>VLOOKUP(Table2[[#This Row],[Site]],'Site Info'!$A$1:$C$11,3, FALSE)</f>
        <v>12</v>
      </c>
      <c r="M445" t="str">
        <f>VLOOKUP(Table2[[#This Row],[Species]],'Species Table'!$A$1:$D$68,3, FALSE)</f>
        <v>Perennial</v>
      </c>
      <c r="O445" s="15">
        <f>IF(SUMPRODUCT(($A$2:$A445=A445)*($B$2:$B445=B445)*($F$2:$F445=F445))&gt;1,0,1)</f>
        <v>0</v>
      </c>
      <c r="P445" s="15">
        <f>IF(SUMPRODUCT(($A$2:$A445=A445)*($B$2:$B445=B445)*($D$2:$D445=D445))&gt;1,0,1)</f>
        <v>1</v>
      </c>
    </row>
    <row r="446" spans="1:16" x14ac:dyDescent="0.35">
      <c r="A446" t="s">
        <v>18</v>
      </c>
      <c r="B446">
        <v>2007</v>
      </c>
      <c r="C446" t="s">
        <v>63</v>
      </c>
      <c r="D446">
        <v>5.2</v>
      </c>
      <c r="E446">
        <f>INT(Table2[[#This Row],[Transect]])</f>
        <v>5</v>
      </c>
      <c r="F446" t="s">
        <v>12</v>
      </c>
      <c r="G446">
        <v>3</v>
      </c>
      <c r="H446">
        <v>200</v>
      </c>
      <c r="J446">
        <f>Table2[[#This Row],[Hits]]/Table2[[#This Row],[Points]]*100</f>
        <v>1.5</v>
      </c>
      <c r="K446">
        <f>VLOOKUP(Table2[[#This Row],[Site]],'Site Info'!$A$1:$C$11,2, FALSE)</f>
        <v>15</v>
      </c>
      <c r="L446">
        <f>VLOOKUP(Table2[[#This Row],[Site]],'Site Info'!$A$1:$C$11,3, FALSE)</f>
        <v>12</v>
      </c>
      <c r="M446" t="str">
        <f>VLOOKUP(Table2[[#This Row],[Species]],'Species Table'!$A$1:$D$68,3, FALSE)</f>
        <v>Perennial</v>
      </c>
      <c r="O446" s="15">
        <f>IF(SUMPRODUCT(($A$2:$A446=A446)*($B$2:$B446=B446)*($F$2:$F446=F446))&gt;1,0,1)</f>
        <v>0</v>
      </c>
      <c r="P446" s="15">
        <f>IF(SUMPRODUCT(($A$2:$A446=A446)*($B$2:$B446=B446)*($D$2:$D446=D446))&gt;1,0,1)</f>
        <v>0</v>
      </c>
    </row>
    <row r="447" spans="1:16" x14ac:dyDescent="0.35">
      <c r="A447" t="s">
        <v>18</v>
      </c>
      <c r="B447">
        <v>2007</v>
      </c>
      <c r="C447" t="s">
        <v>64</v>
      </c>
      <c r="D447">
        <v>5.3</v>
      </c>
      <c r="E447">
        <f>INT(Table2[[#This Row],[Transect]])</f>
        <v>5</v>
      </c>
      <c r="F447" t="s">
        <v>11</v>
      </c>
      <c r="G447">
        <v>3</v>
      </c>
      <c r="H447">
        <v>200</v>
      </c>
      <c r="J447">
        <f>Table2[[#This Row],[Hits]]/Table2[[#This Row],[Points]]*100</f>
        <v>1.5</v>
      </c>
      <c r="K447">
        <f>VLOOKUP(Table2[[#This Row],[Site]],'Site Info'!$A$1:$C$11,2, FALSE)</f>
        <v>15</v>
      </c>
      <c r="L447">
        <f>VLOOKUP(Table2[[#This Row],[Site]],'Site Info'!$A$1:$C$11,3, FALSE)</f>
        <v>12</v>
      </c>
      <c r="M447" t="str">
        <f>VLOOKUP(Table2[[#This Row],[Species]],'Species Table'!$A$1:$D$68,3, FALSE)</f>
        <v>Perennial</v>
      </c>
      <c r="O447" s="15">
        <f>IF(SUMPRODUCT(($A$2:$A447=A447)*($B$2:$B447=B447)*($F$2:$F447=F447))&gt;1,0,1)</f>
        <v>0</v>
      </c>
      <c r="P447" s="15">
        <f>IF(SUMPRODUCT(($A$2:$A447=A447)*($B$2:$B447=B447)*($D$2:$D447=D447))&gt;1,0,1)</f>
        <v>1</v>
      </c>
    </row>
    <row r="448" spans="1:16" x14ac:dyDescent="0.35">
      <c r="A448" t="s">
        <v>18</v>
      </c>
      <c r="B448">
        <v>2007</v>
      </c>
      <c r="C448" t="s">
        <v>86</v>
      </c>
      <c r="D448">
        <v>5.4</v>
      </c>
      <c r="E448">
        <f>INT(Table2[[#This Row],[Transect]])</f>
        <v>5</v>
      </c>
      <c r="F448" t="s">
        <v>11</v>
      </c>
      <c r="G448">
        <v>8</v>
      </c>
      <c r="H448">
        <v>200</v>
      </c>
      <c r="J448">
        <f>Table2[[#This Row],[Hits]]/Table2[[#This Row],[Points]]*100</f>
        <v>4</v>
      </c>
      <c r="K448">
        <f>VLOOKUP(Table2[[#This Row],[Site]],'Site Info'!$A$1:$C$11,2, FALSE)</f>
        <v>15</v>
      </c>
      <c r="L448">
        <f>VLOOKUP(Table2[[#This Row],[Site]],'Site Info'!$A$1:$C$11,3, FALSE)</f>
        <v>12</v>
      </c>
      <c r="M448" t="str">
        <f>VLOOKUP(Table2[[#This Row],[Species]],'Species Table'!$A$1:$D$68,3, FALSE)</f>
        <v>Perennial</v>
      </c>
      <c r="O448" s="15">
        <f>IF(SUMPRODUCT(($A$2:$A448=A448)*($B$2:$B448=B448)*($F$2:$F448=F448))&gt;1,0,1)</f>
        <v>0</v>
      </c>
      <c r="P448" s="15">
        <f>IF(SUMPRODUCT(($A$2:$A448=A448)*($B$2:$B448=B448)*($D$2:$D448=D448))&gt;1,0,1)</f>
        <v>1</v>
      </c>
    </row>
    <row r="449" spans="1:16" x14ac:dyDescent="0.35">
      <c r="A449" t="s">
        <v>18</v>
      </c>
      <c r="B449">
        <v>2007</v>
      </c>
      <c r="C449" t="s">
        <v>65</v>
      </c>
      <c r="D449">
        <v>5.5</v>
      </c>
      <c r="E449">
        <f>INT(Table2[[#This Row],[Transect]])</f>
        <v>5</v>
      </c>
      <c r="F449" t="s">
        <v>11</v>
      </c>
      <c r="G449">
        <v>5</v>
      </c>
      <c r="H449">
        <v>200</v>
      </c>
      <c r="J449">
        <f>Table2[[#This Row],[Hits]]/Table2[[#This Row],[Points]]*100</f>
        <v>2.5</v>
      </c>
      <c r="K449">
        <f>VLOOKUP(Table2[[#This Row],[Site]],'Site Info'!$A$1:$C$11,2, FALSE)</f>
        <v>15</v>
      </c>
      <c r="L449">
        <f>VLOOKUP(Table2[[#This Row],[Site]],'Site Info'!$A$1:$C$11,3, FALSE)</f>
        <v>12</v>
      </c>
      <c r="M449" t="str">
        <f>VLOOKUP(Table2[[#This Row],[Species]],'Species Table'!$A$1:$D$68,3, FALSE)</f>
        <v>Perennial</v>
      </c>
      <c r="O449" s="15">
        <f>IF(SUMPRODUCT(($A$2:$A449=A449)*($B$2:$B449=B449)*($F$2:$F449=F449))&gt;1,0,1)</f>
        <v>0</v>
      </c>
      <c r="P449" s="15">
        <f>IF(SUMPRODUCT(($A$2:$A449=A449)*($B$2:$B449=B449)*($D$2:$D449=D449))&gt;1,0,1)</f>
        <v>1</v>
      </c>
    </row>
    <row r="450" spans="1:16" x14ac:dyDescent="0.35">
      <c r="A450" t="s">
        <v>18</v>
      </c>
      <c r="B450">
        <v>2007</v>
      </c>
      <c r="C450" t="s">
        <v>87</v>
      </c>
      <c r="D450">
        <v>5.6</v>
      </c>
      <c r="E450">
        <f>INT(Table2[[#This Row],[Transect]])</f>
        <v>5</v>
      </c>
      <c r="F450" t="s">
        <v>11</v>
      </c>
      <c r="G450">
        <v>3</v>
      </c>
      <c r="H450">
        <v>200</v>
      </c>
      <c r="J450">
        <f>Table2[[#This Row],[Hits]]/Table2[[#This Row],[Points]]*100</f>
        <v>1.5</v>
      </c>
      <c r="K450">
        <f>VLOOKUP(Table2[[#This Row],[Site]],'Site Info'!$A$1:$C$11,2, FALSE)</f>
        <v>15</v>
      </c>
      <c r="L450">
        <f>VLOOKUP(Table2[[#This Row],[Site]],'Site Info'!$A$1:$C$11,3, FALSE)</f>
        <v>12</v>
      </c>
      <c r="M450" t="str">
        <f>VLOOKUP(Table2[[#This Row],[Species]],'Species Table'!$A$1:$D$68,3, FALSE)</f>
        <v>Perennial</v>
      </c>
      <c r="O450" s="15">
        <f>IF(SUMPRODUCT(($A$2:$A450=A450)*($B$2:$B450=B450)*($F$2:$F450=F450))&gt;1,0,1)</f>
        <v>0</v>
      </c>
      <c r="P450" s="15">
        <f>IF(SUMPRODUCT(($A$2:$A450=A450)*($B$2:$B450=B450)*($D$2:$D450=D450))&gt;1,0,1)</f>
        <v>1</v>
      </c>
    </row>
    <row r="451" spans="1:16" x14ac:dyDescent="0.35">
      <c r="A451" t="s">
        <v>18</v>
      </c>
      <c r="B451">
        <v>2007</v>
      </c>
      <c r="C451" t="s">
        <v>67</v>
      </c>
      <c r="D451">
        <v>6.1</v>
      </c>
      <c r="E451">
        <f>INT(Table2[[#This Row],[Transect]])</f>
        <v>6</v>
      </c>
      <c r="F451" t="s">
        <v>11</v>
      </c>
      <c r="G451">
        <v>10</v>
      </c>
      <c r="H451">
        <v>200</v>
      </c>
      <c r="J451">
        <f>Table2[[#This Row],[Hits]]/Table2[[#This Row],[Points]]*100</f>
        <v>5</v>
      </c>
      <c r="K451">
        <f>VLOOKUP(Table2[[#This Row],[Site]],'Site Info'!$A$1:$C$11,2, FALSE)</f>
        <v>15</v>
      </c>
      <c r="L451">
        <f>VLOOKUP(Table2[[#This Row],[Site]],'Site Info'!$A$1:$C$11,3, FALSE)</f>
        <v>12</v>
      </c>
      <c r="M451" t="str">
        <f>VLOOKUP(Table2[[#This Row],[Species]],'Species Table'!$A$1:$D$68,3, FALSE)</f>
        <v>Perennial</v>
      </c>
      <c r="O451" s="15">
        <f>IF(SUMPRODUCT(($A$2:$A451=A451)*($B$2:$B451=B451)*($F$2:$F451=F451))&gt;1,0,1)</f>
        <v>0</v>
      </c>
      <c r="P451" s="15">
        <f>IF(SUMPRODUCT(($A$2:$A451=A451)*($B$2:$B451=B451)*($D$2:$D451=D451))&gt;1,0,1)</f>
        <v>1</v>
      </c>
    </row>
    <row r="452" spans="1:16" x14ac:dyDescent="0.35">
      <c r="A452" t="s">
        <v>18</v>
      </c>
      <c r="B452">
        <v>2007</v>
      </c>
      <c r="C452" t="s">
        <v>88</v>
      </c>
      <c r="D452">
        <v>6.2</v>
      </c>
      <c r="E452">
        <f>INT(Table2[[#This Row],[Transect]])</f>
        <v>6</v>
      </c>
      <c r="F452" t="s">
        <v>11</v>
      </c>
      <c r="G452">
        <v>28</v>
      </c>
      <c r="H452">
        <v>200</v>
      </c>
      <c r="J452">
        <f>Table2[[#This Row],[Hits]]/Table2[[#This Row],[Points]]*100</f>
        <v>14.000000000000002</v>
      </c>
      <c r="K452">
        <f>VLOOKUP(Table2[[#This Row],[Site]],'Site Info'!$A$1:$C$11,2, FALSE)</f>
        <v>15</v>
      </c>
      <c r="L452">
        <f>VLOOKUP(Table2[[#This Row],[Site]],'Site Info'!$A$1:$C$11,3, FALSE)</f>
        <v>12</v>
      </c>
      <c r="M452" t="str">
        <f>VLOOKUP(Table2[[#This Row],[Species]],'Species Table'!$A$1:$D$68,3, FALSE)</f>
        <v>Perennial</v>
      </c>
      <c r="O452" s="15">
        <f>IF(SUMPRODUCT(($A$2:$A452=A452)*($B$2:$B452=B452)*($F$2:$F452=F452))&gt;1,0,1)</f>
        <v>0</v>
      </c>
      <c r="P452" s="15">
        <f>IF(SUMPRODUCT(($A$2:$A452=A452)*($B$2:$B452=B452)*($D$2:$D452=D452))&gt;1,0,1)</f>
        <v>1</v>
      </c>
    </row>
    <row r="453" spans="1:16" x14ac:dyDescent="0.35">
      <c r="A453" t="s">
        <v>18</v>
      </c>
      <c r="B453">
        <v>2007</v>
      </c>
      <c r="C453" t="s">
        <v>68</v>
      </c>
      <c r="D453">
        <v>6.3</v>
      </c>
      <c r="E453">
        <f>INT(Table2[[#This Row],[Transect]])</f>
        <v>6</v>
      </c>
      <c r="F453" t="s">
        <v>11</v>
      </c>
      <c r="G453">
        <v>8</v>
      </c>
      <c r="H453">
        <v>200</v>
      </c>
      <c r="J453">
        <f>Table2[[#This Row],[Hits]]/Table2[[#This Row],[Points]]*100</f>
        <v>4</v>
      </c>
      <c r="K453">
        <f>VLOOKUP(Table2[[#This Row],[Site]],'Site Info'!$A$1:$C$11,2, FALSE)</f>
        <v>15</v>
      </c>
      <c r="L453">
        <f>VLOOKUP(Table2[[#This Row],[Site]],'Site Info'!$A$1:$C$11,3, FALSE)</f>
        <v>12</v>
      </c>
      <c r="M453" t="str">
        <f>VLOOKUP(Table2[[#This Row],[Species]],'Species Table'!$A$1:$D$68,3, FALSE)</f>
        <v>Perennial</v>
      </c>
      <c r="O453" s="15">
        <f>IF(SUMPRODUCT(($A$2:$A453=A453)*($B$2:$B453=B453)*($F$2:$F453=F453))&gt;1,0,1)</f>
        <v>0</v>
      </c>
      <c r="P453" s="15">
        <f>IF(SUMPRODUCT(($A$2:$A453=A453)*($B$2:$B453=B453)*($D$2:$D453=D453))&gt;1,0,1)</f>
        <v>1</v>
      </c>
    </row>
    <row r="454" spans="1:16" x14ac:dyDescent="0.35">
      <c r="A454" t="s">
        <v>18</v>
      </c>
      <c r="B454">
        <v>2007</v>
      </c>
      <c r="C454" t="s">
        <v>89</v>
      </c>
      <c r="D454">
        <v>6.4</v>
      </c>
      <c r="E454">
        <f>INT(Table2[[#This Row],[Transect]])</f>
        <v>6</v>
      </c>
      <c r="F454" t="s">
        <v>11</v>
      </c>
      <c r="G454">
        <v>6</v>
      </c>
      <c r="H454">
        <v>200</v>
      </c>
      <c r="J454">
        <f>Table2[[#This Row],[Hits]]/Table2[[#This Row],[Points]]*100</f>
        <v>3</v>
      </c>
      <c r="K454">
        <f>VLOOKUP(Table2[[#This Row],[Site]],'Site Info'!$A$1:$C$11,2, FALSE)</f>
        <v>15</v>
      </c>
      <c r="L454">
        <f>VLOOKUP(Table2[[#This Row],[Site]],'Site Info'!$A$1:$C$11,3, FALSE)</f>
        <v>12</v>
      </c>
      <c r="M454" t="str">
        <f>VLOOKUP(Table2[[#This Row],[Species]],'Species Table'!$A$1:$D$68,3, FALSE)</f>
        <v>Perennial</v>
      </c>
      <c r="O454" s="15">
        <f>IF(SUMPRODUCT(($A$2:$A454=A454)*($B$2:$B454=B454)*($F$2:$F454=F454))&gt;1,0,1)</f>
        <v>0</v>
      </c>
      <c r="P454" s="15">
        <f>IF(SUMPRODUCT(($A$2:$A454=A454)*($B$2:$B454=B454)*($D$2:$D454=D454))&gt;1,0,1)</f>
        <v>1</v>
      </c>
    </row>
    <row r="455" spans="1:16" hidden="1" x14ac:dyDescent="0.35">
      <c r="A455" t="s">
        <v>18</v>
      </c>
      <c r="B455">
        <v>2007</v>
      </c>
      <c r="C455" t="s">
        <v>126</v>
      </c>
      <c r="D455">
        <v>6.5</v>
      </c>
      <c r="E455">
        <f>INT(Table2[[#This Row],[Transect]])</f>
        <v>6</v>
      </c>
      <c r="F455" t="s">
        <v>127</v>
      </c>
      <c r="G455">
        <v>0</v>
      </c>
      <c r="H455">
        <v>200</v>
      </c>
      <c r="J455">
        <f>Table2[[#This Row],[Hits]]/Table2[[#This Row],[Points]]*100</f>
        <v>0</v>
      </c>
      <c r="K455">
        <f>VLOOKUP(Table2[[#This Row],[Site]],'Site Info'!$A$1:$C$11,2, FALSE)</f>
        <v>15</v>
      </c>
      <c r="L455">
        <f>VLOOKUP(Table2[[#This Row],[Site]],'Site Info'!$A$1:$C$11,3, FALSE)</f>
        <v>12</v>
      </c>
      <c r="M455" t="str">
        <f>VLOOKUP(Table2[[#This Row],[Species]],'Species Table'!$A$1:$D$68,3, FALSE)</f>
        <v>NA</v>
      </c>
      <c r="O455" s="15">
        <f>IF(SUMPRODUCT(($A$2:$A455=A455)*($B$2:$B455=B455)*($F$2:$F455=F455))&gt;1,0,1)</f>
        <v>0</v>
      </c>
      <c r="P455" s="15">
        <f>IF(SUMPRODUCT(($A$2:$A455=A455)*($B$2:$B455=B455)*($D$2:$D455=D455))&gt;1,0,1)</f>
        <v>1</v>
      </c>
    </row>
    <row r="456" spans="1:16" x14ac:dyDescent="0.35">
      <c r="A456" t="s">
        <v>18</v>
      </c>
      <c r="B456">
        <v>2007</v>
      </c>
      <c r="C456" t="s">
        <v>71</v>
      </c>
      <c r="D456">
        <v>7.1</v>
      </c>
      <c r="E456">
        <f>INT(Table2[[#This Row],[Transect]])</f>
        <v>7</v>
      </c>
      <c r="F456" t="s">
        <v>11</v>
      </c>
      <c r="G456">
        <v>5</v>
      </c>
      <c r="H456">
        <v>200</v>
      </c>
      <c r="J456">
        <f>Table2[[#This Row],[Hits]]/Table2[[#This Row],[Points]]*100</f>
        <v>2.5</v>
      </c>
      <c r="K456">
        <f>VLOOKUP(Table2[[#This Row],[Site]],'Site Info'!$A$1:$C$11,2, FALSE)</f>
        <v>15</v>
      </c>
      <c r="L456">
        <f>VLOOKUP(Table2[[#This Row],[Site]],'Site Info'!$A$1:$C$11,3, FALSE)</f>
        <v>12</v>
      </c>
      <c r="M456" t="str">
        <f>VLOOKUP(Table2[[#This Row],[Species]],'Species Table'!$A$1:$D$68,3, FALSE)</f>
        <v>Perennial</v>
      </c>
      <c r="O456" s="15">
        <f>IF(SUMPRODUCT(($A$2:$A456=A456)*($B$2:$B456=B456)*($F$2:$F456=F456))&gt;1,0,1)</f>
        <v>0</v>
      </c>
      <c r="P456" s="15">
        <f>IF(SUMPRODUCT(($A$2:$A456=A456)*($B$2:$B456=B456)*($D$2:$D456=D456))&gt;1,0,1)</f>
        <v>1</v>
      </c>
    </row>
    <row r="457" spans="1:16" x14ac:dyDescent="0.35">
      <c r="A457" t="s">
        <v>18</v>
      </c>
      <c r="B457">
        <v>2007</v>
      </c>
      <c r="C457" t="s">
        <v>72</v>
      </c>
      <c r="D457">
        <v>7.2</v>
      </c>
      <c r="E457">
        <f>INT(Table2[[#This Row],[Transect]])</f>
        <v>7</v>
      </c>
      <c r="F457" t="s">
        <v>11</v>
      </c>
      <c r="G457">
        <v>5</v>
      </c>
      <c r="H457">
        <v>200</v>
      </c>
      <c r="J457">
        <f>Table2[[#This Row],[Hits]]/Table2[[#This Row],[Points]]*100</f>
        <v>2.5</v>
      </c>
      <c r="K457">
        <f>VLOOKUP(Table2[[#This Row],[Site]],'Site Info'!$A$1:$C$11,2, FALSE)</f>
        <v>15</v>
      </c>
      <c r="L457">
        <f>VLOOKUP(Table2[[#This Row],[Site]],'Site Info'!$A$1:$C$11,3, FALSE)</f>
        <v>12</v>
      </c>
      <c r="M457" t="str">
        <f>VLOOKUP(Table2[[#This Row],[Species]],'Species Table'!$A$1:$D$68,3, FALSE)</f>
        <v>Perennial</v>
      </c>
      <c r="O457" s="15">
        <f>IF(SUMPRODUCT(($A$2:$A457=A457)*($B$2:$B457=B457)*($F$2:$F457=F457))&gt;1,0,1)</f>
        <v>0</v>
      </c>
      <c r="P457" s="15">
        <f>IF(SUMPRODUCT(($A$2:$A457=A457)*($B$2:$B457=B457)*($D$2:$D457=D457))&gt;1,0,1)</f>
        <v>1</v>
      </c>
    </row>
    <row r="458" spans="1:16" x14ac:dyDescent="0.35">
      <c r="A458" t="s">
        <v>18</v>
      </c>
      <c r="B458">
        <v>2007</v>
      </c>
      <c r="C458" t="s">
        <v>73</v>
      </c>
      <c r="D458">
        <v>7.3</v>
      </c>
      <c r="E458">
        <f>INT(Table2[[#This Row],[Transect]])</f>
        <v>7</v>
      </c>
      <c r="F458" t="s">
        <v>11</v>
      </c>
      <c r="G458">
        <v>13</v>
      </c>
      <c r="H458">
        <v>200</v>
      </c>
      <c r="J458">
        <f>Table2[[#This Row],[Hits]]/Table2[[#This Row],[Points]]*100</f>
        <v>6.5</v>
      </c>
      <c r="K458">
        <f>VLOOKUP(Table2[[#This Row],[Site]],'Site Info'!$A$1:$C$11,2, FALSE)</f>
        <v>15</v>
      </c>
      <c r="L458">
        <f>VLOOKUP(Table2[[#This Row],[Site]],'Site Info'!$A$1:$C$11,3, FALSE)</f>
        <v>12</v>
      </c>
      <c r="M458" t="str">
        <f>VLOOKUP(Table2[[#This Row],[Species]],'Species Table'!$A$1:$D$68,3, FALSE)</f>
        <v>Perennial</v>
      </c>
      <c r="O458" s="15">
        <f>IF(SUMPRODUCT(($A$2:$A458=A458)*($B$2:$B458=B458)*($F$2:$F458=F458))&gt;1,0,1)</f>
        <v>0</v>
      </c>
      <c r="P458" s="15">
        <f>IF(SUMPRODUCT(($A$2:$A458=A458)*($B$2:$B458=B458)*($D$2:$D458=D458))&gt;1,0,1)</f>
        <v>1</v>
      </c>
    </row>
    <row r="459" spans="1:16" x14ac:dyDescent="0.35">
      <c r="A459" t="s">
        <v>18</v>
      </c>
      <c r="B459">
        <v>2007</v>
      </c>
      <c r="C459" t="s">
        <v>73</v>
      </c>
      <c r="D459">
        <v>7.3</v>
      </c>
      <c r="E459">
        <f>INT(Table2[[#This Row],[Transect]])</f>
        <v>7</v>
      </c>
      <c r="F459" t="s">
        <v>170</v>
      </c>
      <c r="G459">
        <v>2</v>
      </c>
      <c r="H459">
        <v>200</v>
      </c>
      <c r="J459">
        <f>Table2[[#This Row],[Hits]]/Table2[[#This Row],[Points]]*100</f>
        <v>1</v>
      </c>
      <c r="K459">
        <f>VLOOKUP(Table2[[#This Row],[Site]],'Site Info'!$A$1:$C$11,2, FALSE)</f>
        <v>15</v>
      </c>
      <c r="L459">
        <f>VLOOKUP(Table2[[#This Row],[Site]],'Site Info'!$A$1:$C$11,3, FALSE)</f>
        <v>12</v>
      </c>
      <c r="M459" t="str">
        <f>VLOOKUP(Table2[[#This Row],[Species]],'Species Table'!$A$1:$D$68,3, FALSE)</f>
        <v>Perennial</v>
      </c>
      <c r="O459" s="15">
        <f>IF(SUMPRODUCT(($A$2:$A459=A459)*($B$2:$B459=B459)*($F$2:$F459=F459))&gt;1,0,1)</f>
        <v>0</v>
      </c>
      <c r="P459" s="15">
        <f>IF(SUMPRODUCT(($A$2:$A459=A459)*($B$2:$B459=B459)*($D$2:$D459=D459))&gt;1,0,1)</f>
        <v>0</v>
      </c>
    </row>
    <row r="460" spans="1:16" x14ac:dyDescent="0.35">
      <c r="A460" t="s">
        <v>18</v>
      </c>
      <c r="B460">
        <v>2007</v>
      </c>
      <c r="C460" t="s">
        <v>90</v>
      </c>
      <c r="D460">
        <v>7.4</v>
      </c>
      <c r="E460">
        <f>INT(Table2[[#This Row],[Transect]])</f>
        <v>7</v>
      </c>
      <c r="F460" t="s">
        <v>11</v>
      </c>
      <c r="G460">
        <v>27</v>
      </c>
      <c r="H460">
        <v>200</v>
      </c>
      <c r="J460">
        <f>Table2[[#This Row],[Hits]]/Table2[[#This Row],[Points]]*100</f>
        <v>13.5</v>
      </c>
      <c r="K460">
        <f>VLOOKUP(Table2[[#This Row],[Site]],'Site Info'!$A$1:$C$11,2, FALSE)</f>
        <v>15</v>
      </c>
      <c r="L460">
        <f>VLOOKUP(Table2[[#This Row],[Site]],'Site Info'!$A$1:$C$11,3, FALSE)</f>
        <v>12</v>
      </c>
      <c r="M460" t="str">
        <f>VLOOKUP(Table2[[#This Row],[Species]],'Species Table'!$A$1:$D$68,3, FALSE)</f>
        <v>Perennial</v>
      </c>
      <c r="O460" s="15">
        <f>IF(SUMPRODUCT(($A$2:$A460=A460)*($B$2:$B460=B460)*($F$2:$F460=F460))&gt;1,0,1)</f>
        <v>0</v>
      </c>
      <c r="P460" s="15">
        <f>IF(SUMPRODUCT(($A$2:$A460=A460)*($B$2:$B460=B460)*($D$2:$D460=D460))&gt;1,0,1)</f>
        <v>1</v>
      </c>
    </row>
    <row r="461" spans="1:16" x14ac:dyDescent="0.35">
      <c r="A461" t="s">
        <v>18</v>
      </c>
      <c r="B461">
        <v>2012</v>
      </c>
      <c r="C461" t="s">
        <v>37</v>
      </c>
      <c r="D461">
        <v>1.1000000000000001</v>
      </c>
      <c r="E461">
        <f>INT(Table2[[#This Row],[Transect]])</f>
        <v>1</v>
      </c>
      <c r="F461" t="s">
        <v>11</v>
      </c>
      <c r="G461">
        <v>14</v>
      </c>
      <c r="H461">
        <v>200</v>
      </c>
      <c r="J461">
        <f>Table2[[#This Row],[Hits]]/Table2[[#This Row],[Points]]*100</f>
        <v>7.0000000000000009</v>
      </c>
      <c r="K461">
        <f>VLOOKUP(Table2[[#This Row],[Site]],'Site Info'!$A$1:$C$11,2, FALSE)</f>
        <v>15</v>
      </c>
      <c r="L461">
        <f>VLOOKUP(Table2[[#This Row],[Site]],'Site Info'!$A$1:$C$11,3, FALSE)</f>
        <v>12</v>
      </c>
      <c r="M461" t="str">
        <f>VLOOKUP(Table2[[#This Row],[Species]],'Species Table'!$A$1:$D$68,3, FALSE)</f>
        <v>Perennial</v>
      </c>
      <c r="O461" s="15">
        <f>IF(SUMPRODUCT(($A$2:$A461=A461)*($B$2:$B461=B461)*($F$2:$F461=F461))&gt;1,0,1)</f>
        <v>1</v>
      </c>
      <c r="P461" s="15">
        <f>IF(SUMPRODUCT(($A$2:$A461=A461)*($B$2:$B461=B461)*($D$2:$D461=D461))&gt;1,0,1)</f>
        <v>1</v>
      </c>
    </row>
    <row r="462" spans="1:16" x14ac:dyDescent="0.35">
      <c r="A462" t="s">
        <v>18</v>
      </c>
      <c r="B462">
        <v>2012</v>
      </c>
      <c r="C462" t="s">
        <v>38</v>
      </c>
      <c r="D462">
        <v>1.2</v>
      </c>
      <c r="E462">
        <f>INT(Table2[[#This Row],[Transect]])</f>
        <v>1</v>
      </c>
      <c r="F462" t="s">
        <v>11</v>
      </c>
      <c r="G462">
        <v>4</v>
      </c>
      <c r="H462">
        <v>200</v>
      </c>
      <c r="J462">
        <f>Table2[[#This Row],[Hits]]/Table2[[#This Row],[Points]]*100</f>
        <v>2</v>
      </c>
      <c r="K462">
        <f>VLOOKUP(Table2[[#This Row],[Site]],'Site Info'!$A$1:$C$11,2, FALSE)</f>
        <v>15</v>
      </c>
      <c r="L462">
        <f>VLOOKUP(Table2[[#This Row],[Site]],'Site Info'!$A$1:$C$11,3, FALSE)</f>
        <v>12</v>
      </c>
      <c r="M462" t="str">
        <f>VLOOKUP(Table2[[#This Row],[Species]],'Species Table'!$A$1:$D$68,3, FALSE)</f>
        <v>Perennial</v>
      </c>
      <c r="O462" s="15">
        <f>IF(SUMPRODUCT(($A$2:$A462=A462)*($B$2:$B462=B462)*($F$2:$F462=F462))&gt;1,0,1)</f>
        <v>0</v>
      </c>
      <c r="P462" s="15">
        <f>IF(SUMPRODUCT(($A$2:$A462=A462)*($B$2:$B462=B462)*($D$2:$D462=D462))&gt;1,0,1)</f>
        <v>1</v>
      </c>
    </row>
    <row r="463" spans="1:16" x14ac:dyDescent="0.35">
      <c r="A463" t="s">
        <v>18</v>
      </c>
      <c r="B463">
        <v>2012</v>
      </c>
      <c r="C463" t="s">
        <v>83</v>
      </c>
      <c r="D463">
        <v>1.3</v>
      </c>
      <c r="E463">
        <f>INT(Table2[[#This Row],[Transect]])</f>
        <v>1</v>
      </c>
      <c r="F463" t="s">
        <v>11</v>
      </c>
      <c r="G463">
        <v>7</v>
      </c>
      <c r="H463">
        <v>200</v>
      </c>
      <c r="J463">
        <f>Table2[[#This Row],[Hits]]/Table2[[#This Row],[Points]]*100</f>
        <v>3.5000000000000004</v>
      </c>
      <c r="K463">
        <f>VLOOKUP(Table2[[#This Row],[Site]],'Site Info'!$A$1:$C$11,2, FALSE)</f>
        <v>15</v>
      </c>
      <c r="L463">
        <f>VLOOKUP(Table2[[#This Row],[Site]],'Site Info'!$A$1:$C$11,3, FALSE)</f>
        <v>12</v>
      </c>
      <c r="M463" t="str">
        <f>VLOOKUP(Table2[[#This Row],[Species]],'Species Table'!$A$1:$D$68,3, FALSE)</f>
        <v>Perennial</v>
      </c>
      <c r="O463" s="15">
        <f>IF(SUMPRODUCT(($A$2:$A463=A463)*($B$2:$B463=B463)*($F$2:$F463=F463))&gt;1,0,1)</f>
        <v>0</v>
      </c>
      <c r="P463" s="15">
        <f>IF(SUMPRODUCT(($A$2:$A463=A463)*($B$2:$B463=B463)*($D$2:$D463=D463))&gt;1,0,1)</f>
        <v>1</v>
      </c>
    </row>
    <row r="464" spans="1:16" x14ac:dyDescent="0.35">
      <c r="A464" t="s">
        <v>18</v>
      </c>
      <c r="B464">
        <v>2012</v>
      </c>
      <c r="C464" t="s">
        <v>39</v>
      </c>
      <c r="D464">
        <v>1.4</v>
      </c>
      <c r="E464">
        <f>INT(Table2[[#This Row],[Transect]])</f>
        <v>1</v>
      </c>
      <c r="F464" t="s">
        <v>11</v>
      </c>
      <c r="G464">
        <v>17</v>
      </c>
      <c r="H464">
        <v>200</v>
      </c>
      <c r="J464">
        <f>Table2[[#This Row],[Hits]]/Table2[[#This Row],[Points]]*100</f>
        <v>8.5</v>
      </c>
      <c r="K464">
        <f>VLOOKUP(Table2[[#This Row],[Site]],'Site Info'!$A$1:$C$11,2, FALSE)</f>
        <v>15</v>
      </c>
      <c r="L464">
        <f>VLOOKUP(Table2[[#This Row],[Site]],'Site Info'!$A$1:$C$11,3, FALSE)</f>
        <v>12</v>
      </c>
      <c r="M464" t="str">
        <f>VLOOKUP(Table2[[#This Row],[Species]],'Species Table'!$A$1:$D$68,3, FALSE)</f>
        <v>Perennial</v>
      </c>
      <c r="O464" s="15">
        <f>IF(SUMPRODUCT(($A$2:$A464=A464)*($B$2:$B464=B464)*($F$2:$F464=F464))&gt;1,0,1)</f>
        <v>0</v>
      </c>
      <c r="P464" s="15">
        <f>IF(SUMPRODUCT(($A$2:$A464=A464)*($B$2:$B464=B464)*($D$2:$D464=D464))&gt;1,0,1)</f>
        <v>1</v>
      </c>
    </row>
    <row r="465" spans="1:16" x14ac:dyDescent="0.35">
      <c r="A465" t="s">
        <v>18</v>
      </c>
      <c r="B465">
        <v>2012</v>
      </c>
      <c r="C465" t="s">
        <v>84</v>
      </c>
      <c r="D465">
        <v>1.5</v>
      </c>
      <c r="E465">
        <f>INT(Table2[[#This Row],[Transect]])</f>
        <v>1</v>
      </c>
      <c r="F465" t="s">
        <v>11</v>
      </c>
      <c r="G465">
        <v>19</v>
      </c>
      <c r="H465">
        <v>200</v>
      </c>
      <c r="J465">
        <f>Table2[[#This Row],[Hits]]/Table2[[#This Row],[Points]]*100</f>
        <v>9.5</v>
      </c>
      <c r="K465">
        <f>VLOOKUP(Table2[[#This Row],[Site]],'Site Info'!$A$1:$C$11,2, FALSE)</f>
        <v>15</v>
      </c>
      <c r="L465">
        <f>VLOOKUP(Table2[[#This Row],[Site]],'Site Info'!$A$1:$C$11,3, FALSE)</f>
        <v>12</v>
      </c>
      <c r="M465" t="str">
        <f>VLOOKUP(Table2[[#This Row],[Species]],'Species Table'!$A$1:$D$68,3, FALSE)</f>
        <v>Perennial</v>
      </c>
      <c r="O465" s="15">
        <f>IF(SUMPRODUCT(($A$2:$A465=A465)*($B$2:$B465=B465)*($F$2:$F465=F465))&gt;1,0,1)</f>
        <v>0</v>
      </c>
      <c r="P465" s="15">
        <f>IF(SUMPRODUCT(($A$2:$A465=A465)*($B$2:$B465=B465)*($D$2:$D465=D465))&gt;1,0,1)</f>
        <v>1</v>
      </c>
    </row>
    <row r="466" spans="1:16" x14ac:dyDescent="0.35">
      <c r="A466" t="s">
        <v>18</v>
      </c>
      <c r="B466">
        <v>2012</v>
      </c>
      <c r="C466" t="s">
        <v>43</v>
      </c>
      <c r="D466">
        <v>2.1</v>
      </c>
      <c r="E466">
        <f>INT(Table2[[#This Row],[Transect]])</f>
        <v>2</v>
      </c>
      <c r="F466" t="s">
        <v>11</v>
      </c>
      <c r="G466">
        <v>5</v>
      </c>
      <c r="H466">
        <v>200</v>
      </c>
      <c r="J466">
        <f>Table2[[#This Row],[Hits]]/Table2[[#This Row],[Points]]*100</f>
        <v>2.5</v>
      </c>
      <c r="K466">
        <f>VLOOKUP(Table2[[#This Row],[Site]],'Site Info'!$A$1:$C$11,2, FALSE)</f>
        <v>15</v>
      </c>
      <c r="L466">
        <f>VLOOKUP(Table2[[#This Row],[Site]],'Site Info'!$A$1:$C$11,3, FALSE)</f>
        <v>12</v>
      </c>
      <c r="M466" t="str">
        <f>VLOOKUP(Table2[[#This Row],[Species]],'Species Table'!$A$1:$D$68,3, FALSE)</f>
        <v>Perennial</v>
      </c>
      <c r="O466" s="15">
        <f>IF(SUMPRODUCT(($A$2:$A466=A466)*($B$2:$B466=B466)*($F$2:$F466=F466))&gt;1,0,1)</f>
        <v>0</v>
      </c>
      <c r="P466" s="15">
        <f>IF(SUMPRODUCT(($A$2:$A466=A466)*($B$2:$B466=B466)*($D$2:$D466=D466))&gt;1,0,1)</f>
        <v>1</v>
      </c>
    </row>
    <row r="467" spans="1:16" x14ac:dyDescent="0.35">
      <c r="A467" t="s">
        <v>18</v>
      </c>
      <c r="B467">
        <v>2012</v>
      </c>
      <c r="C467" t="s">
        <v>44</v>
      </c>
      <c r="D467">
        <v>2.2000000000000002</v>
      </c>
      <c r="E467">
        <f>INT(Table2[[#This Row],[Transect]])</f>
        <v>2</v>
      </c>
      <c r="F467" t="s">
        <v>11</v>
      </c>
      <c r="G467">
        <v>3</v>
      </c>
      <c r="H467">
        <v>200</v>
      </c>
      <c r="J467">
        <f>Table2[[#This Row],[Hits]]/Table2[[#This Row],[Points]]*100</f>
        <v>1.5</v>
      </c>
      <c r="K467">
        <f>VLOOKUP(Table2[[#This Row],[Site]],'Site Info'!$A$1:$C$11,2, FALSE)</f>
        <v>15</v>
      </c>
      <c r="L467">
        <f>VLOOKUP(Table2[[#This Row],[Site]],'Site Info'!$A$1:$C$11,3, FALSE)</f>
        <v>12</v>
      </c>
      <c r="M467" t="str">
        <f>VLOOKUP(Table2[[#This Row],[Species]],'Species Table'!$A$1:$D$68,3, FALSE)</f>
        <v>Perennial</v>
      </c>
      <c r="O467" s="15">
        <f>IF(SUMPRODUCT(($A$2:$A467=A467)*($B$2:$B467=B467)*($F$2:$F467=F467))&gt;1,0,1)</f>
        <v>0</v>
      </c>
      <c r="P467" s="15">
        <f>IF(SUMPRODUCT(($A$2:$A467=A467)*($B$2:$B467=B467)*($D$2:$D467=D467))&gt;1,0,1)</f>
        <v>1</v>
      </c>
    </row>
    <row r="468" spans="1:16" x14ac:dyDescent="0.35">
      <c r="A468" t="s">
        <v>18</v>
      </c>
      <c r="B468">
        <v>2012</v>
      </c>
      <c r="C468" t="s">
        <v>45</v>
      </c>
      <c r="D468">
        <v>2.2999999999999998</v>
      </c>
      <c r="E468">
        <f>INT(Table2[[#This Row],[Transect]])</f>
        <v>2</v>
      </c>
      <c r="F468" t="s">
        <v>11</v>
      </c>
      <c r="G468">
        <v>15</v>
      </c>
      <c r="H468">
        <v>200</v>
      </c>
      <c r="J468">
        <f>Table2[[#This Row],[Hits]]/Table2[[#This Row],[Points]]*100</f>
        <v>7.5</v>
      </c>
      <c r="K468">
        <f>VLOOKUP(Table2[[#This Row],[Site]],'Site Info'!$A$1:$C$11,2, FALSE)</f>
        <v>15</v>
      </c>
      <c r="L468">
        <f>VLOOKUP(Table2[[#This Row],[Site]],'Site Info'!$A$1:$C$11,3, FALSE)</f>
        <v>12</v>
      </c>
      <c r="M468" t="str">
        <f>VLOOKUP(Table2[[#This Row],[Species]],'Species Table'!$A$1:$D$68,3, FALSE)</f>
        <v>Perennial</v>
      </c>
      <c r="O468" s="15">
        <f>IF(SUMPRODUCT(($A$2:$A468=A468)*($B$2:$B468=B468)*($F$2:$F468=F468))&gt;1,0,1)</f>
        <v>0</v>
      </c>
      <c r="P468" s="15">
        <f>IF(SUMPRODUCT(($A$2:$A468=A468)*($B$2:$B468=B468)*($D$2:$D468=D468))&gt;1,0,1)</f>
        <v>1</v>
      </c>
    </row>
    <row r="469" spans="1:16" x14ac:dyDescent="0.35">
      <c r="A469" t="s">
        <v>18</v>
      </c>
      <c r="B469">
        <v>2012</v>
      </c>
      <c r="C469" t="s">
        <v>46</v>
      </c>
      <c r="D469">
        <v>2.4</v>
      </c>
      <c r="E469">
        <f>INT(Table2[[#This Row],[Transect]])</f>
        <v>2</v>
      </c>
      <c r="F469" t="s">
        <v>11</v>
      </c>
      <c r="G469">
        <v>7</v>
      </c>
      <c r="H469">
        <v>200</v>
      </c>
      <c r="J469">
        <f>Table2[[#This Row],[Hits]]/Table2[[#This Row],[Points]]*100</f>
        <v>3.5000000000000004</v>
      </c>
      <c r="K469">
        <f>VLOOKUP(Table2[[#This Row],[Site]],'Site Info'!$A$1:$C$11,2, FALSE)</f>
        <v>15</v>
      </c>
      <c r="L469">
        <f>VLOOKUP(Table2[[#This Row],[Site]],'Site Info'!$A$1:$C$11,3, FALSE)</f>
        <v>12</v>
      </c>
      <c r="M469" t="str">
        <f>VLOOKUP(Table2[[#This Row],[Species]],'Species Table'!$A$1:$D$68,3, FALSE)</f>
        <v>Perennial</v>
      </c>
      <c r="O469" s="15">
        <f>IF(SUMPRODUCT(($A$2:$A469=A469)*($B$2:$B469=B469)*($F$2:$F469=F469))&gt;1,0,1)</f>
        <v>0</v>
      </c>
      <c r="P469" s="15">
        <f>IF(SUMPRODUCT(($A$2:$A469=A469)*($B$2:$B469=B469)*($D$2:$D469=D469))&gt;1,0,1)</f>
        <v>1</v>
      </c>
    </row>
    <row r="470" spans="1:16" x14ac:dyDescent="0.35">
      <c r="A470" t="s">
        <v>18</v>
      </c>
      <c r="B470">
        <v>2012</v>
      </c>
      <c r="C470" t="s">
        <v>47</v>
      </c>
      <c r="D470">
        <v>2.5</v>
      </c>
      <c r="E470">
        <f>INT(Table2[[#This Row],[Transect]])</f>
        <v>2</v>
      </c>
      <c r="F470" t="s">
        <v>11</v>
      </c>
      <c r="G470">
        <v>4</v>
      </c>
      <c r="H470">
        <v>200</v>
      </c>
      <c r="J470">
        <f>Table2[[#This Row],[Hits]]/Table2[[#This Row],[Points]]*100</f>
        <v>2</v>
      </c>
      <c r="K470">
        <f>VLOOKUP(Table2[[#This Row],[Site]],'Site Info'!$A$1:$C$11,2, FALSE)</f>
        <v>15</v>
      </c>
      <c r="L470">
        <f>VLOOKUP(Table2[[#This Row],[Site]],'Site Info'!$A$1:$C$11,3, FALSE)</f>
        <v>12</v>
      </c>
      <c r="M470" t="str">
        <f>VLOOKUP(Table2[[#This Row],[Species]],'Species Table'!$A$1:$D$68,3, FALSE)</f>
        <v>Perennial</v>
      </c>
      <c r="O470" s="15">
        <f>IF(SUMPRODUCT(($A$2:$A470=A470)*($B$2:$B470=B470)*($F$2:$F470=F470))&gt;1,0,1)</f>
        <v>0</v>
      </c>
      <c r="P470" s="15">
        <f>IF(SUMPRODUCT(($A$2:$A470=A470)*($B$2:$B470=B470)*($D$2:$D470=D470))&gt;1,0,1)</f>
        <v>1</v>
      </c>
    </row>
    <row r="471" spans="1:16" x14ac:dyDescent="0.35">
      <c r="A471" t="s">
        <v>18</v>
      </c>
      <c r="B471">
        <v>2012</v>
      </c>
      <c r="C471" t="s">
        <v>48</v>
      </c>
      <c r="D471">
        <v>2.6</v>
      </c>
      <c r="E471">
        <f>INT(Table2[[#This Row],[Transect]])</f>
        <v>2</v>
      </c>
      <c r="F471" t="s">
        <v>11</v>
      </c>
      <c r="G471">
        <v>1</v>
      </c>
      <c r="H471">
        <v>200</v>
      </c>
      <c r="J471">
        <f>Table2[[#This Row],[Hits]]/Table2[[#This Row],[Points]]*100</f>
        <v>0.5</v>
      </c>
      <c r="K471">
        <f>VLOOKUP(Table2[[#This Row],[Site]],'Site Info'!$A$1:$C$11,2, FALSE)</f>
        <v>15</v>
      </c>
      <c r="L471">
        <f>VLOOKUP(Table2[[#This Row],[Site]],'Site Info'!$A$1:$C$11,3, FALSE)</f>
        <v>12</v>
      </c>
      <c r="M471" t="str">
        <f>VLOOKUP(Table2[[#This Row],[Species]],'Species Table'!$A$1:$D$68,3, FALSE)</f>
        <v>Perennial</v>
      </c>
      <c r="O471" s="15">
        <f>IF(SUMPRODUCT(($A$2:$A471=A471)*($B$2:$B471=B471)*($F$2:$F471=F471))&gt;1,0,1)</f>
        <v>0</v>
      </c>
      <c r="P471" s="15">
        <f>IF(SUMPRODUCT(($A$2:$A471=A471)*($B$2:$B471=B471)*($D$2:$D471=D471))&gt;1,0,1)</f>
        <v>1</v>
      </c>
    </row>
    <row r="472" spans="1:16" x14ac:dyDescent="0.35">
      <c r="A472" t="s">
        <v>18</v>
      </c>
      <c r="B472">
        <v>2012</v>
      </c>
      <c r="C472" t="s">
        <v>125</v>
      </c>
      <c r="D472">
        <v>2.7</v>
      </c>
      <c r="E472">
        <f>INT(Table2[[#This Row],[Transect]])</f>
        <v>2</v>
      </c>
      <c r="F472" t="s">
        <v>11</v>
      </c>
      <c r="G472">
        <v>7</v>
      </c>
      <c r="H472">
        <v>200</v>
      </c>
      <c r="J472">
        <f>Table2[[#This Row],[Hits]]/Table2[[#This Row],[Points]]*100</f>
        <v>3.5000000000000004</v>
      </c>
      <c r="K472">
        <f>VLOOKUP(Table2[[#This Row],[Site]],'Site Info'!$A$1:$C$11,2, FALSE)</f>
        <v>15</v>
      </c>
      <c r="L472">
        <f>VLOOKUP(Table2[[#This Row],[Site]],'Site Info'!$A$1:$C$11,3, FALSE)</f>
        <v>12</v>
      </c>
      <c r="M472" t="str">
        <f>VLOOKUP(Table2[[#This Row],[Species]],'Species Table'!$A$1:$D$68,3, FALSE)</f>
        <v>Perennial</v>
      </c>
      <c r="O472" s="15">
        <f>IF(SUMPRODUCT(($A$2:$A472=A472)*($B$2:$B472=B472)*($F$2:$F472=F472))&gt;1,0,1)</f>
        <v>0</v>
      </c>
      <c r="P472" s="15">
        <f>IF(SUMPRODUCT(($A$2:$A472=A472)*($B$2:$B472=B472)*($D$2:$D472=D472))&gt;1,0,1)</f>
        <v>1</v>
      </c>
    </row>
    <row r="473" spans="1:16" x14ac:dyDescent="0.35">
      <c r="A473" t="s">
        <v>18</v>
      </c>
      <c r="B473">
        <v>2012</v>
      </c>
      <c r="C473" t="s">
        <v>85</v>
      </c>
      <c r="D473">
        <v>2.8</v>
      </c>
      <c r="E473">
        <f>INT(Table2[[#This Row],[Transect]])</f>
        <v>2</v>
      </c>
      <c r="F473" t="s">
        <v>11</v>
      </c>
      <c r="G473">
        <v>24</v>
      </c>
      <c r="H473">
        <v>200</v>
      </c>
      <c r="J473">
        <f>Table2[[#This Row],[Hits]]/Table2[[#This Row],[Points]]*100</f>
        <v>12</v>
      </c>
      <c r="K473">
        <f>VLOOKUP(Table2[[#This Row],[Site]],'Site Info'!$A$1:$C$11,2, FALSE)</f>
        <v>15</v>
      </c>
      <c r="L473">
        <f>VLOOKUP(Table2[[#This Row],[Site]],'Site Info'!$A$1:$C$11,3, FALSE)</f>
        <v>12</v>
      </c>
      <c r="M473" t="str">
        <f>VLOOKUP(Table2[[#This Row],[Species]],'Species Table'!$A$1:$D$68,3, FALSE)</f>
        <v>Perennial</v>
      </c>
      <c r="O473" s="15">
        <f>IF(SUMPRODUCT(($A$2:$A473=A473)*($B$2:$B473=B473)*($F$2:$F473=F473))&gt;1,0,1)</f>
        <v>0</v>
      </c>
      <c r="P473" s="15">
        <f>IF(SUMPRODUCT(($A$2:$A473=A473)*($B$2:$B473=B473)*($D$2:$D473=D473))&gt;1,0,1)</f>
        <v>1</v>
      </c>
    </row>
    <row r="474" spans="1:16" x14ac:dyDescent="0.35">
      <c r="A474" t="s">
        <v>18</v>
      </c>
      <c r="B474">
        <v>2012</v>
      </c>
      <c r="C474" t="s">
        <v>85</v>
      </c>
      <c r="D474">
        <v>2.8</v>
      </c>
      <c r="E474">
        <f>INT(Table2[[#This Row],[Transect]])</f>
        <v>2</v>
      </c>
      <c r="F474" t="s">
        <v>170</v>
      </c>
      <c r="G474">
        <v>8</v>
      </c>
      <c r="H474">
        <v>200</v>
      </c>
      <c r="J474">
        <f>Table2[[#This Row],[Hits]]/Table2[[#This Row],[Points]]*100</f>
        <v>4</v>
      </c>
      <c r="K474">
        <f>VLOOKUP(Table2[[#This Row],[Site]],'Site Info'!$A$1:$C$11,2, FALSE)</f>
        <v>15</v>
      </c>
      <c r="L474">
        <f>VLOOKUP(Table2[[#This Row],[Site]],'Site Info'!$A$1:$C$11,3, FALSE)</f>
        <v>12</v>
      </c>
      <c r="M474" t="str">
        <f>VLOOKUP(Table2[[#This Row],[Species]],'Species Table'!$A$1:$D$68,3, FALSE)</f>
        <v>Perennial</v>
      </c>
      <c r="O474" s="15">
        <f>IF(SUMPRODUCT(($A$2:$A474=A474)*($B$2:$B474=B474)*($F$2:$F474=F474))&gt;1,0,1)</f>
        <v>1</v>
      </c>
      <c r="P474" s="15">
        <f>IF(SUMPRODUCT(($A$2:$A474=A474)*($B$2:$B474=B474)*($D$2:$D474=D474))&gt;1,0,1)</f>
        <v>0</v>
      </c>
    </row>
    <row r="475" spans="1:16" x14ac:dyDescent="0.35">
      <c r="A475" t="s">
        <v>18</v>
      </c>
      <c r="B475">
        <v>2012</v>
      </c>
      <c r="C475" t="s">
        <v>50</v>
      </c>
      <c r="D475">
        <v>3.1</v>
      </c>
      <c r="E475">
        <f>INT(Table2[[#This Row],[Transect]])</f>
        <v>3</v>
      </c>
      <c r="F475" t="s">
        <v>11</v>
      </c>
      <c r="G475">
        <v>6</v>
      </c>
      <c r="H475">
        <v>200</v>
      </c>
      <c r="J475">
        <f>Table2[[#This Row],[Hits]]/Table2[[#This Row],[Points]]*100</f>
        <v>3</v>
      </c>
      <c r="K475">
        <f>VLOOKUP(Table2[[#This Row],[Site]],'Site Info'!$A$1:$C$11,2, FALSE)</f>
        <v>15</v>
      </c>
      <c r="L475">
        <f>VLOOKUP(Table2[[#This Row],[Site]],'Site Info'!$A$1:$C$11,3, FALSE)</f>
        <v>12</v>
      </c>
      <c r="M475" t="str">
        <f>VLOOKUP(Table2[[#This Row],[Species]],'Species Table'!$A$1:$D$68,3, FALSE)</f>
        <v>Perennial</v>
      </c>
      <c r="O475" s="15">
        <f>IF(SUMPRODUCT(($A$2:$A475=A475)*($B$2:$B475=B475)*($F$2:$F475=F475))&gt;1,0,1)</f>
        <v>0</v>
      </c>
      <c r="P475" s="15">
        <f>IF(SUMPRODUCT(($A$2:$A475=A475)*($B$2:$B475=B475)*($D$2:$D475=D475))&gt;1,0,1)</f>
        <v>1</v>
      </c>
    </row>
    <row r="476" spans="1:16" hidden="1" x14ac:dyDescent="0.35">
      <c r="A476" t="s">
        <v>18</v>
      </c>
      <c r="B476">
        <v>2012</v>
      </c>
      <c r="C476" t="s">
        <v>51</v>
      </c>
      <c r="D476">
        <v>3.2</v>
      </c>
      <c r="E476">
        <f>INT(Table2[[#This Row],[Transect]])</f>
        <v>3</v>
      </c>
      <c r="F476" t="s">
        <v>127</v>
      </c>
      <c r="G476">
        <v>0</v>
      </c>
      <c r="H476">
        <v>200</v>
      </c>
      <c r="J476">
        <f>Table2[[#This Row],[Hits]]/Table2[[#This Row],[Points]]*100</f>
        <v>0</v>
      </c>
      <c r="K476">
        <f>VLOOKUP(Table2[[#This Row],[Site]],'Site Info'!$A$1:$C$11,2, FALSE)</f>
        <v>15</v>
      </c>
      <c r="L476">
        <f>VLOOKUP(Table2[[#This Row],[Site]],'Site Info'!$A$1:$C$11,3, FALSE)</f>
        <v>12</v>
      </c>
      <c r="M476" t="str">
        <f>VLOOKUP(Table2[[#This Row],[Species]],'Species Table'!$A$1:$D$68,3, FALSE)</f>
        <v>NA</v>
      </c>
      <c r="O476" s="15">
        <f>IF(SUMPRODUCT(($A$2:$A476=A476)*($B$2:$B476=B476)*($F$2:$F476=F476))&gt;1,0,1)</f>
        <v>1</v>
      </c>
      <c r="P476" s="15">
        <f>IF(SUMPRODUCT(($A$2:$A476=A476)*($B$2:$B476=B476)*($D$2:$D476=D476))&gt;1,0,1)</f>
        <v>1</v>
      </c>
    </row>
    <row r="477" spans="1:16" hidden="1" x14ac:dyDescent="0.35">
      <c r="A477" t="s">
        <v>18</v>
      </c>
      <c r="B477">
        <v>2012</v>
      </c>
      <c r="C477" t="s">
        <v>52</v>
      </c>
      <c r="D477">
        <v>3.3</v>
      </c>
      <c r="E477">
        <f>INT(Table2[[#This Row],[Transect]])</f>
        <v>3</v>
      </c>
      <c r="F477" t="s">
        <v>127</v>
      </c>
      <c r="G477">
        <v>0</v>
      </c>
      <c r="H477">
        <v>200</v>
      </c>
      <c r="J477">
        <f>Table2[[#This Row],[Hits]]/Table2[[#This Row],[Points]]*100</f>
        <v>0</v>
      </c>
      <c r="K477">
        <f>VLOOKUP(Table2[[#This Row],[Site]],'Site Info'!$A$1:$C$11,2, FALSE)</f>
        <v>15</v>
      </c>
      <c r="L477">
        <f>VLOOKUP(Table2[[#This Row],[Site]],'Site Info'!$A$1:$C$11,3, FALSE)</f>
        <v>12</v>
      </c>
      <c r="M477" t="str">
        <f>VLOOKUP(Table2[[#This Row],[Species]],'Species Table'!$A$1:$D$68,3, FALSE)</f>
        <v>NA</v>
      </c>
      <c r="O477" s="15">
        <f>IF(SUMPRODUCT(($A$2:$A477=A477)*($B$2:$B477=B477)*($F$2:$F477=F477))&gt;1,0,1)</f>
        <v>0</v>
      </c>
      <c r="P477" s="15">
        <f>IF(SUMPRODUCT(($A$2:$A477=A477)*($B$2:$B477=B477)*($D$2:$D477=D477))&gt;1,0,1)</f>
        <v>1</v>
      </c>
    </row>
    <row r="478" spans="1:16" x14ac:dyDescent="0.35">
      <c r="A478" t="s">
        <v>18</v>
      </c>
      <c r="B478">
        <v>2012</v>
      </c>
      <c r="C478" t="s">
        <v>101</v>
      </c>
      <c r="D478">
        <v>3.4</v>
      </c>
      <c r="E478">
        <f>INT(Table2[[#This Row],[Transect]])</f>
        <v>3</v>
      </c>
      <c r="F478" t="s">
        <v>11</v>
      </c>
      <c r="G478">
        <v>3</v>
      </c>
      <c r="H478">
        <v>200</v>
      </c>
      <c r="J478">
        <f>Table2[[#This Row],[Hits]]/Table2[[#This Row],[Points]]*100</f>
        <v>1.5</v>
      </c>
      <c r="K478">
        <f>VLOOKUP(Table2[[#This Row],[Site]],'Site Info'!$A$1:$C$11,2, FALSE)</f>
        <v>15</v>
      </c>
      <c r="L478">
        <f>VLOOKUP(Table2[[#This Row],[Site]],'Site Info'!$A$1:$C$11,3, FALSE)</f>
        <v>12</v>
      </c>
      <c r="M478" t="str">
        <f>VLOOKUP(Table2[[#This Row],[Species]],'Species Table'!$A$1:$D$68,3, FALSE)</f>
        <v>Perennial</v>
      </c>
      <c r="O478" s="15">
        <f>IF(SUMPRODUCT(($A$2:$A478=A478)*($B$2:$B478=B478)*($F$2:$F478=F478))&gt;1,0,1)</f>
        <v>0</v>
      </c>
      <c r="P478" s="15">
        <f>IF(SUMPRODUCT(($A$2:$A478=A478)*($B$2:$B478=B478)*($D$2:$D478=D478))&gt;1,0,1)</f>
        <v>1</v>
      </c>
    </row>
    <row r="479" spans="1:16" x14ac:dyDescent="0.35">
      <c r="A479" t="s">
        <v>18</v>
      </c>
      <c r="B479">
        <v>2012</v>
      </c>
      <c r="C479" t="s">
        <v>102</v>
      </c>
      <c r="D479">
        <v>3.5</v>
      </c>
      <c r="E479">
        <f>INT(Table2[[#This Row],[Transect]])</f>
        <v>3</v>
      </c>
      <c r="F479" t="s">
        <v>11</v>
      </c>
      <c r="G479">
        <v>1</v>
      </c>
      <c r="H479">
        <v>200</v>
      </c>
      <c r="J479">
        <f>Table2[[#This Row],[Hits]]/Table2[[#This Row],[Points]]*100</f>
        <v>0.5</v>
      </c>
      <c r="K479">
        <f>VLOOKUP(Table2[[#This Row],[Site]],'Site Info'!$A$1:$C$11,2, FALSE)</f>
        <v>15</v>
      </c>
      <c r="L479">
        <f>VLOOKUP(Table2[[#This Row],[Site]],'Site Info'!$A$1:$C$11,3, FALSE)</f>
        <v>12</v>
      </c>
      <c r="M479" t="str">
        <f>VLOOKUP(Table2[[#This Row],[Species]],'Species Table'!$A$1:$D$68,3, FALSE)</f>
        <v>Perennial</v>
      </c>
      <c r="O479" s="15">
        <f>IF(SUMPRODUCT(($A$2:$A479=A479)*($B$2:$B479=B479)*($F$2:$F479=F479))&gt;1,0,1)</f>
        <v>0</v>
      </c>
      <c r="P479" s="15">
        <f>IF(SUMPRODUCT(($A$2:$A479=A479)*($B$2:$B479=B479)*($D$2:$D479=D479))&gt;1,0,1)</f>
        <v>1</v>
      </c>
    </row>
    <row r="480" spans="1:16" x14ac:dyDescent="0.35">
      <c r="A480" t="s">
        <v>18</v>
      </c>
      <c r="B480">
        <v>2012</v>
      </c>
      <c r="C480" t="s">
        <v>53</v>
      </c>
      <c r="D480">
        <v>3.6</v>
      </c>
      <c r="E480">
        <f>INT(Table2[[#This Row],[Transect]])</f>
        <v>3</v>
      </c>
      <c r="F480" t="s">
        <v>11</v>
      </c>
      <c r="G480">
        <v>3</v>
      </c>
      <c r="H480">
        <v>200</v>
      </c>
      <c r="J480">
        <f>Table2[[#This Row],[Hits]]/Table2[[#This Row],[Points]]*100</f>
        <v>1.5</v>
      </c>
      <c r="K480">
        <f>VLOOKUP(Table2[[#This Row],[Site]],'Site Info'!$A$1:$C$11,2, FALSE)</f>
        <v>15</v>
      </c>
      <c r="L480">
        <f>VLOOKUP(Table2[[#This Row],[Site]],'Site Info'!$A$1:$C$11,3, FALSE)</f>
        <v>12</v>
      </c>
      <c r="M480" t="str">
        <f>VLOOKUP(Table2[[#This Row],[Species]],'Species Table'!$A$1:$D$68,3, FALSE)</f>
        <v>Perennial</v>
      </c>
      <c r="O480" s="15">
        <f>IF(SUMPRODUCT(($A$2:$A480=A480)*($B$2:$B480=B480)*($F$2:$F480=F480))&gt;1,0,1)</f>
        <v>0</v>
      </c>
      <c r="P480" s="15">
        <f>IF(SUMPRODUCT(($A$2:$A480=A480)*($B$2:$B480=B480)*($D$2:$D480=D480))&gt;1,0,1)</f>
        <v>1</v>
      </c>
    </row>
    <row r="481" spans="1:16" x14ac:dyDescent="0.35">
      <c r="A481" t="s">
        <v>18</v>
      </c>
      <c r="B481">
        <v>2012</v>
      </c>
      <c r="C481" t="s">
        <v>54</v>
      </c>
      <c r="D481">
        <v>3.7</v>
      </c>
      <c r="E481">
        <f>INT(Table2[[#This Row],[Transect]])</f>
        <v>3</v>
      </c>
      <c r="F481" t="s">
        <v>11</v>
      </c>
      <c r="G481">
        <v>16</v>
      </c>
      <c r="H481">
        <v>200</v>
      </c>
      <c r="J481">
        <f>Table2[[#This Row],[Hits]]/Table2[[#This Row],[Points]]*100</f>
        <v>8</v>
      </c>
      <c r="K481">
        <f>VLOOKUP(Table2[[#This Row],[Site]],'Site Info'!$A$1:$C$11,2, FALSE)</f>
        <v>15</v>
      </c>
      <c r="L481">
        <f>VLOOKUP(Table2[[#This Row],[Site]],'Site Info'!$A$1:$C$11,3, FALSE)</f>
        <v>12</v>
      </c>
      <c r="M481" t="str">
        <f>VLOOKUP(Table2[[#This Row],[Species]],'Species Table'!$A$1:$D$68,3, FALSE)</f>
        <v>Perennial</v>
      </c>
      <c r="O481" s="15">
        <f>IF(SUMPRODUCT(($A$2:$A481=A481)*($B$2:$B481=B481)*($F$2:$F481=F481))&gt;1,0,1)</f>
        <v>0</v>
      </c>
      <c r="P481" s="15">
        <f>IF(SUMPRODUCT(($A$2:$A481=A481)*($B$2:$B481=B481)*($D$2:$D481=D481))&gt;1,0,1)</f>
        <v>1</v>
      </c>
    </row>
    <row r="482" spans="1:16" x14ac:dyDescent="0.35">
      <c r="A482" t="s">
        <v>18</v>
      </c>
      <c r="B482">
        <v>2012</v>
      </c>
      <c r="C482" t="s">
        <v>54</v>
      </c>
      <c r="D482">
        <v>3.7</v>
      </c>
      <c r="E482">
        <f>INT(Table2[[#This Row],[Transect]])</f>
        <v>3</v>
      </c>
      <c r="F482" t="s">
        <v>12</v>
      </c>
      <c r="G482">
        <v>1</v>
      </c>
      <c r="H482">
        <v>200</v>
      </c>
      <c r="J482">
        <f>Table2[[#This Row],[Hits]]/Table2[[#This Row],[Points]]*100</f>
        <v>0.5</v>
      </c>
      <c r="K482">
        <f>VLOOKUP(Table2[[#This Row],[Site]],'Site Info'!$A$1:$C$11,2, FALSE)</f>
        <v>15</v>
      </c>
      <c r="L482">
        <f>VLOOKUP(Table2[[#This Row],[Site]],'Site Info'!$A$1:$C$11,3, FALSE)</f>
        <v>12</v>
      </c>
      <c r="M482" t="str">
        <f>VLOOKUP(Table2[[#This Row],[Species]],'Species Table'!$A$1:$D$68,3, FALSE)</f>
        <v>Perennial</v>
      </c>
      <c r="O482" s="15">
        <f>IF(SUMPRODUCT(($A$2:$A482=A482)*($B$2:$B482=B482)*($F$2:$F482=F482))&gt;1,0,1)</f>
        <v>1</v>
      </c>
      <c r="P482" s="15">
        <f>IF(SUMPRODUCT(($A$2:$A482=A482)*($B$2:$B482=B482)*($D$2:$D482=D482))&gt;1,0,1)</f>
        <v>0</v>
      </c>
    </row>
    <row r="483" spans="1:16" x14ac:dyDescent="0.35">
      <c r="A483" t="s">
        <v>18</v>
      </c>
      <c r="B483">
        <v>2012</v>
      </c>
      <c r="C483" t="s">
        <v>54</v>
      </c>
      <c r="D483">
        <v>3.7</v>
      </c>
      <c r="E483">
        <f>INT(Table2[[#This Row],[Transect]])</f>
        <v>3</v>
      </c>
      <c r="F483" t="s">
        <v>31</v>
      </c>
      <c r="G483">
        <v>2</v>
      </c>
      <c r="H483">
        <v>200</v>
      </c>
      <c r="J483">
        <f>Table2[[#This Row],[Hits]]/Table2[[#This Row],[Points]]*100</f>
        <v>1</v>
      </c>
      <c r="K483">
        <f>VLOOKUP(Table2[[#This Row],[Site]],'Site Info'!$A$1:$C$11,2, FALSE)</f>
        <v>15</v>
      </c>
      <c r="L483">
        <f>VLOOKUP(Table2[[#This Row],[Site]],'Site Info'!$A$1:$C$11,3, FALSE)</f>
        <v>12</v>
      </c>
      <c r="M483" t="str">
        <f>VLOOKUP(Table2[[#This Row],[Species]],'Species Table'!$A$1:$D$68,3, FALSE)</f>
        <v>Perennial</v>
      </c>
      <c r="O483" s="15">
        <f>IF(SUMPRODUCT(($A$2:$A483=A483)*($B$2:$B483=B483)*($F$2:$F483=F483))&gt;1,0,1)</f>
        <v>1</v>
      </c>
      <c r="P483" s="15">
        <f>IF(SUMPRODUCT(($A$2:$A483=A483)*($B$2:$B483=B483)*($D$2:$D483=D483))&gt;1,0,1)</f>
        <v>0</v>
      </c>
    </row>
    <row r="484" spans="1:16" x14ac:dyDescent="0.35">
      <c r="A484" t="s">
        <v>18</v>
      </c>
      <c r="B484">
        <v>2012</v>
      </c>
      <c r="C484" t="s">
        <v>55</v>
      </c>
      <c r="D484">
        <v>4.0999999999999996</v>
      </c>
      <c r="E484">
        <f>INT(Table2[[#This Row],[Transect]])</f>
        <v>4</v>
      </c>
      <c r="F484" t="s">
        <v>11</v>
      </c>
      <c r="G484">
        <v>16</v>
      </c>
      <c r="H484">
        <v>200</v>
      </c>
      <c r="J484">
        <f>Table2[[#This Row],[Hits]]/Table2[[#This Row],[Points]]*100</f>
        <v>8</v>
      </c>
      <c r="K484">
        <f>VLOOKUP(Table2[[#This Row],[Site]],'Site Info'!$A$1:$C$11,2, FALSE)</f>
        <v>15</v>
      </c>
      <c r="L484">
        <f>VLOOKUP(Table2[[#This Row],[Site]],'Site Info'!$A$1:$C$11,3, FALSE)</f>
        <v>12</v>
      </c>
      <c r="M484" t="str">
        <f>VLOOKUP(Table2[[#This Row],[Species]],'Species Table'!$A$1:$D$68,3, FALSE)</f>
        <v>Perennial</v>
      </c>
      <c r="O484" s="15">
        <f>IF(SUMPRODUCT(($A$2:$A484=A484)*($B$2:$B484=B484)*($F$2:$F484=F484))&gt;1,0,1)</f>
        <v>0</v>
      </c>
      <c r="P484" s="15">
        <f>IF(SUMPRODUCT(($A$2:$A484=A484)*($B$2:$B484=B484)*($D$2:$D484=D484))&gt;1,0,1)</f>
        <v>1</v>
      </c>
    </row>
    <row r="485" spans="1:16" x14ac:dyDescent="0.35">
      <c r="A485" t="s">
        <v>18</v>
      </c>
      <c r="B485">
        <v>2012</v>
      </c>
      <c r="C485" t="s">
        <v>56</v>
      </c>
      <c r="D485">
        <v>4.2</v>
      </c>
      <c r="E485">
        <f>INT(Table2[[#This Row],[Transect]])</f>
        <v>4</v>
      </c>
      <c r="F485" t="s">
        <v>11</v>
      </c>
      <c r="G485">
        <v>13</v>
      </c>
      <c r="H485">
        <v>200</v>
      </c>
      <c r="J485">
        <f>Table2[[#This Row],[Hits]]/Table2[[#This Row],[Points]]*100</f>
        <v>6.5</v>
      </c>
      <c r="K485">
        <f>VLOOKUP(Table2[[#This Row],[Site]],'Site Info'!$A$1:$C$11,2, FALSE)</f>
        <v>15</v>
      </c>
      <c r="L485">
        <f>VLOOKUP(Table2[[#This Row],[Site]],'Site Info'!$A$1:$C$11,3, FALSE)</f>
        <v>12</v>
      </c>
      <c r="M485" t="str">
        <f>VLOOKUP(Table2[[#This Row],[Species]],'Species Table'!$A$1:$D$68,3, FALSE)</f>
        <v>Perennial</v>
      </c>
      <c r="O485" s="15">
        <f>IF(SUMPRODUCT(($A$2:$A485=A485)*($B$2:$B485=B485)*($F$2:$F485=F485))&gt;1,0,1)</f>
        <v>0</v>
      </c>
      <c r="P485" s="15">
        <f>IF(SUMPRODUCT(($A$2:$A485=A485)*($B$2:$B485=B485)*($D$2:$D485=D485))&gt;1,0,1)</f>
        <v>1</v>
      </c>
    </row>
    <row r="486" spans="1:16" x14ac:dyDescent="0.35">
      <c r="A486" t="s">
        <v>18</v>
      </c>
      <c r="B486">
        <v>2012</v>
      </c>
      <c r="C486" t="s">
        <v>57</v>
      </c>
      <c r="D486">
        <v>4.3</v>
      </c>
      <c r="E486">
        <f>INT(Table2[[#This Row],[Transect]])</f>
        <v>4</v>
      </c>
      <c r="F486" t="s">
        <v>11</v>
      </c>
      <c r="G486">
        <v>10</v>
      </c>
      <c r="H486">
        <v>200</v>
      </c>
      <c r="J486">
        <f>Table2[[#This Row],[Hits]]/Table2[[#This Row],[Points]]*100</f>
        <v>5</v>
      </c>
      <c r="K486">
        <f>VLOOKUP(Table2[[#This Row],[Site]],'Site Info'!$A$1:$C$11,2, FALSE)</f>
        <v>15</v>
      </c>
      <c r="L486">
        <f>VLOOKUP(Table2[[#This Row],[Site]],'Site Info'!$A$1:$C$11,3, FALSE)</f>
        <v>12</v>
      </c>
      <c r="M486" t="str">
        <f>VLOOKUP(Table2[[#This Row],[Species]],'Species Table'!$A$1:$D$68,3, FALSE)</f>
        <v>Perennial</v>
      </c>
      <c r="O486" s="15">
        <f>IF(SUMPRODUCT(($A$2:$A486=A486)*($B$2:$B486=B486)*($F$2:$F486=F486))&gt;1,0,1)</f>
        <v>0</v>
      </c>
      <c r="P486" s="15">
        <f>IF(SUMPRODUCT(($A$2:$A486=A486)*($B$2:$B486=B486)*($D$2:$D486=D486))&gt;1,0,1)</f>
        <v>1</v>
      </c>
    </row>
    <row r="487" spans="1:16" x14ac:dyDescent="0.35">
      <c r="A487" t="s">
        <v>18</v>
      </c>
      <c r="B487">
        <v>2012</v>
      </c>
      <c r="C487" t="s">
        <v>58</v>
      </c>
      <c r="D487">
        <v>4.4000000000000004</v>
      </c>
      <c r="E487">
        <f>INT(Table2[[#This Row],[Transect]])</f>
        <v>4</v>
      </c>
      <c r="F487" t="s">
        <v>11</v>
      </c>
      <c r="G487">
        <v>12</v>
      </c>
      <c r="H487">
        <v>200</v>
      </c>
      <c r="J487">
        <f>Table2[[#This Row],[Hits]]/Table2[[#This Row],[Points]]*100</f>
        <v>6</v>
      </c>
      <c r="K487">
        <f>VLOOKUP(Table2[[#This Row],[Site]],'Site Info'!$A$1:$C$11,2, FALSE)</f>
        <v>15</v>
      </c>
      <c r="L487">
        <f>VLOOKUP(Table2[[#This Row],[Site]],'Site Info'!$A$1:$C$11,3, FALSE)</f>
        <v>12</v>
      </c>
      <c r="M487" t="str">
        <f>VLOOKUP(Table2[[#This Row],[Species]],'Species Table'!$A$1:$D$68,3, FALSE)</f>
        <v>Perennial</v>
      </c>
      <c r="O487" s="15">
        <f>IF(SUMPRODUCT(($A$2:$A487=A487)*($B$2:$B487=B487)*($F$2:$F487=F487))&gt;1,0,1)</f>
        <v>0</v>
      </c>
      <c r="P487" s="15">
        <f>IF(SUMPRODUCT(($A$2:$A487=A487)*($B$2:$B487=B487)*($D$2:$D487=D487))&gt;1,0,1)</f>
        <v>1</v>
      </c>
    </row>
    <row r="488" spans="1:16" x14ac:dyDescent="0.35">
      <c r="A488" t="s">
        <v>18</v>
      </c>
      <c r="B488">
        <v>2012</v>
      </c>
      <c r="C488" t="s">
        <v>59</v>
      </c>
      <c r="D488">
        <v>4.5</v>
      </c>
      <c r="E488">
        <f>INT(Table2[[#This Row],[Transect]])</f>
        <v>4</v>
      </c>
      <c r="F488" t="s">
        <v>11</v>
      </c>
      <c r="G488">
        <v>15</v>
      </c>
      <c r="H488">
        <v>200</v>
      </c>
      <c r="J488">
        <f>Table2[[#This Row],[Hits]]/Table2[[#This Row],[Points]]*100</f>
        <v>7.5</v>
      </c>
      <c r="K488">
        <f>VLOOKUP(Table2[[#This Row],[Site]],'Site Info'!$A$1:$C$11,2, FALSE)</f>
        <v>15</v>
      </c>
      <c r="L488">
        <f>VLOOKUP(Table2[[#This Row],[Site]],'Site Info'!$A$1:$C$11,3, FALSE)</f>
        <v>12</v>
      </c>
      <c r="M488" t="str">
        <f>VLOOKUP(Table2[[#This Row],[Species]],'Species Table'!$A$1:$D$68,3, FALSE)</f>
        <v>Perennial</v>
      </c>
      <c r="O488" s="15">
        <f>IF(SUMPRODUCT(($A$2:$A488=A488)*($B$2:$B488=B488)*($F$2:$F488=F488))&gt;1,0,1)</f>
        <v>0</v>
      </c>
      <c r="P488" s="15">
        <f>IF(SUMPRODUCT(($A$2:$A488=A488)*($B$2:$B488=B488)*($D$2:$D488=D488))&gt;1,0,1)</f>
        <v>1</v>
      </c>
    </row>
    <row r="489" spans="1:16" x14ac:dyDescent="0.35">
      <c r="A489" t="s">
        <v>18</v>
      </c>
      <c r="B489">
        <v>2012</v>
      </c>
      <c r="C489" t="s">
        <v>60</v>
      </c>
      <c r="D489">
        <v>4.5999999999999996</v>
      </c>
      <c r="E489">
        <f>INT(Table2[[#This Row],[Transect]])</f>
        <v>4</v>
      </c>
      <c r="F489" t="s">
        <v>11</v>
      </c>
      <c r="G489">
        <v>5</v>
      </c>
      <c r="H489">
        <v>200</v>
      </c>
      <c r="J489">
        <f>Table2[[#This Row],[Hits]]/Table2[[#This Row],[Points]]*100</f>
        <v>2.5</v>
      </c>
      <c r="K489">
        <f>VLOOKUP(Table2[[#This Row],[Site]],'Site Info'!$A$1:$C$11,2, FALSE)</f>
        <v>15</v>
      </c>
      <c r="L489">
        <f>VLOOKUP(Table2[[#This Row],[Site]],'Site Info'!$A$1:$C$11,3, FALSE)</f>
        <v>12</v>
      </c>
      <c r="M489" t="str">
        <f>VLOOKUP(Table2[[#This Row],[Species]],'Species Table'!$A$1:$D$68,3, FALSE)</f>
        <v>Perennial</v>
      </c>
      <c r="O489" s="15">
        <f>IF(SUMPRODUCT(($A$2:$A489=A489)*($B$2:$B489=B489)*($F$2:$F489=F489))&gt;1,0,1)</f>
        <v>0</v>
      </c>
      <c r="P489" s="15">
        <f>IF(SUMPRODUCT(($A$2:$A489=A489)*($B$2:$B489=B489)*($D$2:$D489=D489))&gt;1,0,1)</f>
        <v>1</v>
      </c>
    </row>
    <row r="490" spans="1:16" x14ac:dyDescent="0.35">
      <c r="A490" t="s">
        <v>18</v>
      </c>
      <c r="B490">
        <v>2012</v>
      </c>
      <c r="C490" t="s">
        <v>61</v>
      </c>
      <c r="D490">
        <v>4.7</v>
      </c>
      <c r="E490">
        <f>INT(Table2[[#This Row],[Transect]])</f>
        <v>4</v>
      </c>
      <c r="F490" t="s">
        <v>11</v>
      </c>
      <c r="G490">
        <v>14</v>
      </c>
      <c r="H490">
        <v>200</v>
      </c>
      <c r="J490">
        <f>Table2[[#This Row],[Hits]]/Table2[[#This Row],[Points]]*100</f>
        <v>7.0000000000000009</v>
      </c>
      <c r="K490">
        <f>VLOOKUP(Table2[[#This Row],[Site]],'Site Info'!$A$1:$C$11,2, FALSE)</f>
        <v>15</v>
      </c>
      <c r="L490">
        <f>VLOOKUP(Table2[[#This Row],[Site]],'Site Info'!$A$1:$C$11,3, FALSE)</f>
        <v>12</v>
      </c>
      <c r="M490" t="str">
        <f>VLOOKUP(Table2[[#This Row],[Species]],'Species Table'!$A$1:$D$68,3, FALSE)</f>
        <v>Perennial</v>
      </c>
      <c r="O490" s="15">
        <f>IF(SUMPRODUCT(($A$2:$A490=A490)*($B$2:$B490=B490)*($F$2:$F490=F490))&gt;1,0,1)</f>
        <v>0</v>
      </c>
      <c r="P490" s="15">
        <f>IF(SUMPRODUCT(($A$2:$A490=A490)*($B$2:$B490=B490)*($D$2:$D490=D490))&gt;1,0,1)</f>
        <v>1</v>
      </c>
    </row>
    <row r="491" spans="1:16" x14ac:dyDescent="0.35">
      <c r="A491" t="s">
        <v>18</v>
      </c>
      <c r="B491">
        <v>2012</v>
      </c>
      <c r="C491" t="s">
        <v>61</v>
      </c>
      <c r="D491">
        <v>4.7</v>
      </c>
      <c r="E491">
        <f>INT(Table2[[#This Row],[Transect]])</f>
        <v>4</v>
      </c>
      <c r="F491" t="s">
        <v>12</v>
      </c>
      <c r="G491">
        <v>1</v>
      </c>
      <c r="H491">
        <v>200</v>
      </c>
      <c r="J491">
        <f>Table2[[#This Row],[Hits]]/Table2[[#This Row],[Points]]*100</f>
        <v>0.5</v>
      </c>
      <c r="K491">
        <f>VLOOKUP(Table2[[#This Row],[Site]],'Site Info'!$A$1:$C$11,2, FALSE)</f>
        <v>15</v>
      </c>
      <c r="L491">
        <f>VLOOKUP(Table2[[#This Row],[Site]],'Site Info'!$A$1:$C$11,3, FALSE)</f>
        <v>12</v>
      </c>
      <c r="M491" t="str">
        <f>VLOOKUP(Table2[[#This Row],[Species]],'Species Table'!$A$1:$D$68,3, FALSE)</f>
        <v>Perennial</v>
      </c>
      <c r="O491" s="15">
        <f>IF(SUMPRODUCT(($A$2:$A491=A491)*($B$2:$B491=B491)*($F$2:$F491=F491))&gt;1,0,1)</f>
        <v>0</v>
      </c>
      <c r="P491" s="15">
        <f>IF(SUMPRODUCT(($A$2:$A491=A491)*($B$2:$B491=B491)*($D$2:$D491=D491))&gt;1,0,1)</f>
        <v>0</v>
      </c>
    </row>
    <row r="492" spans="1:16" x14ac:dyDescent="0.35">
      <c r="A492" t="s">
        <v>18</v>
      </c>
      <c r="B492">
        <v>2012</v>
      </c>
      <c r="C492" t="s">
        <v>62</v>
      </c>
      <c r="D492">
        <v>5.0999999999999996</v>
      </c>
      <c r="E492">
        <f>INT(Table2[[#This Row],[Transect]])</f>
        <v>5</v>
      </c>
      <c r="F492" t="s">
        <v>11</v>
      </c>
      <c r="G492">
        <v>17</v>
      </c>
      <c r="H492">
        <v>200</v>
      </c>
      <c r="J492">
        <f>Table2[[#This Row],[Hits]]/Table2[[#This Row],[Points]]*100</f>
        <v>8.5</v>
      </c>
      <c r="K492">
        <f>VLOOKUP(Table2[[#This Row],[Site]],'Site Info'!$A$1:$C$11,2, FALSE)</f>
        <v>15</v>
      </c>
      <c r="L492">
        <f>VLOOKUP(Table2[[#This Row],[Site]],'Site Info'!$A$1:$C$11,3, FALSE)</f>
        <v>12</v>
      </c>
      <c r="M492" t="str">
        <f>VLOOKUP(Table2[[#This Row],[Species]],'Species Table'!$A$1:$D$68,3, FALSE)</f>
        <v>Perennial</v>
      </c>
      <c r="O492" s="15">
        <f>IF(SUMPRODUCT(($A$2:$A492=A492)*($B$2:$B492=B492)*($F$2:$F492=F492))&gt;1,0,1)</f>
        <v>0</v>
      </c>
      <c r="P492" s="15">
        <f>IF(SUMPRODUCT(($A$2:$A492=A492)*($B$2:$B492=B492)*($D$2:$D492=D492))&gt;1,0,1)</f>
        <v>1</v>
      </c>
    </row>
    <row r="493" spans="1:16" x14ac:dyDescent="0.35">
      <c r="A493" t="s">
        <v>18</v>
      </c>
      <c r="B493">
        <v>2012</v>
      </c>
      <c r="C493" t="s">
        <v>62</v>
      </c>
      <c r="D493">
        <v>5.0999999999999996</v>
      </c>
      <c r="E493">
        <f>INT(Table2[[#This Row],[Transect]])</f>
        <v>5</v>
      </c>
      <c r="F493" t="s">
        <v>12</v>
      </c>
      <c r="G493">
        <v>4</v>
      </c>
      <c r="H493">
        <v>200</v>
      </c>
      <c r="J493">
        <f>Table2[[#This Row],[Hits]]/Table2[[#This Row],[Points]]*100</f>
        <v>2</v>
      </c>
      <c r="K493">
        <f>VLOOKUP(Table2[[#This Row],[Site]],'Site Info'!$A$1:$C$11,2, FALSE)</f>
        <v>15</v>
      </c>
      <c r="L493">
        <f>VLOOKUP(Table2[[#This Row],[Site]],'Site Info'!$A$1:$C$11,3, FALSE)</f>
        <v>12</v>
      </c>
      <c r="M493" t="str">
        <f>VLOOKUP(Table2[[#This Row],[Species]],'Species Table'!$A$1:$D$68,3, FALSE)</f>
        <v>Perennial</v>
      </c>
      <c r="O493" s="15">
        <f>IF(SUMPRODUCT(($A$2:$A493=A493)*($B$2:$B493=B493)*($F$2:$F493=F493))&gt;1,0,1)</f>
        <v>0</v>
      </c>
      <c r="P493" s="15">
        <f>IF(SUMPRODUCT(($A$2:$A493=A493)*($B$2:$B493=B493)*($D$2:$D493=D493))&gt;1,0,1)</f>
        <v>0</v>
      </c>
    </row>
    <row r="494" spans="1:16" x14ac:dyDescent="0.35">
      <c r="A494" t="s">
        <v>18</v>
      </c>
      <c r="B494">
        <v>2012</v>
      </c>
      <c r="C494" t="s">
        <v>63</v>
      </c>
      <c r="D494">
        <v>5.2</v>
      </c>
      <c r="E494">
        <f>INT(Table2[[#This Row],[Transect]])</f>
        <v>5</v>
      </c>
      <c r="F494" t="s">
        <v>11</v>
      </c>
      <c r="G494">
        <v>1</v>
      </c>
      <c r="H494">
        <v>200</v>
      </c>
      <c r="J494">
        <f>Table2[[#This Row],[Hits]]/Table2[[#This Row],[Points]]*100</f>
        <v>0.5</v>
      </c>
      <c r="K494">
        <f>VLOOKUP(Table2[[#This Row],[Site]],'Site Info'!$A$1:$C$11,2, FALSE)</f>
        <v>15</v>
      </c>
      <c r="L494">
        <f>VLOOKUP(Table2[[#This Row],[Site]],'Site Info'!$A$1:$C$11,3, FALSE)</f>
        <v>12</v>
      </c>
      <c r="M494" t="str">
        <f>VLOOKUP(Table2[[#This Row],[Species]],'Species Table'!$A$1:$D$68,3, FALSE)</f>
        <v>Perennial</v>
      </c>
      <c r="O494" s="15">
        <f>IF(SUMPRODUCT(($A$2:$A494=A494)*($B$2:$B494=B494)*($F$2:$F494=F494))&gt;1,0,1)</f>
        <v>0</v>
      </c>
      <c r="P494" s="15">
        <f>IF(SUMPRODUCT(($A$2:$A494=A494)*($B$2:$B494=B494)*($D$2:$D494=D494))&gt;1,0,1)</f>
        <v>1</v>
      </c>
    </row>
    <row r="495" spans="1:16" x14ac:dyDescent="0.35">
      <c r="A495" t="s">
        <v>18</v>
      </c>
      <c r="B495">
        <v>2012</v>
      </c>
      <c r="C495" t="s">
        <v>63</v>
      </c>
      <c r="D495">
        <v>5.2</v>
      </c>
      <c r="E495">
        <f>INT(Table2[[#This Row],[Transect]])</f>
        <v>5</v>
      </c>
      <c r="F495" t="s">
        <v>12</v>
      </c>
      <c r="G495">
        <v>1</v>
      </c>
      <c r="H495">
        <v>200</v>
      </c>
      <c r="J495">
        <f>Table2[[#This Row],[Hits]]/Table2[[#This Row],[Points]]*100</f>
        <v>0.5</v>
      </c>
      <c r="K495">
        <f>VLOOKUP(Table2[[#This Row],[Site]],'Site Info'!$A$1:$C$11,2, FALSE)</f>
        <v>15</v>
      </c>
      <c r="L495">
        <f>VLOOKUP(Table2[[#This Row],[Site]],'Site Info'!$A$1:$C$11,3, FALSE)</f>
        <v>12</v>
      </c>
      <c r="M495" t="str">
        <f>VLOOKUP(Table2[[#This Row],[Species]],'Species Table'!$A$1:$D$68,3, FALSE)</f>
        <v>Perennial</v>
      </c>
      <c r="O495" s="15">
        <f>IF(SUMPRODUCT(($A$2:$A495=A495)*($B$2:$B495=B495)*($F$2:$F495=F495))&gt;1,0,1)</f>
        <v>0</v>
      </c>
      <c r="P495" s="15">
        <f>IF(SUMPRODUCT(($A$2:$A495=A495)*($B$2:$B495=B495)*($D$2:$D495=D495))&gt;1,0,1)</f>
        <v>0</v>
      </c>
    </row>
    <row r="496" spans="1:16" x14ac:dyDescent="0.35">
      <c r="A496" t="s">
        <v>18</v>
      </c>
      <c r="B496">
        <v>2012</v>
      </c>
      <c r="C496" t="s">
        <v>63</v>
      </c>
      <c r="D496">
        <v>5.2</v>
      </c>
      <c r="E496">
        <f>INT(Table2[[#This Row],[Transect]])</f>
        <v>5</v>
      </c>
      <c r="F496" t="s">
        <v>170</v>
      </c>
      <c r="G496">
        <v>8</v>
      </c>
      <c r="H496">
        <v>200</v>
      </c>
      <c r="J496">
        <f>Table2[[#This Row],[Hits]]/Table2[[#This Row],[Points]]*100</f>
        <v>4</v>
      </c>
      <c r="K496">
        <f>VLOOKUP(Table2[[#This Row],[Site]],'Site Info'!$A$1:$C$11,2, FALSE)</f>
        <v>15</v>
      </c>
      <c r="L496">
        <f>VLOOKUP(Table2[[#This Row],[Site]],'Site Info'!$A$1:$C$11,3, FALSE)</f>
        <v>12</v>
      </c>
      <c r="M496" t="str">
        <f>VLOOKUP(Table2[[#This Row],[Species]],'Species Table'!$A$1:$D$68,3, FALSE)</f>
        <v>Perennial</v>
      </c>
      <c r="O496" s="15">
        <f>IF(SUMPRODUCT(($A$2:$A496=A496)*($B$2:$B496=B496)*($F$2:$F496=F496))&gt;1,0,1)</f>
        <v>0</v>
      </c>
      <c r="P496" s="15">
        <f>IF(SUMPRODUCT(($A$2:$A496=A496)*($B$2:$B496=B496)*($D$2:$D496=D496))&gt;1,0,1)</f>
        <v>0</v>
      </c>
    </row>
    <row r="497" spans="1:16" x14ac:dyDescent="0.35">
      <c r="A497" t="s">
        <v>18</v>
      </c>
      <c r="B497">
        <v>2012</v>
      </c>
      <c r="C497" t="s">
        <v>64</v>
      </c>
      <c r="D497">
        <v>5.3</v>
      </c>
      <c r="E497">
        <f>INT(Table2[[#This Row],[Transect]])</f>
        <v>5</v>
      </c>
      <c r="F497" t="s">
        <v>11</v>
      </c>
      <c r="G497">
        <v>13</v>
      </c>
      <c r="H497">
        <v>200</v>
      </c>
      <c r="J497">
        <f>Table2[[#This Row],[Hits]]/Table2[[#This Row],[Points]]*100</f>
        <v>6.5</v>
      </c>
      <c r="K497">
        <f>VLOOKUP(Table2[[#This Row],[Site]],'Site Info'!$A$1:$C$11,2, FALSE)</f>
        <v>15</v>
      </c>
      <c r="L497">
        <f>VLOOKUP(Table2[[#This Row],[Site]],'Site Info'!$A$1:$C$11,3, FALSE)</f>
        <v>12</v>
      </c>
      <c r="M497" t="str">
        <f>VLOOKUP(Table2[[#This Row],[Species]],'Species Table'!$A$1:$D$68,3, FALSE)</f>
        <v>Perennial</v>
      </c>
      <c r="O497" s="15">
        <f>IF(SUMPRODUCT(($A$2:$A497=A497)*($B$2:$B497=B497)*($F$2:$F497=F497))&gt;1,0,1)</f>
        <v>0</v>
      </c>
      <c r="P497" s="15">
        <f>IF(SUMPRODUCT(($A$2:$A497=A497)*($B$2:$B497=B497)*($D$2:$D497=D497))&gt;1,0,1)</f>
        <v>1</v>
      </c>
    </row>
    <row r="498" spans="1:16" x14ac:dyDescent="0.35">
      <c r="A498" t="s">
        <v>18</v>
      </c>
      <c r="B498">
        <v>2012</v>
      </c>
      <c r="C498" t="s">
        <v>86</v>
      </c>
      <c r="D498">
        <v>5.4</v>
      </c>
      <c r="E498">
        <f>INT(Table2[[#This Row],[Transect]])</f>
        <v>5</v>
      </c>
      <c r="F498" t="s">
        <v>11</v>
      </c>
      <c r="G498">
        <v>5</v>
      </c>
      <c r="H498">
        <v>200</v>
      </c>
      <c r="J498">
        <f>Table2[[#This Row],[Hits]]/Table2[[#This Row],[Points]]*100</f>
        <v>2.5</v>
      </c>
      <c r="K498">
        <f>VLOOKUP(Table2[[#This Row],[Site]],'Site Info'!$A$1:$C$11,2, FALSE)</f>
        <v>15</v>
      </c>
      <c r="L498">
        <f>VLOOKUP(Table2[[#This Row],[Site]],'Site Info'!$A$1:$C$11,3, FALSE)</f>
        <v>12</v>
      </c>
      <c r="M498" t="str">
        <f>VLOOKUP(Table2[[#This Row],[Species]],'Species Table'!$A$1:$D$68,3, FALSE)</f>
        <v>Perennial</v>
      </c>
      <c r="O498" s="15">
        <f>IF(SUMPRODUCT(($A$2:$A498=A498)*($B$2:$B498=B498)*($F$2:$F498=F498))&gt;1,0,1)</f>
        <v>0</v>
      </c>
      <c r="P498" s="15">
        <f>IF(SUMPRODUCT(($A$2:$A498=A498)*($B$2:$B498=B498)*($D$2:$D498=D498))&gt;1,0,1)</f>
        <v>1</v>
      </c>
    </row>
    <row r="499" spans="1:16" x14ac:dyDescent="0.35">
      <c r="A499" t="s">
        <v>18</v>
      </c>
      <c r="B499">
        <v>2012</v>
      </c>
      <c r="C499" t="s">
        <v>65</v>
      </c>
      <c r="D499">
        <v>5.5</v>
      </c>
      <c r="E499">
        <f>INT(Table2[[#This Row],[Transect]])</f>
        <v>5</v>
      </c>
      <c r="F499" t="s">
        <v>11</v>
      </c>
      <c r="G499">
        <v>5</v>
      </c>
      <c r="H499">
        <v>200</v>
      </c>
      <c r="J499">
        <f>Table2[[#This Row],[Hits]]/Table2[[#This Row],[Points]]*100</f>
        <v>2.5</v>
      </c>
      <c r="K499">
        <f>VLOOKUP(Table2[[#This Row],[Site]],'Site Info'!$A$1:$C$11,2, FALSE)</f>
        <v>15</v>
      </c>
      <c r="L499">
        <f>VLOOKUP(Table2[[#This Row],[Site]],'Site Info'!$A$1:$C$11,3, FALSE)</f>
        <v>12</v>
      </c>
      <c r="M499" t="str">
        <f>VLOOKUP(Table2[[#This Row],[Species]],'Species Table'!$A$1:$D$68,3, FALSE)</f>
        <v>Perennial</v>
      </c>
      <c r="O499" s="15">
        <f>IF(SUMPRODUCT(($A$2:$A499=A499)*($B$2:$B499=B499)*($F$2:$F499=F499))&gt;1,0,1)</f>
        <v>0</v>
      </c>
      <c r="P499" s="15">
        <f>IF(SUMPRODUCT(($A$2:$A499=A499)*($B$2:$B499=B499)*($D$2:$D499=D499))&gt;1,0,1)</f>
        <v>1</v>
      </c>
    </row>
    <row r="500" spans="1:16" x14ac:dyDescent="0.35">
      <c r="A500" t="s">
        <v>18</v>
      </c>
      <c r="B500">
        <v>2012</v>
      </c>
      <c r="C500" t="s">
        <v>87</v>
      </c>
      <c r="D500">
        <v>5.6</v>
      </c>
      <c r="E500">
        <f>INT(Table2[[#This Row],[Transect]])</f>
        <v>5</v>
      </c>
      <c r="F500" t="s">
        <v>11</v>
      </c>
      <c r="G500">
        <v>10</v>
      </c>
      <c r="H500">
        <v>200</v>
      </c>
      <c r="J500">
        <f>Table2[[#This Row],[Hits]]/Table2[[#This Row],[Points]]*100</f>
        <v>5</v>
      </c>
      <c r="K500">
        <f>VLOOKUP(Table2[[#This Row],[Site]],'Site Info'!$A$1:$C$11,2, FALSE)</f>
        <v>15</v>
      </c>
      <c r="L500">
        <f>VLOOKUP(Table2[[#This Row],[Site]],'Site Info'!$A$1:$C$11,3, FALSE)</f>
        <v>12</v>
      </c>
      <c r="M500" t="str">
        <f>VLOOKUP(Table2[[#This Row],[Species]],'Species Table'!$A$1:$D$68,3, FALSE)</f>
        <v>Perennial</v>
      </c>
      <c r="O500" s="15">
        <f>IF(SUMPRODUCT(($A$2:$A500=A500)*($B$2:$B500=B500)*($F$2:$F500=F500))&gt;1,0,1)</f>
        <v>0</v>
      </c>
      <c r="P500" s="15">
        <f>IF(SUMPRODUCT(($A$2:$A500=A500)*($B$2:$B500=B500)*($D$2:$D500=D500))&gt;1,0,1)</f>
        <v>1</v>
      </c>
    </row>
    <row r="501" spans="1:16" x14ac:dyDescent="0.35">
      <c r="A501" t="s">
        <v>18</v>
      </c>
      <c r="B501">
        <v>2012</v>
      </c>
      <c r="C501" t="s">
        <v>67</v>
      </c>
      <c r="D501">
        <v>6.1</v>
      </c>
      <c r="E501">
        <f>INT(Table2[[#This Row],[Transect]])</f>
        <v>6</v>
      </c>
      <c r="F501" t="s">
        <v>11</v>
      </c>
      <c r="G501">
        <v>7</v>
      </c>
      <c r="H501">
        <v>200</v>
      </c>
      <c r="J501">
        <f>Table2[[#This Row],[Hits]]/Table2[[#This Row],[Points]]*100</f>
        <v>3.5000000000000004</v>
      </c>
      <c r="K501">
        <f>VLOOKUP(Table2[[#This Row],[Site]],'Site Info'!$A$1:$C$11,2, FALSE)</f>
        <v>15</v>
      </c>
      <c r="L501">
        <f>VLOOKUP(Table2[[#This Row],[Site]],'Site Info'!$A$1:$C$11,3, FALSE)</f>
        <v>12</v>
      </c>
      <c r="M501" t="str">
        <f>VLOOKUP(Table2[[#This Row],[Species]],'Species Table'!$A$1:$D$68,3, FALSE)</f>
        <v>Perennial</v>
      </c>
      <c r="O501" s="15">
        <f>IF(SUMPRODUCT(($A$2:$A501=A501)*($B$2:$B501=B501)*($F$2:$F501=F501))&gt;1,0,1)</f>
        <v>0</v>
      </c>
      <c r="P501" s="15">
        <f>IF(SUMPRODUCT(($A$2:$A501=A501)*($B$2:$B501=B501)*($D$2:$D501=D501))&gt;1,0,1)</f>
        <v>1</v>
      </c>
    </row>
    <row r="502" spans="1:16" x14ac:dyDescent="0.35">
      <c r="A502" t="s">
        <v>18</v>
      </c>
      <c r="B502">
        <v>2012</v>
      </c>
      <c r="C502" t="s">
        <v>88</v>
      </c>
      <c r="D502">
        <v>6.2</v>
      </c>
      <c r="E502">
        <f>INT(Table2[[#This Row],[Transect]])</f>
        <v>6</v>
      </c>
      <c r="F502" t="s">
        <v>11</v>
      </c>
      <c r="G502">
        <v>7</v>
      </c>
      <c r="H502">
        <v>198</v>
      </c>
      <c r="J502">
        <f>Table2[[#This Row],[Hits]]/Table2[[#This Row],[Points]]*100</f>
        <v>3.535353535353535</v>
      </c>
      <c r="K502">
        <f>VLOOKUP(Table2[[#This Row],[Site]],'Site Info'!$A$1:$C$11,2, FALSE)</f>
        <v>15</v>
      </c>
      <c r="L502">
        <f>VLOOKUP(Table2[[#This Row],[Site]],'Site Info'!$A$1:$C$11,3, FALSE)</f>
        <v>12</v>
      </c>
      <c r="M502" t="str">
        <f>VLOOKUP(Table2[[#This Row],[Species]],'Species Table'!$A$1:$D$68,3, FALSE)</f>
        <v>Perennial</v>
      </c>
      <c r="O502" s="15">
        <f>IF(SUMPRODUCT(($A$2:$A502=A502)*($B$2:$B502=B502)*($F$2:$F502=F502))&gt;1,0,1)</f>
        <v>0</v>
      </c>
      <c r="P502" s="15">
        <f>IF(SUMPRODUCT(($A$2:$A502=A502)*($B$2:$B502=B502)*($D$2:$D502=D502))&gt;1,0,1)</f>
        <v>1</v>
      </c>
    </row>
    <row r="503" spans="1:16" x14ac:dyDescent="0.35">
      <c r="A503" t="s">
        <v>18</v>
      </c>
      <c r="B503">
        <v>2012</v>
      </c>
      <c r="C503" t="s">
        <v>68</v>
      </c>
      <c r="D503">
        <v>6.3</v>
      </c>
      <c r="E503">
        <f>INT(Table2[[#This Row],[Transect]])</f>
        <v>6</v>
      </c>
      <c r="F503" t="s">
        <v>11</v>
      </c>
      <c r="G503">
        <v>11</v>
      </c>
      <c r="H503">
        <v>200</v>
      </c>
      <c r="J503">
        <f>Table2[[#This Row],[Hits]]/Table2[[#This Row],[Points]]*100</f>
        <v>5.5</v>
      </c>
      <c r="K503">
        <f>VLOOKUP(Table2[[#This Row],[Site]],'Site Info'!$A$1:$C$11,2, FALSE)</f>
        <v>15</v>
      </c>
      <c r="L503">
        <f>VLOOKUP(Table2[[#This Row],[Site]],'Site Info'!$A$1:$C$11,3, FALSE)</f>
        <v>12</v>
      </c>
      <c r="M503" t="str">
        <f>VLOOKUP(Table2[[#This Row],[Species]],'Species Table'!$A$1:$D$68,3, FALSE)</f>
        <v>Perennial</v>
      </c>
      <c r="O503" s="15">
        <f>IF(SUMPRODUCT(($A$2:$A503=A503)*($B$2:$B503=B503)*($F$2:$F503=F503))&gt;1,0,1)</f>
        <v>0</v>
      </c>
      <c r="P503" s="15">
        <f>IF(SUMPRODUCT(($A$2:$A503=A503)*($B$2:$B503=B503)*($D$2:$D503=D503))&gt;1,0,1)</f>
        <v>1</v>
      </c>
    </row>
    <row r="504" spans="1:16" x14ac:dyDescent="0.35">
      <c r="A504" t="s">
        <v>18</v>
      </c>
      <c r="B504">
        <v>2012</v>
      </c>
      <c r="C504" t="s">
        <v>89</v>
      </c>
      <c r="D504">
        <v>6.4</v>
      </c>
      <c r="E504">
        <f>INT(Table2[[#This Row],[Transect]])</f>
        <v>6</v>
      </c>
      <c r="F504" t="s">
        <v>11</v>
      </c>
      <c r="G504">
        <v>4</v>
      </c>
      <c r="H504">
        <v>200</v>
      </c>
      <c r="J504">
        <f>Table2[[#This Row],[Hits]]/Table2[[#This Row],[Points]]*100</f>
        <v>2</v>
      </c>
      <c r="K504">
        <f>VLOOKUP(Table2[[#This Row],[Site]],'Site Info'!$A$1:$C$11,2, FALSE)</f>
        <v>15</v>
      </c>
      <c r="L504">
        <f>VLOOKUP(Table2[[#This Row],[Site]],'Site Info'!$A$1:$C$11,3, FALSE)</f>
        <v>12</v>
      </c>
      <c r="M504" t="str">
        <f>VLOOKUP(Table2[[#This Row],[Species]],'Species Table'!$A$1:$D$68,3, FALSE)</f>
        <v>Perennial</v>
      </c>
      <c r="O504" s="15">
        <f>IF(SUMPRODUCT(($A$2:$A504=A504)*($B$2:$B504=B504)*($F$2:$F504=F504))&gt;1,0,1)</f>
        <v>0</v>
      </c>
      <c r="P504" s="15">
        <f>IF(SUMPRODUCT(($A$2:$A504=A504)*($B$2:$B504=B504)*($D$2:$D504=D504))&gt;1,0,1)</f>
        <v>1</v>
      </c>
    </row>
    <row r="505" spans="1:16" hidden="1" x14ac:dyDescent="0.35">
      <c r="A505" t="s">
        <v>18</v>
      </c>
      <c r="B505">
        <v>2012</v>
      </c>
      <c r="C505" t="s">
        <v>126</v>
      </c>
      <c r="D505">
        <v>6.5</v>
      </c>
      <c r="E505">
        <f>INT(Table2[[#This Row],[Transect]])</f>
        <v>6</v>
      </c>
      <c r="F505" t="s">
        <v>127</v>
      </c>
      <c r="G505">
        <v>0</v>
      </c>
      <c r="H505">
        <v>200</v>
      </c>
      <c r="J505">
        <f>Table2[[#This Row],[Hits]]/Table2[[#This Row],[Points]]*100</f>
        <v>0</v>
      </c>
      <c r="K505">
        <f>VLOOKUP(Table2[[#This Row],[Site]],'Site Info'!$A$1:$C$11,2, FALSE)</f>
        <v>15</v>
      </c>
      <c r="L505">
        <f>VLOOKUP(Table2[[#This Row],[Site]],'Site Info'!$A$1:$C$11,3, FALSE)</f>
        <v>12</v>
      </c>
      <c r="M505" t="str">
        <f>VLOOKUP(Table2[[#This Row],[Species]],'Species Table'!$A$1:$D$68,3, FALSE)</f>
        <v>NA</v>
      </c>
      <c r="O505" s="15">
        <f>IF(SUMPRODUCT(($A$2:$A505=A505)*($B$2:$B505=B505)*($F$2:$F505=F505))&gt;1,0,1)</f>
        <v>0</v>
      </c>
      <c r="P505" s="15">
        <f>IF(SUMPRODUCT(($A$2:$A505=A505)*($B$2:$B505=B505)*($D$2:$D505=D505))&gt;1,0,1)</f>
        <v>1</v>
      </c>
    </row>
    <row r="506" spans="1:16" x14ac:dyDescent="0.35">
      <c r="A506" t="s">
        <v>18</v>
      </c>
      <c r="B506">
        <v>2012</v>
      </c>
      <c r="C506" t="s">
        <v>71</v>
      </c>
      <c r="D506">
        <v>7.1</v>
      </c>
      <c r="E506">
        <f>INT(Table2[[#This Row],[Transect]])</f>
        <v>7</v>
      </c>
      <c r="F506" t="s">
        <v>11</v>
      </c>
      <c r="G506">
        <v>2</v>
      </c>
      <c r="H506">
        <v>200</v>
      </c>
      <c r="J506">
        <f>Table2[[#This Row],[Hits]]/Table2[[#This Row],[Points]]*100</f>
        <v>1</v>
      </c>
      <c r="K506">
        <f>VLOOKUP(Table2[[#This Row],[Site]],'Site Info'!$A$1:$C$11,2, FALSE)</f>
        <v>15</v>
      </c>
      <c r="L506">
        <f>VLOOKUP(Table2[[#This Row],[Site]],'Site Info'!$A$1:$C$11,3, FALSE)</f>
        <v>12</v>
      </c>
      <c r="M506" t="str">
        <f>VLOOKUP(Table2[[#This Row],[Species]],'Species Table'!$A$1:$D$68,3, FALSE)</f>
        <v>Perennial</v>
      </c>
      <c r="O506" s="15">
        <f>IF(SUMPRODUCT(($A$2:$A506=A506)*($B$2:$B506=B506)*($F$2:$F506=F506))&gt;1,0,1)</f>
        <v>0</v>
      </c>
      <c r="P506" s="15">
        <f>IF(SUMPRODUCT(($A$2:$A506=A506)*($B$2:$B506=B506)*($D$2:$D506=D506))&gt;1,0,1)</f>
        <v>1</v>
      </c>
    </row>
    <row r="507" spans="1:16" x14ac:dyDescent="0.35">
      <c r="A507" t="s">
        <v>18</v>
      </c>
      <c r="B507">
        <v>2012</v>
      </c>
      <c r="C507" t="s">
        <v>71</v>
      </c>
      <c r="D507">
        <v>7.1</v>
      </c>
      <c r="E507">
        <f>INT(Table2[[#This Row],[Transect]])</f>
        <v>7</v>
      </c>
      <c r="F507" t="s">
        <v>12</v>
      </c>
      <c r="G507">
        <v>4</v>
      </c>
      <c r="H507">
        <v>200</v>
      </c>
      <c r="J507">
        <f>Table2[[#This Row],[Hits]]/Table2[[#This Row],[Points]]*100</f>
        <v>2</v>
      </c>
      <c r="K507">
        <f>VLOOKUP(Table2[[#This Row],[Site]],'Site Info'!$A$1:$C$11,2, FALSE)</f>
        <v>15</v>
      </c>
      <c r="L507">
        <f>VLOOKUP(Table2[[#This Row],[Site]],'Site Info'!$A$1:$C$11,3, FALSE)</f>
        <v>12</v>
      </c>
      <c r="M507" t="str">
        <f>VLOOKUP(Table2[[#This Row],[Species]],'Species Table'!$A$1:$D$68,3, FALSE)</f>
        <v>Perennial</v>
      </c>
      <c r="O507" s="15">
        <f>IF(SUMPRODUCT(($A$2:$A507=A507)*($B$2:$B507=B507)*($F$2:$F507=F507))&gt;1,0,1)</f>
        <v>0</v>
      </c>
      <c r="P507" s="15">
        <f>IF(SUMPRODUCT(($A$2:$A507=A507)*($B$2:$B507=B507)*($D$2:$D507=D507))&gt;1,0,1)</f>
        <v>0</v>
      </c>
    </row>
    <row r="508" spans="1:16" hidden="1" x14ac:dyDescent="0.35">
      <c r="A508" t="s">
        <v>18</v>
      </c>
      <c r="B508">
        <v>2012</v>
      </c>
      <c r="C508" t="s">
        <v>72</v>
      </c>
      <c r="D508">
        <v>7.2</v>
      </c>
      <c r="E508">
        <f>INT(Table2[[#This Row],[Transect]])</f>
        <v>7</v>
      </c>
      <c r="F508" t="s">
        <v>127</v>
      </c>
      <c r="G508">
        <v>0</v>
      </c>
      <c r="H508">
        <v>200</v>
      </c>
      <c r="J508">
        <f>Table2[[#This Row],[Hits]]/Table2[[#This Row],[Points]]*100</f>
        <v>0</v>
      </c>
      <c r="K508">
        <f>VLOOKUP(Table2[[#This Row],[Site]],'Site Info'!$A$1:$C$11,2, FALSE)</f>
        <v>15</v>
      </c>
      <c r="L508">
        <f>VLOOKUP(Table2[[#This Row],[Site]],'Site Info'!$A$1:$C$11,3, FALSE)</f>
        <v>12</v>
      </c>
      <c r="M508" t="str">
        <f>VLOOKUP(Table2[[#This Row],[Species]],'Species Table'!$A$1:$D$68,3, FALSE)</f>
        <v>NA</v>
      </c>
      <c r="O508" s="15">
        <f>IF(SUMPRODUCT(($A$2:$A508=A508)*($B$2:$B508=B508)*($F$2:$F508=F508))&gt;1,0,1)</f>
        <v>0</v>
      </c>
      <c r="P508" s="15">
        <f>IF(SUMPRODUCT(($A$2:$A508=A508)*($B$2:$B508=B508)*($D$2:$D508=D508))&gt;1,0,1)</f>
        <v>1</v>
      </c>
    </row>
    <row r="509" spans="1:16" x14ac:dyDescent="0.35">
      <c r="A509" t="s">
        <v>18</v>
      </c>
      <c r="B509">
        <v>2012</v>
      </c>
      <c r="C509" t="s">
        <v>73</v>
      </c>
      <c r="D509">
        <v>7.3</v>
      </c>
      <c r="E509">
        <f>INT(Table2[[#This Row],[Transect]])</f>
        <v>7</v>
      </c>
      <c r="F509" t="s">
        <v>11</v>
      </c>
      <c r="G509">
        <v>15</v>
      </c>
      <c r="H509">
        <v>200</v>
      </c>
      <c r="J509">
        <f>Table2[[#This Row],[Hits]]/Table2[[#This Row],[Points]]*100</f>
        <v>7.5</v>
      </c>
      <c r="K509">
        <f>VLOOKUP(Table2[[#This Row],[Site]],'Site Info'!$A$1:$C$11,2, FALSE)</f>
        <v>15</v>
      </c>
      <c r="L509">
        <f>VLOOKUP(Table2[[#This Row],[Site]],'Site Info'!$A$1:$C$11,3, FALSE)</f>
        <v>12</v>
      </c>
      <c r="M509" t="str">
        <f>VLOOKUP(Table2[[#This Row],[Species]],'Species Table'!$A$1:$D$68,3, FALSE)</f>
        <v>Perennial</v>
      </c>
      <c r="O509" s="15">
        <f>IF(SUMPRODUCT(($A$2:$A509=A509)*($B$2:$B509=B509)*($F$2:$F509=F509))&gt;1,0,1)</f>
        <v>0</v>
      </c>
      <c r="P509" s="15">
        <f>IF(SUMPRODUCT(($A$2:$A509=A509)*($B$2:$B509=B509)*($D$2:$D509=D509))&gt;1,0,1)</f>
        <v>1</v>
      </c>
    </row>
    <row r="510" spans="1:16" x14ac:dyDescent="0.35">
      <c r="A510" t="s">
        <v>18</v>
      </c>
      <c r="B510">
        <v>2012</v>
      </c>
      <c r="C510" t="s">
        <v>73</v>
      </c>
      <c r="D510">
        <v>7.3</v>
      </c>
      <c r="E510">
        <f>INT(Table2[[#This Row],[Transect]])</f>
        <v>7</v>
      </c>
      <c r="F510" t="s">
        <v>170</v>
      </c>
      <c r="G510">
        <v>4</v>
      </c>
      <c r="H510">
        <v>200</v>
      </c>
      <c r="J510">
        <f>Table2[[#This Row],[Hits]]/Table2[[#This Row],[Points]]*100</f>
        <v>2</v>
      </c>
      <c r="K510">
        <f>VLOOKUP(Table2[[#This Row],[Site]],'Site Info'!$A$1:$C$11,2, FALSE)</f>
        <v>15</v>
      </c>
      <c r="L510">
        <f>VLOOKUP(Table2[[#This Row],[Site]],'Site Info'!$A$1:$C$11,3, FALSE)</f>
        <v>12</v>
      </c>
      <c r="M510" t="str">
        <f>VLOOKUP(Table2[[#This Row],[Species]],'Species Table'!$A$1:$D$68,3, FALSE)</f>
        <v>Perennial</v>
      </c>
      <c r="O510" s="15">
        <f>IF(SUMPRODUCT(($A$2:$A510=A510)*($B$2:$B510=B510)*($F$2:$F510=F510))&gt;1,0,1)</f>
        <v>0</v>
      </c>
      <c r="P510" s="15">
        <f>IF(SUMPRODUCT(($A$2:$A510=A510)*($B$2:$B510=B510)*($D$2:$D510=D510))&gt;1,0,1)</f>
        <v>0</v>
      </c>
    </row>
    <row r="511" spans="1:16" x14ac:dyDescent="0.35">
      <c r="A511" t="s">
        <v>18</v>
      </c>
      <c r="B511">
        <v>2012</v>
      </c>
      <c r="C511" t="s">
        <v>90</v>
      </c>
      <c r="D511">
        <v>7.4</v>
      </c>
      <c r="E511">
        <f>INT(Table2[[#This Row],[Transect]])</f>
        <v>7</v>
      </c>
      <c r="F511" t="s">
        <v>11</v>
      </c>
      <c r="G511">
        <v>49</v>
      </c>
      <c r="H511">
        <v>200</v>
      </c>
      <c r="J511">
        <f>Table2[[#This Row],[Hits]]/Table2[[#This Row],[Points]]*100</f>
        <v>24.5</v>
      </c>
      <c r="K511">
        <f>VLOOKUP(Table2[[#This Row],[Site]],'Site Info'!$A$1:$C$11,2, FALSE)</f>
        <v>15</v>
      </c>
      <c r="L511">
        <f>VLOOKUP(Table2[[#This Row],[Site]],'Site Info'!$A$1:$C$11,3, FALSE)</f>
        <v>12</v>
      </c>
      <c r="M511" t="str">
        <f>VLOOKUP(Table2[[#This Row],[Species]],'Species Table'!$A$1:$D$68,3, FALSE)</f>
        <v>Perennial</v>
      </c>
      <c r="O511" s="15">
        <f>IF(SUMPRODUCT(($A$2:$A511=A511)*($B$2:$B511=B511)*($F$2:$F511=F511))&gt;1,0,1)</f>
        <v>0</v>
      </c>
      <c r="P511" s="15">
        <f>IF(SUMPRODUCT(($A$2:$A511=A511)*($B$2:$B511=B511)*($D$2:$D511=D511))&gt;1,0,1)</f>
        <v>1</v>
      </c>
    </row>
    <row r="512" spans="1:16" hidden="1" x14ac:dyDescent="0.35">
      <c r="A512" t="s">
        <v>24</v>
      </c>
      <c r="B512">
        <v>1999</v>
      </c>
      <c r="D512">
        <v>1.1000000000000001</v>
      </c>
      <c r="E512">
        <f>INT(Table2[[#This Row],[Transect]])</f>
        <v>1</v>
      </c>
      <c r="F512" t="s">
        <v>20</v>
      </c>
      <c r="G512">
        <v>10</v>
      </c>
      <c r="H512">
        <v>144</v>
      </c>
      <c r="J512">
        <f>Table2[[#This Row],[Hits]]/Table2[[#This Row],[Points]]*100</f>
        <v>6.9444444444444446</v>
      </c>
      <c r="K512">
        <f>VLOOKUP(Table2[[#This Row],[Site]],'Site Info'!$A$1:$C$11,2, FALSE)</f>
        <v>34</v>
      </c>
      <c r="L512">
        <f>VLOOKUP(Table2[[#This Row],[Site]],'Site Info'!$A$1:$C$11,3, FALSE)</f>
        <v>6</v>
      </c>
      <c r="M512" t="str">
        <f>VLOOKUP(Table2[[#This Row],[Species]],'Species Table'!$A$1:$D$68,3, FALSE)</f>
        <v>Annual</v>
      </c>
      <c r="O512" s="15">
        <f>IF(SUMPRODUCT(($A$2:$A512=A512)*($B$2:$B512=B512)*($F$2:$F512=F512))&gt;1,0,1)</f>
        <v>1</v>
      </c>
      <c r="P512" s="15">
        <f>IF(SUMPRODUCT(($A$2:$A512=A512)*($B$2:$B512=B512)*($D$2:$D512=D512))&gt;1,0,1)</f>
        <v>1</v>
      </c>
    </row>
    <row r="513" spans="1:16" x14ac:dyDescent="0.35">
      <c r="A513" t="s">
        <v>24</v>
      </c>
      <c r="B513">
        <v>1999</v>
      </c>
      <c r="D513">
        <v>1.1000000000000001</v>
      </c>
      <c r="E513">
        <f>INT(Table2[[#This Row],[Transect]])</f>
        <v>1</v>
      </c>
      <c r="F513" t="s">
        <v>32</v>
      </c>
      <c r="G513">
        <v>7</v>
      </c>
      <c r="H513">
        <v>144</v>
      </c>
      <c r="J513">
        <f>Table2[[#This Row],[Hits]]/Table2[[#This Row],[Points]]*100</f>
        <v>4.8611111111111116</v>
      </c>
      <c r="K513">
        <f>VLOOKUP(Table2[[#This Row],[Site]],'Site Info'!$A$1:$C$11,2, FALSE)</f>
        <v>34</v>
      </c>
      <c r="L513">
        <f>VLOOKUP(Table2[[#This Row],[Site]],'Site Info'!$A$1:$C$11,3, FALSE)</f>
        <v>6</v>
      </c>
      <c r="M513" t="str">
        <f>VLOOKUP(Table2[[#This Row],[Species]],'Species Table'!$A$1:$D$68,3, FALSE)</f>
        <v>Perennial</v>
      </c>
      <c r="O513" s="15">
        <f>IF(SUMPRODUCT(($A$2:$A513=A513)*($B$2:$B513=B513)*($F$2:$F513=F513))&gt;1,0,1)</f>
        <v>1</v>
      </c>
      <c r="P513" s="15">
        <f>IF(SUMPRODUCT(($A$2:$A513=A513)*($B$2:$B513=B513)*($D$2:$D513=D513))&gt;1,0,1)</f>
        <v>0</v>
      </c>
    </row>
    <row r="514" spans="1:16" x14ac:dyDescent="0.35">
      <c r="A514" t="s">
        <v>24</v>
      </c>
      <c r="B514">
        <v>1999</v>
      </c>
      <c r="D514">
        <v>1.1000000000000001</v>
      </c>
      <c r="E514">
        <f>INT(Table2[[#This Row],[Transect]])</f>
        <v>1</v>
      </c>
      <c r="F514" t="s">
        <v>23</v>
      </c>
      <c r="G514">
        <v>2</v>
      </c>
      <c r="H514">
        <v>144</v>
      </c>
      <c r="J514">
        <f>Table2[[#This Row],[Hits]]/Table2[[#This Row],[Points]]*100</f>
        <v>1.3888888888888888</v>
      </c>
      <c r="K514">
        <f>VLOOKUP(Table2[[#This Row],[Site]],'Site Info'!$A$1:$C$11,2, FALSE)</f>
        <v>34</v>
      </c>
      <c r="L514">
        <f>VLOOKUP(Table2[[#This Row],[Site]],'Site Info'!$A$1:$C$11,3, FALSE)</f>
        <v>6</v>
      </c>
      <c r="M514" t="str">
        <f>VLOOKUP(Table2[[#This Row],[Species]],'Species Table'!$A$1:$D$68,3, FALSE)</f>
        <v>Perennial</v>
      </c>
      <c r="O514" s="15">
        <f>IF(SUMPRODUCT(($A$2:$A514=A514)*($B$2:$B514=B514)*($F$2:$F514=F514))&gt;1,0,1)</f>
        <v>1</v>
      </c>
      <c r="P514" s="15">
        <f>IF(SUMPRODUCT(($A$2:$A514=A514)*($B$2:$B514=B514)*($D$2:$D514=D514))&gt;1,0,1)</f>
        <v>0</v>
      </c>
    </row>
    <row r="515" spans="1:16" x14ac:dyDescent="0.35">
      <c r="A515" t="s">
        <v>24</v>
      </c>
      <c r="B515">
        <v>1999</v>
      </c>
      <c r="D515">
        <v>1.1000000000000001</v>
      </c>
      <c r="E515">
        <f>INT(Table2[[#This Row],[Transect]])</f>
        <v>1</v>
      </c>
      <c r="F515" t="s">
        <v>3</v>
      </c>
      <c r="G515">
        <v>1</v>
      </c>
      <c r="H515">
        <v>144</v>
      </c>
      <c r="J515">
        <f>Table2[[#This Row],[Hits]]/Table2[[#This Row],[Points]]*100</f>
        <v>0.69444444444444442</v>
      </c>
      <c r="K515">
        <f>VLOOKUP(Table2[[#This Row],[Site]],'Site Info'!$A$1:$C$11,2, FALSE)</f>
        <v>34</v>
      </c>
      <c r="L515">
        <f>VLOOKUP(Table2[[#This Row],[Site]],'Site Info'!$A$1:$C$11,3, FALSE)</f>
        <v>6</v>
      </c>
      <c r="M515" t="str">
        <f>VLOOKUP(Table2[[#This Row],[Species]],'Species Table'!$A$1:$D$68,3, FALSE)</f>
        <v>Perennial</v>
      </c>
      <c r="O515" s="15">
        <f>IF(SUMPRODUCT(($A$2:$A515=A515)*($B$2:$B515=B515)*($F$2:$F515=F515))&gt;1,0,1)</f>
        <v>1</v>
      </c>
      <c r="P515" s="15">
        <f>IF(SUMPRODUCT(($A$2:$A515=A515)*($B$2:$B515=B515)*($D$2:$D515=D515))&gt;1,0,1)</f>
        <v>0</v>
      </c>
    </row>
    <row r="516" spans="1:16" hidden="1" x14ac:dyDescent="0.35">
      <c r="A516" t="s">
        <v>24</v>
      </c>
      <c r="B516">
        <v>1999</v>
      </c>
      <c r="D516">
        <v>2.1</v>
      </c>
      <c r="E516">
        <f>INT(Table2[[#This Row],[Transect]])</f>
        <v>2</v>
      </c>
      <c r="F516" t="s">
        <v>20</v>
      </c>
      <c r="G516">
        <v>30</v>
      </c>
      <c r="H516">
        <v>130</v>
      </c>
      <c r="J516">
        <f>Table2[[#This Row],[Hits]]/Table2[[#This Row],[Points]]*100</f>
        <v>23.076923076923077</v>
      </c>
      <c r="K516">
        <f>VLOOKUP(Table2[[#This Row],[Site]],'Site Info'!$A$1:$C$11,2, FALSE)</f>
        <v>34</v>
      </c>
      <c r="L516">
        <f>VLOOKUP(Table2[[#This Row],[Site]],'Site Info'!$A$1:$C$11,3, FALSE)</f>
        <v>6</v>
      </c>
      <c r="M516" t="str">
        <f>VLOOKUP(Table2[[#This Row],[Species]],'Species Table'!$A$1:$D$68,3, FALSE)</f>
        <v>Annual</v>
      </c>
      <c r="O516" s="15">
        <f>IF(SUMPRODUCT(($A$2:$A516=A516)*($B$2:$B516=B516)*($F$2:$F516=F516))&gt;1,0,1)</f>
        <v>0</v>
      </c>
      <c r="P516" s="15">
        <f>IF(SUMPRODUCT(($A$2:$A516=A516)*($B$2:$B516=B516)*($D$2:$D516=D516))&gt;1,0,1)</f>
        <v>1</v>
      </c>
    </row>
    <row r="517" spans="1:16" x14ac:dyDescent="0.35">
      <c r="A517" t="s">
        <v>24</v>
      </c>
      <c r="B517">
        <v>1999</v>
      </c>
      <c r="D517">
        <v>2.1</v>
      </c>
      <c r="E517">
        <f>INT(Table2[[#This Row],[Transect]])</f>
        <v>2</v>
      </c>
      <c r="F517" t="s">
        <v>2</v>
      </c>
      <c r="G517">
        <v>2</v>
      </c>
      <c r="H517">
        <v>130</v>
      </c>
      <c r="J517">
        <f>Table2[[#This Row],[Hits]]/Table2[[#This Row],[Points]]*100</f>
        <v>1.5384615384615385</v>
      </c>
      <c r="K517">
        <f>VLOOKUP(Table2[[#This Row],[Site]],'Site Info'!$A$1:$C$11,2, FALSE)</f>
        <v>34</v>
      </c>
      <c r="L517">
        <f>VLOOKUP(Table2[[#This Row],[Site]],'Site Info'!$A$1:$C$11,3, FALSE)</f>
        <v>6</v>
      </c>
      <c r="M517" t="str">
        <f>VLOOKUP(Table2[[#This Row],[Species]],'Species Table'!$A$1:$D$68,3, FALSE)</f>
        <v>Perennial</v>
      </c>
      <c r="O517" s="15">
        <f>IF(SUMPRODUCT(($A$2:$A517=A517)*($B$2:$B517=B517)*($F$2:$F517=F517))&gt;1,0,1)</f>
        <v>1</v>
      </c>
      <c r="P517" s="15">
        <f>IF(SUMPRODUCT(($A$2:$A517=A517)*($B$2:$B517=B517)*($D$2:$D517=D517))&gt;1,0,1)</f>
        <v>0</v>
      </c>
    </row>
    <row r="518" spans="1:16" hidden="1" x14ac:dyDescent="0.35">
      <c r="A518" t="s">
        <v>24</v>
      </c>
      <c r="B518">
        <v>1999</v>
      </c>
      <c r="D518">
        <v>2.1</v>
      </c>
      <c r="E518">
        <f>INT(Table2[[#This Row],[Transect]])</f>
        <v>2</v>
      </c>
      <c r="F518" t="s">
        <v>10</v>
      </c>
      <c r="G518">
        <v>1</v>
      </c>
      <c r="H518">
        <v>130</v>
      </c>
      <c r="J518">
        <f>Table2[[#This Row],[Hits]]/Table2[[#This Row],[Points]]*100</f>
        <v>0.76923076923076927</v>
      </c>
      <c r="K518">
        <f>VLOOKUP(Table2[[#This Row],[Site]],'Site Info'!$A$1:$C$11,2, FALSE)</f>
        <v>34</v>
      </c>
      <c r="L518">
        <f>VLOOKUP(Table2[[#This Row],[Site]],'Site Info'!$A$1:$C$11,3, FALSE)</f>
        <v>6</v>
      </c>
      <c r="M518" t="str">
        <f>VLOOKUP(Table2[[#This Row],[Species]],'Species Table'!$A$1:$D$68,3, FALSE)</f>
        <v>Annual</v>
      </c>
      <c r="O518" s="15">
        <f>IF(SUMPRODUCT(($A$2:$A518=A518)*($B$2:$B518=B518)*($F$2:$F518=F518))&gt;1,0,1)</f>
        <v>1</v>
      </c>
      <c r="P518" s="15">
        <f>IF(SUMPRODUCT(($A$2:$A518=A518)*($B$2:$B518=B518)*($D$2:$D518=D518))&gt;1,0,1)</f>
        <v>0</v>
      </c>
    </row>
    <row r="519" spans="1:16" hidden="1" x14ac:dyDescent="0.35">
      <c r="A519" t="s">
        <v>24</v>
      </c>
      <c r="B519">
        <v>1999</v>
      </c>
      <c r="D519">
        <v>2.2000000000000002</v>
      </c>
      <c r="E519">
        <f>INT(Table2[[#This Row],[Transect]])</f>
        <v>2</v>
      </c>
      <c r="F519" t="s">
        <v>20</v>
      </c>
      <c r="G519">
        <v>32</v>
      </c>
      <c r="H519">
        <v>66</v>
      </c>
      <c r="J519">
        <f>Table2[[#This Row],[Hits]]/Table2[[#This Row],[Points]]*100</f>
        <v>48.484848484848484</v>
      </c>
      <c r="K519">
        <f>VLOOKUP(Table2[[#This Row],[Site]],'Site Info'!$A$1:$C$11,2, FALSE)</f>
        <v>34</v>
      </c>
      <c r="L519">
        <f>VLOOKUP(Table2[[#This Row],[Site]],'Site Info'!$A$1:$C$11,3, FALSE)</f>
        <v>6</v>
      </c>
      <c r="M519" t="str">
        <f>VLOOKUP(Table2[[#This Row],[Species]],'Species Table'!$A$1:$D$68,3, FALSE)</f>
        <v>Annual</v>
      </c>
      <c r="O519" s="15">
        <f>IF(SUMPRODUCT(($A$2:$A519=A519)*($B$2:$B519=B519)*($F$2:$F519=F519))&gt;1,0,1)</f>
        <v>0</v>
      </c>
      <c r="P519" s="15">
        <f>IF(SUMPRODUCT(($A$2:$A519=A519)*($B$2:$B519=B519)*($D$2:$D519=D519))&gt;1,0,1)</f>
        <v>1</v>
      </c>
    </row>
    <row r="520" spans="1:16" x14ac:dyDescent="0.35">
      <c r="A520" t="s">
        <v>24</v>
      </c>
      <c r="B520">
        <v>1999</v>
      </c>
      <c r="D520">
        <v>2.2000000000000002</v>
      </c>
      <c r="E520">
        <f>INT(Table2[[#This Row],[Transect]])</f>
        <v>2</v>
      </c>
      <c r="F520" t="s">
        <v>2</v>
      </c>
      <c r="G520">
        <v>3</v>
      </c>
      <c r="H520">
        <v>66</v>
      </c>
      <c r="J520">
        <f>Table2[[#This Row],[Hits]]/Table2[[#This Row],[Points]]*100</f>
        <v>4.5454545454545459</v>
      </c>
      <c r="K520">
        <f>VLOOKUP(Table2[[#This Row],[Site]],'Site Info'!$A$1:$C$11,2, FALSE)</f>
        <v>34</v>
      </c>
      <c r="L520">
        <f>VLOOKUP(Table2[[#This Row],[Site]],'Site Info'!$A$1:$C$11,3, FALSE)</f>
        <v>6</v>
      </c>
      <c r="M520" t="str">
        <f>VLOOKUP(Table2[[#This Row],[Species]],'Species Table'!$A$1:$D$68,3, FALSE)</f>
        <v>Perennial</v>
      </c>
      <c r="O520" s="15">
        <f>IF(SUMPRODUCT(($A$2:$A520=A520)*($B$2:$B520=B520)*($F$2:$F520=F520))&gt;1,0,1)</f>
        <v>0</v>
      </c>
      <c r="P520" s="15">
        <f>IF(SUMPRODUCT(($A$2:$A520=A520)*($B$2:$B520=B520)*($D$2:$D520=D520))&gt;1,0,1)</f>
        <v>0</v>
      </c>
    </row>
    <row r="521" spans="1:16" x14ac:dyDescent="0.35">
      <c r="A521" t="s">
        <v>24</v>
      </c>
      <c r="B521">
        <v>1999</v>
      </c>
      <c r="D521">
        <v>2.2000000000000002</v>
      </c>
      <c r="E521">
        <f>INT(Table2[[#This Row],[Transect]])</f>
        <v>2</v>
      </c>
      <c r="F521" t="s">
        <v>32</v>
      </c>
      <c r="G521">
        <v>2</v>
      </c>
      <c r="H521">
        <v>66</v>
      </c>
      <c r="J521">
        <f>Table2[[#This Row],[Hits]]/Table2[[#This Row],[Points]]*100</f>
        <v>3.0303030303030303</v>
      </c>
      <c r="K521">
        <f>VLOOKUP(Table2[[#This Row],[Site]],'Site Info'!$A$1:$C$11,2, FALSE)</f>
        <v>34</v>
      </c>
      <c r="L521">
        <f>VLOOKUP(Table2[[#This Row],[Site]],'Site Info'!$A$1:$C$11,3, FALSE)</f>
        <v>6</v>
      </c>
      <c r="M521" t="str">
        <f>VLOOKUP(Table2[[#This Row],[Species]],'Species Table'!$A$1:$D$68,3, FALSE)</f>
        <v>Perennial</v>
      </c>
      <c r="O521" s="15">
        <f>IF(SUMPRODUCT(($A$2:$A521=A521)*($B$2:$B521=B521)*($F$2:$F521=F521))&gt;1,0,1)</f>
        <v>0</v>
      </c>
      <c r="P521" s="15">
        <f>IF(SUMPRODUCT(($A$2:$A521=A521)*($B$2:$B521=B521)*($D$2:$D521=D521))&gt;1,0,1)</f>
        <v>0</v>
      </c>
    </row>
    <row r="522" spans="1:16" hidden="1" x14ac:dyDescent="0.35">
      <c r="A522" t="s">
        <v>24</v>
      </c>
      <c r="B522">
        <v>1999</v>
      </c>
      <c r="D522">
        <v>2.2000000000000002</v>
      </c>
      <c r="E522">
        <f>INT(Table2[[#This Row],[Transect]])</f>
        <v>2</v>
      </c>
      <c r="F522" t="s">
        <v>132</v>
      </c>
      <c r="G522">
        <v>1</v>
      </c>
      <c r="H522">
        <v>66</v>
      </c>
      <c r="J522">
        <f>Table2[[#This Row],[Hits]]/Table2[[#This Row],[Points]]*100</f>
        <v>1.5151515151515151</v>
      </c>
      <c r="K522">
        <f>VLOOKUP(Table2[[#This Row],[Site]],'Site Info'!$A$1:$C$11,2, FALSE)</f>
        <v>34</v>
      </c>
      <c r="L522">
        <f>VLOOKUP(Table2[[#This Row],[Site]],'Site Info'!$A$1:$C$11,3, FALSE)</f>
        <v>6</v>
      </c>
      <c r="M522" t="str">
        <f>VLOOKUP(Table2[[#This Row],[Species]],'Species Table'!$A$1:$D$68,3, FALSE)</f>
        <v>Annual/Biennial/Perennial</v>
      </c>
      <c r="N522" t="s">
        <v>27</v>
      </c>
      <c r="O522" s="15">
        <f>IF(SUMPRODUCT(($A$2:$A522=A522)*($B$2:$B522=B522)*($F$2:$F522=F522))&gt;1,0,1)</f>
        <v>1</v>
      </c>
      <c r="P522" s="15">
        <f>IF(SUMPRODUCT(($A$2:$A522=A522)*($B$2:$B522=B522)*($D$2:$D522=D522))&gt;1,0,1)</f>
        <v>0</v>
      </c>
    </row>
    <row r="523" spans="1:16" hidden="1" x14ac:dyDescent="0.35">
      <c r="A523" t="s">
        <v>24</v>
      </c>
      <c r="B523">
        <v>1999</v>
      </c>
      <c r="D523">
        <v>3.1</v>
      </c>
      <c r="E523">
        <f>INT(Table2[[#This Row],[Transect]])</f>
        <v>3</v>
      </c>
      <c r="F523" t="s">
        <v>20</v>
      </c>
      <c r="G523">
        <v>20</v>
      </c>
      <c r="H523">
        <v>83</v>
      </c>
      <c r="J523">
        <f>Table2[[#This Row],[Hits]]/Table2[[#This Row],[Points]]*100</f>
        <v>24.096385542168676</v>
      </c>
      <c r="K523">
        <f>VLOOKUP(Table2[[#This Row],[Site]],'Site Info'!$A$1:$C$11,2, FALSE)</f>
        <v>34</v>
      </c>
      <c r="L523">
        <f>VLOOKUP(Table2[[#This Row],[Site]],'Site Info'!$A$1:$C$11,3, FALSE)</f>
        <v>6</v>
      </c>
      <c r="M523" t="str">
        <f>VLOOKUP(Table2[[#This Row],[Species]],'Species Table'!$A$1:$D$68,3, FALSE)</f>
        <v>Annual</v>
      </c>
      <c r="O523" s="15">
        <f>IF(SUMPRODUCT(($A$2:$A523=A523)*($B$2:$B523=B523)*($F$2:$F523=F523))&gt;1,0,1)</f>
        <v>0</v>
      </c>
      <c r="P523" s="15">
        <f>IF(SUMPRODUCT(($A$2:$A523=A523)*($B$2:$B523=B523)*($D$2:$D523=D523))&gt;1,0,1)</f>
        <v>1</v>
      </c>
    </row>
    <row r="524" spans="1:16" hidden="1" x14ac:dyDescent="0.35">
      <c r="A524" t="s">
        <v>24</v>
      </c>
      <c r="B524">
        <v>1999</v>
      </c>
      <c r="D524">
        <v>3.1</v>
      </c>
      <c r="E524">
        <f>INT(Table2[[#This Row],[Transect]])</f>
        <v>3</v>
      </c>
      <c r="F524" t="s">
        <v>10</v>
      </c>
      <c r="G524">
        <v>1</v>
      </c>
      <c r="H524">
        <v>83</v>
      </c>
      <c r="J524">
        <f>Table2[[#This Row],[Hits]]/Table2[[#This Row],[Points]]*100</f>
        <v>1.2048192771084338</v>
      </c>
      <c r="K524">
        <f>VLOOKUP(Table2[[#This Row],[Site]],'Site Info'!$A$1:$C$11,2, FALSE)</f>
        <v>34</v>
      </c>
      <c r="L524">
        <f>VLOOKUP(Table2[[#This Row],[Site]],'Site Info'!$A$1:$C$11,3, FALSE)</f>
        <v>6</v>
      </c>
      <c r="M524" t="str">
        <f>VLOOKUP(Table2[[#This Row],[Species]],'Species Table'!$A$1:$D$68,3, FALSE)</f>
        <v>Annual</v>
      </c>
      <c r="O524" s="15">
        <f>IF(SUMPRODUCT(($A$2:$A524=A524)*($B$2:$B524=B524)*($F$2:$F524=F524))&gt;1,0,1)</f>
        <v>0</v>
      </c>
      <c r="P524" s="15">
        <f>IF(SUMPRODUCT(($A$2:$A524=A524)*($B$2:$B524=B524)*($D$2:$D524=D524))&gt;1,0,1)</f>
        <v>0</v>
      </c>
    </row>
    <row r="525" spans="1:16" x14ac:dyDescent="0.35">
      <c r="A525" t="s">
        <v>24</v>
      </c>
      <c r="B525">
        <v>1999</v>
      </c>
      <c r="D525">
        <v>3.1</v>
      </c>
      <c r="E525">
        <f>INT(Table2[[#This Row],[Transect]])</f>
        <v>3</v>
      </c>
      <c r="F525" t="s">
        <v>2</v>
      </c>
      <c r="G525">
        <v>1</v>
      </c>
      <c r="H525">
        <v>83</v>
      </c>
      <c r="J525">
        <f>Table2[[#This Row],[Hits]]/Table2[[#This Row],[Points]]*100</f>
        <v>1.2048192771084338</v>
      </c>
      <c r="K525">
        <f>VLOOKUP(Table2[[#This Row],[Site]],'Site Info'!$A$1:$C$11,2, FALSE)</f>
        <v>34</v>
      </c>
      <c r="L525">
        <f>VLOOKUP(Table2[[#This Row],[Site]],'Site Info'!$A$1:$C$11,3, FALSE)</f>
        <v>6</v>
      </c>
      <c r="M525" t="str">
        <f>VLOOKUP(Table2[[#This Row],[Species]],'Species Table'!$A$1:$D$68,3, FALSE)</f>
        <v>Perennial</v>
      </c>
      <c r="O525" s="15">
        <f>IF(SUMPRODUCT(($A$2:$A525=A525)*($B$2:$B525=B525)*($F$2:$F525=F525))&gt;1,0,1)</f>
        <v>0</v>
      </c>
      <c r="P525" s="15">
        <f>IF(SUMPRODUCT(($A$2:$A525=A525)*($B$2:$B525=B525)*($D$2:$D525=D525))&gt;1,0,1)</f>
        <v>0</v>
      </c>
    </row>
    <row r="526" spans="1:16" x14ac:dyDescent="0.35">
      <c r="A526" t="s">
        <v>24</v>
      </c>
      <c r="B526">
        <v>1999</v>
      </c>
      <c r="D526">
        <v>3.2</v>
      </c>
      <c r="E526">
        <f>INT(Table2[[#This Row],[Transect]])</f>
        <v>3</v>
      </c>
      <c r="F526" t="s">
        <v>32</v>
      </c>
      <c r="G526">
        <v>6</v>
      </c>
      <c r="H526">
        <v>35</v>
      </c>
      <c r="J526">
        <f>Table2[[#This Row],[Hits]]/Table2[[#This Row],[Points]]*100</f>
        <v>17.142857142857142</v>
      </c>
      <c r="K526">
        <f>VLOOKUP(Table2[[#This Row],[Site]],'Site Info'!$A$1:$C$11,2, FALSE)</f>
        <v>34</v>
      </c>
      <c r="L526">
        <f>VLOOKUP(Table2[[#This Row],[Site]],'Site Info'!$A$1:$C$11,3, FALSE)</f>
        <v>6</v>
      </c>
      <c r="M526" t="str">
        <f>VLOOKUP(Table2[[#This Row],[Species]],'Species Table'!$A$1:$D$68,3, FALSE)</f>
        <v>Perennial</v>
      </c>
      <c r="O526" s="15">
        <f>IF(SUMPRODUCT(($A$2:$A526=A526)*($B$2:$B526=B526)*($F$2:$F526=F526))&gt;1,0,1)</f>
        <v>0</v>
      </c>
      <c r="P526" s="15">
        <f>IF(SUMPRODUCT(($A$2:$A526=A526)*($B$2:$B526=B526)*($D$2:$D526=D526))&gt;1,0,1)</f>
        <v>1</v>
      </c>
    </row>
    <row r="527" spans="1:16" x14ac:dyDescent="0.35">
      <c r="A527" t="s">
        <v>24</v>
      </c>
      <c r="B527">
        <v>1999</v>
      </c>
      <c r="D527">
        <v>3.2</v>
      </c>
      <c r="E527">
        <f>INT(Table2[[#This Row],[Transect]])</f>
        <v>3</v>
      </c>
      <c r="F527" t="s">
        <v>23</v>
      </c>
      <c r="G527">
        <v>2</v>
      </c>
      <c r="H527">
        <v>35</v>
      </c>
      <c r="J527">
        <f>Table2[[#This Row],[Hits]]/Table2[[#This Row],[Points]]*100</f>
        <v>5.7142857142857144</v>
      </c>
      <c r="K527">
        <f>VLOOKUP(Table2[[#This Row],[Site]],'Site Info'!$A$1:$C$11,2, FALSE)</f>
        <v>34</v>
      </c>
      <c r="L527">
        <f>VLOOKUP(Table2[[#This Row],[Site]],'Site Info'!$A$1:$C$11,3, FALSE)</f>
        <v>6</v>
      </c>
      <c r="M527" t="str">
        <f>VLOOKUP(Table2[[#This Row],[Species]],'Species Table'!$A$1:$D$68,3, FALSE)</f>
        <v>Perennial</v>
      </c>
      <c r="O527" s="15">
        <f>IF(SUMPRODUCT(($A$2:$A527=A527)*($B$2:$B527=B527)*($F$2:$F527=F527))&gt;1,0,1)</f>
        <v>0</v>
      </c>
      <c r="P527" s="15">
        <f>IF(SUMPRODUCT(($A$2:$A527=A527)*($B$2:$B527=B527)*($D$2:$D527=D527))&gt;1,0,1)</f>
        <v>0</v>
      </c>
    </row>
    <row r="528" spans="1:16" hidden="1" x14ac:dyDescent="0.35">
      <c r="A528" t="s">
        <v>24</v>
      </c>
      <c r="B528">
        <v>1999</v>
      </c>
      <c r="D528">
        <v>3.2</v>
      </c>
      <c r="E528">
        <f>INT(Table2[[#This Row],[Transect]])</f>
        <v>3</v>
      </c>
      <c r="F528" t="s">
        <v>20</v>
      </c>
      <c r="G528">
        <v>1</v>
      </c>
      <c r="H528">
        <v>35</v>
      </c>
      <c r="J528">
        <f>Table2[[#This Row],[Hits]]/Table2[[#This Row],[Points]]*100</f>
        <v>2.8571428571428572</v>
      </c>
      <c r="K528">
        <f>VLOOKUP(Table2[[#This Row],[Site]],'Site Info'!$A$1:$C$11,2, FALSE)</f>
        <v>34</v>
      </c>
      <c r="L528">
        <f>VLOOKUP(Table2[[#This Row],[Site]],'Site Info'!$A$1:$C$11,3, FALSE)</f>
        <v>6</v>
      </c>
      <c r="M528" t="str">
        <f>VLOOKUP(Table2[[#This Row],[Species]],'Species Table'!$A$1:$D$68,3, FALSE)</f>
        <v>Annual</v>
      </c>
      <c r="O528" s="15">
        <f>IF(SUMPRODUCT(($A$2:$A528=A528)*($B$2:$B528=B528)*($F$2:$F528=F528))&gt;1,0,1)</f>
        <v>0</v>
      </c>
      <c r="P528" s="15">
        <f>IF(SUMPRODUCT(($A$2:$A528=A528)*($B$2:$B528=B528)*($D$2:$D528=D528))&gt;1,0,1)</f>
        <v>0</v>
      </c>
    </row>
    <row r="529" spans="1:16" x14ac:dyDescent="0.35">
      <c r="A529" t="s">
        <v>24</v>
      </c>
      <c r="B529">
        <v>1999</v>
      </c>
      <c r="D529">
        <v>4.0999999999999996</v>
      </c>
      <c r="E529">
        <f>INT(Table2[[#This Row],[Transect]])</f>
        <v>4</v>
      </c>
      <c r="F529" t="s">
        <v>12</v>
      </c>
      <c r="G529">
        <v>3</v>
      </c>
      <c r="H529">
        <v>114</v>
      </c>
      <c r="J529">
        <f>Table2[[#This Row],[Hits]]/Table2[[#This Row],[Points]]*100</f>
        <v>2.6315789473684208</v>
      </c>
      <c r="K529">
        <f>VLOOKUP(Table2[[#This Row],[Site]],'Site Info'!$A$1:$C$11,2, FALSE)</f>
        <v>34</v>
      </c>
      <c r="L529">
        <f>VLOOKUP(Table2[[#This Row],[Site]],'Site Info'!$A$1:$C$11,3, FALSE)</f>
        <v>6</v>
      </c>
      <c r="M529" t="str">
        <f>VLOOKUP(Table2[[#This Row],[Species]],'Species Table'!$A$1:$D$68,3, FALSE)</f>
        <v>Perennial</v>
      </c>
      <c r="O529" s="15">
        <f>IF(SUMPRODUCT(($A$2:$A529=A529)*($B$2:$B529=B529)*($F$2:$F529=F529))&gt;1,0,1)</f>
        <v>1</v>
      </c>
      <c r="P529" s="15">
        <f>IF(SUMPRODUCT(($A$2:$A529=A529)*($B$2:$B529=B529)*($D$2:$D529=D529))&gt;1,0,1)</f>
        <v>1</v>
      </c>
    </row>
    <row r="530" spans="1:16" x14ac:dyDescent="0.35">
      <c r="A530" t="s">
        <v>24</v>
      </c>
      <c r="B530">
        <v>1999</v>
      </c>
      <c r="D530">
        <v>4.0999999999999996</v>
      </c>
      <c r="E530">
        <f>INT(Table2[[#This Row],[Transect]])</f>
        <v>4</v>
      </c>
      <c r="F530" t="s">
        <v>23</v>
      </c>
      <c r="G530">
        <v>1</v>
      </c>
      <c r="H530">
        <v>114</v>
      </c>
      <c r="J530">
        <f>Table2[[#This Row],[Hits]]/Table2[[#This Row],[Points]]*100</f>
        <v>0.8771929824561403</v>
      </c>
      <c r="K530">
        <f>VLOOKUP(Table2[[#This Row],[Site]],'Site Info'!$A$1:$C$11,2, FALSE)</f>
        <v>34</v>
      </c>
      <c r="L530">
        <f>VLOOKUP(Table2[[#This Row],[Site]],'Site Info'!$A$1:$C$11,3, FALSE)</f>
        <v>6</v>
      </c>
      <c r="M530" t="str">
        <f>VLOOKUP(Table2[[#This Row],[Species]],'Species Table'!$A$1:$D$68,3, FALSE)</f>
        <v>Perennial</v>
      </c>
      <c r="O530" s="15">
        <f>IF(SUMPRODUCT(($A$2:$A530=A530)*($B$2:$B530=B530)*($F$2:$F530=F530))&gt;1,0,1)</f>
        <v>0</v>
      </c>
      <c r="P530" s="15">
        <f>IF(SUMPRODUCT(($A$2:$A530=A530)*($B$2:$B530=B530)*($D$2:$D530=D530))&gt;1,0,1)</f>
        <v>0</v>
      </c>
    </row>
    <row r="531" spans="1:16" x14ac:dyDescent="0.35">
      <c r="A531" t="s">
        <v>24</v>
      </c>
      <c r="B531">
        <v>1999</v>
      </c>
      <c r="D531">
        <v>4.0999999999999996</v>
      </c>
      <c r="E531">
        <f>INT(Table2[[#This Row],[Transect]])</f>
        <v>4</v>
      </c>
      <c r="F531" t="s">
        <v>32</v>
      </c>
      <c r="G531">
        <v>1</v>
      </c>
      <c r="H531">
        <v>114</v>
      </c>
      <c r="J531">
        <f>Table2[[#This Row],[Hits]]/Table2[[#This Row],[Points]]*100</f>
        <v>0.8771929824561403</v>
      </c>
      <c r="K531">
        <f>VLOOKUP(Table2[[#This Row],[Site]],'Site Info'!$A$1:$C$11,2, FALSE)</f>
        <v>34</v>
      </c>
      <c r="L531">
        <f>VLOOKUP(Table2[[#This Row],[Site]],'Site Info'!$A$1:$C$11,3, FALSE)</f>
        <v>6</v>
      </c>
      <c r="M531" t="str">
        <f>VLOOKUP(Table2[[#This Row],[Species]],'Species Table'!$A$1:$D$68,3, FALSE)</f>
        <v>Perennial</v>
      </c>
      <c r="O531" s="15">
        <f>IF(SUMPRODUCT(($A$2:$A531=A531)*($B$2:$B531=B531)*($F$2:$F531=F531))&gt;1,0,1)</f>
        <v>0</v>
      </c>
      <c r="P531" s="15">
        <f>IF(SUMPRODUCT(($A$2:$A531=A531)*($B$2:$B531=B531)*($D$2:$D531=D531))&gt;1,0,1)</f>
        <v>0</v>
      </c>
    </row>
    <row r="532" spans="1:16" hidden="1" x14ac:dyDescent="0.35">
      <c r="A532" t="s">
        <v>24</v>
      </c>
      <c r="B532">
        <v>1999</v>
      </c>
      <c r="D532">
        <v>4.0999999999999996</v>
      </c>
      <c r="E532">
        <f>INT(Table2[[#This Row],[Transect]])</f>
        <v>4</v>
      </c>
      <c r="F532" t="s">
        <v>10</v>
      </c>
      <c r="G532">
        <v>1</v>
      </c>
      <c r="H532">
        <v>114</v>
      </c>
      <c r="J532">
        <f>Table2[[#This Row],[Hits]]/Table2[[#This Row],[Points]]*100</f>
        <v>0.8771929824561403</v>
      </c>
      <c r="K532">
        <f>VLOOKUP(Table2[[#This Row],[Site]],'Site Info'!$A$1:$C$11,2, FALSE)</f>
        <v>34</v>
      </c>
      <c r="L532">
        <f>VLOOKUP(Table2[[#This Row],[Site]],'Site Info'!$A$1:$C$11,3, FALSE)</f>
        <v>6</v>
      </c>
      <c r="M532" t="str">
        <f>VLOOKUP(Table2[[#This Row],[Species]],'Species Table'!$A$1:$D$68,3, FALSE)</f>
        <v>Annual</v>
      </c>
      <c r="O532" s="15">
        <f>IF(SUMPRODUCT(($A$2:$A532=A532)*($B$2:$B532=B532)*($F$2:$F532=F532))&gt;1,0,1)</f>
        <v>0</v>
      </c>
      <c r="P532" s="15">
        <f>IF(SUMPRODUCT(($A$2:$A532=A532)*($B$2:$B532=B532)*($D$2:$D532=D532))&gt;1,0,1)</f>
        <v>0</v>
      </c>
    </row>
    <row r="533" spans="1:16" hidden="1" x14ac:dyDescent="0.35">
      <c r="A533" t="s">
        <v>24</v>
      </c>
      <c r="B533">
        <v>1999</v>
      </c>
      <c r="D533">
        <v>4.0999999999999996</v>
      </c>
      <c r="E533">
        <f>INT(Table2[[#This Row],[Transect]])</f>
        <v>4</v>
      </c>
      <c r="F533" t="s">
        <v>25</v>
      </c>
      <c r="G533">
        <v>1</v>
      </c>
      <c r="H533">
        <v>114</v>
      </c>
      <c r="J533">
        <f>Table2[[#This Row],[Hits]]/Table2[[#This Row],[Points]]*100</f>
        <v>0.8771929824561403</v>
      </c>
      <c r="K533">
        <f>VLOOKUP(Table2[[#This Row],[Site]],'Site Info'!$A$1:$C$11,2, FALSE)</f>
        <v>34</v>
      </c>
      <c r="L533">
        <f>VLOOKUP(Table2[[#This Row],[Site]],'Site Info'!$A$1:$C$11,3, FALSE)</f>
        <v>6</v>
      </c>
      <c r="M533" t="str">
        <f>VLOOKUP(Table2[[#This Row],[Species]],'Species Table'!$A$1:$D$68,3, FALSE)</f>
        <v>Annual/Biennial/Perennial</v>
      </c>
      <c r="O533" s="15">
        <f>IF(SUMPRODUCT(($A$2:$A533=A533)*($B$2:$B533=B533)*($F$2:$F533=F533))&gt;1,0,1)</f>
        <v>1</v>
      </c>
      <c r="P533" s="15">
        <f>IF(SUMPRODUCT(($A$2:$A533=A533)*($B$2:$B533=B533)*($D$2:$D533=D533))&gt;1,0,1)</f>
        <v>0</v>
      </c>
    </row>
    <row r="534" spans="1:16" x14ac:dyDescent="0.35">
      <c r="A534" t="s">
        <v>24</v>
      </c>
      <c r="B534">
        <v>1999</v>
      </c>
      <c r="D534">
        <v>5.0999999999999996</v>
      </c>
      <c r="E534">
        <f>INT(Table2[[#This Row],[Transect]])</f>
        <v>5</v>
      </c>
      <c r="F534" t="s">
        <v>14</v>
      </c>
      <c r="G534">
        <v>3</v>
      </c>
      <c r="H534">
        <v>164</v>
      </c>
      <c r="J534">
        <f>Table2[[#This Row],[Hits]]/Table2[[#This Row],[Points]]*100</f>
        <v>1.8292682926829267</v>
      </c>
      <c r="K534">
        <f>VLOOKUP(Table2[[#This Row],[Site]],'Site Info'!$A$1:$C$11,2, FALSE)</f>
        <v>34</v>
      </c>
      <c r="L534">
        <f>VLOOKUP(Table2[[#This Row],[Site]],'Site Info'!$A$1:$C$11,3, FALSE)</f>
        <v>6</v>
      </c>
      <c r="M534" t="str">
        <f>VLOOKUP(Table2[[#This Row],[Species]],'Species Table'!$A$1:$D$68,3, FALSE)</f>
        <v>Perennial</v>
      </c>
      <c r="O534" s="15">
        <f>IF(SUMPRODUCT(($A$2:$A534=A534)*($B$2:$B534=B534)*($F$2:$F534=F534))&gt;1,0,1)</f>
        <v>1</v>
      </c>
      <c r="P534" s="15">
        <f>IF(SUMPRODUCT(($A$2:$A534=A534)*($B$2:$B534=B534)*($D$2:$D534=D534))&gt;1,0,1)</f>
        <v>1</v>
      </c>
    </row>
    <row r="535" spans="1:16" x14ac:dyDescent="0.35">
      <c r="A535" t="s">
        <v>24</v>
      </c>
      <c r="B535">
        <v>1999</v>
      </c>
      <c r="D535">
        <v>5.0999999999999996</v>
      </c>
      <c r="E535">
        <f>INT(Table2[[#This Row],[Transect]])</f>
        <v>5</v>
      </c>
      <c r="F535" t="s">
        <v>3</v>
      </c>
      <c r="G535">
        <v>2</v>
      </c>
      <c r="H535">
        <v>164</v>
      </c>
      <c r="J535">
        <f>Table2[[#This Row],[Hits]]/Table2[[#This Row],[Points]]*100</f>
        <v>1.2195121951219512</v>
      </c>
      <c r="K535">
        <f>VLOOKUP(Table2[[#This Row],[Site]],'Site Info'!$A$1:$C$11,2, FALSE)</f>
        <v>34</v>
      </c>
      <c r="L535">
        <f>VLOOKUP(Table2[[#This Row],[Site]],'Site Info'!$A$1:$C$11,3, FALSE)</f>
        <v>6</v>
      </c>
      <c r="M535" t="str">
        <f>VLOOKUP(Table2[[#This Row],[Species]],'Species Table'!$A$1:$D$68,3, FALSE)</f>
        <v>Perennial</v>
      </c>
      <c r="O535" s="15">
        <f>IF(SUMPRODUCT(($A$2:$A535=A535)*($B$2:$B535=B535)*($F$2:$F535=F535))&gt;1,0,1)</f>
        <v>0</v>
      </c>
      <c r="P535" s="15">
        <f>IF(SUMPRODUCT(($A$2:$A535=A535)*($B$2:$B535=B535)*($D$2:$D535=D535))&gt;1,0,1)</f>
        <v>0</v>
      </c>
    </row>
    <row r="536" spans="1:16" x14ac:dyDescent="0.35">
      <c r="A536" t="s">
        <v>24</v>
      </c>
      <c r="B536">
        <v>1999</v>
      </c>
      <c r="D536">
        <v>5.0999999999999996</v>
      </c>
      <c r="E536">
        <f>INT(Table2[[#This Row],[Transect]])</f>
        <v>5</v>
      </c>
      <c r="F536" t="s">
        <v>32</v>
      </c>
      <c r="G536">
        <v>2</v>
      </c>
      <c r="H536">
        <v>164</v>
      </c>
      <c r="J536">
        <f>Table2[[#This Row],[Hits]]/Table2[[#This Row],[Points]]*100</f>
        <v>1.2195121951219512</v>
      </c>
      <c r="K536">
        <f>VLOOKUP(Table2[[#This Row],[Site]],'Site Info'!$A$1:$C$11,2, FALSE)</f>
        <v>34</v>
      </c>
      <c r="L536">
        <f>VLOOKUP(Table2[[#This Row],[Site]],'Site Info'!$A$1:$C$11,3, FALSE)</f>
        <v>6</v>
      </c>
      <c r="M536" t="str">
        <f>VLOOKUP(Table2[[#This Row],[Species]],'Species Table'!$A$1:$D$68,3, FALSE)</f>
        <v>Perennial</v>
      </c>
      <c r="O536" s="15">
        <f>IF(SUMPRODUCT(($A$2:$A536=A536)*($B$2:$B536=B536)*($F$2:$F536=F536))&gt;1,0,1)</f>
        <v>0</v>
      </c>
      <c r="P536" s="15">
        <f>IF(SUMPRODUCT(($A$2:$A536=A536)*($B$2:$B536=B536)*($D$2:$D536=D536))&gt;1,0,1)</f>
        <v>0</v>
      </c>
    </row>
    <row r="537" spans="1:16" x14ac:dyDescent="0.35">
      <c r="A537" t="s">
        <v>24</v>
      </c>
      <c r="B537">
        <v>1999</v>
      </c>
      <c r="D537">
        <v>5.0999999999999996</v>
      </c>
      <c r="E537">
        <f>INT(Table2[[#This Row],[Transect]])</f>
        <v>5</v>
      </c>
      <c r="F537" t="s">
        <v>23</v>
      </c>
      <c r="G537">
        <v>1</v>
      </c>
      <c r="H537">
        <v>164</v>
      </c>
      <c r="J537">
        <f>Table2[[#This Row],[Hits]]/Table2[[#This Row],[Points]]*100</f>
        <v>0.6097560975609756</v>
      </c>
      <c r="K537">
        <f>VLOOKUP(Table2[[#This Row],[Site]],'Site Info'!$A$1:$C$11,2, FALSE)</f>
        <v>34</v>
      </c>
      <c r="L537">
        <f>VLOOKUP(Table2[[#This Row],[Site]],'Site Info'!$A$1:$C$11,3, FALSE)</f>
        <v>6</v>
      </c>
      <c r="M537" t="str">
        <f>VLOOKUP(Table2[[#This Row],[Species]],'Species Table'!$A$1:$D$68,3, FALSE)</f>
        <v>Perennial</v>
      </c>
      <c r="O537" s="15">
        <f>IF(SUMPRODUCT(($A$2:$A537=A537)*($B$2:$B537=B537)*($F$2:$F537=F537))&gt;1,0,1)</f>
        <v>0</v>
      </c>
      <c r="P537" s="15">
        <f>IF(SUMPRODUCT(($A$2:$A537=A537)*($B$2:$B537=B537)*($D$2:$D537=D537))&gt;1,0,1)</f>
        <v>0</v>
      </c>
    </row>
    <row r="538" spans="1:16" x14ac:dyDescent="0.35">
      <c r="A538" t="s">
        <v>24</v>
      </c>
      <c r="B538">
        <v>1999</v>
      </c>
      <c r="D538">
        <v>5.0999999999999996</v>
      </c>
      <c r="E538">
        <f>INT(Table2[[#This Row],[Transect]])</f>
        <v>5</v>
      </c>
      <c r="F538" t="s">
        <v>2</v>
      </c>
      <c r="G538">
        <v>1</v>
      </c>
      <c r="H538">
        <v>164</v>
      </c>
      <c r="J538">
        <f>Table2[[#This Row],[Hits]]/Table2[[#This Row],[Points]]*100</f>
        <v>0.6097560975609756</v>
      </c>
      <c r="K538">
        <f>VLOOKUP(Table2[[#This Row],[Site]],'Site Info'!$A$1:$C$11,2, FALSE)</f>
        <v>34</v>
      </c>
      <c r="L538">
        <f>VLOOKUP(Table2[[#This Row],[Site]],'Site Info'!$A$1:$C$11,3, FALSE)</f>
        <v>6</v>
      </c>
      <c r="M538" t="str">
        <f>VLOOKUP(Table2[[#This Row],[Species]],'Species Table'!$A$1:$D$68,3, FALSE)</f>
        <v>Perennial</v>
      </c>
      <c r="O538" s="15">
        <f>IF(SUMPRODUCT(($A$2:$A538=A538)*($B$2:$B538=B538)*($F$2:$F538=F538))&gt;1,0,1)</f>
        <v>0</v>
      </c>
      <c r="P538" s="15">
        <f>IF(SUMPRODUCT(($A$2:$A538=A538)*($B$2:$B538=B538)*($D$2:$D538=D538))&gt;1,0,1)</f>
        <v>0</v>
      </c>
    </row>
    <row r="539" spans="1:16" x14ac:dyDescent="0.35">
      <c r="A539" t="s">
        <v>24</v>
      </c>
      <c r="B539">
        <v>1999</v>
      </c>
      <c r="D539">
        <v>6.1</v>
      </c>
      <c r="E539">
        <f>INT(Table2[[#This Row],[Transect]])</f>
        <v>6</v>
      </c>
      <c r="F539" t="s">
        <v>31</v>
      </c>
      <c r="G539">
        <v>4</v>
      </c>
      <c r="H539">
        <v>197</v>
      </c>
      <c r="J539">
        <f>Table2[[#This Row],[Hits]]/Table2[[#This Row],[Points]]*100</f>
        <v>2.030456852791878</v>
      </c>
      <c r="K539">
        <f>VLOOKUP(Table2[[#This Row],[Site]],'Site Info'!$A$1:$C$11,2, FALSE)</f>
        <v>34</v>
      </c>
      <c r="L539">
        <f>VLOOKUP(Table2[[#This Row],[Site]],'Site Info'!$A$1:$C$11,3, FALSE)</f>
        <v>6</v>
      </c>
      <c r="M539" t="str">
        <f>VLOOKUP(Table2[[#This Row],[Species]],'Species Table'!$A$1:$D$68,3, FALSE)</f>
        <v>Perennial</v>
      </c>
      <c r="O539" s="15">
        <f>IF(SUMPRODUCT(($A$2:$A539=A539)*($B$2:$B539=B539)*($F$2:$F539=F539))&gt;1,0,1)</f>
        <v>1</v>
      </c>
      <c r="P539" s="15">
        <f>IF(SUMPRODUCT(($A$2:$A539=A539)*($B$2:$B539=B539)*($D$2:$D539=D539))&gt;1,0,1)</f>
        <v>1</v>
      </c>
    </row>
    <row r="540" spans="1:16" x14ac:dyDescent="0.35">
      <c r="A540" t="s">
        <v>24</v>
      </c>
      <c r="B540">
        <v>1999</v>
      </c>
      <c r="D540">
        <v>6.1</v>
      </c>
      <c r="E540">
        <f>INT(Table2[[#This Row],[Transect]])</f>
        <v>6</v>
      </c>
      <c r="F540" t="s">
        <v>32</v>
      </c>
      <c r="G540">
        <v>2</v>
      </c>
      <c r="H540">
        <v>197</v>
      </c>
      <c r="J540">
        <f>Table2[[#This Row],[Hits]]/Table2[[#This Row],[Points]]*100</f>
        <v>1.015228426395939</v>
      </c>
      <c r="K540">
        <f>VLOOKUP(Table2[[#This Row],[Site]],'Site Info'!$A$1:$C$11,2, FALSE)</f>
        <v>34</v>
      </c>
      <c r="L540">
        <f>VLOOKUP(Table2[[#This Row],[Site]],'Site Info'!$A$1:$C$11,3, FALSE)</f>
        <v>6</v>
      </c>
      <c r="M540" t="str">
        <f>VLOOKUP(Table2[[#This Row],[Species]],'Species Table'!$A$1:$D$68,3, FALSE)</f>
        <v>Perennial</v>
      </c>
      <c r="O540" s="15">
        <f>IF(SUMPRODUCT(($A$2:$A540=A540)*($B$2:$B540=B540)*($F$2:$F540=F540))&gt;1,0,1)</f>
        <v>0</v>
      </c>
      <c r="P540" s="15">
        <f>IF(SUMPRODUCT(($A$2:$A540=A540)*($B$2:$B540=B540)*($D$2:$D540=D540))&gt;1,0,1)</f>
        <v>0</v>
      </c>
    </row>
    <row r="541" spans="1:16" x14ac:dyDescent="0.35">
      <c r="A541" t="s">
        <v>24</v>
      </c>
      <c r="B541">
        <v>1999</v>
      </c>
      <c r="D541">
        <v>6.1</v>
      </c>
      <c r="E541">
        <f>INT(Table2[[#This Row],[Transect]])</f>
        <v>6</v>
      </c>
      <c r="F541" t="s">
        <v>3</v>
      </c>
      <c r="G541">
        <v>1</v>
      </c>
      <c r="H541">
        <v>197</v>
      </c>
      <c r="J541">
        <f>Table2[[#This Row],[Hits]]/Table2[[#This Row],[Points]]*100</f>
        <v>0.50761421319796951</v>
      </c>
      <c r="K541">
        <f>VLOOKUP(Table2[[#This Row],[Site]],'Site Info'!$A$1:$C$11,2, FALSE)</f>
        <v>34</v>
      </c>
      <c r="L541">
        <f>VLOOKUP(Table2[[#This Row],[Site]],'Site Info'!$A$1:$C$11,3, FALSE)</f>
        <v>6</v>
      </c>
      <c r="M541" t="str">
        <f>VLOOKUP(Table2[[#This Row],[Species]],'Species Table'!$A$1:$D$68,3, FALSE)</f>
        <v>Perennial</v>
      </c>
      <c r="O541" s="15">
        <f>IF(SUMPRODUCT(($A$2:$A541=A541)*($B$2:$B541=B541)*($F$2:$F541=F541))&gt;1,0,1)</f>
        <v>0</v>
      </c>
      <c r="P541" s="15">
        <f>IF(SUMPRODUCT(($A$2:$A541=A541)*($B$2:$B541=B541)*($D$2:$D541=D541))&gt;1,0,1)</f>
        <v>0</v>
      </c>
    </row>
    <row r="542" spans="1:16" x14ac:dyDescent="0.35">
      <c r="A542" t="s">
        <v>24</v>
      </c>
      <c r="B542">
        <v>1999</v>
      </c>
      <c r="D542">
        <v>6.1</v>
      </c>
      <c r="E542">
        <f>INT(Table2[[#This Row],[Transect]])</f>
        <v>6</v>
      </c>
      <c r="F542" t="s">
        <v>23</v>
      </c>
      <c r="G542">
        <v>1</v>
      </c>
      <c r="H542">
        <v>197</v>
      </c>
      <c r="J542">
        <f>Table2[[#This Row],[Hits]]/Table2[[#This Row],[Points]]*100</f>
        <v>0.50761421319796951</v>
      </c>
      <c r="K542">
        <f>VLOOKUP(Table2[[#This Row],[Site]],'Site Info'!$A$1:$C$11,2, FALSE)</f>
        <v>34</v>
      </c>
      <c r="L542">
        <f>VLOOKUP(Table2[[#This Row],[Site]],'Site Info'!$A$1:$C$11,3, FALSE)</f>
        <v>6</v>
      </c>
      <c r="M542" t="str">
        <f>VLOOKUP(Table2[[#This Row],[Species]],'Species Table'!$A$1:$D$68,3, FALSE)</f>
        <v>Perennial</v>
      </c>
      <c r="O542" s="15">
        <f>IF(SUMPRODUCT(($A$2:$A542=A542)*($B$2:$B542=B542)*($F$2:$F542=F542))&gt;1,0,1)</f>
        <v>0</v>
      </c>
      <c r="P542" s="15">
        <f>IF(SUMPRODUCT(($A$2:$A542=A542)*($B$2:$B542=B542)*($D$2:$D542=D542))&gt;1,0,1)</f>
        <v>0</v>
      </c>
    </row>
    <row r="543" spans="1:16" x14ac:dyDescent="0.35">
      <c r="A543" t="s">
        <v>24</v>
      </c>
      <c r="B543">
        <v>1999</v>
      </c>
      <c r="D543">
        <v>7.1</v>
      </c>
      <c r="E543">
        <f>INT(Table2[[#This Row],[Transect]])</f>
        <v>7</v>
      </c>
      <c r="F543" t="s">
        <v>14</v>
      </c>
      <c r="G543">
        <v>7</v>
      </c>
      <c r="H543">
        <v>117</v>
      </c>
      <c r="J543">
        <f>Table2[[#This Row],[Hits]]/Table2[[#This Row],[Points]]*100</f>
        <v>5.982905982905983</v>
      </c>
      <c r="K543">
        <f>VLOOKUP(Table2[[#This Row],[Site]],'Site Info'!$A$1:$C$11,2, FALSE)</f>
        <v>34</v>
      </c>
      <c r="L543">
        <f>VLOOKUP(Table2[[#This Row],[Site]],'Site Info'!$A$1:$C$11,3, FALSE)</f>
        <v>6</v>
      </c>
      <c r="M543" t="str">
        <f>VLOOKUP(Table2[[#This Row],[Species]],'Species Table'!$A$1:$D$68,3, FALSE)</f>
        <v>Perennial</v>
      </c>
      <c r="O543" s="15">
        <f>IF(SUMPRODUCT(($A$2:$A543=A543)*($B$2:$B543=B543)*($F$2:$F543=F543))&gt;1,0,1)</f>
        <v>0</v>
      </c>
      <c r="P543" s="15">
        <f>IF(SUMPRODUCT(($A$2:$A543=A543)*($B$2:$B543=B543)*($D$2:$D543=D543))&gt;1,0,1)</f>
        <v>1</v>
      </c>
    </row>
    <row r="544" spans="1:16" x14ac:dyDescent="0.35">
      <c r="A544" t="s">
        <v>24</v>
      </c>
      <c r="B544">
        <v>1999</v>
      </c>
      <c r="D544">
        <v>7.1</v>
      </c>
      <c r="E544">
        <f>INT(Table2[[#This Row],[Transect]])</f>
        <v>7</v>
      </c>
      <c r="F544" t="s">
        <v>23</v>
      </c>
      <c r="G544">
        <v>1</v>
      </c>
      <c r="H544">
        <v>117</v>
      </c>
      <c r="J544">
        <f>Table2[[#This Row],[Hits]]/Table2[[#This Row],[Points]]*100</f>
        <v>0.85470085470085477</v>
      </c>
      <c r="K544">
        <f>VLOOKUP(Table2[[#This Row],[Site]],'Site Info'!$A$1:$C$11,2, FALSE)</f>
        <v>34</v>
      </c>
      <c r="L544">
        <f>VLOOKUP(Table2[[#This Row],[Site]],'Site Info'!$A$1:$C$11,3, FALSE)</f>
        <v>6</v>
      </c>
      <c r="M544" t="str">
        <f>VLOOKUP(Table2[[#This Row],[Species]],'Species Table'!$A$1:$D$68,3, FALSE)</f>
        <v>Perennial</v>
      </c>
      <c r="O544" s="15">
        <f>IF(SUMPRODUCT(($A$2:$A544=A544)*($B$2:$B544=B544)*($F$2:$F544=F544))&gt;1,0,1)</f>
        <v>0</v>
      </c>
      <c r="P544" s="15">
        <f>IF(SUMPRODUCT(($A$2:$A544=A544)*($B$2:$B544=B544)*($D$2:$D544=D544))&gt;1,0,1)</f>
        <v>0</v>
      </c>
    </row>
    <row r="545" spans="1:16" hidden="1" x14ac:dyDescent="0.35">
      <c r="A545" t="s">
        <v>24</v>
      </c>
      <c r="B545">
        <v>1999</v>
      </c>
      <c r="D545">
        <v>7.1</v>
      </c>
      <c r="E545">
        <f>INT(Table2[[#This Row],[Transect]])</f>
        <v>7</v>
      </c>
      <c r="F545" t="s">
        <v>10</v>
      </c>
      <c r="G545">
        <v>1</v>
      </c>
      <c r="H545">
        <v>117</v>
      </c>
      <c r="J545">
        <f>Table2[[#This Row],[Hits]]/Table2[[#This Row],[Points]]*100</f>
        <v>0.85470085470085477</v>
      </c>
      <c r="K545">
        <f>VLOOKUP(Table2[[#This Row],[Site]],'Site Info'!$A$1:$C$11,2, FALSE)</f>
        <v>34</v>
      </c>
      <c r="L545">
        <f>VLOOKUP(Table2[[#This Row],[Site]],'Site Info'!$A$1:$C$11,3, FALSE)</f>
        <v>6</v>
      </c>
      <c r="M545" t="str">
        <f>VLOOKUP(Table2[[#This Row],[Species]],'Species Table'!$A$1:$D$68,3, FALSE)</f>
        <v>Annual</v>
      </c>
      <c r="O545" s="15">
        <f>IF(SUMPRODUCT(($A$2:$A545=A545)*($B$2:$B545=B545)*($F$2:$F545=F545))&gt;1,0,1)</f>
        <v>0</v>
      </c>
      <c r="P545" s="15">
        <f>IF(SUMPRODUCT(($A$2:$A545=A545)*($B$2:$B545=B545)*($D$2:$D545=D545))&gt;1,0,1)</f>
        <v>0</v>
      </c>
    </row>
    <row r="546" spans="1:16" x14ac:dyDescent="0.35">
      <c r="A546" t="s">
        <v>24</v>
      </c>
      <c r="B546">
        <v>2002</v>
      </c>
      <c r="D546">
        <v>1.1000000000000001</v>
      </c>
      <c r="E546">
        <f>INT(Table2[[#This Row],[Transect]])</f>
        <v>1</v>
      </c>
      <c r="F546" t="s">
        <v>32</v>
      </c>
      <c r="G546">
        <v>13</v>
      </c>
      <c r="H546">
        <v>144</v>
      </c>
      <c r="J546">
        <f>Table2[[#This Row],[Hits]]/Table2[[#This Row],[Points]]*100</f>
        <v>9.0277777777777768</v>
      </c>
      <c r="K546">
        <f>VLOOKUP(Table2[[#This Row],[Site]],'Site Info'!$A$1:$C$11,2, FALSE)</f>
        <v>34</v>
      </c>
      <c r="L546">
        <f>VLOOKUP(Table2[[#This Row],[Site]],'Site Info'!$A$1:$C$11,3, FALSE)</f>
        <v>6</v>
      </c>
      <c r="M546" t="str">
        <f>VLOOKUP(Table2[[#This Row],[Species]],'Species Table'!$A$1:$D$68,3, FALSE)</f>
        <v>Perennial</v>
      </c>
      <c r="O546" s="15">
        <f>IF(SUMPRODUCT(($A$2:$A546=A546)*($B$2:$B546=B546)*($F$2:$F546=F546))&gt;1,0,1)</f>
        <v>1</v>
      </c>
      <c r="P546" s="15">
        <f>IF(SUMPRODUCT(($A$2:$A546=A546)*($B$2:$B546=B546)*($D$2:$D546=D546))&gt;1,0,1)</f>
        <v>1</v>
      </c>
    </row>
    <row r="547" spans="1:16" x14ac:dyDescent="0.35">
      <c r="A547" t="s">
        <v>24</v>
      </c>
      <c r="B547">
        <v>2002</v>
      </c>
      <c r="D547">
        <v>1.1000000000000001</v>
      </c>
      <c r="E547">
        <f>INT(Table2[[#This Row],[Transect]])</f>
        <v>1</v>
      </c>
      <c r="F547" t="s">
        <v>23</v>
      </c>
      <c r="G547">
        <v>3</v>
      </c>
      <c r="H547">
        <v>144</v>
      </c>
      <c r="J547">
        <f>Table2[[#This Row],[Hits]]/Table2[[#This Row],[Points]]*100</f>
        <v>2.083333333333333</v>
      </c>
      <c r="K547">
        <f>VLOOKUP(Table2[[#This Row],[Site]],'Site Info'!$A$1:$C$11,2, FALSE)</f>
        <v>34</v>
      </c>
      <c r="L547">
        <f>VLOOKUP(Table2[[#This Row],[Site]],'Site Info'!$A$1:$C$11,3, FALSE)</f>
        <v>6</v>
      </c>
      <c r="M547" t="str">
        <f>VLOOKUP(Table2[[#This Row],[Species]],'Species Table'!$A$1:$D$68,3, FALSE)</f>
        <v>Perennial</v>
      </c>
      <c r="O547" s="15">
        <f>IF(SUMPRODUCT(($A$2:$A547=A547)*($B$2:$B547=B547)*($F$2:$F547=F547))&gt;1,0,1)</f>
        <v>1</v>
      </c>
      <c r="P547" s="15">
        <f>IF(SUMPRODUCT(($A$2:$A547=A547)*($B$2:$B547=B547)*($D$2:$D547=D547))&gt;1,0,1)</f>
        <v>0</v>
      </c>
    </row>
    <row r="548" spans="1:16" x14ac:dyDescent="0.35">
      <c r="A548" t="s">
        <v>24</v>
      </c>
      <c r="B548">
        <v>2002</v>
      </c>
      <c r="D548">
        <v>2.1</v>
      </c>
      <c r="E548">
        <f>INT(Table2[[#This Row],[Transect]])</f>
        <v>2</v>
      </c>
      <c r="F548" t="s">
        <v>32</v>
      </c>
      <c r="G548">
        <v>6</v>
      </c>
      <c r="H548">
        <v>130</v>
      </c>
      <c r="J548">
        <f>Table2[[#This Row],[Hits]]/Table2[[#This Row],[Points]]*100</f>
        <v>4.6153846153846159</v>
      </c>
      <c r="K548">
        <f>VLOOKUP(Table2[[#This Row],[Site]],'Site Info'!$A$1:$C$11,2, FALSE)</f>
        <v>34</v>
      </c>
      <c r="L548">
        <f>VLOOKUP(Table2[[#This Row],[Site]],'Site Info'!$A$1:$C$11,3, FALSE)</f>
        <v>6</v>
      </c>
      <c r="M548" t="str">
        <f>VLOOKUP(Table2[[#This Row],[Species]],'Species Table'!$A$1:$D$68,3, FALSE)</f>
        <v>Perennial</v>
      </c>
      <c r="O548" s="15">
        <f>IF(SUMPRODUCT(($A$2:$A548=A548)*($B$2:$B548=B548)*($F$2:$F548=F548))&gt;1,0,1)</f>
        <v>0</v>
      </c>
      <c r="P548" s="15">
        <f>IF(SUMPRODUCT(($A$2:$A548=A548)*($B$2:$B548=B548)*($D$2:$D548=D548))&gt;1,0,1)</f>
        <v>1</v>
      </c>
    </row>
    <row r="549" spans="1:16" x14ac:dyDescent="0.35">
      <c r="A549" t="s">
        <v>24</v>
      </c>
      <c r="B549">
        <v>2002</v>
      </c>
      <c r="D549">
        <v>2.1</v>
      </c>
      <c r="E549">
        <f>INT(Table2[[#This Row],[Transect]])</f>
        <v>2</v>
      </c>
      <c r="F549" t="s">
        <v>13</v>
      </c>
      <c r="G549">
        <v>4</v>
      </c>
      <c r="H549">
        <v>130</v>
      </c>
      <c r="J549">
        <f>Table2[[#This Row],[Hits]]/Table2[[#This Row],[Points]]*100</f>
        <v>3.0769230769230771</v>
      </c>
      <c r="K549">
        <f>VLOOKUP(Table2[[#This Row],[Site]],'Site Info'!$A$1:$C$11,2, FALSE)</f>
        <v>34</v>
      </c>
      <c r="L549">
        <f>VLOOKUP(Table2[[#This Row],[Site]],'Site Info'!$A$1:$C$11,3, FALSE)</f>
        <v>6</v>
      </c>
      <c r="M549" t="str">
        <f>VLOOKUP(Table2[[#This Row],[Species]],'Species Table'!$A$1:$D$68,3, FALSE)</f>
        <v>Perennial</v>
      </c>
      <c r="O549" s="15">
        <f>IF(SUMPRODUCT(($A$2:$A549=A549)*($B$2:$B549=B549)*($F$2:$F549=F549))&gt;1,0,1)</f>
        <v>1</v>
      </c>
      <c r="P549" s="15">
        <f>IF(SUMPRODUCT(($A$2:$A549=A549)*($B$2:$B549=B549)*($D$2:$D549=D549))&gt;1,0,1)</f>
        <v>0</v>
      </c>
    </row>
    <row r="550" spans="1:16" x14ac:dyDescent="0.35">
      <c r="A550" t="s">
        <v>24</v>
      </c>
      <c r="B550">
        <v>2002</v>
      </c>
      <c r="D550">
        <v>2.1</v>
      </c>
      <c r="E550">
        <f>INT(Table2[[#This Row],[Transect]])</f>
        <v>2</v>
      </c>
      <c r="F550" t="s">
        <v>2</v>
      </c>
      <c r="G550">
        <v>4</v>
      </c>
      <c r="H550">
        <v>130</v>
      </c>
      <c r="J550">
        <f>Table2[[#This Row],[Hits]]/Table2[[#This Row],[Points]]*100</f>
        <v>3.0769230769230771</v>
      </c>
      <c r="K550">
        <f>VLOOKUP(Table2[[#This Row],[Site]],'Site Info'!$A$1:$C$11,2, FALSE)</f>
        <v>34</v>
      </c>
      <c r="L550">
        <f>VLOOKUP(Table2[[#This Row],[Site]],'Site Info'!$A$1:$C$11,3, FALSE)</f>
        <v>6</v>
      </c>
      <c r="M550" t="str">
        <f>VLOOKUP(Table2[[#This Row],[Species]],'Species Table'!$A$1:$D$68,3, FALSE)</f>
        <v>Perennial</v>
      </c>
      <c r="O550" s="15">
        <f>IF(SUMPRODUCT(($A$2:$A550=A550)*($B$2:$B550=B550)*($F$2:$F550=F550))&gt;1,0,1)</f>
        <v>1</v>
      </c>
      <c r="P550" s="15">
        <f>IF(SUMPRODUCT(($A$2:$A550=A550)*($B$2:$B550=B550)*($D$2:$D550=D550))&gt;1,0,1)</f>
        <v>0</v>
      </c>
    </row>
    <row r="551" spans="1:16" x14ac:dyDescent="0.35">
      <c r="A551" t="s">
        <v>24</v>
      </c>
      <c r="B551">
        <v>2002</v>
      </c>
      <c r="D551">
        <v>2.2000000000000002</v>
      </c>
      <c r="E551">
        <f>INT(Table2[[#This Row],[Transect]])</f>
        <v>2</v>
      </c>
      <c r="F551" t="s">
        <v>32</v>
      </c>
      <c r="G551">
        <v>8</v>
      </c>
      <c r="H551">
        <v>66</v>
      </c>
      <c r="J551">
        <f>Table2[[#This Row],[Hits]]/Table2[[#This Row],[Points]]*100</f>
        <v>12.121212121212121</v>
      </c>
      <c r="K551">
        <f>VLOOKUP(Table2[[#This Row],[Site]],'Site Info'!$A$1:$C$11,2, FALSE)</f>
        <v>34</v>
      </c>
      <c r="L551">
        <f>VLOOKUP(Table2[[#This Row],[Site]],'Site Info'!$A$1:$C$11,3, FALSE)</f>
        <v>6</v>
      </c>
      <c r="M551" t="str">
        <f>VLOOKUP(Table2[[#This Row],[Species]],'Species Table'!$A$1:$D$68,3, FALSE)</f>
        <v>Perennial</v>
      </c>
      <c r="O551" s="15">
        <f>IF(SUMPRODUCT(($A$2:$A551=A551)*($B$2:$B551=B551)*($F$2:$F551=F551))&gt;1,0,1)</f>
        <v>0</v>
      </c>
      <c r="P551" s="15">
        <f>IF(SUMPRODUCT(($A$2:$A551=A551)*($B$2:$B551=B551)*($D$2:$D551=D551))&gt;1,0,1)</f>
        <v>1</v>
      </c>
    </row>
    <row r="552" spans="1:16" x14ac:dyDescent="0.35">
      <c r="A552" t="s">
        <v>24</v>
      </c>
      <c r="B552">
        <v>2002</v>
      </c>
      <c r="D552">
        <v>2.2000000000000002</v>
      </c>
      <c r="E552">
        <f>INT(Table2[[#This Row],[Transect]])</f>
        <v>2</v>
      </c>
      <c r="F552" t="s">
        <v>2</v>
      </c>
      <c r="G552">
        <v>3</v>
      </c>
      <c r="H552">
        <v>66</v>
      </c>
      <c r="J552">
        <f>Table2[[#This Row],[Hits]]/Table2[[#This Row],[Points]]*100</f>
        <v>4.5454545454545459</v>
      </c>
      <c r="K552">
        <f>VLOOKUP(Table2[[#This Row],[Site]],'Site Info'!$A$1:$C$11,2, FALSE)</f>
        <v>34</v>
      </c>
      <c r="L552">
        <f>VLOOKUP(Table2[[#This Row],[Site]],'Site Info'!$A$1:$C$11,3, FALSE)</f>
        <v>6</v>
      </c>
      <c r="M552" t="str">
        <f>VLOOKUP(Table2[[#This Row],[Species]],'Species Table'!$A$1:$D$68,3, FALSE)</f>
        <v>Perennial</v>
      </c>
      <c r="O552" s="15">
        <f>IF(SUMPRODUCT(($A$2:$A552=A552)*($B$2:$B552=B552)*($F$2:$F552=F552))&gt;1,0,1)</f>
        <v>0</v>
      </c>
      <c r="P552" s="15">
        <f>IF(SUMPRODUCT(($A$2:$A552=A552)*($B$2:$B552=B552)*($D$2:$D552=D552))&gt;1,0,1)</f>
        <v>0</v>
      </c>
    </row>
    <row r="553" spans="1:16" x14ac:dyDescent="0.35">
      <c r="A553" t="s">
        <v>24</v>
      </c>
      <c r="B553">
        <v>2002</v>
      </c>
      <c r="D553">
        <v>3.1</v>
      </c>
      <c r="E553">
        <f>INT(Table2[[#This Row],[Transect]])</f>
        <v>3</v>
      </c>
      <c r="F553" t="s">
        <v>23</v>
      </c>
      <c r="G553">
        <v>7</v>
      </c>
      <c r="H553">
        <v>83</v>
      </c>
      <c r="J553">
        <f>Table2[[#This Row],[Hits]]/Table2[[#This Row],[Points]]*100</f>
        <v>8.4337349397590362</v>
      </c>
      <c r="K553">
        <f>VLOOKUP(Table2[[#This Row],[Site]],'Site Info'!$A$1:$C$11,2, FALSE)</f>
        <v>34</v>
      </c>
      <c r="L553">
        <f>VLOOKUP(Table2[[#This Row],[Site]],'Site Info'!$A$1:$C$11,3, FALSE)</f>
        <v>6</v>
      </c>
      <c r="M553" t="str">
        <f>VLOOKUP(Table2[[#This Row],[Species]],'Species Table'!$A$1:$D$68,3, FALSE)</f>
        <v>Perennial</v>
      </c>
      <c r="O553" s="15">
        <f>IF(SUMPRODUCT(($A$2:$A553=A553)*($B$2:$B553=B553)*($F$2:$F553=F553))&gt;1,0,1)</f>
        <v>0</v>
      </c>
      <c r="P553" s="15">
        <f>IF(SUMPRODUCT(($A$2:$A553=A553)*($B$2:$B553=B553)*($D$2:$D553=D553))&gt;1,0,1)</f>
        <v>1</v>
      </c>
    </row>
    <row r="554" spans="1:16" x14ac:dyDescent="0.35">
      <c r="A554" t="s">
        <v>24</v>
      </c>
      <c r="B554">
        <v>2002</v>
      </c>
      <c r="D554">
        <v>3.1</v>
      </c>
      <c r="E554">
        <f>INT(Table2[[#This Row],[Transect]])</f>
        <v>3</v>
      </c>
      <c r="F554" t="s">
        <v>32</v>
      </c>
      <c r="G554">
        <v>7</v>
      </c>
      <c r="H554">
        <v>83</v>
      </c>
      <c r="J554">
        <f>Table2[[#This Row],[Hits]]/Table2[[#This Row],[Points]]*100</f>
        <v>8.4337349397590362</v>
      </c>
      <c r="K554">
        <f>VLOOKUP(Table2[[#This Row],[Site]],'Site Info'!$A$1:$C$11,2, FALSE)</f>
        <v>34</v>
      </c>
      <c r="L554">
        <f>VLOOKUP(Table2[[#This Row],[Site]],'Site Info'!$A$1:$C$11,3, FALSE)</f>
        <v>6</v>
      </c>
      <c r="M554" t="str">
        <f>VLOOKUP(Table2[[#This Row],[Species]],'Species Table'!$A$1:$D$68,3, FALSE)</f>
        <v>Perennial</v>
      </c>
      <c r="O554" s="15">
        <f>IF(SUMPRODUCT(($A$2:$A554=A554)*($B$2:$B554=B554)*($F$2:$F554=F554))&gt;1,0,1)</f>
        <v>0</v>
      </c>
      <c r="P554" s="15">
        <f>IF(SUMPRODUCT(($A$2:$A554=A554)*($B$2:$B554=B554)*($D$2:$D554=D554))&gt;1,0,1)</f>
        <v>0</v>
      </c>
    </row>
    <row r="555" spans="1:16" x14ac:dyDescent="0.35">
      <c r="A555" t="s">
        <v>24</v>
      </c>
      <c r="B555">
        <v>2002</v>
      </c>
      <c r="D555">
        <v>3.1</v>
      </c>
      <c r="E555">
        <f>INT(Table2[[#This Row],[Transect]])</f>
        <v>3</v>
      </c>
      <c r="F555" t="s">
        <v>2</v>
      </c>
      <c r="G555">
        <v>3</v>
      </c>
      <c r="H555">
        <v>83</v>
      </c>
      <c r="J555">
        <f>Table2[[#This Row],[Hits]]/Table2[[#This Row],[Points]]*100</f>
        <v>3.6144578313253009</v>
      </c>
      <c r="K555">
        <f>VLOOKUP(Table2[[#This Row],[Site]],'Site Info'!$A$1:$C$11,2, FALSE)</f>
        <v>34</v>
      </c>
      <c r="L555">
        <f>VLOOKUP(Table2[[#This Row],[Site]],'Site Info'!$A$1:$C$11,3, FALSE)</f>
        <v>6</v>
      </c>
      <c r="M555" t="str">
        <f>VLOOKUP(Table2[[#This Row],[Species]],'Species Table'!$A$1:$D$68,3, FALSE)</f>
        <v>Perennial</v>
      </c>
      <c r="O555" s="15">
        <f>IF(SUMPRODUCT(($A$2:$A555=A555)*($B$2:$B555=B555)*($F$2:$F555=F555))&gt;1,0,1)</f>
        <v>0</v>
      </c>
      <c r="P555" s="15">
        <f>IF(SUMPRODUCT(($A$2:$A555=A555)*($B$2:$B555=B555)*($D$2:$D555=D555))&gt;1,0,1)</f>
        <v>0</v>
      </c>
    </row>
    <row r="556" spans="1:16" x14ac:dyDescent="0.35">
      <c r="A556" t="s">
        <v>24</v>
      </c>
      <c r="B556">
        <v>2002</v>
      </c>
      <c r="D556">
        <v>3.2</v>
      </c>
      <c r="E556">
        <f>INT(Table2[[#This Row],[Transect]])</f>
        <v>3</v>
      </c>
      <c r="F556" t="s">
        <v>23</v>
      </c>
      <c r="G556">
        <v>7</v>
      </c>
      <c r="H556">
        <v>35</v>
      </c>
      <c r="J556">
        <f>Table2[[#This Row],[Hits]]/Table2[[#This Row],[Points]]*100</f>
        <v>20</v>
      </c>
      <c r="K556">
        <f>VLOOKUP(Table2[[#This Row],[Site]],'Site Info'!$A$1:$C$11,2, FALSE)</f>
        <v>34</v>
      </c>
      <c r="L556">
        <f>VLOOKUP(Table2[[#This Row],[Site]],'Site Info'!$A$1:$C$11,3, FALSE)</f>
        <v>6</v>
      </c>
      <c r="M556" t="str">
        <f>VLOOKUP(Table2[[#This Row],[Species]],'Species Table'!$A$1:$D$68,3, FALSE)</f>
        <v>Perennial</v>
      </c>
      <c r="O556" s="15">
        <f>IF(SUMPRODUCT(($A$2:$A556=A556)*($B$2:$B556=B556)*($F$2:$F556=F556))&gt;1,0,1)</f>
        <v>0</v>
      </c>
      <c r="P556" s="15">
        <f>IF(SUMPRODUCT(($A$2:$A556=A556)*($B$2:$B556=B556)*($D$2:$D556=D556))&gt;1,0,1)</f>
        <v>1</v>
      </c>
    </row>
    <row r="557" spans="1:16" x14ac:dyDescent="0.35">
      <c r="A557" t="s">
        <v>24</v>
      </c>
      <c r="B557">
        <v>2002</v>
      </c>
      <c r="D557">
        <v>3.2</v>
      </c>
      <c r="E557">
        <f>INT(Table2[[#This Row],[Transect]])</f>
        <v>3</v>
      </c>
      <c r="F557" t="s">
        <v>32</v>
      </c>
      <c r="G557">
        <v>4</v>
      </c>
      <c r="H557">
        <v>35</v>
      </c>
      <c r="J557">
        <f>Table2[[#This Row],[Hits]]/Table2[[#This Row],[Points]]*100</f>
        <v>11.428571428571429</v>
      </c>
      <c r="K557">
        <f>VLOOKUP(Table2[[#This Row],[Site]],'Site Info'!$A$1:$C$11,2, FALSE)</f>
        <v>34</v>
      </c>
      <c r="L557">
        <f>VLOOKUP(Table2[[#This Row],[Site]],'Site Info'!$A$1:$C$11,3, FALSE)</f>
        <v>6</v>
      </c>
      <c r="M557" t="str">
        <f>VLOOKUP(Table2[[#This Row],[Species]],'Species Table'!$A$1:$D$68,3, FALSE)</f>
        <v>Perennial</v>
      </c>
      <c r="O557" s="15">
        <f>IF(SUMPRODUCT(($A$2:$A557=A557)*($B$2:$B557=B557)*($F$2:$F557=F557))&gt;1,0,1)</f>
        <v>0</v>
      </c>
      <c r="P557" s="15">
        <f>IF(SUMPRODUCT(($A$2:$A557=A557)*($B$2:$B557=B557)*($D$2:$D557=D557))&gt;1,0,1)</f>
        <v>0</v>
      </c>
    </row>
    <row r="558" spans="1:16" x14ac:dyDescent="0.35">
      <c r="A558" t="s">
        <v>24</v>
      </c>
      <c r="B558">
        <v>2002</v>
      </c>
      <c r="D558">
        <v>4.0999999999999996</v>
      </c>
      <c r="E558">
        <f>INT(Table2[[#This Row],[Transect]])</f>
        <v>4</v>
      </c>
      <c r="F558" t="s">
        <v>23</v>
      </c>
      <c r="G558">
        <v>5</v>
      </c>
      <c r="H558">
        <v>114</v>
      </c>
      <c r="J558">
        <f>Table2[[#This Row],[Hits]]/Table2[[#This Row],[Points]]*100</f>
        <v>4.3859649122807012</v>
      </c>
      <c r="K558">
        <f>VLOOKUP(Table2[[#This Row],[Site]],'Site Info'!$A$1:$C$11,2, FALSE)</f>
        <v>34</v>
      </c>
      <c r="L558">
        <f>VLOOKUP(Table2[[#This Row],[Site]],'Site Info'!$A$1:$C$11,3, FALSE)</f>
        <v>6</v>
      </c>
      <c r="M558" t="str">
        <f>VLOOKUP(Table2[[#This Row],[Species]],'Species Table'!$A$1:$D$68,3, FALSE)</f>
        <v>Perennial</v>
      </c>
      <c r="O558" s="15">
        <f>IF(SUMPRODUCT(($A$2:$A558=A558)*($B$2:$B558=B558)*($F$2:$F558=F558))&gt;1,0,1)</f>
        <v>0</v>
      </c>
      <c r="P558" s="15">
        <f>IF(SUMPRODUCT(($A$2:$A558=A558)*($B$2:$B558=B558)*($D$2:$D558=D558))&gt;1,0,1)</f>
        <v>1</v>
      </c>
    </row>
    <row r="559" spans="1:16" x14ac:dyDescent="0.35">
      <c r="A559" t="s">
        <v>24</v>
      </c>
      <c r="B559">
        <v>2002</v>
      </c>
      <c r="D559">
        <v>4.0999999999999996</v>
      </c>
      <c r="E559">
        <f>INT(Table2[[#This Row],[Transect]])</f>
        <v>4</v>
      </c>
      <c r="F559" t="s">
        <v>32</v>
      </c>
      <c r="G559">
        <v>2</v>
      </c>
      <c r="H559">
        <v>114</v>
      </c>
      <c r="J559">
        <f>Table2[[#This Row],[Hits]]/Table2[[#This Row],[Points]]*100</f>
        <v>1.7543859649122806</v>
      </c>
      <c r="K559">
        <f>VLOOKUP(Table2[[#This Row],[Site]],'Site Info'!$A$1:$C$11,2, FALSE)</f>
        <v>34</v>
      </c>
      <c r="L559">
        <f>VLOOKUP(Table2[[#This Row],[Site]],'Site Info'!$A$1:$C$11,3, FALSE)</f>
        <v>6</v>
      </c>
      <c r="M559" t="str">
        <f>VLOOKUP(Table2[[#This Row],[Species]],'Species Table'!$A$1:$D$68,3, FALSE)</f>
        <v>Perennial</v>
      </c>
      <c r="O559" s="15">
        <f>IF(SUMPRODUCT(($A$2:$A559=A559)*($B$2:$B559=B559)*($F$2:$F559=F559))&gt;1,0,1)</f>
        <v>0</v>
      </c>
      <c r="P559" s="15">
        <f>IF(SUMPRODUCT(($A$2:$A559=A559)*($B$2:$B559=B559)*($D$2:$D559=D559))&gt;1,0,1)</f>
        <v>0</v>
      </c>
    </row>
    <row r="560" spans="1:16" hidden="1" x14ac:dyDescent="0.35">
      <c r="A560" t="s">
        <v>24</v>
      </c>
      <c r="B560">
        <v>2002</v>
      </c>
      <c r="D560">
        <v>4.0999999999999996</v>
      </c>
      <c r="E560">
        <f>INT(Table2[[#This Row],[Transect]])</f>
        <v>4</v>
      </c>
      <c r="F560" t="s">
        <v>10</v>
      </c>
      <c r="G560">
        <v>1</v>
      </c>
      <c r="H560">
        <v>114</v>
      </c>
      <c r="J560">
        <f>Table2[[#This Row],[Hits]]/Table2[[#This Row],[Points]]*100</f>
        <v>0.8771929824561403</v>
      </c>
      <c r="K560">
        <f>VLOOKUP(Table2[[#This Row],[Site]],'Site Info'!$A$1:$C$11,2, FALSE)</f>
        <v>34</v>
      </c>
      <c r="L560">
        <f>VLOOKUP(Table2[[#This Row],[Site]],'Site Info'!$A$1:$C$11,3, FALSE)</f>
        <v>6</v>
      </c>
      <c r="M560" t="str">
        <f>VLOOKUP(Table2[[#This Row],[Species]],'Species Table'!$A$1:$D$68,3, FALSE)</f>
        <v>Annual</v>
      </c>
      <c r="O560" s="15">
        <f>IF(SUMPRODUCT(($A$2:$A560=A560)*($B$2:$B560=B560)*($F$2:$F560=F560))&gt;1,0,1)</f>
        <v>1</v>
      </c>
      <c r="P560" s="15">
        <f>IF(SUMPRODUCT(($A$2:$A560=A560)*($B$2:$B560=B560)*($D$2:$D560=D560))&gt;1,0,1)</f>
        <v>0</v>
      </c>
    </row>
    <row r="561" spans="1:16" x14ac:dyDescent="0.35">
      <c r="A561" t="s">
        <v>24</v>
      </c>
      <c r="B561">
        <v>2002</v>
      </c>
      <c r="D561">
        <v>5.0999999999999996</v>
      </c>
      <c r="E561">
        <f>INT(Table2[[#This Row],[Transect]])</f>
        <v>5</v>
      </c>
      <c r="F561" t="s">
        <v>23</v>
      </c>
      <c r="G561">
        <v>13</v>
      </c>
      <c r="H561">
        <v>164</v>
      </c>
      <c r="J561">
        <f>Table2[[#This Row],[Hits]]/Table2[[#This Row],[Points]]*100</f>
        <v>7.9268292682926829</v>
      </c>
      <c r="K561">
        <f>VLOOKUP(Table2[[#This Row],[Site]],'Site Info'!$A$1:$C$11,2, FALSE)</f>
        <v>34</v>
      </c>
      <c r="L561">
        <f>VLOOKUP(Table2[[#This Row],[Site]],'Site Info'!$A$1:$C$11,3, FALSE)</f>
        <v>6</v>
      </c>
      <c r="M561" t="str">
        <f>VLOOKUP(Table2[[#This Row],[Species]],'Species Table'!$A$1:$D$68,3, FALSE)</f>
        <v>Perennial</v>
      </c>
      <c r="O561" s="15">
        <f>IF(SUMPRODUCT(($A$2:$A561=A561)*($B$2:$B561=B561)*($F$2:$F561=F561))&gt;1,0,1)</f>
        <v>0</v>
      </c>
      <c r="P561" s="15">
        <f>IF(SUMPRODUCT(($A$2:$A561=A561)*($B$2:$B561=B561)*($D$2:$D561=D561))&gt;1,0,1)</f>
        <v>1</v>
      </c>
    </row>
    <row r="562" spans="1:16" x14ac:dyDescent="0.35">
      <c r="A562" t="s">
        <v>24</v>
      </c>
      <c r="B562">
        <v>2002</v>
      </c>
      <c r="D562">
        <v>5.0999999999999996</v>
      </c>
      <c r="E562">
        <f>INT(Table2[[#This Row],[Transect]])</f>
        <v>5</v>
      </c>
      <c r="F562" t="s">
        <v>3</v>
      </c>
      <c r="G562">
        <v>10</v>
      </c>
      <c r="H562">
        <v>164</v>
      </c>
      <c r="J562">
        <f>Table2[[#This Row],[Hits]]/Table2[[#This Row],[Points]]*100</f>
        <v>6.0975609756097562</v>
      </c>
      <c r="K562">
        <f>VLOOKUP(Table2[[#This Row],[Site]],'Site Info'!$A$1:$C$11,2, FALSE)</f>
        <v>34</v>
      </c>
      <c r="L562">
        <f>VLOOKUP(Table2[[#This Row],[Site]],'Site Info'!$A$1:$C$11,3, FALSE)</f>
        <v>6</v>
      </c>
      <c r="M562" t="str">
        <f>VLOOKUP(Table2[[#This Row],[Species]],'Species Table'!$A$1:$D$68,3, FALSE)</f>
        <v>Perennial</v>
      </c>
      <c r="O562" s="15">
        <f>IF(SUMPRODUCT(($A$2:$A562=A562)*($B$2:$B562=B562)*($F$2:$F562=F562))&gt;1,0,1)</f>
        <v>1</v>
      </c>
      <c r="P562" s="15">
        <f>IF(SUMPRODUCT(($A$2:$A562=A562)*($B$2:$B562=B562)*($D$2:$D562=D562))&gt;1,0,1)</f>
        <v>0</v>
      </c>
    </row>
    <row r="563" spans="1:16" x14ac:dyDescent="0.35">
      <c r="A563" t="s">
        <v>24</v>
      </c>
      <c r="B563">
        <v>2002</v>
      </c>
      <c r="D563">
        <v>5.0999999999999996</v>
      </c>
      <c r="E563">
        <f>INT(Table2[[#This Row],[Transect]])</f>
        <v>5</v>
      </c>
      <c r="F563" t="s">
        <v>2</v>
      </c>
      <c r="G563">
        <v>8</v>
      </c>
      <c r="H563">
        <v>164</v>
      </c>
      <c r="J563">
        <f>Table2[[#This Row],[Hits]]/Table2[[#This Row],[Points]]*100</f>
        <v>4.8780487804878048</v>
      </c>
      <c r="K563">
        <f>VLOOKUP(Table2[[#This Row],[Site]],'Site Info'!$A$1:$C$11,2, FALSE)</f>
        <v>34</v>
      </c>
      <c r="L563">
        <f>VLOOKUP(Table2[[#This Row],[Site]],'Site Info'!$A$1:$C$11,3, FALSE)</f>
        <v>6</v>
      </c>
      <c r="M563" t="str">
        <f>VLOOKUP(Table2[[#This Row],[Species]],'Species Table'!$A$1:$D$68,3, FALSE)</f>
        <v>Perennial</v>
      </c>
      <c r="O563" s="15">
        <f>IF(SUMPRODUCT(($A$2:$A563=A563)*($B$2:$B563=B563)*($F$2:$F563=F563))&gt;1,0,1)</f>
        <v>0</v>
      </c>
      <c r="P563" s="15">
        <f>IF(SUMPRODUCT(($A$2:$A563=A563)*($B$2:$B563=B563)*($D$2:$D563=D563))&gt;1,0,1)</f>
        <v>0</v>
      </c>
    </row>
    <row r="564" spans="1:16" x14ac:dyDescent="0.35">
      <c r="A564" t="s">
        <v>24</v>
      </c>
      <c r="B564">
        <v>2002</v>
      </c>
      <c r="D564">
        <v>5.0999999999999996</v>
      </c>
      <c r="E564">
        <f>INT(Table2[[#This Row],[Transect]])</f>
        <v>5</v>
      </c>
      <c r="F564" t="s">
        <v>32</v>
      </c>
      <c r="G564">
        <v>4</v>
      </c>
      <c r="H564">
        <v>164</v>
      </c>
      <c r="J564">
        <f>Table2[[#This Row],[Hits]]/Table2[[#This Row],[Points]]*100</f>
        <v>2.4390243902439024</v>
      </c>
      <c r="K564">
        <f>VLOOKUP(Table2[[#This Row],[Site]],'Site Info'!$A$1:$C$11,2, FALSE)</f>
        <v>34</v>
      </c>
      <c r="L564">
        <f>VLOOKUP(Table2[[#This Row],[Site]],'Site Info'!$A$1:$C$11,3, FALSE)</f>
        <v>6</v>
      </c>
      <c r="M564" t="str">
        <f>VLOOKUP(Table2[[#This Row],[Species]],'Species Table'!$A$1:$D$68,3, FALSE)</f>
        <v>Perennial</v>
      </c>
      <c r="O564" s="15">
        <f>IF(SUMPRODUCT(($A$2:$A564=A564)*($B$2:$B564=B564)*($F$2:$F564=F564))&gt;1,0,1)</f>
        <v>0</v>
      </c>
      <c r="P564" s="15">
        <f>IF(SUMPRODUCT(($A$2:$A564=A564)*($B$2:$B564=B564)*($D$2:$D564=D564))&gt;1,0,1)</f>
        <v>0</v>
      </c>
    </row>
    <row r="565" spans="1:16" hidden="1" x14ac:dyDescent="0.35">
      <c r="A565" t="s">
        <v>24</v>
      </c>
      <c r="B565">
        <v>2002</v>
      </c>
      <c r="D565">
        <v>5.0999999999999996</v>
      </c>
      <c r="E565">
        <f>INT(Table2[[#This Row],[Transect]])</f>
        <v>5</v>
      </c>
      <c r="F565" t="s">
        <v>10</v>
      </c>
      <c r="G565">
        <v>1</v>
      </c>
      <c r="H565">
        <v>164</v>
      </c>
      <c r="J565">
        <f>Table2[[#This Row],[Hits]]/Table2[[#This Row],[Points]]*100</f>
        <v>0.6097560975609756</v>
      </c>
      <c r="K565">
        <f>VLOOKUP(Table2[[#This Row],[Site]],'Site Info'!$A$1:$C$11,2, FALSE)</f>
        <v>34</v>
      </c>
      <c r="L565">
        <f>VLOOKUP(Table2[[#This Row],[Site]],'Site Info'!$A$1:$C$11,3, FALSE)</f>
        <v>6</v>
      </c>
      <c r="M565" t="str">
        <f>VLOOKUP(Table2[[#This Row],[Species]],'Species Table'!$A$1:$D$68,3, FALSE)</f>
        <v>Annual</v>
      </c>
      <c r="O565" s="15">
        <f>IF(SUMPRODUCT(($A$2:$A565=A565)*($B$2:$B565=B565)*($F$2:$F565=F565))&gt;1,0,1)</f>
        <v>0</v>
      </c>
      <c r="P565" s="15">
        <f>IF(SUMPRODUCT(($A$2:$A565=A565)*($B$2:$B565=B565)*($D$2:$D565=D565))&gt;1,0,1)</f>
        <v>0</v>
      </c>
    </row>
    <row r="566" spans="1:16" x14ac:dyDescent="0.35">
      <c r="A566" t="s">
        <v>24</v>
      </c>
      <c r="B566">
        <v>2002</v>
      </c>
      <c r="D566">
        <v>6.1</v>
      </c>
      <c r="E566">
        <f>INT(Table2[[#This Row],[Transect]])</f>
        <v>6</v>
      </c>
      <c r="F566" t="s">
        <v>3</v>
      </c>
      <c r="G566">
        <v>5</v>
      </c>
      <c r="H566">
        <v>197</v>
      </c>
      <c r="J566">
        <f>Table2[[#This Row],[Hits]]/Table2[[#This Row],[Points]]*100</f>
        <v>2.5380710659898478</v>
      </c>
      <c r="K566">
        <f>VLOOKUP(Table2[[#This Row],[Site]],'Site Info'!$A$1:$C$11,2, FALSE)</f>
        <v>34</v>
      </c>
      <c r="L566">
        <f>VLOOKUP(Table2[[#This Row],[Site]],'Site Info'!$A$1:$C$11,3, FALSE)</f>
        <v>6</v>
      </c>
      <c r="M566" t="str">
        <f>VLOOKUP(Table2[[#This Row],[Species]],'Species Table'!$A$1:$D$68,3, FALSE)</f>
        <v>Perennial</v>
      </c>
      <c r="O566" s="15">
        <f>IF(SUMPRODUCT(($A$2:$A566=A566)*($B$2:$B566=B566)*($F$2:$F566=F566))&gt;1,0,1)</f>
        <v>0</v>
      </c>
      <c r="P566" s="15">
        <f>IF(SUMPRODUCT(($A$2:$A566=A566)*($B$2:$B566=B566)*($D$2:$D566=D566))&gt;1,0,1)</f>
        <v>1</v>
      </c>
    </row>
    <row r="567" spans="1:16" x14ac:dyDescent="0.35">
      <c r="A567" t="s">
        <v>24</v>
      </c>
      <c r="B567">
        <v>2002</v>
      </c>
      <c r="D567">
        <v>6.1</v>
      </c>
      <c r="E567">
        <f>INT(Table2[[#This Row],[Transect]])</f>
        <v>6</v>
      </c>
      <c r="F567" t="s">
        <v>23</v>
      </c>
      <c r="G567">
        <v>5</v>
      </c>
      <c r="H567">
        <v>197</v>
      </c>
      <c r="J567">
        <f>Table2[[#This Row],[Hits]]/Table2[[#This Row],[Points]]*100</f>
        <v>2.5380710659898478</v>
      </c>
      <c r="K567">
        <f>VLOOKUP(Table2[[#This Row],[Site]],'Site Info'!$A$1:$C$11,2, FALSE)</f>
        <v>34</v>
      </c>
      <c r="L567">
        <f>VLOOKUP(Table2[[#This Row],[Site]],'Site Info'!$A$1:$C$11,3, FALSE)</f>
        <v>6</v>
      </c>
      <c r="M567" t="str">
        <f>VLOOKUP(Table2[[#This Row],[Species]],'Species Table'!$A$1:$D$68,3, FALSE)</f>
        <v>Perennial</v>
      </c>
      <c r="O567" s="15">
        <f>IF(SUMPRODUCT(($A$2:$A567=A567)*($B$2:$B567=B567)*($F$2:$F567=F567))&gt;1,0,1)</f>
        <v>0</v>
      </c>
      <c r="P567" s="15">
        <f>IF(SUMPRODUCT(($A$2:$A567=A567)*($B$2:$B567=B567)*($D$2:$D567=D567))&gt;1,0,1)</f>
        <v>0</v>
      </c>
    </row>
    <row r="568" spans="1:16" hidden="1" x14ac:dyDescent="0.35">
      <c r="A568" t="s">
        <v>24</v>
      </c>
      <c r="B568">
        <v>2002</v>
      </c>
      <c r="D568">
        <v>6.1</v>
      </c>
      <c r="E568">
        <f>INT(Table2[[#This Row],[Transect]])</f>
        <v>6</v>
      </c>
      <c r="F568" t="s">
        <v>10</v>
      </c>
      <c r="G568">
        <v>2</v>
      </c>
      <c r="H568">
        <v>197</v>
      </c>
      <c r="J568">
        <f>Table2[[#This Row],[Hits]]/Table2[[#This Row],[Points]]*100</f>
        <v>1.015228426395939</v>
      </c>
      <c r="K568">
        <f>VLOOKUP(Table2[[#This Row],[Site]],'Site Info'!$A$1:$C$11,2, FALSE)</f>
        <v>34</v>
      </c>
      <c r="L568">
        <f>VLOOKUP(Table2[[#This Row],[Site]],'Site Info'!$A$1:$C$11,3, FALSE)</f>
        <v>6</v>
      </c>
      <c r="M568" t="str">
        <f>VLOOKUP(Table2[[#This Row],[Species]],'Species Table'!$A$1:$D$68,3, FALSE)</f>
        <v>Annual</v>
      </c>
      <c r="O568" s="15">
        <f>IF(SUMPRODUCT(($A$2:$A568=A568)*($B$2:$B568=B568)*($F$2:$F568=F568))&gt;1,0,1)</f>
        <v>0</v>
      </c>
      <c r="P568" s="15">
        <f>IF(SUMPRODUCT(($A$2:$A568=A568)*($B$2:$B568=B568)*($D$2:$D568=D568))&gt;1,0,1)</f>
        <v>0</v>
      </c>
    </row>
    <row r="569" spans="1:16" x14ac:dyDescent="0.35">
      <c r="A569" t="s">
        <v>24</v>
      </c>
      <c r="B569">
        <v>2002</v>
      </c>
      <c r="D569">
        <v>6.1</v>
      </c>
      <c r="E569">
        <f>INT(Table2[[#This Row],[Transect]])</f>
        <v>6</v>
      </c>
      <c r="F569" t="s">
        <v>32</v>
      </c>
      <c r="G569">
        <v>1</v>
      </c>
      <c r="H569">
        <v>197</v>
      </c>
      <c r="J569">
        <f>Table2[[#This Row],[Hits]]/Table2[[#This Row],[Points]]*100</f>
        <v>0.50761421319796951</v>
      </c>
      <c r="K569">
        <f>VLOOKUP(Table2[[#This Row],[Site]],'Site Info'!$A$1:$C$11,2, FALSE)</f>
        <v>34</v>
      </c>
      <c r="L569">
        <f>VLOOKUP(Table2[[#This Row],[Site]],'Site Info'!$A$1:$C$11,3, FALSE)</f>
        <v>6</v>
      </c>
      <c r="M569" t="str">
        <f>VLOOKUP(Table2[[#This Row],[Species]],'Species Table'!$A$1:$D$68,3, FALSE)</f>
        <v>Perennial</v>
      </c>
      <c r="O569" s="15">
        <f>IF(SUMPRODUCT(($A$2:$A569=A569)*($B$2:$B569=B569)*($F$2:$F569=F569))&gt;1,0,1)</f>
        <v>0</v>
      </c>
      <c r="P569" s="15">
        <f>IF(SUMPRODUCT(($A$2:$A569=A569)*($B$2:$B569=B569)*($D$2:$D569=D569))&gt;1,0,1)</f>
        <v>0</v>
      </c>
    </row>
    <row r="570" spans="1:16" x14ac:dyDescent="0.35">
      <c r="A570" t="s">
        <v>24</v>
      </c>
      <c r="B570">
        <v>2002</v>
      </c>
      <c r="D570">
        <v>7.1</v>
      </c>
      <c r="E570">
        <f>INT(Table2[[#This Row],[Transect]])</f>
        <v>7</v>
      </c>
      <c r="F570" t="s">
        <v>14</v>
      </c>
      <c r="G570">
        <v>5</v>
      </c>
      <c r="H570">
        <v>117</v>
      </c>
      <c r="J570">
        <f>Table2[[#This Row],[Hits]]/Table2[[#This Row],[Points]]*100</f>
        <v>4.2735042735042734</v>
      </c>
      <c r="K570">
        <f>VLOOKUP(Table2[[#This Row],[Site]],'Site Info'!$A$1:$C$11,2, FALSE)</f>
        <v>34</v>
      </c>
      <c r="L570">
        <f>VLOOKUP(Table2[[#This Row],[Site]],'Site Info'!$A$1:$C$11,3, FALSE)</f>
        <v>6</v>
      </c>
      <c r="M570" t="str">
        <f>VLOOKUP(Table2[[#This Row],[Species]],'Species Table'!$A$1:$D$68,3, FALSE)</f>
        <v>Perennial</v>
      </c>
      <c r="O570" s="15">
        <f>IF(SUMPRODUCT(($A$2:$A570=A570)*($B$2:$B570=B570)*($F$2:$F570=F570))&gt;1,0,1)</f>
        <v>1</v>
      </c>
      <c r="P570" s="15">
        <f>IF(SUMPRODUCT(($A$2:$A570=A570)*($B$2:$B570=B570)*($D$2:$D570=D570))&gt;1,0,1)</f>
        <v>1</v>
      </c>
    </row>
    <row r="571" spans="1:16" x14ac:dyDescent="0.35">
      <c r="A571" t="s">
        <v>24</v>
      </c>
      <c r="B571">
        <v>2002</v>
      </c>
      <c r="D571">
        <v>7.1</v>
      </c>
      <c r="E571">
        <f>INT(Table2[[#This Row],[Transect]])</f>
        <v>7</v>
      </c>
      <c r="F571" t="s">
        <v>23</v>
      </c>
      <c r="G571">
        <v>1</v>
      </c>
      <c r="H571">
        <v>117</v>
      </c>
      <c r="J571">
        <f>Table2[[#This Row],[Hits]]/Table2[[#This Row],[Points]]*100</f>
        <v>0.85470085470085477</v>
      </c>
      <c r="K571">
        <f>VLOOKUP(Table2[[#This Row],[Site]],'Site Info'!$A$1:$C$11,2, FALSE)</f>
        <v>34</v>
      </c>
      <c r="L571">
        <f>VLOOKUP(Table2[[#This Row],[Site]],'Site Info'!$A$1:$C$11,3, FALSE)</f>
        <v>6</v>
      </c>
      <c r="M571" t="str">
        <f>VLOOKUP(Table2[[#This Row],[Species]],'Species Table'!$A$1:$D$68,3, FALSE)</f>
        <v>Perennial</v>
      </c>
      <c r="O571" s="15">
        <f>IF(SUMPRODUCT(($A$2:$A571=A571)*($B$2:$B571=B571)*($F$2:$F571=F571))&gt;1,0,1)</f>
        <v>0</v>
      </c>
      <c r="P571" s="15">
        <f>IF(SUMPRODUCT(($A$2:$A571=A571)*($B$2:$B571=B571)*($D$2:$D571=D571))&gt;1,0,1)</f>
        <v>0</v>
      </c>
    </row>
    <row r="572" spans="1:16" hidden="1" x14ac:dyDescent="0.35">
      <c r="A572" t="s">
        <v>24</v>
      </c>
      <c r="B572">
        <v>2005</v>
      </c>
      <c r="D572">
        <v>1.1000000000000001</v>
      </c>
      <c r="E572">
        <f>INT(Table2[[#This Row],[Transect]])</f>
        <v>1</v>
      </c>
      <c r="F572" t="s">
        <v>33</v>
      </c>
      <c r="G572">
        <v>7</v>
      </c>
      <c r="H572">
        <v>144</v>
      </c>
      <c r="J572">
        <f>Table2[[#This Row],[Hits]]/Table2[[#This Row],[Points]]*100</f>
        <v>4.8611111111111116</v>
      </c>
      <c r="K572">
        <f>VLOOKUP(Table2[[#This Row],[Site]],'Site Info'!$A$1:$C$11,2, FALSE)</f>
        <v>34</v>
      </c>
      <c r="L572">
        <f>VLOOKUP(Table2[[#This Row],[Site]],'Site Info'!$A$1:$C$11,3, FALSE)</f>
        <v>6</v>
      </c>
      <c r="M572" t="str">
        <f>VLOOKUP(Table2[[#This Row],[Species]],'Species Table'!$A$1:$D$68,3, FALSE)</f>
        <v>Annual</v>
      </c>
      <c r="O572" s="15">
        <f>IF(SUMPRODUCT(($A$2:$A572=A572)*($B$2:$B572=B572)*($F$2:$F572=F572))&gt;1,0,1)</f>
        <v>1</v>
      </c>
      <c r="P572" s="15">
        <f>IF(SUMPRODUCT(($A$2:$A572=A572)*($B$2:$B572=B572)*($D$2:$D572=D572))&gt;1,0,1)</f>
        <v>1</v>
      </c>
    </row>
    <row r="573" spans="1:16" hidden="1" x14ac:dyDescent="0.35">
      <c r="A573" t="s">
        <v>24</v>
      </c>
      <c r="B573">
        <v>2005</v>
      </c>
      <c r="D573">
        <v>1.1000000000000001</v>
      </c>
      <c r="E573">
        <f>INT(Table2[[#This Row],[Transect]])</f>
        <v>1</v>
      </c>
      <c r="F573" t="s">
        <v>20</v>
      </c>
      <c r="G573">
        <v>7</v>
      </c>
      <c r="H573">
        <v>144</v>
      </c>
      <c r="J573">
        <f>Table2[[#This Row],[Hits]]/Table2[[#This Row],[Points]]*100</f>
        <v>4.8611111111111116</v>
      </c>
      <c r="K573">
        <f>VLOOKUP(Table2[[#This Row],[Site]],'Site Info'!$A$1:$C$11,2, FALSE)</f>
        <v>34</v>
      </c>
      <c r="L573">
        <f>VLOOKUP(Table2[[#This Row],[Site]],'Site Info'!$A$1:$C$11,3, FALSE)</f>
        <v>6</v>
      </c>
      <c r="M573" t="str">
        <f>VLOOKUP(Table2[[#This Row],[Species]],'Species Table'!$A$1:$D$68,3, FALSE)</f>
        <v>Annual</v>
      </c>
      <c r="O573" s="15">
        <f>IF(SUMPRODUCT(($A$2:$A573=A573)*($B$2:$B573=B573)*($F$2:$F573=F573))&gt;1,0,1)</f>
        <v>1</v>
      </c>
      <c r="P573" s="15">
        <f>IF(SUMPRODUCT(($A$2:$A573=A573)*($B$2:$B573=B573)*($D$2:$D573=D573))&gt;1,0,1)</f>
        <v>0</v>
      </c>
    </row>
    <row r="574" spans="1:16" hidden="1" x14ac:dyDescent="0.35">
      <c r="A574" t="s">
        <v>24</v>
      </c>
      <c r="B574">
        <v>2005</v>
      </c>
      <c r="D574">
        <v>1.1000000000000001</v>
      </c>
      <c r="E574">
        <f>INT(Table2[[#This Row],[Transect]])</f>
        <v>1</v>
      </c>
      <c r="F574" t="s">
        <v>10</v>
      </c>
      <c r="G574">
        <v>5</v>
      </c>
      <c r="H574">
        <v>144</v>
      </c>
      <c r="J574">
        <f>Table2[[#This Row],[Hits]]/Table2[[#This Row],[Points]]*100</f>
        <v>3.4722222222222223</v>
      </c>
      <c r="K574">
        <f>VLOOKUP(Table2[[#This Row],[Site]],'Site Info'!$A$1:$C$11,2, FALSE)</f>
        <v>34</v>
      </c>
      <c r="L574">
        <f>VLOOKUP(Table2[[#This Row],[Site]],'Site Info'!$A$1:$C$11,3, FALSE)</f>
        <v>6</v>
      </c>
      <c r="M574" t="str">
        <f>VLOOKUP(Table2[[#This Row],[Species]],'Species Table'!$A$1:$D$68,3, FALSE)</f>
        <v>Annual</v>
      </c>
      <c r="O574" s="15">
        <f>IF(SUMPRODUCT(($A$2:$A574=A574)*($B$2:$B574=B574)*($F$2:$F574=F574))&gt;1,0,1)</f>
        <v>1</v>
      </c>
      <c r="P574" s="15">
        <f>IF(SUMPRODUCT(($A$2:$A574=A574)*($B$2:$B574=B574)*($D$2:$D574=D574))&gt;1,0,1)</f>
        <v>0</v>
      </c>
    </row>
    <row r="575" spans="1:16" x14ac:dyDescent="0.35">
      <c r="A575" t="s">
        <v>24</v>
      </c>
      <c r="B575">
        <v>2005</v>
      </c>
      <c r="D575">
        <v>1.1000000000000001</v>
      </c>
      <c r="E575">
        <f>INT(Table2[[#This Row],[Transect]])</f>
        <v>1</v>
      </c>
      <c r="F575" t="s">
        <v>3</v>
      </c>
      <c r="G575">
        <v>2</v>
      </c>
      <c r="H575">
        <v>144</v>
      </c>
      <c r="J575">
        <f>Table2[[#This Row],[Hits]]/Table2[[#This Row],[Points]]*100</f>
        <v>1.3888888888888888</v>
      </c>
      <c r="K575">
        <f>VLOOKUP(Table2[[#This Row],[Site]],'Site Info'!$A$1:$C$11,2, FALSE)</f>
        <v>34</v>
      </c>
      <c r="L575">
        <f>VLOOKUP(Table2[[#This Row],[Site]],'Site Info'!$A$1:$C$11,3, FALSE)</f>
        <v>6</v>
      </c>
      <c r="M575" t="str">
        <f>VLOOKUP(Table2[[#This Row],[Species]],'Species Table'!$A$1:$D$68,3, FALSE)</f>
        <v>Perennial</v>
      </c>
      <c r="O575" s="15">
        <f>IF(SUMPRODUCT(($A$2:$A575=A575)*($B$2:$B575=B575)*($F$2:$F575=F575))&gt;1,0,1)</f>
        <v>1</v>
      </c>
      <c r="P575" s="15">
        <f>IF(SUMPRODUCT(($A$2:$A575=A575)*($B$2:$B575=B575)*($D$2:$D575=D575))&gt;1,0,1)</f>
        <v>0</v>
      </c>
    </row>
    <row r="576" spans="1:16" x14ac:dyDescent="0.35">
      <c r="A576" t="s">
        <v>24</v>
      </c>
      <c r="B576">
        <v>2005</v>
      </c>
      <c r="D576">
        <v>1.1000000000000001</v>
      </c>
      <c r="E576">
        <f>INT(Table2[[#This Row],[Transect]])</f>
        <v>1</v>
      </c>
      <c r="F576" t="s">
        <v>23</v>
      </c>
      <c r="G576">
        <v>1</v>
      </c>
      <c r="H576">
        <v>144</v>
      </c>
      <c r="J576">
        <f>Table2[[#This Row],[Hits]]/Table2[[#This Row],[Points]]*100</f>
        <v>0.69444444444444442</v>
      </c>
      <c r="K576">
        <f>VLOOKUP(Table2[[#This Row],[Site]],'Site Info'!$A$1:$C$11,2, FALSE)</f>
        <v>34</v>
      </c>
      <c r="L576">
        <f>VLOOKUP(Table2[[#This Row],[Site]],'Site Info'!$A$1:$C$11,3, FALSE)</f>
        <v>6</v>
      </c>
      <c r="M576" t="str">
        <f>VLOOKUP(Table2[[#This Row],[Species]],'Species Table'!$A$1:$D$68,3, FALSE)</f>
        <v>Perennial</v>
      </c>
      <c r="O576" s="15">
        <f>IF(SUMPRODUCT(($A$2:$A576=A576)*($B$2:$B576=B576)*($F$2:$F576=F576))&gt;1,0,1)</f>
        <v>1</v>
      </c>
      <c r="P576" s="15">
        <f>IF(SUMPRODUCT(($A$2:$A576=A576)*($B$2:$B576=B576)*($D$2:$D576=D576))&gt;1,0,1)</f>
        <v>0</v>
      </c>
    </row>
    <row r="577" spans="1:16" hidden="1" x14ac:dyDescent="0.35">
      <c r="A577" t="s">
        <v>24</v>
      </c>
      <c r="B577">
        <v>2005</v>
      </c>
      <c r="D577">
        <v>2.1</v>
      </c>
      <c r="E577">
        <f>INT(Table2[[#This Row],[Transect]])</f>
        <v>2</v>
      </c>
      <c r="F577" t="s">
        <v>20</v>
      </c>
      <c r="G577">
        <v>23</v>
      </c>
      <c r="H577">
        <v>130</v>
      </c>
      <c r="J577">
        <f>Table2[[#This Row],[Hits]]/Table2[[#This Row],[Points]]*100</f>
        <v>17.692307692307693</v>
      </c>
      <c r="K577">
        <f>VLOOKUP(Table2[[#This Row],[Site]],'Site Info'!$A$1:$C$11,2, FALSE)</f>
        <v>34</v>
      </c>
      <c r="L577">
        <f>VLOOKUP(Table2[[#This Row],[Site]],'Site Info'!$A$1:$C$11,3, FALSE)</f>
        <v>6</v>
      </c>
      <c r="M577" t="str">
        <f>VLOOKUP(Table2[[#This Row],[Species]],'Species Table'!$A$1:$D$68,3, FALSE)</f>
        <v>Annual</v>
      </c>
      <c r="O577" s="15">
        <f>IF(SUMPRODUCT(($A$2:$A577=A577)*($B$2:$B577=B577)*($F$2:$F577=F577))&gt;1,0,1)</f>
        <v>0</v>
      </c>
      <c r="P577" s="15">
        <f>IF(SUMPRODUCT(($A$2:$A577=A577)*($B$2:$B577=B577)*($D$2:$D577=D577))&gt;1,0,1)</f>
        <v>1</v>
      </c>
    </row>
    <row r="578" spans="1:16" x14ac:dyDescent="0.35">
      <c r="A578" t="s">
        <v>24</v>
      </c>
      <c r="B578">
        <v>2005</v>
      </c>
      <c r="D578">
        <v>2.1</v>
      </c>
      <c r="E578">
        <f>INT(Table2[[#This Row],[Transect]])</f>
        <v>2</v>
      </c>
      <c r="F578" t="s">
        <v>3</v>
      </c>
      <c r="G578">
        <v>6</v>
      </c>
      <c r="H578">
        <v>130</v>
      </c>
      <c r="J578">
        <f>Table2[[#This Row],[Hits]]/Table2[[#This Row],[Points]]*100</f>
        <v>4.6153846153846159</v>
      </c>
      <c r="K578">
        <f>VLOOKUP(Table2[[#This Row],[Site]],'Site Info'!$A$1:$C$11,2, FALSE)</f>
        <v>34</v>
      </c>
      <c r="L578">
        <f>VLOOKUP(Table2[[#This Row],[Site]],'Site Info'!$A$1:$C$11,3, FALSE)</f>
        <v>6</v>
      </c>
      <c r="M578" t="str">
        <f>VLOOKUP(Table2[[#This Row],[Species]],'Species Table'!$A$1:$D$68,3, FALSE)</f>
        <v>Perennial</v>
      </c>
      <c r="O578" s="15">
        <f>IF(SUMPRODUCT(($A$2:$A578=A578)*($B$2:$B578=B578)*($F$2:$F578=F578))&gt;1,0,1)</f>
        <v>0</v>
      </c>
      <c r="P578" s="15">
        <f>IF(SUMPRODUCT(($A$2:$A578=A578)*($B$2:$B578=B578)*($D$2:$D578=D578))&gt;1,0,1)</f>
        <v>0</v>
      </c>
    </row>
    <row r="579" spans="1:16" hidden="1" x14ac:dyDescent="0.35">
      <c r="A579" t="s">
        <v>24</v>
      </c>
      <c r="B579">
        <v>2005</v>
      </c>
      <c r="D579">
        <v>2.1</v>
      </c>
      <c r="E579">
        <f>INT(Table2[[#This Row],[Transect]])</f>
        <v>2</v>
      </c>
      <c r="F579" t="s">
        <v>33</v>
      </c>
      <c r="G579">
        <v>2</v>
      </c>
      <c r="H579">
        <v>130</v>
      </c>
      <c r="J579">
        <f>Table2[[#This Row],[Hits]]/Table2[[#This Row],[Points]]*100</f>
        <v>1.5384615384615385</v>
      </c>
      <c r="K579">
        <f>VLOOKUP(Table2[[#This Row],[Site]],'Site Info'!$A$1:$C$11,2, FALSE)</f>
        <v>34</v>
      </c>
      <c r="L579">
        <f>VLOOKUP(Table2[[#This Row],[Site]],'Site Info'!$A$1:$C$11,3, FALSE)</f>
        <v>6</v>
      </c>
      <c r="M579" t="str">
        <f>VLOOKUP(Table2[[#This Row],[Species]],'Species Table'!$A$1:$D$68,3, FALSE)</f>
        <v>Annual</v>
      </c>
      <c r="O579" s="15">
        <f>IF(SUMPRODUCT(($A$2:$A579=A579)*($B$2:$B579=B579)*($F$2:$F579=F579))&gt;1,0,1)</f>
        <v>0</v>
      </c>
      <c r="P579" s="15">
        <f>IF(SUMPRODUCT(($A$2:$A579=A579)*($B$2:$B579=B579)*($D$2:$D579=D579))&gt;1,0,1)</f>
        <v>0</v>
      </c>
    </row>
    <row r="580" spans="1:16" x14ac:dyDescent="0.35">
      <c r="A580" t="s">
        <v>24</v>
      </c>
      <c r="B580">
        <v>2005</v>
      </c>
      <c r="D580">
        <v>2.1</v>
      </c>
      <c r="E580">
        <f>INT(Table2[[#This Row],[Transect]])</f>
        <v>2</v>
      </c>
      <c r="F580" t="s">
        <v>2</v>
      </c>
      <c r="G580">
        <v>2</v>
      </c>
      <c r="H580">
        <v>130</v>
      </c>
      <c r="J580">
        <f>Table2[[#This Row],[Hits]]/Table2[[#This Row],[Points]]*100</f>
        <v>1.5384615384615385</v>
      </c>
      <c r="K580">
        <f>VLOOKUP(Table2[[#This Row],[Site]],'Site Info'!$A$1:$C$11,2, FALSE)</f>
        <v>34</v>
      </c>
      <c r="L580">
        <f>VLOOKUP(Table2[[#This Row],[Site]],'Site Info'!$A$1:$C$11,3, FALSE)</f>
        <v>6</v>
      </c>
      <c r="M580" t="str">
        <f>VLOOKUP(Table2[[#This Row],[Species]],'Species Table'!$A$1:$D$68,3, FALSE)</f>
        <v>Perennial</v>
      </c>
      <c r="O580" s="15">
        <f>IF(SUMPRODUCT(($A$2:$A580=A580)*($B$2:$B580=B580)*($F$2:$F580=F580))&gt;1,0,1)</f>
        <v>1</v>
      </c>
      <c r="P580" s="15">
        <f>IF(SUMPRODUCT(($A$2:$A580=A580)*($B$2:$B580=B580)*($D$2:$D580=D580))&gt;1,0,1)</f>
        <v>0</v>
      </c>
    </row>
    <row r="581" spans="1:16" hidden="1" x14ac:dyDescent="0.35">
      <c r="A581" t="s">
        <v>24</v>
      </c>
      <c r="B581">
        <v>2005</v>
      </c>
      <c r="D581">
        <v>2.1</v>
      </c>
      <c r="E581">
        <f>INT(Table2[[#This Row],[Transect]])</f>
        <v>2</v>
      </c>
      <c r="F581" t="s">
        <v>106</v>
      </c>
      <c r="G581">
        <v>1</v>
      </c>
      <c r="H581">
        <v>130</v>
      </c>
      <c r="J581">
        <f>Table2[[#This Row],[Hits]]/Table2[[#This Row],[Points]]*100</f>
        <v>0.76923076923076927</v>
      </c>
      <c r="K581">
        <f>VLOOKUP(Table2[[#This Row],[Site]],'Site Info'!$A$1:$C$11,2, FALSE)</f>
        <v>34</v>
      </c>
      <c r="L581">
        <f>VLOOKUP(Table2[[#This Row],[Site]],'Site Info'!$A$1:$C$11,3, FALSE)</f>
        <v>6</v>
      </c>
      <c r="M581" t="str">
        <f>VLOOKUP(Table2[[#This Row],[Species]],'Species Table'!$A$1:$D$68,3, FALSE)</f>
        <v>Annual/Biennial/Perennial</v>
      </c>
      <c r="O581" s="15">
        <f>IF(SUMPRODUCT(($A$2:$A581=A581)*($B$2:$B581=B581)*($F$2:$F581=F581))&gt;1,0,1)</f>
        <v>1</v>
      </c>
      <c r="P581" s="15">
        <f>IF(SUMPRODUCT(($A$2:$A581=A581)*($B$2:$B581=B581)*($D$2:$D581=D581))&gt;1,0,1)</f>
        <v>0</v>
      </c>
    </row>
    <row r="582" spans="1:16" x14ac:dyDescent="0.35">
      <c r="A582" t="s">
        <v>24</v>
      </c>
      <c r="B582">
        <v>2005</v>
      </c>
      <c r="D582">
        <v>2.1</v>
      </c>
      <c r="E582">
        <f>INT(Table2[[#This Row],[Transect]])</f>
        <v>2</v>
      </c>
      <c r="F582" t="s">
        <v>23</v>
      </c>
      <c r="G582">
        <v>1</v>
      </c>
      <c r="H582">
        <v>130</v>
      </c>
      <c r="J582">
        <f>Table2[[#This Row],[Hits]]/Table2[[#This Row],[Points]]*100</f>
        <v>0.76923076923076927</v>
      </c>
      <c r="K582">
        <f>VLOOKUP(Table2[[#This Row],[Site]],'Site Info'!$A$1:$C$11,2, FALSE)</f>
        <v>34</v>
      </c>
      <c r="L582">
        <f>VLOOKUP(Table2[[#This Row],[Site]],'Site Info'!$A$1:$C$11,3, FALSE)</f>
        <v>6</v>
      </c>
      <c r="M582" t="str">
        <f>VLOOKUP(Table2[[#This Row],[Species]],'Species Table'!$A$1:$D$68,3, FALSE)</f>
        <v>Perennial</v>
      </c>
      <c r="O582" s="15">
        <f>IF(SUMPRODUCT(($A$2:$A582=A582)*($B$2:$B582=B582)*($F$2:$F582=F582))&gt;1,0,1)</f>
        <v>0</v>
      </c>
      <c r="P582" s="15">
        <f>IF(SUMPRODUCT(($A$2:$A582=A582)*($B$2:$B582=B582)*($D$2:$D582=D582))&gt;1,0,1)</f>
        <v>0</v>
      </c>
    </row>
    <row r="583" spans="1:16" hidden="1" x14ac:dyDescent="0.35">
      <c r="A583" t="s">
        <v>24</v>
      </c>
      <c r="B583">
        <v>2005</v>
      </c>
      <c r="D583">
        <v>2.2000000000000002</v>
      </c>
      <c r="E583">
        <f>INT(Table2[[#This Row],[Transect]])</f>
        <v>2</v>
      </c>
      <c r="F583" t="s">
        <v>20</v>
      </c>
      <c r="G583">
        <v>13</v>
      </c>
      <c r="H583">
        <v>66</v>
      </c>
      <c r="J583">
        <f>Table2[[#This Row],[Hits]]/Table2[[#This Row],[Points]]*100</f>
        <v>19.696969696969695</v>
      </c>
      <c r="K583">
        <f>VLOOKUP(Table2[[#This Row],[Site]],'Site Info'!$A$1:$C$11,2, FALSE)</f>
        <v>34</v>
      </c>
      <c r="L583">
        <f>VLOOKUP(Table2[[#This Row],[Site]],'Site Info'!$A$1:$C$11,3, FALSE)</f>
        <v>6</v>
      </c>
      <c r="M583" t="str">
        <f>VLOOKUP(Table2[[#This Row],[Species]],'Species Table'!$A$1:$D$68,3, FALSE)</f>
        <v>Annual</v>
      </c>
      <c r="O583" s="15">
        <f>IF(SUMPRODUCT(($A$2:$A583=A583)*($B$2:$B583=B583)*($F$2:$F583=F583))&gt;1,0,1)</f>
        <v>0</v>
      </c>
      <c r="P583" s="15">
        <f>IF(SUMPRODUCT(($A$2:$A583=A583)*($B$2:$B583=B583)*($D$2:$D583=D583))&gt;1,0,1)</f>
        <v>1</v>
      </c>
    </row>
    <row r="584" spans="1:16" x14ac:dyDescent="0.35">
      <c r="A584" t="s">
        <v>24</v>
      </c>
      <c r="B584">
        <v>2005</v>
      </c>
      <c r="D584">
        <v>2.2000000000000002</v>
      </c>
      <c r="E584">
        <f>INT(Table2[[#This Row],[Transect]])</f>
        <v>2</v>
      </c>
      <c r="F584" t="s">
        <v>2</v>
      </c>
      <c r="G584">
        <v>2</v>
      </c>
      <c r="H584">
        <v>66</v>
      </c>
      <c r="J584">
        <f>Table2[[#This Row],[Hits]]/Table2[[#This Row],[Points]]*100</f>
        <v>3.0303030303030303</v>
      </c>
      <c r="K584">
        <f>VLOOKUP(Table2[[#This Row],[Site]],'Site Info'!$A$1:$C$11,2, FALSE)</f>
        <v>34</v>
      </c>
      <c r="L584">
        <f>VLOOKUP(Table2[[#This Row],[Site]],'Site Info'!$A$1:$C$11,3, FALSE)</f>
        <v>6</v>
      </c>
      <c r="M584" t="str">
        <f>VLOOKUP(Table2[[#This Row],[Species]],'Species Table'!$A$1:$D$68,3, FALSE)</f>
        <v>Perennial</v>
      </c>
      <c r="O584" s="15">
        <f>IF(SUMPRODUCT(($A$2:$A584=A584)*($B$2:$B584=B584)*($F$2:$F584=F584))&gt;1,0,1)</f>
        <v>0</v>
      </c>
      <c r="P584" s="15">
        <f>IF(SUMPRODUCT(($A$2:$A584=A584)*($B$2:$B584=B584)*($D$2:$D584=D584))&gt;1,0,1)</f>
        <v>0</v>
      </c>
    </row>
    <row r="585" spans="1:16" x14ac:dyDescent="0.35">
      <c r="A585" t="s">
        <v>24</v>
      </c>
      <c r="B585">
        <v>2005</v>
      </c>
      <c r="D585">
        <v>2.2000000000000002</v>
      </c>
      <c r="E585">
        <f>INT(Table2[[#This Row],[Transect]])</f>
        <v>2</v>
      </c>
      <c r="F585" t="s">
        <v>3</v>
      </c>
      <c r="G585">
        <v>1</v>
      </c>
      <c r="H585">
        <v>66</v>
      </c>
      <c r="J585">
        <f>Table2[[#This Row],[Hits]]/Table2[[#This Row],[Points]]*100</f>
        <v>1.5151515151515151</v>
      </c>
      <c r="K585">
        <f>VLOOKUP(Table2[[#This Row],[Site]],'Site Info'!$A$1:$C$11,2, FALSE)</f>
        <v>34</v>
      </c>
      <c r="L585">
        <f>VLOOKUP(Table2[[#This Row],[Site]],'Site Info'!$A$1:$C$11,3, FALSE)</f>
        <v>6</v>
      </c>
      <c r="M585" t="str">
        <f>VLOOKUP(Table2[[#This Row],[Species]],'Species Table'!$A$1:$D$68,3, FALSE)</f>
        <v>Perennial</v>
      </c>
      <c r="O585" s="15">
        <f>IF(SUMPRODUCT(($A$2:$A585=A585)*($B$2:$B585=B585)*($F$2:$F585=F585))&gt;1,0,1)</f>
        <v>0</v>
      </c>
      <c r="P585" s="15">
        <f>IF(SUMPRODUCT(($A$2:$A585=A585)*($B$2:$B585=B585)*($D$2:$D585=D585))&gt;1,0,1)</f>
        <v>0</v>
      </c>
    </row>
    <row r="586" spans="1:16" hidden="1" x14ac:dyDescent="0.35">
      <c r="A586" t="s">
        <v>24</v>
      </c>
      <c r="B586">
        <v>2005</v>
      </c>
      <c r="D586">
        <v>2.2000000000000002</v>
      </c>
      <c r="E586">
        <f>INT(Table2[[#This Row],[Transect]])</f>
        <v>2</v>
      </c>
      <c r="F586" t="s">
        <v>106</v>
      </c>
      <c r="G586">
        <v>1</v>
      </c>
      <c r="H586">
        <v>66</v>
      </c>
      <c r="J586">
        <f>Table2[[#This Row],[Hits]]/Table2[[#This Row],[Points]]*100</f>
        <v>1.5151515151515151</v>
      </c>
      <c r="K586">
        <f>VLOOKUP(Table2[[#This Row],[Site]],'Site Info'!$A$1:$C$11,2, FALSE)</f>
        <v>34</v>
      </c>
      <c r="L586">
        <f>VLOOKUP(Table2[[#This Row],[Site]],'Site Info'!$A$1:$C$11,3, FALSE)</f>
        <v>6</v>
      </c>
      <c r="M586" t="str">
        <f>VLOOKUP(Table2[[#This Row],[Species]],'Species Table'!$A$1:$D$68,3, FALSE)</f>
        <v>Annual/Biennial/Perennial</v>
      </c>
      <c r="O586" s="15">
        <f>IF(SUMPRODUCT(($A$2:$A586=A586)*($B$2:$B586=B586)*($F$2:$F586=F586))&gt;1,0,1)</f>
        <v>0</v>
      </c>
      <c r="P586" s="15">
        <f>IF(SUMPRODUCT(($A$2:$A586=A586)*($B$2:$B586=B586)*($D$2:$D586=D586))&gt;1,0,1)</f>
        <v>0</v>
      </c>
    </row>
    <row r="587" spans="1:16" x14ac:dyDescent="0.35">
      <c r="A587" t="s">
        <v>24</v>
      </c>
      <c r="B587">
        <v>2005</v>
      </c>
      <c r="D587">
        <v>3.1</v>
      </c>
      <c r="E587">
        <f>INT(Table2[[#This Row],[Transect]])</f>
        <v>3</v>
      </c>
      <c r="F587" t="s">
        <v>3</v>
      </c>
      <c r="G587">
        <v>3</v>
      </c>
      <c r="H587">
        <v>83</v>
      </c>
      <c r="J587">
        <f>Table2[[#This Row],[Hits]]/Table2[[#This Row],[Points]]*100</f>
        <v>3.6144578313253009</v>
      </c>
      <c r="K587">
        <f>VLOOKUP(Table2[[#This Row],[Site]],'Site Info'!$A$1:$C$11,2, FALSE)</f>
        <v>34</v>
      </c>
      <c r="L587">
        <f>VLOOKUP(Table2[[#This Row],[Site]],'Site Info'!$A$1:$C$11,3, FALSE)</f>
        <v>6</v>
      </c>
      <c r="M587" t="str">
        <f>VLOOKUP(Table2[[#This Row],[Species]],'Species Table'!$A$1:$D$68,3, FALSE)</f>
        <v>Perennial</v>
      </c>
      <c r="O587" s="15">
        <f>IF(SUMPRODUCT(($A$2:$A587=A587)*($B$2:$B587=B587)*($F$2:$F587=F587))&gt;1,0,1)</f>
        <v>0</v>
      </c>
      <c r="P587" s="15">
        <f>IF(SUMPRODUCT(($A$2:$A587=A587)*($B$2:$B587=B587)*($D$2:$D587=D587))&gt;1,0,1)</f>
        <v>1</v>
      </c>
    </row>
    <row r="588" spans="1:16" hidden="1" x14ac:dyDescent="0.35">
      <c r="A588" t="s">
        <v>24</v>
      </c>
      <c r="B588">
        <v>2005</v>
      </c>
      <c r="D588">
        <v>3.1</v>
      </c>
      <c r="E588">
        <f>INT(Table2[[#This Row],[Transect]])</f>
        <v>3</v>
      </c>
      <c r="F588" t="s">
        <v>33</v>
      </c>
      <c r="G588">
        <v>2</v>
      </c>
      <c r="H588">
        <v>83</v>
      </c>
      <c r="J588">
        <f>Table2[[#This Row],[Hits]]/Table2[[#This Row],[Points]]*100</f>
        <v>2.4096385542168677</v>
      </c>
      <c r="K588">
        <f>VLOOKUP(Table2[[#This Row],[Site]],'Site Info'!$A$1:$C$11,2, FALSE)</f>
        <v>34</v>
      </c>
      <c r="L588">
        <f>VLOOKUP(Table2[[#This Row],[Site]],'Site Info'!$A$1:$C$11,3, FALSE)</f>
        <v>6</v>
      </c>
      <c r="M588" t="str">
        <f>VLOOKUP(Table2[[#This Row],[Species]],'Species Table'!$A$1:$D$68,3, FALSE)</f>
        <v>Annual</v>
      </c>
      <c r="O588" s="15">
        <f>IF(SUMPRODUCT(($A$2:$A588=A588)*($B$2:$B588=B588)*($F$2:$F588=F588))&gt;1,0,1)</f>
        <v>0</v>
      </c>
      <c r="P588" s="15">
        <f>IF(SUMPRODUCT(($A$2:$A588=A588)*($B$2:$B588=B588)*($D$2:$D588=D588))&gt;1,0,1)</f>
        <v>0</v>
      </c>
    </row>
    <row r="589" spans="1:16" hidden="1" x14ac:dyDescent="0.35">
      <c r="A589" t="s">
        <v>24</v>
      </c>
      <c r="B589">
        <v>2005</v>
      </c>
      <c r="D589">
        <v>3.1</v>
      </c>
      <c r="E589">
        <f>INT(Table2[[#This Row],[Transect]])</f>
        <v>3</v>
      </c>
      <c r="F589" t="s">
        <v>20</v>
      </c>
      <c r="G589">
        <v>2</v>
      </c>
      <c r="H589">
        <v>83</v>
      </c>
      <c r="J589">
        <f>Table2[[#This Row],[Hits]]/Table2[[#This Row],[Points]]*100</f>
        <v>2.4096385542168677</v>
      </c>
      <c r="K589">
        <f>VLOOKUP(Table2[[#This Row],[Site]],'Site Info'!$A$1:$C$11,2, FALSE)</f>
        <v>34</v>
      </c>
      <c r="L589">
        <f>VLOOKUP(Table2[[#This Row],[Site]],'Site Info'!$A$1:$C$11,3, FALSE)</f>
        <v>6</v>
      </c>
      <c r="M589" t="str">
        <f>VLOOKUP(Table2[[#This Row],[Species]],'Species Table'!$A$1:$D$68,3, FALSE)</f>
        <v>Annual</v>
      </c>
      <c r="O589" s="15">
        <f>IF(SUMPRODUCT(($A$2:$A589=A589)*($B$2:$B589=B589)*($F$2:$F589=F589))&gt;1,0,1)</f>
        <v>0</v>
      </c>
      <c r="P589" s="15">
        <f>IF(SUMPRODUCT(($A$2:$A589=A589)*($B$2:$B589=B589)*($D$2:$D589=D589))&gt;1,0,1)</f>
        <v>0</v>
      </c>
    </row>
    <row r="590" spans="1:16" hidden="1" x14ac:dyDescent="0.35">
      <c r="A590" t="s">
        <v>24</v>
      </c>
      <c r="B590">
        <v>2005</v>
      </c>
      <c r="D590">
        <v>3.1</v>
      </c>
      <c r="E590">
        <f>INT(Table2[[#This Row],[Transect]])</f>
        <v>3</v>
      </c>
      <c r="F590" t="s">
        <v>10</v>
      </c>
      <c r="G590">
        <v>2</v>
      </c>
      <c r="H590">
        <v>83</v>
      </c>
      <c r="J590">
        <f>Table2[[#This Row],[Hits]]/Table2[[#This Row],[Points]]*100</f>
        <v>2.4096385542168677</v>
      </c>
      <c r="K590">
        <f>VLOOKUP(Table2[[#This Row],[Site]],'Site Info'!$A$1:$C$11,2, FALSE)</f>
        <v>34</v>
      </c>
      <c r="L590">
        <f>VLOOKUP(Table2[[#This Row],[Site]],'Site Info'!$A$1:$C$11,3, FALSE)</f>
        <v>6</v>
      </c>
      <c r="M590" t="str">
        <f>VLOOKUP(Table2[[#This Row],[Species]],'Species Table'!$A$1:$D$68,3, FALSE)</f>
        <v>Annual</v>
      </c>
      <c r="O590" s="15">
        <f>IF(SUMPRODUCT(($A$2:$A590=A590)*($B$2:$B590=B590)*($F$2:$F590=F590))&gt;1,0,1)</f>
        <v>0</v>
      </c>
      <c r="P590" s="15">
        <f>IF(SUMPRODUCT(($A$2:$A590=A590)*($B$2:$B590=B590)*($D$2:$D590=D590))&gt;1,0,1)</f>
        <v>0</v>
      </c>
    </row>
    <row r="591" spans="1:16" x14ac:dyDescent="0.35">
      <c r="A591" t="s">
        <v>24</v>
      </c>
      <c r="B591">
        <v>2005</v>
      </c>
      <c r="D591">
        <v>3.2</v>
      </c>
      <c r="E591">
        <f>INT(Table2[[#This Row],[Transect]])</f>
        <v>3</v>
      </c>
      <c r="F591" t="s">
        <v>3</v>
      </c>
      <c r="G591">
        <v>5</v>
      </c>
      <c r="H591">
        <v>35</v>
      </c>
      <c r="J591">
        <f>Table2[[#This Row],[Hits]]/Table2[[#This Row],[Points]]*100</f>
        <v>14.285714285714285</v>
      </c>
      <c r="K591">
        <f>VLOOKUP(Table2[[#This Row],[Site]],'Site Info'!$A$1:$C$11,2, FALSE)</f>
        <v>34</v>
      </c>
      <c r="L591">
        <f>VLOOKUP(Table2[[#This Row],[Site]],'Site Info'!$A$1:$C$11,3, FALSE)</f>
        <v>6</v>
      </c>
      <c r="M591" t="str">
        <f>VLOOKUP(Table2[[#This Row],[Species]],'Species Table'!$A$1:$D$68,3, FALSE)</f>
        <v>Perennial</v>
      </c>
      <c r="O591" s="15">
        <f>IF(SUMPRODUCT(($A$2:$A591=A591)*($B$2:$B591=B591)*($F$2:$F591=F591))&gt;1,0,1)</f>
        <v>0</v>
      </c>
      <c r="P591" s="15">
        <f>IF(SUMPRODUCT(($A$2:$A591=A591)*($B$2:$B591=B591)*($D$2:$D591=D591))&gt;1,0,1)</f>
        <v>1</v>
      </c>
    </row>
    <row r="592" spans="1:16" hidden="1" x14ac:dyDescent="0.35">
      <c r="A592" t="s">
        <v>24</v>
      </c>
      <c r="B592">
        <v>2005</v>
      </c>
      <c r="D592">
        <v>3.2</v>
      </c>
      <c r="E592">
        <f>INT(Table2[[#This Row],[Transect]])</f>
        <v>3</v>
      </c>
      <c r="F592" t="s">
        <v>10</v>
      </c>
      <c r="G592">
        <v>1</v>
      </c>
      <c r="H592">
        <v>35</v>
      </c>
      <c r="J592">
        <f>Table2[[#This Row],[Hits]]/Table2[[#This Row],[Points]]*100</f>
        <v>2.8571428571428572</v>
      </c>
      <c r="K592">
        <f>VLOOKUP(Table2[[#This Row],[Site]],'Site Info'!$A$1:$C$11,2, FALSE)</f>
        <v>34</v>
      </c>
      <c r="L592">
        <f>VLOOKUP(Table2[[#This Row],[Site]],'Site Info'!$A$1:$C$11,3, FALSE)</f>
        <v>6</v>
      </c>
      <c r="M592" t="str">
        <f>VLOOKUP(Table2[[#This Row],[Species]],'Species Table'!$A$1:$D$68,3, FALSE)</f>
        <v>Annual</v>
      </c>
      <c r="O592" s="15">
        <f>IF(SUMPRODUCT(($A$2:$A592=A592)*($B$2:$B592=B592)*($F$2:$F592=F592))&gt;1,0,1)</f>
        <v>0</v>
      </c>
      <c r="P592" s="15">
        <f>IF(SUMPRODUCT(($A$2:$A592=A592)*($B$2:$B592=B592)*($D$2:$D592=D592))&gt;1,0,1)</f>
        <v>0</v>
      </c>
    </row>
    <row r="593" spans="1:16" hidden="1" x14ac:dyDescent="0.35">
      <c r="A593" t="s">
        <v>24</v>
      </c>
      <c r="B593">
        <v>2005</v>
      </c>
      <c r="D593">
        <v>4.0999999999999996</v>
      </c>
      <c r="E593">
        <f>INT(Table2[[#This Row],[Transect]])</f>
        <v>4</v>
      </c>
      <c r="F593" t="s">
        <v>10</v>
      </c>
      <c r="G593">
        <v>6</v>
      </c>
      <c r="H593">
        <v>114</v>
      </c>
      <c r="J593">
        <f>Table2[[#This Row],[Hits]]/Table2[[#This Row],[Points]]*100</f>
        <v>5.2631578947368416</v>
      </c>
      <c r="K593">
        <f>VLOOKUP(Table2[[#This Row],[Site]],'Site Info'!$A$1:$C$11,2, FALSE)</f>
        <v>34</v>
      </c>
      <c r="L593">
        <f>VLOOKUP(Table2[[#This Row],[Site]],'Site Info'!$A$1:$C$11,3, FALSE)</f>
        <v>6</v>
      </c>
      <c r="M593" t="str">
        <f>VLOOKUP(Table2[[#This Row],[Species]],'Species Table'!$A$1:$D$68,3, FALSE)</f>
        <v>Annual</v>
      </c>
      <c r="O593" s="15">
        <f>IF(SUMPRODUCT(($A$2:$A593=A593)*($B$2:$B593=B593)*($F$2:$F593=F593))&gt;1,0,1)</f>
        <v>0</v>
      </c>
      <c r="P593" s="15">
        <f>IF(SUMPRODUCT(($A$2:$A593=A593)*($B$2:$B593=B593)*($D$2:$D593=D593))&gt;1,0,1)</f>
        <v>1</v>
      </c>
    </row>
    <row r="594" spans="1:16" x14ac:dyDescent="0.35">
      <c r="A594" t="s">
        <v>24</v>
      </c>
      <c r="B594">
        <v>2005</v>
      </c>
      <c r="D594">
        <v>4.0999999999999996</v>
      </c>
      <c r="E594">
        <f>INT(Table2[[#This Row],[Transect]])</f>
        <v>4</v>
      </c>
      <c r="F594" t="s">
        <v>12</v>
      </c>
      <c r="G594">
        <v>2</v>
      </c>
      <c r="H594">
        <v>114</v>
      </c>
      <c r="J594">
        <f>Table2[[#This Row],[Hits]]/Table2[[#This Row],[Points]]*100</f>
        <v>1.7543859649122806</v>
      </c>
      <c r="K594">
        <f>VLOOKUP(Table2[[#This Row],[Site]],'Site Info'!$A$1:$C$11,2, FALSE)</f>
        <v>34</v>
      </c>
      <c r="L594">
        <f>VLOOKUP(Table2[[#This Row],[Site]],'Site Info'!$A$1:$C$11,3, FALSE)</f>
        <v>6</v>
      </c>
      <c r="M594" t="str">
        <f>VLOOKUP(Table2[[#This Row],[Species]],'Species Table'!$A$1:$D$68,3, FALSE)</f>
        <v>Perennial</v>
      </c>
      <c r="O594" s="15">
        <f>IF(SUMPRODUCT(($A$2:$A594=A594)*($B$2:$B594=B594)*($F$2:$F594=F594))&gt;1,0,1)</f>
        <v>1</v>
      </c>
      <c r="P594" s="15">
        <f>IF(SUMPRODUCT(($A$2:$A594=A594)*($B$2:$B594=B594)*($D$2:$D594=D594))&gt;1,0,1)</f>
        <v>0</v>
      </c>
    </row>
    <row r="595" spans="1:16" x14ac:dyDescent="0.35">
      <c r="A595" t="s">
        <v>24</v>
      </c>
      <c r="B595">
        <v>2005</v>
      </c>
      <c r="D595">
        <v>4.0999999999999996</v>
      </c>
      <c r="E595">
        <f>INT(Table2[[#This Row],[Transect]])</f>
        <v>4</v>
      </c>
      <c r="F595" t="s">
        <v>23</v>
      </c>
      <c r="G595">
        <v>2</v>
      </c>
      <c r="H595">
        <v>114</v>
      </c>
      <c r="J595">
        <f>Table2[[#This Row],[Hits]]/Table2[[#This Row],[Points]]*100</f>
        <v>1.7543859649122806</v>
      </c>
      <c r="K595">
        <f>VLOOKUP(Table2[[#This Row],[Site]],'Site Info'!$A$1:$C$11,2, FALSE)</f>
        <v>34</v>
      </c>
      <c r="L595">
        <f>VLOOKUP(Table2[[#This Row],[Site]],'Site Info'!$A$1:$C$11,3, FALSE)</f>
        <v>6</v>
      </c>
      <c r="M595" t="str">
        <f>VLOOKUP(Table2[[#This Row],[Species]],'Species Table'!$A$1:$D$68,3, FALSE)</f>
        <v>Perennial</v>
      </c>
      <c r="O595" s="15">
        <f>IF(SUMPRODUCT(($A$2:$A595=A595)*($B$2:$B595=B595)*($F$2:$F595=F595))&gt;1,0,1)</f>
        <v>0</v>
      </c>
      <c r="P595" s="15">
        <f>IF(SUMPRODUCT(($A$2:$A595=A595)*($B$2:$B595=B595)*($D$2:$D595=D595))&gt;1,0,1)</f>
        <v>0</v>
      </c>
    </row>
    <row r="596" spans="1:16" hidden="1" x14ac:dyDescent="0.35">
      <c r="A596" t="s">
        <v>24</v>
      </c>
      <c r="B596">
        <v>2005</v>
      </c>
      <c r="D596">
        <v>4.0999999999999996</v>
      </c>
      <c r="E596">
        <f>INT(Table2[[#This Row],[Transect]])</f>
        <v>4</v>
      </c>
      <c r="F596" t="s">
        <v>237</v>
      </c>
      <c r="G596">
        <v>1</v>
      </c>
      <c r="H596">
        <v>114</v>
      </c>
      <c r="J596">
        <f>Table2[[#This Row],[Hits]]/Table2[[#This Row],[Points]]*100</f>
        <v>0.8771929824561403</v>
      </c>
      <c r="K596">
        <f>VLOOKUP(Table2[[#This Row],[Site]],'Site Info'!$A$1:$C$11,2, FALSE)</f>
        <v>34</v>
      </c>
      <c r="L596">
        <f>VLOOKUP(Table2[[#This Row],[Site]],'Site Info'!$A$1:$C$11,3, FALSE)</f>
        <v>6</v>
      </c>
      <c r="M596" t="str">
        <f>VLOOKUP(Table2[[#This Row],[Species]],'Species Table'!$A$1:$D$68,3, FALSE)</f>
        <v>Unknown</v>
      </c>
      <c r="O596" s="15">
        <f>IF(SUMPRODUCT(($A$2:$A596=A596)*($B$2:$B596=B596)*($F$2:$F596=F596))&gt;1,0,1)</f>
        <v>1</v>
      </c>
      <c r="P596" s="15">
        <f>IF(SUMPRODUCT(($A$2:$A596=A596)*($B$2:$B596=B596)*($D$2:$D596=D596))&gt;1,0,1)</f>
        <v>0</v>
      </c>
    </row>
    <row r="597" spans="1:16" hidden="1" x14ac:dyDescent="0.35">
      <c r="A597" t="s">
        <v>24</v>
      </c>
      <c r="B597">
        <v>2005</v>
      </c>
      <c r="D597">
        <v>4.0999999999999996</v>
      </c>
      <c r="E597">
        <f>INT(Table2[[#This Row],[Transect]])</f>
        <v>4</v>
      </c>
      <c r="F597" t="s">
        <v>20</v>
      </c>
      <c r="G597">
        <v>1</v>
      </c>
      <c r="H597">
        <v>114</v>
      </c>
      <c r="J597">
        <f>Table2[[#This Row],[Hits]]/Table2[[#This Row],[Points]]*100</f>
        <v>0.8771929824561403</v>
      </c>
      <c r="K597">
        <f>VLOOKUP(Table2[[#This Row],[Site]],'Site Info'!$A$1:$C$11,2, FALSE)</f>
        <v>34</v>
      </c>
      <c r="L597">
        <f>VLOOKUP(Table2[[#This Row],[Site]],'Site Info'!$A$1:$C$11,3, FALSE)</f>
        <v>6</v>
      </c>
      <c r="M597" t="str">
        <f>VLOOKUP(Table2[[#This Row],[Species]],'Species Table'!$A$1:$D$68,3, FALSE)</f>
        <v>Annual</v>
      </c>
      <c r="O597" s="15">
        <f>IF(SUMPRODUCT(($A$2:$A597=A597)*($B$2:$B597=B597)*($F$2:$F597=F597))&gt;1,0,1)</f>
        <v>0</v>
      </c>
      <c r="P597" s="15">
        <f>IF(SUMPRODUCT(($A$2:$A597=A597)*($B$2:$B597=B597)*($D$2:$D597=D597))&gt;1,0,1)</f>
        <v>0</v>
      </c>
    </row>
    <row r="598" spans="1:16" hidden="1" x14ac:dyDescent="0.35">
      <c r="A598" t="s">
        <v>24</v>
      </c>
      <c r="B598">
        <v>2005</v>
      </c>
      <c r="D598">
        <v>4.0999999999999996</v>
      </c>
      <c r="E598">
        <f>INT(Table2[[#This Row],[Transect]])</f>
        <v>4</v>
      </c>
      <c r="F598" t="s">
        <v>25</v>
      </c>
      <c r="G598">
        <v>1</v>
      </c>
      <c r="H598">
        <v>114</v>
      </c>
      <c r="J598">
        <f>Table2[[#This Row],[Hits]]/Table2[[#This Row],[Points]]*100</f>
        <v>0.8771929824561403</v>
      </c>
      <c r="K598">
        <f>VLOOKUP(Table2[[#This Row],[Site]],'Site Info'!$A$1:$C$11,2, FALSE)</f>
        <v>34</v>
      </c>
      <c r="L598">
        <f>VLOOKUP(Table2[[#This Row],[Site]],'Site Info'!$A$1:$C$11,3, FALSE)</f>
        <v>6</v>
      </c>
      <c r="M598" t="str">
        <f>VLOOKUP(Table2[[#This Row],[Species]],'Species Table'!$A$1:$D$68,3, FALSE)</f>
        <v>Annual/Biennial/Perennial</v>
      </c>
      <c r="O598" s="15">
        <f>IF(SUMPRODUCT(($A$2:$A598=A598)*($B$2:$B598=B598)*($F$2:$F598=F598))&gt;1,0,1)</f>
        <v>1</v>
      </c>
      <c r="P598" s="15">
        <f>IF(SUMPRODUCT(($A$2:$A598=A598)*($B$2:$B598=B598)*($D$2:$D598=D598))&gt;1,0,1)</f>
        <v>0</v>
      </c>
    </row>
    <row r="599" spans="1:16" x14ac:dyDescent="0.35">
      <c r="A599" t="s">
        <v>24</v>
      </c>
      <c r="B599">
        <v>2005</v>
      </c>
      <c r="D599">
        <v>5.0999999999999996</v>
      </c>
      <c r="E599">
        <f>INT(Table2[[#This Row],[Transect]])</f>
        <v>5</v>
      </c>
      <c r="F599" t="s">
        <v>3</v>
      </c>
      <c r="G599">
        <v>14</v>
      </c>
      <c r="H599">
        <v>164</v>
      </c>
      <c r="J599">
        <f>Table2[[#This Row],[Hits]]/Table2[[#This Row],[Points]]*100</f>
        <v>8.536585365853659</v>
      </c>
      <c r="K599">
        <f>VLOOKUP(Table2[[#This Row],[Site]],'Site Info'!$A$1:$C$11,2, FALSE)</f>
        <v>34</v>
      </c>
      <c r="L599">
        <f>VLOOKUP(Table2[[#This Row],[Site]],'Site Info'!$A$1:$C$11,3, FALSE)</f>
        <v>6</v>
      </c>
      <c r="M599" t="str">
        <f>VLOOKUP(Table2[[#This Row],[Species]],'Species Table'!$A$1:$D$68,3, FALSE)</f>
        <v>Perennial</v>
      </c>
      <c r="O599" s="15">
        <f>IF(SUMPRODUCT(($A$2:$A599=A599)*($B$2:$B599=B599)*($F$2:$F599=F599))&gt;1,0,1)</f>
        <v>0</v>
      </c>
      <c r="P599" s="15">
        <f>IF(SUMPRODUCT(($A$2:$A599=A599)*($B$2:$B599=B599)*($D$2:$D599=D599))&gt;1,0,1)</f>
        <v>1</v>
      </c>
    </row>
    <row r="600" spans="1:16" x14ac:dyDescent="0.35">
      <c r="A600" t="s">
        <v>24</v>
      </c>
      <c r="B600">
        <v>2005</v>
      </c>
      <c r="D600">
        <v>5.0999999999999996</v>
      </c>
      <c r="E600">
        <f>INT(Table2[[#This Row],[Transect]])</f>
        <v>5</v>
      </c>
      <c r="F600" t="s">
        <v>14</v>
      </c>
      <c r="G600">
        <v>8</v>
      </c>
      <c r="H600">
        <v>164</v>
      </c>
      <c r="J600">
        <f>Table2[[#This Row],[Hits]]/Table2[[#This Row],[Points]]*100</f>
        <v>4.8780487804878048</v>
      </c>
      <c r="K600">
        <f>VLOOKUP(Table2[[#This Row],[Site]],'Site Info'!$A$1:$C$11,2, FALSE)</f>
        <v>34</v>
      </c>
      <c r="L600">
        <f>VLOOKUP(Table2[[#This Row],[Site]],'Site Info'!$A$1:$C$11,3, FALSE)</f>
        <v>6</v>
      </c>
      <c r="M600" t="str">
        <f>VLOOKUP(Table2[[#This Row],[Species]],'Species Table'!$A$1:$D$68,3, FALSE)</f>
        <v>Perennial</v>
      </c>
      <c r="O600" s="15">
        <f>IF(SUMPRODUCT(($A$2:$A600=A600)*($B$2:$B600=B600)*($F$2:$F600=F600))&gt;1,0,1)</f>
        <v>1</v>
      </c>
      <c r="P600" s="15">
        <f>IF(SUMPRODUCT(($A$2:$A600=A600)*($B$2:$B600=B600)*($D$2:$D600=D600))&gt;1,0,1)</f>
        <v>0</v>
      </c>
    </row>
    <row r="601" spans="1:16" x14ac:dyDescent="0.35">
      <c r="A601" t="s">
        <v>24</v>
      </c>
      <c r="B601">
        <v>2005</v>
      </c>
      <c r="D601">
        <v>5.0999999999999996</v>
      </c>
      <c r="E601">
        <f>INT(Table2[[#This Row],[Transect]])</f>
        <v>5</v>
      </c>
      <c r="F601" t="s">
        <v>23</v>
      </c>
      <c r="G601">
        <v>3</v>
      </c>
      <c r="H601">
        <v>164</v>
      </c>
      <c r="J601">
        <f>Table2[[#This Row],[Hits]]/Table2[[#This Row],[Points]]*100</f>
        <v>1.8292682926829267</v>
      </c>
      <c r="K601">
        <f>VLOOKUP(Table2[[#This Row],[Site]],'Site Info'!$A$1:$C$11,2, FALSE)</f>
        <v>34</v>
      </c>
      <c r="L601">
        <f>VLOOKUP(Table2[[#This Row],[Site]],'Site Info'!$A$1:$C$11,3, FALSE)</f>
        <v>6</v>
      </c>
      <c r="M601" t="str">
        <f>VLOOKUP(Table2[[#This Row],[Species]],'Species Table'!$A$1:$D$68,3, FALSE)</f>
        <v>Perennial</v>
      </c>
      <c r="O601" s="15">
        <f>IF(SUMPRODUCT(($A$2:$A601=A601)*($B$2:$B601=B601)*($F$2:$F601=F601))&gt;1,0,1)</f>
        <v>0</v>
      </c>
      <c r="P601" s="15">
        <f>IF(SUMPRODUCT(($A$2:$A601=A601)*($B$2:$B601=B601)*($D$2:$D601=D601))&gt;1,0,1)</f>
        <v>0</v>
      </c>
    </row>
    <row r="602" spans="1:16" x14ac:dyDescent="0.35">
      <c r="A602" t="s">
        <v>24</v>
      </c>
      <c r="B602">
        <v>2005</v>
      </c>
      <c r="D602">
        <v>5.0999999999999996</v>
      </c>
      <c r="E602">
        <f>INT(Table2[[#This Row],[Transect]])</f>
        <v>5</v>
      </c>
      <c r="F602" t="s">
        <v>31</v>
      </c>
      <c r="G602">
        <v>1</v>
      </c>
      <c r="H602">
        <v>164</v>
      </c>
      <c r="J602">
        <f>Table2[[#This Row],[Hits]]/Table2[[#This Row],[Points]]*100</f>
        <v>0.6097560975609756</v>
      </c>
      <c r="K602">
        <f>VLOOKUP(Table2[[#This Row],[Site]],'Site Info'!$A$1:$C$11,2, FALSE)</f>
        <v>34</v>
      </c>
      <c r="L602">
        <f>VLOOKUP(Table2[[#This Row],[Site]],'Site Info'!$A$1:$C$11,3, FALSE)</f>
        <v>6</v>
      </c>
      <c r="M602" t="str">
        <f>VLOOKUP(Table2[[#This Row],[Species]],'Species Table'!$A$1:$D$68,3, FALSE)</f>
        <v>Perennial</v>
      </c>
      <c r="O602" s="15">
        <f>IF(SUMPRODUCT(($A$2:$A602=A602)*($B$2:$B602=B602)*($F$2:$F602=F602))&gt;1,0,1)</f>
        <v>1</v>
      </c>
      <c r="P602" s="15">
        <f>IF(SUMPRODUCT(($A$2:$A602=A602)*($B$2:$B602=B602)*($D$2:$D602=D602))&gt;1,0,1)</f>
        <v>0</v>
      </c>
    </row>
    <row r="603" spans="1:16" hidden="1" x14ac:dyDescent="0.35">
      <c r="A603" t="s">
        <v>24</v>
      </c>
      <c r="B603">
        <v>2005</v>
      </c>
      <c r="D603">
        <v>5.0999999999999996</v>
      </c>
      <c r="E603">
        <f>INT(Table2[[#This Row],[Transect]])</f>
        <v>5</v>
      </c>
      <c r="F603" t="s">
        <v>33</v>
      </c>
      <c r="G603">
        <v>1</v>
      </c>
      <c r="H603">
        <v>164</v>
      </c>
      <c r="J603">
        <f>Table2[[#This Row],[Hits]]/Table2[[#This Row],[Points]]*100</f>
        <v>0.6097560975609756</v>
      </c>
      <c r="K603">
        <f>VLOOKUP(Table2[[#This Row],[Site]],'Site Info'!$A$1:$C$11,2, FALSE)</f>
        <v>34</v>
      </c>
      <c r="L603">
        <f>VLOOKUP(Table2[[#This Row],[Site]],'Site Info'!$A$1:$C$11,3, FALSE)</f>
        <v>6</v>
      </c>
      <c r="M603" t="str">
        <f>VLOOKUP(Table2[[#This Row],[Species]],'Species Table'!$A$1:$D$68,3, FALSE)</f>
        <v>Annual</v>
      </c>
      <c r="O603" s="15">
        <f>IF(SUMPRODUCT(($A$2:$A603=A603)*($B$2:$B603=B603)*($F$2:$F603=F603))&gt;1,0,1)</f>
        <v>0</v>
      </c>
      <c r="P603" s="15">
        <f>IF(SUMPRODUCT(($A$2:$A603=A603)*($B$2:$B603=B603)*($D$2:$D603=D603))&gt;1,0,1)</f>
        <v>0</v>
      </c>
    </row>
    <row r="604" spans="1:16" x14ac:dyDescent="0.35">
      <c r="A604" t="s">
        <v>24</v>
      </c>
      <c r="B604">
        <v>2005</v>
      </c>
      <c r="D604">
        <v>5.0999999999999996</v>
      </c>
      <c r="E604">
        <f>INT(Table2[[#This Row],[Transect]])</f>
        <v>5</v>
      </c>
      <c r="F604" t="s">
        <v>107</v>
      </c>
      <c r="G604">
        <v>1</v>
      </c>
      <c r="H604">
        <v>164</v>
      </c>
      <c r="J604">
        <f>Table2[[#This Row],[Hits]]/Table2[[#This Row],[Points]]*100</f>
        <v>0.6097560975609756</v>
      </c>
      <c r="K604">
        <f>VLOOKUP(Table2[[#This Row],[Site]],'Site Info'!$A$1:$C$11,2, FALSE)</f>
        <v>34</v>
      </c>
      <c r="L604">
        <f>VLOOKUP(Table2[[#This Row],[Site]],'Site Info'!$A$1:$C$11,3, FALSE)</f>
        <v>6</v>
      </c>
      <c r="M604" t="str">
        <f>VLOOKUP(Table2[[#This Row],[Species]],'Species Table'!$A$1:$D$68,3, FALSE)</f>
        <v>Perennial</v>
      </c>
      <c r="O604" s="15">
        <f>IF(SUMPRODUCT(($A$2:$A604=A604)*($B$2:$B604=B604)*($F$2:$F604=F604))&gt;1,0,1)</f>
        <v>1</v>
      </c>
      <c r="P604" s="15">
        <f>IF(SUMPRODUCT(($A$2:$A604=A604)*($B$2:$B604=B604)*($D$2:$D604=D604))&gt;1,0,1)</f>
        <v>0</v>
      </c>
    </row>
    <row r="605" spans="1:16" hidden="1" x14ac:dyDescent="0.35">
      <c r="A605" t="s">
        <v>24</v>
      </c>
      <c r="B605">
        <v>2005</v>
      </c>
      <c r="D605">
        <v>5.0999999999999996</v>
      </c>
      <c r="E605">
        <f>INT(Table2[[#This Row],[Transect]])</f>
        <v>5</v>
      </c>
      <c r="F605" t="s">
        <v>10</v>
      </c>
      <c r="G605">
        <v>1</v>
      </c>
      <c r="H605">
        <v>164</v>
      </c>
      <c r="J605">
        <f>Table2[[#This Row],[Hits]]/Table2[[#This Row],[Points]]*100</f>
        <v>0.6097560975609756</v>
      </c>
      <c r="K605">
        <f>VLOOKUP(Table2[[#This Row],[Site]],'Site Info'!$A$1:$C$11,2, FALSE)</f>
        <v>34</v>
      </c>
      <c r="L605">
        <f>VLOOKUP(Table2[[#This Row],[Site]],'Site Info'!$A$1:$C$11,3, FALSE)</f>
        <v>6</v>
      </c>
      <c r="M605" t="str">
        <f>VLOOKUP(Table2[[#This Row],[Species]],'Species Table'!$A$1:$D$68,3, FALSE)</f>
        <v>Annual</v>
      </c>
      <c r="O605" s="15">
        <f>IF(SUMPRODUCT(($A$2:$A605=A605)*($B$2:$B605=B605)*($F$2:$F605=F605))&gt;1,0,1)</f>
        <v>0</v>
      </c>
      <c r="P605" s="15">
        <f>IF(SUMPRODUCT(($A$2:$A605=A605)*($B$2:$B605=B605)*($D$2:$D605=D605))&gt;1,0,1)</f>
        <v>0</v>
      </c>
    </row>
    <row r="606" spans="1:16" x14ac:dyDescent="0.35">
      <c r="A606" t="s">
        <v>24</v>
      </c>
      <c r="B606">
        <v>2005</v>
      </c>
      <c r="D606">
        <v>5.0999999999999996</v>
      </c>
      <c r="E606">
        <f>INT(Table2[[#This Row],[Transect]])</f>
        <v>5</v>
      </c>
      <c r="F606" t="s">
        <v>2</v>
      </c>
      <c r="G606">
        <v>1</v>
      </c>
      <c r="H606">
        <v>164</v>
      </c>
      <c r="J606">
        <f>Table2[[#This Row],[Hits]]/Table2[[#This Row],[Points]]*100</f>
        <v>0.6097560975609756</v>
      </c>
      <c r="K606">
        <f>VLOOKUP(Table2[[#This Row],[Site]],'Site Info'!$A$1:$C$11,2, FALSE)</f>
        <v>34</v>
      </c>
      <c r="L606">
        <f>VLOOKUP(Table2[[#This Row],[Site]],'Site Info'!$A$1:$C$11,3, FALSE)</f>
        <v>6</v>
      </c>
      <c r="M606" t="str">
        <f>VLOOKUP(Table2[[#This Row],[Species]],'Species Table'!$A$1:$D$68,3, FALSE)</f>
        <v>Perennial</v>
      </c>
      <c r="O606" s="15">
        <f>IF(SUMPRODUCT(($A$2:$A606=A606)*($B$2:$B606=B606)*($F$2:$F606=F606))&gt;1,0,1)</f>
        <v>0</v>
      </c>
      <c r="P606" s="15">
        <f>IF(SUMPRODUCT(($A$2:$A606=A606)*($B$2:$B606=B606)*($D$2:$D606=D606))&gt;1,0,1)</f>
        <v>0</v>
      </c>
    </row>
    <row r="607" spans="1:16" x14ac:dyDescent="0.35">
      <c r="A607" t="s">
        <v>24</v>
      </c>
      <c r="B607">
        <v>2005</v>
      </c>
      <c r="D607">
        <v>6.1</v>
      </c>
      <c r="E607">
        <f>INT(Table2[[#This Row],[Transect]])</f>
        <v>6</v>
      </c>
      <c r="F607" t="s">
        <v>3</v>
      </c>
      <c r="G607">
        <v>20</v>
      </c>
      <c r="H607">
        <v>197</v>
      </c>
      <c r="J607">
        <f>Table2[[#This Row],[Hits]]/Table2[[#This Row],[Points]]*100</f>
        <v>10.152284263959391</v>
      </c>
      <c r="K607">
        <f>VLOOKUP(Table2[[#This Row],[Site]],'Site Info'!$A$1:$C$11,2, FALSE)</f>
        <v>34</v>
      </c>
      <c r="L607">
        <f>VLOOKUP(Table2[[#This Row],[Site]],'Site Info'!$A$1:$C$11,3, FALSE)</f>
        <v>6</v>
      </c>
      <c r="M607" t="str">
        <f>VLOOKUP(Table2[[#This Row],[Species]],'Species Table'!$A$1:$D$68,3, FALSE)</f>
        <v>Perennial</v>
      </c>
      <c r="O607" s="15">
        <f>IF(SUMPRODUCT(($A$2:$A607=A607)*($B$2:$B607=B607)*($F$2:$F607=F607))&gt;1,0,1)</f>
        <v>0</v>
      </c>
      <c r="P607" s="15">
        <f>IF(SUMPRODUCT(($A$2:$A607=A607)*($B$2:$B607=B607)*($D$2:$D607=D607))&gt;1,0,1)</f>
        <v>1</v>
      </c>
    </row>
    <row r="608" spans="1:16" hidden="1" x14ac:dyDescent="0.35">
      <c r="A608" t="s">
        <v>24</v>
      </c>
      <c r="B608">
        <v>2005</v>
      </c>
      <c r="D608">
        <v>6.1</v>
      </c>
      <c r="E608">
        <f>INT(Table2[[#This Row],[Transect]])</f>
        <v>6</v>
      </c>
      <c r="F608" t="s">
        <v>33</v>
      </c>
      <c r="G608">
        <v>3</v>
      </c>
      <c r="H608">
        <v>197</v>
      </c>
      <c r="J608">
        <f>Table2[[#This Row],[Hits]]/Table2[[#This Row],[Points]]*100</f>
        <v>1.5228426395939088</v>
      </c>
      <c r="K608">
        <f>VLOOKUP(Table2[[#This Row],[Site]],'Site Info'!$A$1:$C$11,2, FALSE)</f>
        <v>34</v>
      </c>
      <c r="L608">
        <f>VLOOKUP(Table2[[#This Row],[Site]],'Site Info'!$A$1:$C$11,3, FALSE)</f>
        <v>6</v>
      </c>
      <c r="M608" t="str">
        <f>VLOOKUP(Table2[[#This Row],[Species]],'Species Table'!$A$1:$D$68,3, FALSE)</f>
        <v>Annual</v>
      </c>
      <c r="O608" s="15">
        <f>IF(SUMPRODUCT(($A$2:$A608=A608)*($B$2:$B608=B608)*($F$2:$F608=F608))&gt;1,0,1)</f>
        <v>0</v>
      </c>
      <c r="P608" s="15">
        <f>IF(SUMPRODUCT(($A$2:$A608=A608)*($B$2:$B608=B608)*($D$2:$D608=D608))&gt;1,0,1)</f>
        <v>0</v>
      </c>
    </row>
    <row r="609" spans="1:16" x14ac:dyDescent="0.35">
      <c r="A609" t="s">
        <v>24</v>
      </c>
      <c r="B609">
        <v>2005</v>
      </c>
      <c r="D609">
        <v>6.1</v>
      </c>
      <c r="E609">
        <f>INT(Table2[[#This Row],[Transect]])</f>
        <v>6</v>
      </c>
      <c r="F609" t="s">
        <v>31</v>
      </c>
      <c r="G609">
        <v>2</v>
      </c>
      <c r="H609">
        <v>197</v>
      </c>
      <c r="J609">
        <f>Table2[[#This Row],[Hits]]/Table2[[#This Row],[Points]]*100</f>
        <v>1.015228426395939</v>
      </c>
      <c r="K609">
        <f>VLOOKUP(Table2[[#This Row],[Site]],'Site Info'!$A$1:$C$11,2, FALSE)</f>
        <v>34</v>
      </c>
      <c r="L609">
        <f>VLOOKUP(Table2[[#This Row],[Site]],'Site Info'!$A$1:$C$11,3, FALSE)</f>
        <v>6</v>
      </c>
      <c r="M609" t="str">
        <f>VLOOKUP(Table2[[#This Row],[Species]],'Species Table'!$A$1:$D$68,3, FALSE)</f>
        <v>Perennial</v>
      </c>
      <c r="O609" s="15">
        <f>IF(SUMPRODUCT(($A$2:$A609=A609)*($B$2:$B609=B609)*($F$2:$F609=F609))&gt;1,0,1)</f>
        <v>0</v>
      </c>
      <c r="P609" s="15">
        <f>IF(SUMPRODUCT(($A$2:$A609=A609)*($B$2:$B609=B609)*($D$2:$D609=D609))&gt;1,0,1)</f>
        <v>0</v>
      </c>
    </row>
    <row r="610" spans="1:16" x14ac:dyDescent="0.35">
      <c r="A610" t="s">
        <v>24</v>
      </c>
      <c r="B610">
        <v>2005</v>
      </c>
      <c r="D610">
        <v>6.1</v>
      </c>
      <c r="E610">
        <f>INT(Table2[[#This Row],[Transect]])</f>
        <v>6</v>
      </c>
      <c r="F610" t="s">
        <v>23</v>
      </c>
      <c r="G610">
        <v>2</v>
      </c>
      <c r="H610">
        <v>197</v>
      </c>
      <c r="J610">
        <f>Table2[[#This Row],[Hits]]/Table2[[#This Row],[Points]]*100</f>
        <v>1.015228426395939</v>
      </c>
      <c r="K610">
        <f>VLOOKUP(Table2[[#This Row],[Site]],'Site Info'!$A$1:$C$11,2, FALSE)</f>
        <v>34</v>
      </c>
      <c r="L610">
        <f>VLOOKUP(Table2[[#This Row],[Site]],'Site Info'!$A$1:$C$11,3, FALSE)</f>
        <v>6</v>
      </c>
      <c r="M610" t="str">
        <f>VLOOKUP(Table2[[#This Row],[Species]],'Species Table'!$A$1:$D$68,3, FALSE)</f>
        <v>Perennial</v>
      </c>
      <c r="O610" s="15">
        <f>IF(SUMPRODUCT(($A$2:$A610=A610)*($B$2:$B610=B610)*($F$2:$F610=F610))&gt;1,0,1)</f>
        <v>0</v>
      </c>
      <c r="P610" s="15">
        <f>IF(SUMPRODUCT(($A$2:$A610=A610)*($B$2:$B610=B610)*($D$2:$D610=D610))&gt;1,0,1)</f>
        <v>0</v>
      </c>
    </row>
    <row r="611" spans="1:16" hidden="1" x14ac:dyDescent="0.35">
      <c r="A611" t="s">
        <v>24</v>
      </c>
      <c r="B611">
        <v>2005</v>
      </c>
      <c r="D611">
        <v>6.1</v>
      </c>
      <c r="E611">
        <f>INT(Table2[[#This Row],[Transect]])</f>
        <v>6</v>
      </c>
      <c r="F611" t="s">
        <v>10</v>
      </c>
      <c r="G611">
        <v>2</v>
      </c>
      <c r="H611">
        <v>197</v>
      </c>
      <c r="J611">
        <f>Table2[[#This Row],[Hits]]/Table2[[#This Row],[Points]]*100</f>
        <v>1.015228426395939</v>
      </c>
      <c r="K611">
        <f>VLOOKUP(Table2[[#This Row],[Site]],'Site Info'!$A$1:$C$11,2, FALSE)</f>
        <v>34</v>
      </c>
      <c r="L611">
        <f>VLOOKUP(Table2[[#This Row],[Site]],'Site Info'!$A$1:$C$11,3, FALSE)</f>
        <v>6</v>
      </c>
      <c r="M611" t="str">
        <f>VLOOKUP(Table2[[#This Row],[Species]],'Species Table'!$A$1:$D$68,3, FALSE)</f>
        <v>Annual</v>
      </c>
      <c r="O611" s="15">
        <f>IF(SUMPRODUCT(($A$2:$A611=A611)*($B$2:$B611=B611)*($F$2:$F611=F611))&gt;1,0,1)</f>
        <v>0</v>
      </c>
      <c r="P611" s="15">
        <f>IF(SUMPRODUCT(($A$2:$A611=A611)*($B$2:$B611=B611)*($D$2:$D611=D611))&gt;1,0,1)</f>
        <v>0</v>
      </c>
    </row>
    <row r="612" spans="1:16" x14ac:dyDescent="0.35">
      <c r="A612" t="s">
        <v>24</v>
      </c>
      <c r="B612">
        <v>2005</v>
      </c>
      <c r="D612">
        <v>7.1</v>
      </c>
      <c r="E612">
        <f>INT(Table2[[#This Row],[Transect]])</f>
        <v>7</v>
      </c>
      <c r="F612" t="s">
        <v>14</v>
      </c>
      <c r="G612">
        <v>4</v>
      </c>
      <c r="H612">
        <v>117</v>
      </c>
      <c r="J612">
        <f>Table2[[#This Row],[Hits]]/Table2[[#This Row],[Points]]*100</f>
        <v>3.4188034188034191</v>
      </c>
      <c r="K612">
        <f>VLOOKUP(Table2[[#This Row],[Site]],'Site Info'!$A$1:$C$11,2, FALSE)</f>
        <v>34</v>
      </c>
      <c r="L612">
        <f>VLOOKUP(Table2[[#This Row],[Site]],'Site Info'!$A$1:$C$11,3, FALSE)</f>
        <v>6</v>
      </c>
      <c r="M612" t="str">
        <f>VLOOKUP(Table2[[#This Row],[Species]],'Species Table'!$A$1:$D$68,3, FALSE)</f>
        <v>Perennial</v>
      </c>
      <c r="O612" s="15">
        <f>IF(SUMPRODUCT(($A$2:$A612=A612)*($B$2:$B612=B612)*($F$2:$F612=F612))&gt;1,0,1)</f>
        <v>0</v>
      </c>
      <c r="P612" s="15">
        <f>IF(SUMPRODUCT(($A$2:$A612=A612)*($B$2:$B612=B612)*($D$2:$D612=D612))&gt;1,0,1)</f>
        <v>1</v>
      </c>
    </row>
    <row r="613" spans="1:16" x14ac:dyDescent="0.35">
      <c r="A613" t="s">
        <v>24</v>
      </c>
      <c r="B613">
        <v>2005</v>
      </c>
      <c r="D613">
        <v>7.1</v>
      </c>
      <c r="E613">
        <f>INT(Table2[[#This Row],[Transect]])</f>
        <v>7</v>
      </c>
      <c r="F613" t="s">
        <v>3</v>
      </c>
      <c r="G613">
        <v>3</v>
      </c>
      <c r="H613">
        <v>117</v>
      </c>
      <c r="J613">
        <f>Table2[[#This Row],[Hits]]/Table2[[#This Row],[Points]]*100</f>
        <v>2.5641025641025639</v>
      </c>
      <c r="K613">
        <f>VLOOKUP(Table2[[#This Row],[Site]],'Site Info'!$A$1:$C$11,2, FALSE)</f>
        <v>34</v>
      </c>
      <c r="L613">
        <f>VLOOKUP(Table2[[#This Row],[Site]],'Site Info'!$A$1:$C$11,3, FALSE)</f>
        <v>6</v>
      </c>
      <c r="M613" t="str">
        <f>VLOOKUP(Table2[[#This Row],[Species]],'Species Table'!$A$1:$D$68,3, FALSE)</f>
        <v>Perennial</v>
      </c>
      <c r="O613" s="15">
        <f>IF(SUMPRODUCT(($A$2:$A613=A613)*($B$2:$B613=B613)*($F$2:$F613=F613))&gt;1,0,1)</f>
        <v>0</v>
      </c>
      <c r="P613" s="15">
        <f>IF(SUMPRODUCT(($A$2:$A613=A613)*($B$2:$B613=B613)*($D$2:$D613=D613))&gt;1,0,1)</f>
        <v>0</v>
      </c>
    </row>
    <row r="614" spans="1:16" hidden="1" x14ac:dyDescent="0.35">
      <c r="A614" t="s">
        <v>24</v>
      </c>
      <c r="B614">
        <v>2005</v>
      </c>
      <c r="D614">
        <v>7.1</v>
      </c>
      <c r="E614">
        <f>INT(Table2[[#This Row],[Transect]])</f>
        <v>7</v>
      </c>
      <c r="F614" t="s">
        <v>10</v>
      </c>
      <c r="G614">
        <v>1</v>
      </c>
      <c r="H614">
        <v>117</v>
      </c>
      <c r="J614">
        <f>Table2[[#This Row],[Hits]]/Table2[[#This Row],[Points]]*100</f>
        <v>0.85470085470085477</v>
      </c>
      <c r="K614">
        <f>VLOOKUP(Table2[[#This Row],[Site]],'Site Info'!$A$1:$C$11,2, FALSE)</f>
        <v>34</v>
      </c>
      <c r="L614">
        <f>VLOOKUP(Table2[[#This Row],[Site]],'Site Info'!$A$1:$C$11,3, FALSE)</f>
        <v>6</v>
      </c>
      <c r="M614" t="str">
        <f>VLOOKUP(Table2[[#This Row],[Species]],'Species Table'!$A$1:$D$68,3, FALSE)</f>
        <v>Annual</v>
      </c>
      <c r="O614" s="15">
        <f>IF(SUMPRODUCT(($A$2:$A614=A614)*($B$2:$B614=B614)*($F$2:$F614=F614))&gt;1,0,1)</f>
        <v>0</v>
      </c>
      <c r="P614" s="15">
        <f>IF(SUMPRODUCT(($A$2:$A614=A614)*($B$2:$B614=B614)*($D$2:$D614=D614))&gt;1,0,1)</f>
        <v>0</v>
      </c>
    </row>
    <row r="615" spans="1:16" x14ac:dyDescent="0.35">
      <c r="A615" t="s">
        <v>24</v>
      </c>
      <c r="B615">
        <v>2005</v>
      </c>
      <c r="D615">
        <v>7.1</v>
      </c>
      <c r="E615">
        <f>INT(Table2[[#This Row],[Transect]])</f>
        <v>7</v>
      </c>
      <c r="F615" t="s">
        <v>2</v>
      </c>
      <c r="G615">
        <v>1</v>
      </c>
      <c r="H615">
        <v>117</v>
      </c>
      <c r="J615">
        <f>Table2[[#This Row],[Hits]]/Table2[[#This Row],[Points]]*100</f>
        <v>0.85470085470085477</v>
      </c>
      <c r="K615">
        <f>VLOOKUP(Table2[[#This Row],[Site]],'Site Info'!$A$1:$C$11,2, FALSE)</f>
        <v>34</v>
      </c>
      <c r="L615">
        <f>VLOOKUP(Table2[[#This Row],[Site]],'Site Info'!$A$1:$C$11,3, FALSE)</f>
        <v>6</v>
      </c>
      <c r="M615" t="str">
        <f>VLOOKUP(Table2[[#This Row],[Species]],'Species Table'!$A$1:$D$68,3, FALSE)</f>
        <v>Perennial</v>
      </c>
      <c r="O615" s="15">
        <f>IF(SUMPRODUCT(($A$2:$A615=A615)*($B$2:$B615=B615)*($F$2:$F615=F615))&gt;1,0,1)</f>
        <v>0</v>
      </c>
      <c r="P615" s="15">
        <f>IF(SUMPRODUCT(($A$2:$A615=A615)*($B$2:$B615=B615)*($D$2:$D615=D615))&gt;1,0,1)</f>
        <v>0</v>
      </c>
    </row>
    <row r="616" spans="1:16" x14ac:dyDescent="0.35">
      <c r="A616" t="s">
        <v>24</v>
      </c>
      <c r="B616">
        <v>2010</v>
      </c>
      <c r="C616" t="s">
        <v>82</v>
      </c>
      <c r="D616">
        <v>1.1000000000000001</v>
      </c>
      <c r="E616">
        <f>INT(Table2[[#This Row],[Transect]])</f>
        <v>1</v>
      </c>
      <c r="F616" t="s">
        <v>3</v>
      </c>
      <c r="G616">
        <v>31</v>
      </c>
      <c r="H616">
        <f t="shared" ref="H616:H662" si="0">I616*2</f>
        <v>142</v>
      </c>
      <c r="I616">
        <v>71</v>
      </c>
      <c r="J616">
        <f>Table2[[#This Row],[Hits]]/Table2[[#This Row],[Points]]*100</f>
        <v>21.830985915492956</v>
      </c>
      <c r="K616">
        <f>VLOOKUP(Table2[[#This Row],[Site]],'Site Info'!$A$1:$C$11,2, FALSE)</f>
        <v>34</v>
      </c>
      <c r="L616">
        <f>VLOOKUP(Table2[[#This Row],[Site]],'Site Info'!$A$1:$C$11,3, FALSE)</f>
        <v>6</v>
      </c>
      <c r="M616" t="str">
        <f>VLOOKUP(Table2[[#This Row],[Species]],'Species Table'!$A$1:$D$68,3, FALSE)</f>
        <v>Perennial</v>
      </c>
      <c r="O616" s="15">
        <f>IF(SUMPRODUCT(($A$2:$A616=A616)*($B$2:$B616=B616)*($F$2:$F616=F616))&gt;1,0,1)</f>
        <v>1</v>
      </c>
      <c r="P616" s="15">
        <f>IF(SUMPRODUCT(($A$2:$A616=A616)*($B$2:$B616=B616)*($D$2:$D616=D616))&gt;1,0,1)</f>
        <v>1</v>
      </c>
    </row>
    <row r="617" spans="1:16" hidden="1" x14ac:dyDescent="0.35">
      <c r="A617" t="s">
        <v>24</v>
      </c>
      <c r="B617">
        <v>2010</v>
      </c>
      <c r="C617" t="s">
        <v>82</v>
      </c>
      <c r="D617">
        <v>1.1000000000000001</v>
      </c>
      <c r="E617">
        <f>INT(Table2[[#This Row],[Transect]])</f>
        <v>1</v>
      </c>
      <c r="F617" t="s">
        <v>33</v>
      </c>
      <c r="G617">
        <v>20</v>
      </c>
      <c r="H617">
        <f t="shared" si="0"/>
        <v>142</v>
      </c>
      <c r="I617">
        <v>71</v>
      </c>
      <c r="J617">
        <f>Table2[[#This Row],[Hits]]/Table2[[#This Row],[Points]]*100</f>
        <v>14.084507042253522</v>
      </c>
      <c r="K617">
        <f>VLOOKUP(Table2[[#This Row],[Site]],'Site Info'!$A$1:$C$11,2, FALSE)</f>
        <v>34</v>
      </c>
      <c r="L617">
        <f>VLOOKUP(Table2[[#This Row],[Site]],'Site Info'!$A$1:$C$11,3, FALSE)</f>
        <v>6</v>
      </c>
      <c r="M617" t="str">
        <f>VLOOKUP(Table2[[#This Row],[Species]],'Species Table'!$A$1:$D$68,3, FALSE)</f>
        <v>Annual</v>
      </c>
      <c r="O617" s="15">
        <f>IF(SUMPRODUCT(($A$2:$A617=A617)*($B$2:$B617=B617)*($F$2:$F617=F617))&gt;1,0,1)</f>
        <v>1</v>
      </c>
      <c r="P617" s="15">
        <f>IF(SUMPRODUCT(($A$2:$A617=A617)*($B$2:$B617=B617)*($D$2:$D617=D617))&gt;1,0,1)</f>
        <v>0</v>
      </c>
    </row>
    <row r="618" spans="1:16" hidden="1" x14ac:dyDescent="0.35">
      <c r="A618" t="s">
        <v>24</v>
      </c>
      <c r="B618">
        <v>2010</v>
      </c>
      <c r="C618" t="s">
        <v>82</v>
      </c>
      <c r="D618">
        <v>1.1000000000000001</v>
      </c>
      <c r="E618">
        <f>INT(Table2[[#This Row],[Transect]])</f>
        <v>1</v>
      </c>
      <c r="F618" t="s">
        <v>10</v>
      </c>
      <c r="G618">
        <v>4</v>
      </c>
      <c r="H618">
        <f t="shared" si="0"/>
        <v>142</v>
      </c>
      <c r="I618">
        <v>71</v>
      </c>
      <c r="J618">
        <f>Table2[[#This Row],[Hits]]/Table2[[#This Row],[Points]]*100</f>
        <v>2.8169014084507045</v>
      </c>
      <c r="K618">
        <f>VLOOKUP(Table2[[#This Row],[Site]],'Site Info'!$A$1:$C$11,2, FALSE)</f>
        <v>34</v>
      </c>
      <c r="L618">
        <f>VLOOKUP(Table2[[#This Row],[Site]],'Site Info'!$A$1:$C$11,3, FALSE)</f>
        <v>6</v>
      </c>
      <c r="M618" t="str">
        <f>VLOOKUP(Table2[[#This Row],[Species]],'Species Table'!$A$1:$D$68,3, FALSE)</f>
        <v>Annual</v>
      </c>
      <c r="O618" s="15">
        <f>IF(SUMPRODUCT(($A$2:$A618=A618)*($B$2:$B618=B618)*($F$2:$F618=F618))&gt;1,0,1)</f>
        <v>1</v>
      </c>
      <c r="P618" s="15">
        <f>IF(SUMPRODUCT(($A$2:$A618=A618)*($B$2:$B618=B618)*($D$2:$D618=D618))&gt;1,0,1)</f>
        <v>0</v>
      </c>
    </row>
    <row r="619" spans="1:16" hidden="1" x14ac:dyDescent="0.35">
      <c r="A619" t="s">
        <v>24</v>
      </c>
      <c r="B619">
        <v>2010</v>
      </c>
      <c r="C619" t="s">
        <v>82</v>
      </c>
      <c r="D619">
        <v>1.1000000000000001</v>
      </c>
      <c r="E619">
        <f>INT(Table2[[#This Row],[Transect]])</f>
        <v>1</v>
      </c>
      <c r="F619" t="s">
        <v>135</v>
      </c>
      <c r="G619">
        <v>2</v>
      </c>
      <c r="H619">
        <f t="shared" si="0"/>
        <v>142</v>
      </c>
      <c r="I619">
        <v>71</v>
      </c>
      <c r="J619">
        <f>Table2[[#This Row],[Hits]]/Table2[[#This Row],[Points]]*100</f>
        <v>1.4084507042253522</v>
      </c>
      <c r="K619">
        <f>VLOOKUP(Table2[[#This Row],[Site]],'Site Info'!$A$1:$C$11,2, FALSE)</f>
        <v>34</v>
      </c>
      <c r="L619">
        <f>VLOOKUP(Table2[[#This Row],[Site]],'Site Info'!$A$1:$C$11,3, FALSE)</f>
        <v>6</v>
      </c>
      <c r="M619" t="str">
        <f>VLOOKUP(Table2[[#This Row],[Species]],'Species Table'!$A$1:$D$68,3, FALSE)</f>
        <v>Annual</v>
      </c>
      <c r="O619" s="15">
        <f>IF(SUMPRODUCT(($A$2:$A619=A619)*($B$2:$B619=B619)*($F$2:$F619=F619))&gt;1,0,1)</f>
        <v>1</v>
      </c>
      <c r="P619" s="15">
        <f>IF(SUMPRODUCT(($A$2:$A619=A619)*($B$2:$B619=B619)*($D$2:$D619=D619))&gt;1,0,1)</f>
        <v>0</v>
      </c>
    </row>
    <row r="620" spans="1:16" x14ac:dyDescent="0.35">
      <c r="A620" t="s">
        <v>24</v>
      </c>
      <c r="B620">
        <v>2010</v>
      </c>
      <c r="C620" t="s">
        <v>82</v>
      </c>
      <c r="D620">
        <v>1.1000000000000001</v>
      </c>
      <c r="E620">
        <f>INT(Table2[[#This Row],[Transect]])</f>
        <v>1</v>
      </c>
      <c r="F620" t="s">
        <v>23</v>
      </c>
      <c r="G620">
        <v>2</v>
      </c>
      <c r="H620">
        <f t="shared" si="0"/>
        <v>142</v>
      </c>
      <c r="I620">
        <v>71</v>
      </c>
      <c r="J620">
        <f>Table2[[#This Row],[Hits]]/Table2[[#This Row],[Points]]*100</f>
        <v>1.4084507042253522</v>
      </c>
      <c r="K620">
        <f>VLOOKUP(Table2[[#This Row],[Site]],'Site Info'!$A$1:$C$11,2, FALSE)</f>
        <v>34</v>
      </c>
      <c r="L620">
        <f>VLOOKUP(Table2[[#This Row],[Site]],'Site Info'!$A$1:$C$11,3, FALSE)</f>
        <v>6</v>
      </c>
      <c r="M620" t="str">
        <f>VLOOKUP(Table2[[#This Row],[Species]],'Species Table'!$A$1:$D$68,3, FALSE)</f>
        <v>Perennial</v>
      </c>
      <c r="O620" s="15">
        <f>IF(SUMPRODUCT(($A$2:$A620=A620)*($B$2:$B620=B620)*($F$2:$F620=F620))&gt;1,0,1)</f>
        <v>1</v>
      </c>
      <c r="P620" s="15">
        <f>IF(SUMPRODUCT(($A$2:$A620=A620)*($B$2:$B620=B620)*($D$2:$D620=D620))&gt;1,0,1)</f>
        <v>0</v>
      </c>
    </row>
    <row r="621" spans="1:16" x14ac:dyDescent="0.35">
      <c r="A621" t="s">
        <v>24</v>
      </c>
      <c r="B621">
        <v>2010</v>
      </c>
      <c r="C621" t="s">
        <v>82</v>
      </c>
      <c r="D621">
        <v>1.1000000000000001</v>
      </c>
      <c r="E621">
        <f>INT(Table2[[#This Row],[Transect]])</f>
        <v>1</v>
      </c>
      <c r="F621" t="s">
        <v>134</v>
      </c>
      <c r="G621">
        <v>1</v>
      </c>
      <c r="H621">
        <f t="shared" si="0"/>
        <v>142</v>
      </c>
      <c r="I621">
        <v>71</v>
      </c>
      <c r="J621">
        <f>Table2[[#This Row],[Hits]]/Table2[[#This Row],[Points]]*100</f>
        <v>0.70422535211267612</v>
      </c>
      <c r="K621">
        <f>VLOOKUP(Table2[[#This Row],[Site]],'Site Info'!$A$1:$C$11,2, FALSE)</f>
        <v>34</v>
      </c>
      <c r="L621">
        <f>VLOOKUP(Table2[[#This Row],[Site]],'Site Info'!$A$1:$C$11,3, FALSE)</f>
        <v>6</v>
      </c>
      <c r="M621" t="str">
        <f>VLOOKUP(Table2[[#This Row],[Species]],'Species Table'!$A$1:$D$68,3, FALSE)</f>
        <v>Perennial</v>
      </c>
      <c r="O621" s="15">
        <f>IF(SUMPRODUCT(($A$2:$A621=A621)*($B$2:$B621=B621)*($F$2:$F621=F621))&gt;1,0,1)</f>
        <v>1</v>
      </c>
      <c r="P621" s="15">
        <f>IF(SUMPRODUCT(($A$2:$A621=A621)*($B$2:$B621=B621)*($D$2:$D621=D621))&gt;1,0,1)</f>
        <v>0</v>
      </c>
    </row>
    <row r="622" spans="1:16" x14ac:dyDescent="0.35">
      <c r="A622" t="s">
        <v>24</v>
      </c>
      <c r="B622">
        <v>2010</v>
      </c>
      <c r="C622" t="s">
        <v>82</v>
      </c>
      <c r="D622">
        <v>1.1000000000000001</v>
      </c>
      <c r="E622">
        <f>INT(Table2[[#This Row],[Transect]])</f>
        <v>1</v>
      </c>
      <c r="F622" t="s">
        <v>2</v>
      </c>
      <c r="G622">
        <v>1</v>
      </c>
      <c r="H622">
        <f t="shared" si="0"/>
        <v>142</v>
      </c>
      <c r="I622">
        <v>71</v>
      </c>
      <c r="J622">
        <f>Table2[[#This Row],[Hits]]/Table2[[#This Row],[Points]]*100</f>
        <v>0.70422535211267612</v>
      </c>
      <c r="K622">
        <f>VLOOKUP(Table2[[#This Row],[Site]],'Site Info'!$A$1:$C$11,2, FALSE)</f>
        <v>34</v>
      </c>
      <c r="L622">
        <f>VLOOKUP(Table2[[#This Row],[Site]],'Site Info'!$A$1:$C$11,3, FALSE)</f>
        <v>6</v>
      </c>
      <c r="M622" t="str">
        <f>VLOOKUP(Table2[[#This Row],[Species]],'Species Table'!$A$1:$D$68,3, FALSE)</f>
        <v>Perennial</v>
      </c>
      <c r="O622" s="15">
        <f>IF(SUMPRODUCT(($A$2:$A622=A622)*($B$2:$B622=B622)*($F$2:$F622=F622))&gt;1,0,1)</f>
        <v>1</v>
      </c>
      <c r="P622" s="15">
        <f>IF(SUMPRODUCT(($A$2:$A622=A622)*($B$2:$B622=B622)*($D$2:$D622=D622))&gt;1,0,1)</f>
        <v>0</v>
      </c>
    </row>
    <row r="623" spans="1:16" x14ac:dyDescent="0.35">
      <c r="A623" t="s">
        <v>24</v>
      </c>
      <c r="B623">
        <v>2010</v>
      </c>
      <c r="C623" t="s">
        <v>43</v>
      </c>
      <c r="D623">
        <v>2.1</v>
      </c>
      <c r="E623">
        <f>INT(Table2[[#This Row],[Transect]])</f>
        <v>2</v>
      </c>
      <c r="F623" t="s">
        <v>3</v>
      </c>
      <c r="G623">
        <v>34</v>
      </c>
      <c r="H623">
        <f t="shared" si="0"/>
        <v>130</v>
      </c>
      <c r="I623">
        <v>65</v>
      </c>
      <c r="J623">
        <f>Table2[[#This Row],[Hits]]/Table2[[#This Row],[Points]]*100</f>
        <v>26.153846153846157</v>
      </c>
      <c r="K623">
        <f>VLOOKUP(Table2[[#This Row],[Site]],'Site Info'!$A$1:$C$11,2, FALSE)</f>
        <v>34</v>
      </c>
      <c r="L623">
        <f>VLOOKUP(Table2[[#This Row],[Site]],'Site Info'!$A$1:$C$11,3, FALSE)</f>
        <v>6</v>
      </c>
      <c r="M623" t="str">
        <f>VLOOKUP(Table2[[#This Row],[Species]],'Species Table'!$A$1:$D$68,3, FALSE)</f>
        <v>Perennial</v>
      </c>
      <c r="O623" s="15">
        <f>IF(SUMPRODUCT(($A$2:$A623=A623)*($B$2:$B623=B623)*($F$2:$F623=F623))&gt;1,0,1)</f>
        <v>0</v>
      </c>
      <c r="P623" s="15">
        <f>IF(SUMPRODUCT(($A$2:$A623=A623)*($B$2:$B623=B623)*($D$2:$D623=D623))&gt;1,0,1)</f>
        <v>1</v>
      </c>
    </row>
    <row r="624" spans="1:16" hidden="1" x14ac:dyDescent="0.35">
      <c r="A624" t="s">
        <v>24</v>
      </c>
      <c r="B624">
        <v>2010</v>
      </c>
      <c r="C624" t="s">
        <v>43</v>
      </c>
      <c r="D624">
        <v>2.1</v>
      </c>
      <c r="E624">
        <f>INT(Table2[[#This Row],[Transect]])</f>
        <v>2</v>
      </c>
      <c r="F624" t="s">
        <v>33</v>
      </c>
      <c r="G624">
        <v>17</v>
      </c>
      <c r="H624">
        <f t="shared" si="0"/>
        <v>130</v>
      </c>
      <c r="I624">
        <v>65</v>
      </c>
      <c r="J624">
        <f>Table2[[#This Row],[Hits]]/Table2[[#This Row],[Points]]*100</f>
        <v>13.076923076923078</v>
      </c>
      <c r="K624">
        <f>VLOOKUP(Table2[[#This Row],[Site]],'Site Info'!$A$1:$C$11,2, FALSE)</f>
        <v>34</v>
      </c>
      <c r="L624">
        <f>VLOOKUP(Table2[[#This Row],[Site]],'Site Info'!$A$1:$C$11,3, FALSE)</f>
        <v>6</v>
      </c>
      <c r="M624" t="str">
        <f>VLOOKUP(Table2[[#This Row],[Species]],'Species Table'!$A$1:$D$68,3, FALSE)</f>
        <v>Annual</v>
      </c>
      <c r="O624" s="15">
        <f>IF(SUMPRODUCT(($A$2:$A624=A624)*($B$2:$B624=B624)*($F$2:$F624=F624))&gt;1,0,1)</f>
        <v>0</v>
      </c>
      <c r="P624" s="15">
        <f>IF(SUMPRODUCT(($A$2:$A624=A624)*($B$2:$B624=B624)*($D$2:$D624=D624))&gt;1,0,1)</f>
        <v>0</v>
      </c>
    </row>
    <row r="625" spans="1:16" hidden="1" x14ac:dyDescent="0.35">
      <c r="A625" t="s">
        <v>24</v>
      </c>
      <c r="B625">
        <v>2010</v>
      </c>
      <c r="C625" t="s">
        <v>43</v>
      </c>
      <c r="D625">
        <v>2.1</v>
      </c>
      <c r="E625">
        <f>INT(Table2[[#This Row],[Transect]])</f>
        <v>2</v>
      </c>
      <c r="F625" t="s">
        <v>20</v>
      </c>
      <c r="G625">
        <v>6</v>
      </c>
      <c r="H625">
        <f t="shared" si="0"/>
        <v>130</v>
      </c>
      <c r="I625">
        <v>65</v>
      </c>
      <c r="J625">
        <f>Table2[[#This Row],[Hits]]/Table2[[#This Row],[Points]]*100</f>
        <v>4.6153846153846159</v>
      </c>
      <c r="K625">
        <f>VLOOKUP(Table2[[#This Row],[Site]],'Site Info'!$A$1:$C$11,2, FALSE)</f>
        <v>34</v>
      </c>
      <c r="L625">
        <f>VLOOKUP(Table2[[#This Row],[Site]],'Site Info'!$A$1:$C$11,3, FALSE)</f>
        <v>6</v>
      </c>
      <c r="M625" t="str">
        <f>VLOOKUP(Table2[[#This Row],[Species]],'Species Table'!$A$1:$D$68,3, FALSE)</f>
        <v>Annual</v>
      </c>
      <c r="O625" s="15">
        <f>IF(SUMPRODUCT(($A$2:$A625=A625)*($B$2:$B625=B625)*($F$2:$F625=F625))&gt;1,0,1)</f>
        <v>1</v>
      </c>
      <c r="P625" s="15">
        <f>IF(SUMPRODUCT(($A$2:$A625=A625)*($B$2:$B625=B625)*($D$2:$D625=D625))&gt;1,0,1)</f>
        <v>0</v>
      </c>
    </row>
    <row r="626" spans="1:16" x14ac:dyDescent="0.35">
      <c r="A626" t="s">
        <v>24</v>
      </c>
      <c r="B626">
        <v>2010</v>
      </c>
      <c r="C626" t="s">
        <v>43</v>
      </c>
      <c r="D626">
        <v>2.1</v>
      </c>
      <c r="E626">
        <f>INT(Table2[[#This Row],[Transect]])</f>
        <v>2</v>
      </c>
      <c r="F626" t="s">
        <v>13</v>
      </c>
      <c r="G626">
        <v>5</v>
      </c>
      <c r="H626">
        <f t="shared" si="0"/>
        <v>130</v>
      </c>
      <c r="I626">
        <v>65</v>
      </c>
      <c r="J626">
        <f>Table2[[#This Row],[Hits]]/Table2[[#This Row],[Points]]*100</f>
        <v>3.8461538461538463</v>
      </c>
      <c r="K626">
        <f>VLOOKUP(Table2[[#This Row],[Site]],'Site Info'!$A$1:$C$11,2, FALSE)</f>
        <v>34</v>
      </c>
      <c r="L626">
        <f>VLOOKUP(Table2[[#This Row],[Site]],'Site Info'!$A$1:$C$11,3, FALSE)</f>
        <v>6</v>
      </c>
      <c r="M626" t="str">
        <f>VLOOKUP(Table2[[#This Row],[Species]],'Species Table'!$A$1:$D$68,3, FALSE)</f>
        <v>Perennial</v>
      </c>
      <c r="O626" s="15">
        <f>IF(SUMPRODUCT(($A$2:$A626=A626)*($B$2:$B626=B626)*($F$2:$F626=F626))&gt;1,0,1)</f>
        <v>1</v>
      </c>
      <c r="P626" s="15">
        <f>IF(SUMPRODUCT(($A$2:$A626=A626)*($B$2:$B626=B626)*($D$2:$D626=D626))&gt;1,0,1)</f>
        <v>0</v>
      </c>
    </row>
    <row r="627" spans="1:16" x14ac:dyDescent="0.35">
      <c r="A627" t="s">
        <v>24</v>
      </c>
      <c r="B627">
        <v>2010</v>
      </c>
      <c r="C627" t="s">
        <v>43</v>
      </c>
      <c r="D627">
        <v>2.1</v>
      </c>
      <c r="E627">
        <f>INT(Table2[[#This Row],[Transect]])</f>
        <v>2</v>
      </c>
      <c r="F627" t="s">
        <v>2</v>
      </c>
      <c r="G627">
        <v>1</v>
      </c>
      <c r="H627">
        <f t="shared" si="0"/>
        <v>130</v>
      </c>
      <c r="I627">
        <v>65</v>
      </c>
      <c r="J627">
        <f>Table2[[#This Row],[Hits]]/Table2[[#This Row],[Points]]*100</f>
        <v>0.76923076923076927</v>
      </c>
      <c r="K627">
        <f>VLOOKUP(Table2[[#This Row],[Site]],'Site Info'!$A$1:$C$11,2, FALSE)</f>
        <v>34</v>
      </c>
      <c r="L627">
        <f>VLOOKUP(Table2[[#This Row],[Site]],'Site Info'!$A$1:$C$11,3, FALSE)</f>
        <v>6</v>
      </c>
      <c r="M627" t="str">
        <f>VLOOKUP(Table2[[#This Row],[Species]],'Species Table'!$A$1:$D$68,3, FALSE)</f>
        <v>Perennial</v>
      </c>
      <c r="O627" s="15">
        <f>IF(SUMPRODUCT(($A$2:$A627=A627)*($B$2:$B627=B627)*($F$2:$F627=F627))&gt;1,0,1)</f>
        <v>0</v>
      </c>
      <c r="P627" s="15">
        <f>IF(SUMPRODUCT(($A$2:$A627=A627)*($B$2:$B627=B627)*($D$2:$D627=D627))&gt;1,0,1)</f>
        <v>0</v>
      </c>
    </row>
    <row r="628" spans="1:16" x14ac:dyDescent="0.35">
      <c r="A628" t="s">
        <v>24</v>
      </c>
      <c r="B628">
        <v>2010</v>
      </c>
      <c r="C628" t="s">
        <v>110</v>
      </c>
      <c r="D628">
        <v>2.2000000000000002</v>
      </c>
      <c r="E628">
        <f>INT(Table2[[#This Row],[Transect]])</f>
        <v>2</v>
      </c>
      <c r="F628" t="s">
        <v>3</v>
      </c>
      <c r="G628">
        <v>33</v>
      </c>
      <c r="H628">
        <f t="shared" si="0"/>
        <v>66</v>
      </c>
      <c r="I628">
        <v>33</v>
      </c>
      <c r="J628">
        <f>Table2[[#This Row],[Hits]]/Table2[[#This Row],[Points]]*100</f>
        <v>50</v>
      </c>
      <c r="K628">
        <f>VLOOKUP(Table2[[#This Row],[Site]],'Site Info'!$A$1:$C$11,2, FALSE)</f>
        <v>34</v>
      </c>
      <c r="L628">
        <f>VLOOKUP(Table2[[#This Row],[Site]],'Site Info'!$A$1:$C$11,3, FALSE)</f>
        <v>6</v>
      </c>
      <c r="M628" t="str">
        <f>VLOOKUP(Table2[[#This Row],[Species]],'Species Table'!$A$1:$D$68,3, FALSE)</f>
        <v>Perennial</v>
      </c>
      <c r="O628" s="15">
        <f>IF(SUMPRODUCT(($A$2:$A628=A628)*($B$2:$B628=B628)*($F$2:$F628=F628))&gt;1,0,1)</f>
        <v>0</v>
      </c>
      <c r="P628" s="15">
        <f>IF(SUMPRODUCT(($A$2:$A628=A628)*($B$2:$B628=B628)*($D$2:$D628=D628))&gt;1,0,1)</f>
        <v>1</v>
      </c>
    </row>
    <row r="629" spans="1:16" x14ac:dyDescent="0.35">
      <c r="A629" t="s">
        <v>24</v>
      </c>
      <c r="B629">
        <v>2010</v>
      </c>
      <c r="C629" t="s">
        <v>110</v>
      </c>
      <c r="D629">
        <v>2.2000000000000002</v>
      </c>
      <c r="E629">
        <f>INT(Table2[[#This Row],[Transect]])</f>
        <v>2</v>
      </c>
      <c r="F629" t="s">
        <v>32</v>
      </c>
      <c r="G629">
        <v>3</v>
      </c>
      <c r="H629">
        <f t="shared" si="0"/>
        <v>66</v>
      </c>
      <c r="I629">
        <v>33</v>
      </c>
      <c r="J629">
        <f>Table2[[#This Row],[Hits]]/Table2[[#This Row],[Points]]*100</f>
        <v>4.5454545454545459</v>
      </c>
      <c r="K629">
        <f>VLOOKUP(Table2[[#This Row],[Site]],'Site Info'!$A$1:$C$11,2, FALSE)</f>
        <v>34</v>
      </c>
      <c r="L629">
        <f>VLOOKUP(Table2[[#This Row],[Site]],'Site Info'!$A$1:$C$11,3, FALSE)</f>
        <v>6</v>
      </c>
      <c r="M629" t="str">
        <f>VLOOKUP(Table2[[#This Row],[Species]],'Species Table'!$A$1:$D$68,3, FALSE)</f>
        <v>Perennial</v>
      </c>
      <c r="O629" s="15">
        <f>IF(SUMPRODUCT(($A$2:$A629=A629)*($B$2:$B629=B629)*($F$2:$F629=F629))&gt;1,0,1)</f>
        <v>1</v>
      </c>
      <c r="P629" s="15">
        <f>IF(SUMPRODUCT(($A$2:$A629=A629)*($B$2:$B629=B629)*($D$2:$D629=D629))&gt;1,0,1)</f>
        <v>0</v>
      </c>
    </row>
    <row r="630" spans="1:16" x14ac:dyDescent="0.35">
      <c r="A630" t="s">
        <v>24</v>
      </c>
      <c r="B630">
        <v>2010</v>
      </c>
      <c r="C630" t="s">
        <v>110</v>
      </c>
      <c r="D630">
        <v>2.2000000000000002</v>
      </c>
      <c r="E630">
        <f>INT(Table2[[#This Row],[Transect]])</f>
        <v>2</v>
      </c>
      <c r="F630" t="s">
        <v>2</v>
      </c>
      <c r="G630">
        <v>3</v>
      </c>
      <c r="H630">
        <f t="shared" si="0"/>
        <v>66</v>
      </c>
      <c r="I630">
        <v>33</v>
      </c>
      <c r="J630">
        <f>Table2[[#This Row],[Hits]]/Table2[[#This Row],[Points]]*100</f>
        <v>4.5454545454545459</v>
      </c>
      <c r="K630">
        <f>VLOOKUP(Table2[[#This Row],[Site]],'Site Info'!$A$1:$C$11,2, FALSE)</f>
        <v>34</v>
      </c>
      <c r="L630">
        <f>VLOOKUP(Table2[[#This Row],[Site]],'Site Info'!$A$1:$C$11,3, FALSE)</f>
        <v>6</v>
      </c>
      <c r="M630" t="str">
        <f>VLOOKUP(Table2[[#This Row],[Species]],'Species Table'!$A$1:$D$68,3, FALSE)</f>
        <v>Perennial</v>
      </c>
      <c r="O630" s="15">
        <f>IF(SUMPRODUCT(($A$2:$A630=A630)*($B$2:$B630=B630)*($F$2:$F630=F630))&gt;1,0,1)</f>
        <v>0</v>
      </c>
      <c r="P630" s="15">
        <f>IF(SUMPRODUCT(($A$2:$A630=A630)*($B$2:$B630=B630)*($D$2:$D630=D630))&gt;1,0,1)</f>
        <v>0</v>
      </c>
    </row>
    <row r="631" spans="1:16" x14ac:dyDescent="0.35">
      <c r="A631" t="s">
        <v>24</v>
      </c>
      <c r="B631">
        <v>2010</v>
      </c>
      <c r="C631" t="s">
        <v>110</v>
      </c>
      <c r="D631">
        <v>2.2000000000000002</v>
      </c>
      <c r="E631">
        <f>INT(Table2[[#This Row],[Transect]])</f>
        <v>2</v>
      </c>
      <c r="F631" t="s">
        <v>11</v>
      </c>
      <c r="G631">
        <v>2</v>
      </c>
      <c r="H631">
        <f t="shared" si="0"/>
        <v>66</v>
      </c>
      <c r="I631">
        <v>33</v>
      </c>
      <c r="J631">
        <f>Table2[[#This Row],[Hits]]/Table2[[#This Row],[Points]]*100</f>
        <v>3.0303030303030303</v>
      </c>
      <c r="K631">
        <f>VLOOKUP(Table2[[#This Row],[Site]],'Site Info'!$A$1:$C$11,2, FALSE)</f>
        <v>34</v>
      </c>
      <c r="L631">
        <f>VLOOKUP(Table2[[#This Row],[Site]],'Site Info'!$A$1:$C$11,3, FALSE)</f>
        <v>6</v>
      </c>
      <c r="M631" t="str">
        <f>VLOOKUP(Table2[[#This Row],[Species]],'Species Table'!$A$1:$D$68,3, FALSE)</f>
        <v>Perennial</v>
      </c>
      <c r="O631" s="15">
        <f>IF(SUMPRODUCT(($A$2:$A631=A631)*($B$2:$B631=B631)*($F$2:$F631=F631))&gt;1,0,1)</f>
        <v>1</v>
      </c>
      <c r="P631" s="15">
        <f>IF(SUMPRODUCT(($A$2:$A631=A631)*($B$2:$B631=B631)*($D$2:$D631=D631))&gt;1,0,1)</f>
        <v>0</v>
      </c>
    </row>
    <row r="632" spans="1:16" x14ac:dyDescent="0.35">
      <c r="A632" t="s">
        <v>24</v>
      </c>
      <c r="B632">
        <v>2010</v>
      </c>
      <c r="C632" t="s">
        <v>50</v>
      </c>
      <c r="D632">
        <v>3.1</v>
      </c>
      <c r="E632">
        <f>INT(Table2[[#This Row],[Transect]])</f>
        <v>3</v>
      </c>
      <c r="F632" t="s">
        <v>3</v>
      </c>
      <c r="G632">
        <v>28</v>
      </c>
      <c r="H632">
        <f t="shared" si="0"/>
        <v>83</v>
      </c>
      <c r="I632">
        <v>41.5</v>
      </c>
      <c r="J632">
        <f>Table2[[#This Row],[Hits]]/Table2[[#This Row],[Points]]*100</f>
        <v>33.734939759036145</v>
      </c>
      <c r="K632">
        <f>VLOOKUP(Table2[[#This Row],[Site]],'Site Info'!$A$1:$C$11,2, FALSE)</f>
        <v>34</v>
      </c>
      <c r="L632">
        <f>VLOOKUP(Table2[[#This Row],[Site]],'Site Info'!$A$1:$C$11,3, FALSE)</f>
        <v>6</v>
      </c>
      <c r="M632" t="str">
        <f>VLOOKUP(Table2[[#This Row],[Species]],'Species Table'!$A$1:$D$68,3, FALSE)</f>
        <v>Perennial</v>
      </c>
      <c r="O632" s="15">
        <f>IF(SUMPRODUCT(($A$2:$A632=A632)*($B$2:$B632=B632)*($F$2:$F632=F632))&gt;1,0,1)</f>
        <v>0</v>
      </c>
      <c r="P632" s="15">
        <f>IF(SUMPRODUCT(($A$2:$A632=A632)*($B$2:$B632=B632)*($D$2:$D632=D632))&gt;1,0,1)</f>
        <v>1</v>
      </c>
    </row>
    <row r="633" spans="1:16" hidden="1" x14ac:dyDescent="0.35">
      <c r="A633" t="s">
        <v>24</v>
      </c>
      <c r="B633">
        <v>2010</v>
      </c>
      <c r="C633" t="s">
        <v>50</v>
      </c>
      <c r="D633">
        <v>3.1</v>
      </c>
      <c r="E633">
        <f>INT(Table2[[#This Row],[Transect]])</f>
        <v>3</v>
      </c>
      <c r="F633" t="s">
        <v>33</v>
      </c>
      <c r="G633">
        <v>2</v>
      </c>
      <c r="H633">
        <f t="shared" si="0"/>
        <v>83</v>
      </c>
      <c r="I633">
        <v>41.5</v>
      </c>
      <c r="J633">
        <f>Table2[[#This Row],[Hits]]/Table2[[#This Row],[Points]]*100</f>
        <v>2.4096385542168677</v>
      </c>
      <c r="K633">
        <f>VLOOKUP(Table2[[#This Row],[Site]],'Site Info'!$A$1:$C$11,2, FALSE)</f>
        <v>34</v>
      </c>
      <c r="L633">
        <f>VLOOKUP(Table2[[#This Row],[Site]],'Site Info'!$A$1:$C$11,3, FALSE)</f>
        <v>6</v>
      </c>
      <c r="M633" t="str">
        <f>VLOOKUP(Table2[[#This Row],[Species]],'Species Table'!$A$1:$D$68,3, FALSE)</f>
        <v>Annual</v>
      </c>
      <c r="O633" s="15">
        <f>IF(SUMPRODUCT(($A$2:$A633=A633)*($B$2:$B633=B633)*($F$2:$F633=F633))&gt;1,0,1)</f>
        <v>0</v>
      </c>
      <c r="P633" s="15">
        <f>IF(SUMPRODUCT(($A$2:$A633=A633)*($B$2:$B633=B633)*($D$2:$D633=D633))&gt;1,0,1)</f>
        <v>0</v>
      </c>
    </row>
    <row r="634" spans="1:16" hidden="1" x14ac:dyDescent="0.35">
      <c r="A634" t="s">
        <v>24</v>
      </c>
      <c r="B634">
        <v>2010</v>
      </c>
      <c r="C634" t="s">
        <v>50</v>
      </c>
      <c r="D634">
        <v>3.1</v>
      </c>
      <c r="E634">
        <f>INT(Table2[[#This Row],[Transect]])</f>
        <v>3</v>
      </c>
      <c r="F634" t="s">
        <v>135</v>
      </c>
      <c r="G634">
        <v>1</v>
      </c>
      <c r="H634">
        <f t="shared" si="0"/>
        <v>83</v>
      </c>
      <c r="I634">
        <v>41.5</v>
      </c>
      <c r="J634">
        <f>Table2[[#This Row],[Hits]]/Table2[[#This Row],[Points]]*100</f>
        <v>1.2048192771084338</v>
      </c>
      <c r="K634">
        <f>VLOOKUP(Table2[[#This Row],[Site]],'Site Info'!$A$1:$C$11,2, FALSE)</f>
        <v>34</v>
      </c>
      <c r="L634">
        <f>VLOOKUP(Table2[[#This Row],[Site]],'Site Info'!$A$1:$C$11,3, FALSE)</f>
        <v>6</v>
      </c>
      <c r="M634" t="str">
        <f>VLOOKUP(Table2[[#This Row],[Species]],'Species Table'!$A$1:$D$68,3, FALSE)</f>
        <v>Annual</v>
      </c>
      <c r="O634" s="15">
        <f>IF(SUMPRODUCT(($A$2:$A634=A634)*($B$2:$B634=B634)*($F$2:$F634=F634))&gt;1,0,1)</f>
        <v>0</v>
      </c>
      <c r="P634" s="15">
        <f>IF(SUMPRODUCT(($A$2:$A634=A634)*($B$2:$B634=B634)*($D$2:$D634=D634))&gt;1,0,1)</f>
        <v>0</v>
      </c>
    </row>
    <row r="635" spans="1:16" x14ac:dyDescent="0.35">
      <c r="A635" t="s">
        <v>24</v>
      </c>
      <c r="B635">
        <v>2010</v>
      </c>
      <c r="C635" t="s">
        <v>50</v>
      </c>
      <c r="D635">
        <v>3.1</v>
      </c>
      <c r="E635">
        <f>INT(Table2[[#This Row],[Transect]])</f>
        <v>3</v>
      </c>
      <c r="F635" t="s">
        <v>32</v>
      </c>
      <c r="G635">
        <v>1</v>
      </c>
      <c r="H635">
        <f t="shared" si="0"/>
        <v>83</v>
      </c>
      <c r="I635">
        <v>41.5</v>
      </c>
      <c r="J635">
        <f>Table2[[#This Row],[Hits]]/Table2[[#This Row],[Points]]*100</f>
        <v>1.2048192771084338</v>
      </c>
      <c r="K635">
        <f>VLOOKUP(Table2[[#This Row],[Site]],'Site Info'!$A$1:$C$11,2, FALSE)</f>
        <v>34</v>
      </c>
      <c r="L635">
        <f>VLOOKUP(Table2[[#This Row],[Site]],'Site Info'!$A$1:$C$11,3, FALSE)</f>
        <v>6</v>
      </c>
      <c r="M635" t="str">
        <f>VLOOKUP(Table2[[#This Row],[Species]],'Species Table'!$A$1:$D$68,3, FALSE)</f>
        <v>Perennial</v>
      </c>
      <c r="O635" s="15">
        <f>IF(SUMPRODUCT(($A$2:$A635=A635)*($B$2:$B635=B635)*($F$2:$F635=F635))&gt;1,0,1)</f>
        <v>0</v>
      </c>
      <c r="P635" s="15">
        <f>IF(SUMPRODUCT(($A$2:$A635=A635)*($B$2:$B635=B635)*($D$2:$D635=D635))&gt;1,0,1)</f>
        <v>0</v>
      </c>
    </row>
    <row r="636" spans="1:16" x14ac:dyDescent="0.35">
      <c r="A636" t="s">
        <v>24</v>
      </c>
      <c r="B636">
        <v>2010</v>
      </c>
      <c r="C636" t="s">
        <v>50</v>
      </c>
      <c r="D636">
        <v>3.1</v>
      </c>
      <c r="E636">
        <f>INT(Table2[[#This Row],[Transect]])</f>
        <v>3</v>
      </c>
      <c r="F636" t="s">
        <v>2</v>
      </c>
      <c r="G636">
        <v>1</v>
      </c>
      <c r="H636">
        <f t="shared" si="0"/>
        <v>83</v>
      </c>
      <c r="I636">
        <v>41.5</v>
      </c>
      <c r="J636">
        <f>Table2[[#This Row],[Hits]]/Table2[[#This Row],[Points]]*100</f>
        <v>1.2048192771084338</v>
      </c>
      <c r="K636">
        <f>VLOOKUP(Table2[[#This Row],[Site]],'Site Info'!$A$1:$C$11,2, FALSE)</f>
        <v>34</v>
      </c>
      <c r="L636">
        <f>VLOOKUP(Table2[[#This Row],[Site]],'Site Info'!$A$1:$C$11,3, FALSE)</f>
        <v>6</v>
      </c>
      <c r="M636" t="str">
        <f>VLOOKUP(Table2[[#This Row],[Species]],'Species Table'!$A$1:$D$68,3, FALSE)</f>
        <v>Perennial</v>
      </c>
      <c r="O636" s="15">
        <f>IF(SUMPRODUCT(($A$2:$A636=A636)*($B$2:$B636=B636)*($F$2:$F636=F636))&gt;1,0,1)</f>
        <v>0</v>
      </c>
      <c r="P636" s="15">
        <f>IF(SUMPRODUCT(($A$2:$A636=A636)*($B$2:$B636=B636)*($D$2:$D636=D636))&gt;1,0,1)</f>
        <v>0</v>
      </c>
    </row>
    <row r="637" spans="1:16" x14ac:dyDescent="0.35">
      <c r="A637" t="s">
        <v>24</v>
      </c>
      <c r="B637">
        <v>2010</v>
      </c>
      <c r="C637" t="s">
        <v>112</v>
      </c>
      <c r="D637">
        <v>3.2</v>
      </c>
      <c r="E637">
        <f>INT(Table2[[#This Row],[Transect]])</f>
        <v>3</v>
      </c>
      <c r="F637" t="s">
        <v>3</v>
      </c>
      <c r="G637">
        <v>26</v>
      </c>
      <c r="H637">
        <f t="shared" si="0"/>
        <v>36</v>
      </c>
      <c r="I637">
        <v>18</v>
      </c>
      <c r="J637">
        <f>Table2[[#This Row],[Hits]]/Table2[[#This Row],[Points]]*100</f>
        <v>72.222222222222214</v>
      </c>
      <c r="K637">
        <f>VLOOKUP(Table2[[#This Row],[Site]],'Site Info'!$A$1:$C$11,2, FALSE)</f>
        <v>34</v>
      </c>
      <c r="L637">
        <f>VLOOKUP(Table2[[#This Row],[Site]],'Site Info'!$A$1:$C$11,3, FALSE)</f>
        <v>6</v>
      </c>
      <c r="M637" t="str">
        <f>VLOOKUP(Table2[[#This Row],[Species]],'Species Table'!$A$1:$D$68,3, FALSE)</f>
        <v>Perennial</v>
      </c>
      <c r="O637" s="15">
        <f>IF(SUMPRODUCT(($A$2:$A637=A637)*($B$2:$B637=B637)*($F$2:$F637=F637))&gt;1,0,1)</f>
        <v>0</v>
      </c>
      <c r="P637" s="15">
        <f>IF(SUMPRODUCT(($A$2:$A637=A637)*($B$2:$B637=B637)*($D$2:$D637=D637))&gt;1,0,1)</f>
        <v>1</v>
      </c>
    </row>
    <row r="638" spans="1:16" x14ac:dyDescent="0.35">
      <c r="A638" t="s">
        <v>24</v>
      </c>
      <c r="B638">
        <v>2010</v>
      </c>
      <c r="C638" t="s">
        <v>112</v>
      </c>
      <c r="D638">
        <v>3.2</v>
      </c>
      <c r="E638">
        <f>INT(Table2[[#This Row],[Transect]])</f>
        <v>3</v>
      </c>
      <c r="F638" t="s">
        <v>23</v>
      </c>
      <c r="G638">
        <v>1</v>
      </c>
      <c r="H638">
        <f t="shared" si="0"/>
        <v>36</v>
      </c>
      <c r="I638">
        <v>18</v>
      </c>
      <c r="J638">
        <f>Table2[[#This Row],[Hits]]/Table2[[#This Row],[Points]]*100</f>
        <v>2.7777777777777777</v>
      </c>
      <c r="K638">
        <f>VLOOKUP(Table2[[#This Row],[Site]],'Site Info'!$A$1:$C$11,2, FALSE)</f>
        <v>34</v>
      </c>
      <c r="L638">
        <f>VLOOKUP(Table2[[#This Row],[Site]],'Site Info'!$A$1:$C$11,3, FALSE)</f>
        <v>6</v>
      </c>
      <c r="M638" t="str">
        <f>VLOOKUP(Table2[[#This Row],[Species]],'Species Table'!$A$1:$D$68,3, FALSE)</f>
        <v>Perennial</v>
      </c>
      <c r="O638" s="15">
        <f>IF(SUMPRODUCT(($A$2:$A638=A638)*($B$2:$B638=B638)*($F$2:$F638=F638))&gt;1,0,1)</f>
        <v>0</v>
      </c>
      <c r="P638" s="15">
        <f>IF(SUMPRODUCT(($A$2:$A638=A638)*($B$2:$B638=B638)*($D$2:$D638=D638))&gt;1,0,1)</f>
        <v>0</v>
      </c>
    </row>
    <row r="639" spans="1:16" x14ac:dyDescent="0.35">
      <c r="A639" t="s">
        <v>24</v>
      </c>
      <c r="B639">
        <v>2010</v>
      </c>
      <c r="C639" t="s">
        <v>113</v>
      </c>
      <c r="D639">
        <v>4.0999999999999996</v>
      </c>
      <c r="E639">
        <f>INT(Table2[[#This Row],[Transect]])</f>
        <v>4</v>
      </c>
      <c r="F639" t="s">
        <v>3</v>
      </c>
      <c r="G639">
        <v>24</v>
      </c>
      <c r="H639">
        <f t="shared" si="0"/>
        <v>115</v>
      </c>
      <c r="I639">
        <v>57.5</v>
      </c>
      <c r="J639">
        <f>Table2[[#This Row],[Hits]]/Table2[[#This Row],[Points]]*100</f>
        <v>20.869565217391305</v>
      </c>
      <c r="K639">
        <f>VLOOKUP(Table2[[#This Row],[Site]],'Site Info'!$A$1:$C$11,2, FALSE)</f>
        <v>34</v>
      </c>
      <c r="L639">
        <f>VLOOKUP(Table2[[#This Row],[Site]],'Site Info'!$A$1:$C$11,3, FALSE)</f>
        <v>6</v>
      </c>
      <c r="M639" t="str">
        <f>VLOOKUP(Table2[[#This Row],[Species]],'Species Table'!$A$1:$D$68,3, FALSE)</f>
        <v>Perennial</v>
      </c>
      <c r="O639" s="15">
        <f>IF(SUMPRODUCT(($A$2:$A639=A639)*($B$2:$B639=B639)*($F$2:$F639=F639))&gt;1,0,1)</f>
        <v>0</v>
      </c>
      <c r="P639" s="15">
        <f>IF(SUMPRODUCT(($A$2:$A639=A639)*($B$2:$B639=B639)*($D$2:$D639=D639))&gt;1,0,1)</f>
        <v>1</v>
      </c>
    </row>
    <row r="640" spans="1:16" hidden="1" x14ac:dyDescent="0.35">
      <c r="A640" t="s">
        <v>24</v>
      </c>
      <c r="B640">
        <v>2010</v>
      </c>
      <c r="C640" t="s">
        <v>113</v>
      </c>
      <c r="D640">
        <v>4.0999999999999996</v>
      </c>
      <c r="E640">
        <f>INT(Table2[[#This Row],[Transect]])</f>
        <v>4</v>
      </c>
      <c r="F640" t="s">
        <v>136</v>
      </c>
      <c r="G640">
        <v>11</v>
      </c>
      <c r="H640">
        <f t="shared" si="0"/>
        <v>115</v>
      </c>
      <c r="I640">
        <v>57.5</v>
      </c>
      <c r="J640">
        <f>Table2[[#This Row],[Hits]]/Table2[[#This Row],[Points]]*100</f>
        <v>9.5652173913043477</v>
      </c>
      <c r="K640">
        <f>VLOOKUP(Table2[[#This Row],[Site]],'Site Info'!$A$1:$C$11,2, FALSE)</f>
        <v>34</v>
      </c>
      <c r="L640">
        <f>VLOOKUP(Table2[[#This Row],[Site]],'Site Info'!$A$1:$C$11,3, FALSE)</f>
        <v>6</v>
      </c>
      <c r="M640" t="str">
        <f>VLOOKUP(Table2[[#This Row],[Species]],'Species Table'!$A$1:$D$68,3, FALSE)</f>
        <v>Annual</v>
      </c>
      <c r="O640" s="15">
        <f>IF(SUMPRODUCT(($A$2:$A640=A640)*($B$2:$B640=B640)*($F$2:$F640=F640))&gt;1,0,1)</f>
        <v>1</v>
      </c>
      <c r="P640" s="15">
        <f>IF(SUMPRODUCT(($A$2:$A640=A640)*($B$2:$B640=B640)*($D$2:$D640=D640))&gt;1,0,1)</f>
        <v>0</v>
      </c>
    </row>
    <row r="641" spans="1:16" x14ac:dyDescent="0.35">
      <c r="A641" t="s">
        <v>24</v>
      </c>
      <c r="B641">
        <v>2010</v>
      </c>
      <c r="C641" t="s">
        <v>113</v>
      </c>
      <c r="D641">
        <v>4.0999999999999996</v>
      </c>
      <c r="E641">
        <f>INT(Table2[[#This Row],[Transect]])</f>
        <v>4</v>
      </c>
      <c r="F641" t="s">
        <v>23</v>
      </c>
      <c r="G641">
        <v>6</v>
      </c>
      <c r="H641">
        <f t="shared" si="0"/>
        <v>115</v>
      </c>
      <c r="I641">
        <v>57.5</v>
      </c>
      <c r="J641">
        <f>Table2[[#This Row],[Hits]]/Table2[[#This Row],[Points]]*100</f>
        <v>5.2173913043478262</v>
      </c>
      <c r="K641">
        <f>VLOOKUP(Table2[[#This Row],[Site]],'Site Info'!$A$1:$C$11,2, FALSE)</f>
        <v>34</v>
      </c>
      <c r="L641">
        <f>VLOOKUP(Table2[[#This Row],[Site]],'Site Info'!$A$1:$C$11,3, FALSE)</f>
        <v>6</v>
      </c>
      <c r="M641" t="str">
        <f>VLOOKUP(Table2[[#This Row],[Species]],'Species Table'!$A$1:$D$68,3, FALSE)</f>
        <v>Perennial</v>
      </c>
      <c r="O641" s="15">
        <f>IF(SUMPRODUCT(($A$2:$A641=A641)*($B$2:$B641=B641)*($F$2:$F641=F641))&gt;1,0,1)</f>
        <v>0</v>
      </c>
      <c r="P641" s="15">
        <f>IF(SUMPRODUCT(($A$2:$A641=A641)*($B$2:$B641=B641)*($D$2:$D641=D641))&gt;1,0,1)</f>
        <v>0</v>
      </c>
    </row>
    <row r="642" spans="1:16" hidden="1" x14ac:dyDescent="0.35">
      <c r="A642" t="s">
        <v>24</v>
      </c>
      <c r="B642">
        <v>2010</v>
      </c>
      <c r="C642" t="s">
        <v>113</v>
      </c>
      <c r="D642">
        <v>4.0999999999999996</v>
      </c>
      <c r="E642">
        <f>INT(Table2[[#This Row],[Transect]])</f>
        <v>4</v>
      </c>
      <c r="F642" t="s">
        <v>135</v>
      </c>
      <c r="G642">
        <v>3</v>
      </c>
      <c r="H642">
        <f t="shared" si="0"/>
        <v>115</v>
      </c>
      <c r="I642">
        <v>57.5</v>
      </c>
      <c r="J642">
        <f>Table2[[#This Row],[Hits]]/Table2[[#This Row],[Points]]*100</f>
        <v>2.6086956521739131</v>
      </c>
      <c r="K642">
        <f>VLOOKUP(Table2[[#This Row],[Site]],'Site Info'!$A$1:$C$11,2, FALSE)</f>
        <v>34</v>
      </c>
      <c r="L642">
        <f>VLOOKUP(Table2[[#This Row],[Site]],'Site Info'!$A$1:$C$11,3, FALSE)</f>
        <v>6</v>
      </c>
      <c r="M642" t="str">
        <f>VLOOKUP(Table2[[#This Row],[Species]],'Species Table'!$A$1:$D$68,3, FALSE)</f>
        <v>Annual</v>
      </c>
      <c r="O642" s="15">
        <f>IF(SUMPRODUCT(($A$2:$A642=A642)*($B$2:$B642=B642)*($F$2:$F642=F642))&gt;1,0,1)</f>
        <v>0</v>
      </c>
      <c r="P642" s="15">
        <f>IF(SUMPRODUCT(($A$2:$A642=A642)*($B$2:$B642=B642)*($D$2:$D642=D642))&gt;1,0,1)</f>
        <v>0</v>
      </c>
    </row>
    <row r="643" spans="1:16" x14ac:dyDescent="0.35">
      <c r="A643" t="s">
        <v>24</v>
      </c>
      <c r="B643">
        <v>2010</v>
      </c>
      <c r="C643" t="s">
        <v>113</v>
      </c>
      <c r="D643">
        <v>4.0999999999999996</v>
      </c>
      <c r="E643">
        <f>INT(Table2[[#This Row],[Transect]])</f>
        <v>4</v>
      </c>
      <c r="F643" t="s">
        <v>32</v>
      </c>
      <c r="G643">
        <v>2</v>
      </c>
      <c r="H643">
        <f t="shared" si="0"/>
        <v>115</v>
      </c>
      <c r="I643">
        <v>57.5</v>
      </c>
      <c r="J643">
        <f>Table2[[#This Row],[Hits]]/Table2[[#This Row],[Points]]*100</f>
        <v>1.7391304347826086</v>
      </c>
      <c r="K643">
        <f>VLOOKUP(Table2[[#This Row],[Site]],'Site Info'!$A$1:$C$11,2, FALSE)</f>
        <v>34</v>
      </c>
      <c r="L643">
        <f>VLOOKUP(Table2[[#This Row],[Site]],'Site Info'!$A$1:$C$11,3, FALSE)</f>
        <v>6</v>
      </c>
      <c r="M643" t="str">
        <f>VLOOKUP(Table2[[#This Row],[Species]],'Species Table'!$A$1:$D$68,3, FALSE)</f>
        <v>Perennial</v>
      </c>
      <c r="O643" s="15">
        <f>IF(SUMPRODUCT(($A$2:$A643=A643)*($B$2:$B643=B643)*($F$2:$F643=F643))&gt;1,0,1)</f>
        <v>0</v>
      </c>
      <c r="P643" s="15">
        <f>IF(SUMPRODUCT(($A$2:$A643=A643)*($B$2:$B643=B643)*($D$2:$D643=D643))&gt;1,0,1)</f>
        <v>0</v>
      </c>
    </row>
    <row r="644" spans="1:16" hidden="1" x14ac:dyDescent="0.35">
      <c r="A644" t="s">
        <v>24</v>
      </c>
      <c r="B644">
        <v>2010</v>
      </c>
      <c r="C644" t="s">
        <v>113</v>
      </c>
      <c r="D644">
        <v>4.0999999999999996</v>
      </c>
      <c r="E644">
        <f>INT(Table2[[#This Row],[Transect]])</f>
        <v>4</v>
      </c>
      <c r="F644" t="s">
        <v>33</v>
      </c>
      <c r="G644">
        <v>1</v>
      </c>
      <c r="H644">
        <f t="shared" si="0"/>
        <v>115</v>
      </c>
      <c r="I644">
        <v>57.5</v>
      </c>
      <c r="J644">
        <f>Table2[[#This Row],[Hits]]/Table2[[#This Row],[Points]]*100</f>
        <v>0.86956521739130432</v>
      </c>
      <c r="K644">
        <f>VLOOKUP(Table2[[#This Row],[Site]],'Site Info'!$A$1:$C$11,2, FALSE)</f>
        <v>34</v>
      </c>
      <c r="L644">
        <f>VLOOKUP(Table2[[#This Row],[Site]],'Site Info'!$A$1:$C$11,3, FALSE)</f>
        <v>6</v>
      </c>
      <c r="M644" t="str">
        <f>VLOOKUP(Table2[[#This Row],[Species]],'Species Table'!$A$1:$D$68,3, FALSE)</f>
        <v>Annual</v>
      </c>
      <c r="O644" s="15">
        <f>IF(SUMPRODUCT(($A$2:$A644=A644)*($B$2:$B644=B644)*($F$2:$F644=F644))&gt;1,0,1)</f>
        <v>0</v>
      </c>
      <c r="P644" s="15">
        <f>IF(SUMPRODUCT(($A$2:$A644=A644)*($B$2:$B644=B644)*($D$2:$D644=D644))&gt;1,0,1)</f>
        <v>0</v>
      </c>
    </row>
    <row r="645" spans="1:16" hidden="1" x14ac:dyDescent="0.35">
      <c r="A645" t="s">
        <v>24</v>
      </c>
      <c r="B645">
        <v>2010</v>
      </c>
      <c r="C645" t="s">
        <v>113</v>
      </c>
      <c r="D645">
        <v>4.0999999999999996</v>
      </c>
      <c r="E645">
        <f>INT(Table2[[#This Row],[Transect]])</f>
        <v>4</v>
      </c>
      <c r="F645" t="s">
        <v>10</v>
      </c>
      <c r="G645">
        <v>1</v>
      </c>
      <c r="H645">
        <f t="shared" si="0"/>
        <v>115</v>
      </c>
      <c r="I645">
        <v>57.5</v>
      </c>
      <c r="J645">
        <f>Table2[[#This Row],[Hits]]/Table2[[#This Row],[Points]]*100</f>
        <v>0.86956521739130432</v>
      </c>
      <c r="K645">
        <f>VLOOKUP(Table2[[#This Row],[Site]],'Site Info'!$A$1:$C$11,2, FALSE)</f>
        <v>34</v>
      </c>
      <c r="L645">
        <f>VLOOKUP(Table2[[#This Row],[Site]],'Site Info'!$A$1:$C$11,3, FALSE)</f>
        <v>6</v>
      </c>
      <c r="M645" t="str">
        <f>VLOOKUP(Table2[[#This Row],[Species]],'Species Table'!$A$1:$D$68,3, FALSE)</f>
        <v>Annual</v>
      </c>
      <c r="O645" s="15">
        <f>IF(SUMPRODUCT(($A$2:$A645=A645)*($B$2:$B645=B645)*($F$2:$F645=F645))&gt;1,0,1)</f>
        <v>0</v>
      </c>
      <c r="P645" s="15">
        <f>IF(SUMPRODUCT(($A$2:$A645=A645)*($B$2:$B645=B645)*($D$2:$D645=D645))&gt;1,0,1)</f>
        <v>0</v>
      </c>
    </row>
    <row r="646" spans="1:16" x14ac:dyDescent="0.35">
      <c r="A646" t="s">
        <v>24</v>
      </c>
      <c r="B646">
        <v>2010</v>
      </c>
      <c r="C646" t="s">
        <v>104</v>
      </c>
      <c r="D646">
        <v>5.0999999999999996</v>
      </c>
      <c r="E646">
        <f>INT(Table2[[#This Row],[Transect]])</f>
        <v>5</v>
      </c>
      <c r="F646" t="s">
        <v>3</v>
      </c>
      <c r="G646">
        <v>22</v>
      </c>
      <c r="H646">
        <f t="shared" si="0"/>
        <v>164</v>
      </c>
      <c r="I646">
        <v>82</v>
      </c>
      <c r="J646">
        <f>Table2[[#This Row],[Hits]]/Table2[[#This Row],[Points]]*100</f>
        <v>13.414634146341465</v>
      </c>
      <c r="K646">
        <f>VLOOKUP(Table2[[#This Row],[Site]],'Site Info'!$A$1:$C$11,2, FALSE)</f>
        <v>34</v>
      </c>
      <c r="L646">
        <f>VLOOKUP(Table2[[#This Row],[Site]],'Site Info'!$A$1:$C$11,3, FALSE)</f>
        <v>6</v>
      </c>
      <c r="M646" t="str">
        <f>VLOOKUP(Table2[[#This Row],[Species]],'Species Table'!$A$1:$D$68,3, FALSE)</f>
        <v>Perennial</v>
      </c>
      <c r="O646" s="15">
        <f>IF(SUMPRODUCT(($A$2:$A646=A646)*($B$2:$B646=B646)*($F$2:$F646=F646))&gt;1,0,1)</f>
        <v>0</v>
      </c>
      <c r="P646" s="15">
        <f>IF(SUMPRODUCT(($A$2:$A646=A646)*($B$2:$B646=B646)*($D$2:$D646=D646))&gt;1,0,1)</f>
        <v>1</v>
      </c>
    </row>
    <row r="647" spans="1:16" x14ac:dyDescent="0.35">
      <c r="A647" t="s">
        <v>24</v>
      </c>
      <c r="B647">
        <v>2010</v>
      </c>
      <c r="C647" t="s">
        <v>104</v>
      </c>
      <c r="D647">
        <v>5.0999999999999996</v>
      </c>
      <c r="E647">
        <f>INT(Table2[[#This Row],[Transect]])</f>
        <v>5</v>
      </c>
      <c r="F647" t="s">
        <v>14</v>
      </c>
      <c r="G647">
        <v>10</v>
      </c>
      <c r="H647">
        <f t="shared" si="0"/>
        <v>164</v>
      </c>
      <c r="I647">
        <v>82</v>
      </c>
      <c r="J647">
        <f>Table2[[#This Row],[Hits]]/Table2[[#This Row],[Points]]*100</f>
        <v>6.0975609756097562</v>
      </c>
      <c r="K647">
        <f>VLOOKUP(Table2[[#This Row],[Site]],'Site Info'!$A$1:$C$11,2, FALSE)</f>
        <v>34</v>
      </c>
      <c r="L647">
        <f>VLOOKUP(Table2[[#This Row],[Site]],'Site Info'!$A$1:$C$11,3, FALSE)</f>
        <v>6</v>
      </c>
      <c r="M647" t="str">
        <f>VLOOKUP(Table2[[#This Row],[Species]],'Species Table'!$A$1:$D$68,3, FALSE)</f>
        <v>Perennial</v>
      </c>
      <c r="O647" s="15">
        <f>IF(SUMPRODUCT(($A$2:$A647=A647)*($B$2:$B647=B647)*($F$2:$F647=F647))&gt;1,0,1)</f>
        <v>1</v>
      </c>
      <c r="P647" s="15">
        <f>IF(SUMPRODUCT(($A$2:$A647=A647)*($B$2:$B647=B647)*($D$2:$D647=D647))&gt;1,0,1)</f>
        <v>0</v>
      </c>
    </row>
    <row r="648" spans="1:16" x14ac:dyDescent="0.35">
      <c r="A648" t="s">
        <v>24</v>
      </c>
      <c r="B648">
        <v>2010</v>
      </c>
      <c r="C648" t="s">
        <v>104</v>
      </c>
      <c r="D648">
        <v>5.0999999999999996</v>
      </c>
      <c r="E648">
        <f>INT(Table2[[#This Row],[Transect]])</f>
        <v>5</v>
      </c>
      <c r="F648" t="s">
        <v>23</v>
      </c>
      <c r="G648">
        <v>9</v>
      </c>
      <c r="H648">
        <f t="shared" si="0"/>
        <v>164</v>
      </c>
      <c r="I648">
        <v>82</v>
      </c>
      <c r="J648">
        <f>Table2[[#This Row],[Hits]]/Table2[[#This Row],[Points]]*100</f>
        <v>5.4878048780487809</v>
      </c>
      <c r="K648">
        <f>VLOOKUP(Table2[[#This Row],[Site]],'Site Info'!$A$1:$C$11,2, FALSE)</f>
        <v>34</v>
      </c>
      <c r="L648">
        <f>VLOOKUP(Table2[[#This Row],[Site]],'Site Info'!$A$1:$C$11,3, FALSE)</f>
        <v>6</v>
      </c>
      <c r="M648" t="str">
        <f>VLOOKUP(Table2[[#This Row],[Species]],'Species Table'!$A$1:$D$68,3, FALSE)</f>
        <v>Perennial</v>
      </c>
      <c r="O648" s="15">
        <f>IF(SUMPRODUCT(($A$2:$A648=A648)*($B$2:$B648=B648)*($F$2:$F648=F648))&gt;1,0,1)</f>
        <v>0</v>
      </c>
      <c r="P648" s="15">
        <f>IF(SUMPRODUCT(($A$2:$A648=A648)*($B$2:$B648=B648)*($D$2:$D648=D648))&gt;1,0,1)</f>
        <v>0</v>
      </c>
    </row>
    <row r="649" spans="1:16" x14ac:dyDescent="0.35">
      <c r="A649" t="s">
        <v>24</v>
      </c>
      <c r="B649">
        <v>2010</v>
      </c>
      <c r="C649" t="s">
        <v>104</v>
      </c>
      <c r="D649">
        <v>5.0999999999999996</v>
      </c>
      <c r="E649">
        <f>INT(Table2[[#This Row],[Transect]])</f>
        <v>5</v>
      </c>
      <c r="F649" t="s">
        <v>2</v>
      </c>
      <c r="G649">
        <v>6</v>
      </c>
      <c r="H649">
        <f t="shared" si="0"/>
        <v>164</v>
      </c>
      <c r="I649">
        <v>82</v>
      </c>
      <c r="J649">
        <f>Table2[[#This Row],[Hits]]/Table2[[#This Row],[Points]]*100</f>
        <v>3.6585365853658534</v>
      </c>
      <c r="K649">
        <f>VLOOKUP(Table2[[#This Row],[Site]],'Site Info'!$A$1:$C$11,2, FALSE)</f>
        <v>34</v>
      </c>
      <c r="L649">
        <f>VLOOKUP(Table2[[#This Row],[Site]],'Site Info'!$A$1:$C$11,3, FALSE)</f>
        <v>6</v>
      </c>
      <c r="M649" t="str">
        <f>VLOOKUP(Table2[[#This Row],[Species]],'Species Table'!$A$1:$D$68,3, FALSE)</f>
        <v>Perennial</v>
      </c>
      <c r="O649" s="15">
        <f>IF(SUMPRODUCT(($A$2:$A649=A649)*($B$2:$B649=B649)*($F$2:$F649=F649))&gt;1,0,1)</f>
        <v>0</v>
      </c>
      <c r="P649" s="15">
        <f>IF(SUMPRODUCT(($A$2:$A649=A649)*($B$2:$B649=B649)*($D$2:$D649=D649))&gt;1,0,1)</f>
        <v>0</v>
      </c>
    </row>
    <row r="650" spans="1:16" x14ac:dyDescent="0.35">
      <c r="A650" t="s">
        <v>24</v>
      </c>
      <c r="B650">
        <v>2010</v>
      </c>
      <c r="C650" t="s">
        <v>104</v>
      </c>
      <c r="D650">
        <v>5.0999999999999996</v>
      </c>
      <c r="E650">
        <f>INT(Table2[[#This Row],[Transect]])</f>
        <v>5</v>
      </c>
      <c r="F650" t="s">
        <v>31</v>
      </c>
      <c r="G650">
        <v>2</v>
      </c>
      <c r="H650">
        <f t="shared" si="0"/>
        <v>164</v>
      </c>
      <c r="I650">
        <v>82</v>
      </c>
      <c r="J650">
        <f>Table2[[#This Row],[Hits]]/Table2[[#This Row],[Points]]*100</f>
        <v>1.2195121951219512</v>
      </c>
      <c r="K650">
        <f>VLOOKUP(Table2[[#This Row],[Site]],'Site Info'!$A$1:$C$11,2, FALSE)</f>
        <v>34</v>
      </c>
      <c r="L650">
        <f>VLOOKUP(Table2[[#This Row],[Site]],'Site Info'!$A$1:$C$11,3, FALSE)</f>
        <v>6</v>
      </c>
      <c r="M650" t="str">
        <f>VLOOKUP(Table2[[#This Row],[Species]],'Species Table'!$A$1:$D$68,3, FALSE)</f>
        <v>Perennial</v>
      </c>
      <c r="O650" s="15">
        <f>IF(SUMPRODUCT(($A$2:$A650=A650)*($B$2:$B650=B650)*($F$2:$F650=F650))&gt;1,0,1)</f>
        <v>1</v>
      </c>
      <c r="P650" s="15">
        <f>IF(SUMPRODUCT(($A$2:$A650=A650)*($B$2:$B650=B650)*($D$2:$D650=D650))&gt;1,0,1)</f>
        <v>0</v>
      </c>
    </row>
    <row r="651" spans="1:16" x14ac:dyDescent="0.35">
      <c r="A651" t="s">
        <v>24</v>
      </c>
      <c r="B651">
        <v>2010</v>
      </c>
      <c r="C651" t="s">
        <v>104</v>
      </c>
      <c r="D651">
        <v>5.0999999999999996</v>
      </c>
      <c r="E651">
        <f>INT(Table2[[#This Row],[Transect]])</f>
        <v>5</v>
      </c>
      <c r="F651" t="s">
        <v>12</v>
      </c>
      <c r="G651">
        <v>1</v>
      </c>
      <c r="H651">
        <f t="shared" si="0"/>
        <v>164</v>
      </c>
      <c r="I651">
        <v>82</v>
      </c>
      <c r="J651">
        <f>Table2[[#This Row],[Hits]]/Table2[[#This Row],[Points]]*100</f>
        <v>0.6097560975609756</v>
      </c>
      <c r="K651">
        <f>VLOOKUP(Table2[[#This Row],[Site]],'Site Info'!$A$1:$C$11,2, FALSE)</f>
        <v>34</v>
      </c>
      <c r="L651">
        <f>VLOOKUP(Table2[[#This Row],[Site]],'Site Info'!$A$1:$C$11,3, FALSE)</f>
        <v>6</v>
      </c>
      <c r="M651" t="str">
        <f>VLOOKUP(Table2[[#This Row],[Species]],'Species Table'!$A$1:$D$68,3, FALSE)</f>
        <v>Perennial</v>
      </c>
      <c r="O651" s="15">
        <f>IF(SUMPRODUCT(($A$2:$A651=A651)*($B$2:$B651=B651)*($F$2:$F651=F651))&gt;1,0,1)</f>
        <v>1</v>
      </c>
      <c r="P651" s="15">
        <f>IF(SUMPRODUCT(($A$2:$A651=A651)*($B$2:$B651=B651)*($D$2:$D651=D651))&gt;1,0,1)</f>
        <v>0</v>
      </c>
    </row>
    <row r="652" spans="1:16" x14ac:dyDescent="0.35">
      <c r="A652" t="s">
        <v>24</v>
      </c>
      <c r="B652">
        <v>2010</v>
      </c>
      <c r="C652" t="s">
        <v>96</v>
      </c>
      <c r="D652">
        <v>6.1</v>
      </c>
      <c r="E652">
        <f>INT(Table2[[#This Row],[Transect]])</f>
        <v>6</v>
      </c>
      <c r="F652" t="s">
        <v>3</v>
      </c>
      <c r="G652">
        <v>37</v>
      </c>
      <c r="H652">
        <f t="shared" si="0"/>
        <v>197</v>
      </c>
      <c r="I652">
        <v>98.5</v>
      </c>
      <c r="J652">
        <f>Table2[[#This Row],[Hits]]/Table2[[#This Row],[Points]]*100</f>
        <v>18.781725888324875</v>
      </c>
      <c r="K652">
        <f>VLOOKUP(Table2[[#This Row],[Site]],'Site Info'!$A$1:$C$11,2, FALSE)</f>
        <v>34</v>
      </c>
      <c r="L652">
        <f>VLOOKUP(Table2[[#This Row],[Site]],'Site Info'!$A$1:$C$11,3, FALSE)</f>
        <v>6</v>
      </c>
      <c r="M652" t="str">
        <f>VLOOKUP(Table2[[#This Row],[Species]],'Species Table'!$A$1:$D$68,3, FALSE)</f>
        <v>Perennial</v>
      </c>
      <c r="O652" s="15">
        <f>IF(SUMPRODUCT(($A$2:$A652=A652)*($B$2:$B652=B652)*($F$2:$F652=F652))&gt;1,0,1)</f>
        <v>0</v>
      </c>
      <c r="P652" s="15">
        <f>IF(SUMPRODUCT(($A$2:$A652=A652)*($B$2:$B652=B652)*($D$2:$D652=D652))&gt;1,0,1)</f>
        <v>1</v>
      </c>
    </row>
    <row r="653" spans="1:16" x14ac:dyDescent="0.35">
      <c r="A653" t="s">
        <v>24</v>
      </c>
      <c r="B653">
        <v>2010</v>
      </c>
      <c r="C653" t="s">
        <v>96</v>
      </c>
      <c r="D653">
        <v>6.1</v>
      </c>
      <c r="E653">
        <f>INT(Table2[[#This Row],[Transect]])</f>
        <v>6</v>
      </c>
      <c r="F653" t="s">
        <v>31</v>
      </c>
      <c r="G653">
        <v>4</v>
      </c>
      <c r="H653">
        <f t="shared" si="0"/>
        <v>197</v>
      </c>
      <c r="I653">
        <v>98.5</v>
      </c>
      <c r="J653">
        <f>Table2[[#This Row],[Hits]]/Table2[[#This Row],[Points]]*100</f>
        <v>2.030456852791878</v>
      </c>
      <c r="K653">
        <f>VLOOKUP(Table2[[#This Row],[Site]],'Site Info'!$A$1:$C$11,2, FALSE)</f>
        <v>34</v>
      </c>
      <c r="L653">
        <f>VLOOKUP(Table2[[#This Row],[Site]],'Site Info'!$A$1:$C$11,3, FALSE)</f>
        <v>6</v>
      </c>
      <c r="M653" t="str">
        <f>VLOOKUP(Table2[[#This Row],[Species]],'Species Table'!$A$1:$D$68,3, FALSE)</f>
        <v>Perennial</v>
      </c>
      <c r="O653" s="15">
        <f>IF(SUMPRODUCT(($A$2:$A653=A653)*($B$2:$B653=B653)*($F$2:$F653=F653))&gt;1,0,1)</f>
        <v>0</v>
      </c>
      <c r="P653" s="15">
        <f>IF(SUMPRODUCT(($A$2:$A653=A653)*($B$2:$B653=B653)*($D$2:$D653=D653))&gt;1,0,1)</f>
        <v>0</v>
      </c>
    </row>
    <row r="654" spans="1:16" x14ac:dyDescent="0.35">
      <c r="A654" t="s">
        <v>24</v>
      </c>
      <c r="B654">
        <v>2010</v>
      </c>
      <c r="C654" t="s">
        <v>96</v>
      </c>
      <c r="D654">
        <v>6.1</v>
      </c>
      <c r="E654">
        <f>INT(Table2[[#This Row],[Transect]])</f>
        <v>6</v>
      </c>
      <c r="F654" t="s">
        <v>23</v>
      </c>
      <c r="G654">
        <v>3</v>
      </c>
      <c r="H654">
        <f t="shared" si="0"/>
        <v>197</v>
      </c>
      <c r="I654">
        <v>98.5</v>
      </c>
      <c r="J654">
        <f>Table2[[#This Row],[Hits]]/Table2[[#This Row],[Points]]*100</f>
        <v>1.5228426395939088</v>
      </c>
      <c r="K654">
        <f>VLOOKUP(Table2[[#This Row],[Site]],'Site Info'!$A$1:$C$11,2, FALSE)</f>
        <v>34</v>
      </c>
      <c r="L654">
        <f>VLOOKUP(Table2[[#This Row],[Site]],'Site Info'!$A$1:$C$11,3, FALSE)</f>
        <v>6</v>
      </c>
      <c r="M654" t="str">
        <f>VLOOKUP(Table2[[#This Row],[Species]],'Species Table'!$A$1:$D$68,3, FALSE)</f>
        <v>Perennial</v>
      </c>
      <c r="O654" s="15">
        <f>IF(SUMPRODUCT(($A$2:$A654=A654)*($B$2:$B654=B654)*($F$2:$F654=F654))&gt;1,0,1)</f>
        <v>0</v>
      </c>
      <c r="P654" s="15">
        <f>IF(SUMPRODUCT(($A$2:$A654=A654)*($B$2:$B654=B654)*($D$2:$D654=D654))&gt;1,0,1)</f>
        <v>0</v>
      </c>
    </row>
    <row r="655" spans="1:16" hidden="1" x14ac:dyDescent="0.35">
      <c r="A655" t="s">
        <v>24</v>
      </c>
      <c r="B655">
        <v>2010</v>
      </c>
      <c r="C655" t="s">
        <v>96</v>
      </c>
      <c r="D655">
        <v>6.1</v>
      </c>
      <c r="E655">
        <f>INT(Table2[[#This Row],[Transect]])</f>
        <v>6</v>
      </c>
      <c r="F655" t="s">
        <v>136</v>
      </c>
      <c r="G655">
        <v>2</v>
      </c>
      <c r="H655">
        <f t="shared" si="0"/>
        <v>197</v>
      </c>
      <c r="I655">
        <v>98.5</v>
      </c>
      <c r="J655">
        <f>Table2[[#This Row],[Hits]]/Table2[[#This Row],[Points]]*100</f>
        <v>1.015228426395939</v>
      </c>
      <c r="K655">
        <f>VLOOKUP(Table2[[#This Row],[Site]],'Site Info'!$A$1:$C$11,2, FALSE)</f>
        <v>34</v>
      </c>
      <c r="L655">
        <f>VLOOKUP(Table2[[#This Row],[Site]],'Site Info'!$A$1:$C$11,3, FALSE)</f>
        <v>6</v>
      </c>
      <c r="M655" t="str">
        <f>VLOOKUP(Table2[[#This Row],[Species]],'Species Table'!$A$1:$D$68,3, FALSE)</f>
        <v>Annual</v>
      </c>
      <c r="O655" s="15">
        <f>IF(SUMPRODUCT(($A$2:$A655=A655)*($B$2:$B655=B655)*($F$2:$F655=F655))&gt;1,0,1)</f>
        <v>0</v>
      </c>
      <c r="P655" s="15">
        <f>IF(SUMPRODUCT(($A$2:$A655=A655)*($B$2:$B655=B655)*($D$2:$D655=D655))&gt;1,0,1)</f>
        <v>0</v>
      </c>
    </row>
    <row r="656" spans="1:16" x14ac:dyDescent="0.35">
      <c r="A656" t="s">
        <v>24</v>
      </c>
      <c r="B656">
        <v>2010</v>
      </c>
      <c r="C656" t="s">
        <v>96</v>
      </c>
      <c r="D656">
        <v>6.1</v>
      </c>
      <c r="E656">
        <f>INT(Table2[[#This Row],[Transect]])</f>
        <v>6</v>
      </c>
      <c r="F656" t="s">
        <v>12</v>
      </c>
      <c r="G656">
        <v>1</v>
      </c>
      <c r="H656">
        <f t="shared" si="0"/>
        <v>197</v>
      </c>
      <c r="I656">
        <v>98.5</v>
      </c>
      <c r="J656">
        <f>Table2[[#This Row],[Hits]]/Table2[[#This Row],[Points]]*100</f>
        <v>0.50761421319796951</v>
      </c>
      <c r="K656">
        <f>VLOOKUP(Table2[[#This Row],[Site]],'Site Info'!$A$1:$C$11,2, FALSE)</f>
        <v>34</v>
      </c>
      <c r="L656">
        <f>VLOOKUP(Table2[[#This Row],[Site]],'Site Info'!$A$1:$C$11,3, FALSE)</f>
        <v>6</v>
      </c>
      <c r="M656" t="str">
        <f>VLOOKUP(Table2[[#This Row],[Species]],'Species Table'!$A$1:$D$68,3, FALSE)</f>
        <v>Perennial</v>
      </c>
      <c r="O656" s="15">
        <f>IF(SUMPRODUCT(($A$2:$A656=A656)*($B$2:$B656=B656)*($F$2:$F656=F656))&gt;1,0,1)</f>
        <v>0</v>
      </c>
      <c r="P656" s="15">
        <f>IF(SUMPRODUCT(($A$2:$A656=A656)*($B$2:$B656=B656)*($D$2:$D656=D656))&gt;1,0,1)</f>
        <v>0</v>
      </c>
    </row>
    <row r="657" spans="1:16" hidden="1" x14ac:dyDescent="0.35">
      <c r="A657" t="s">
        <v>24</v>
      </c>
      <c r="B657">
        <v>2010</v>
      </c>
      <c r="C657" t="s">
        <v>96</v>
      </c>
      <c r="D657">
        <v>6.1</v>
      </c>
      <c r="E657">
        <f>INT(Table2[[#This Row],[Transect]])</f>
        <v>6</v>
      </c>
      <c r="F657" t="s">
        <v>10</v>
      </c>
      <c r="G657">
        <v>1</v>
      </c>
      <c r="H657">
        <f t="shared" si="0"/>
        <v>197</v>
      </c>
      <c r="I657">
        <v>98.5</v>
      </c>
      <c r="J657">
        <f>Table2[[#This Row],[Hits]]/Table2[[#This Row],[Points]]*100</f>
        <v>0.50761421319796951</v>
      </c>
      <c r="K657">
        <f>VLOOKUP(Table2[[#This Row],[Site]],'Site Info'!$A$1:$C$11,2, FALSE)</f>
        <v>34</v>
      </c>
      <c r="L657">
        <f>VLOOKUP(Table2[[#This Row],[Site]],'Site Info'!$A$1:$C$11,3, FALSE)</f>
        <v>6</v>
      </c>
      <c r="M657" t="str">
        <f>VLOOKUP(Table2[[#This Row],[Species]],'Species Table'!$A$1:$D$68,3, FALSE)</f>
        <v>Annual</v>
      </c>
      <c r="O657" s="15">
        <f>IF(SUMPRODUCT(($A$2:$A657=A657)*($B$2:$B657=B657)*($F$2:$F657=F657))&gt;1,0,1)</f>
        <v>0</v>
      </c>
      <c r="P657" s="15">
        <f>IF(SUMPRODUCT(($A$2:$A657=A657)*($B$2:$B657=B657)*($D$2:$D657=D657))&gt;1,0,1)</f>
        <v>0</v>
      </c>
    </row>
    <row r="658" spans="1:16" x14ac:dyDescent="0.35">
      <c r="A658" t="s">
        <v>24</v>
      </c>
      <c r="B658">
        <v>2010</v>
      </c>
      <c r="C658" t="s">
        <v>96</v>
      </c>
      <c r="D658">
        <v>6.1</v>
      </c>
      <c r="E658">
        <f>INT(Table2[[#This Row],[Transect]])</f>
        <v>6</v>
      </c>
      <c r="F658" t="s">
        <v>139</v>
      </c>
      <c r="G658">
        <v>1</v>
      </c>
      <c r="H658">
        <f t="shared" si="0"/>
        <v>197</v>
      </c>
      <c r="I658">
        <v>98.5</v>
      </c>
      <c r="J658">
        <f>Table2[[#This Row],[Hits]]/Table2[[#This Row],[Points]]*100</f>
        <v>0.50761421319796951</v>
      </c>
      <c r="K658">
        <f>VLOOKUP(Table2[[#This Row],[Site]],'Site Info'!$A$1:$C$11,2, FALSE)</f>
        <v>34</v>
      </c>
      <c r="L658">
        <f>VLOOKUP(Table2[[#This Row],[Site]],'Site Info'!$A$1:$C$11,3, FALSE)</f>
        <v>6</v>
      </c>
      <c r="M658" t="str">
        <f>VLOOKUP(Table2[[#This Row],[Species]],'Species Table'!$A$1:$D$68,3, FALSE)</f>
        <v>Perennial</v>
      </c>
      <c r="O658" s="15">
        <f>IF(SUMPRODUCT(($A$2:$A658=A658)*($B$2:$B658=B658)*($F$2:$F658=F658))&gt;1,0,1)</f>
        <v>1</v>
      </c>
      <c r="P658" s="15">
        <f>IF(SUMPRODUCT(($A$2:$A658=A658)*($B$2:$B658=B658)*($D$2:$D658=D658))&gt;1,0,1)</f>
        <v>0</v>
      </c>
    </row>
    <row r="659" spans="1:16" x14ac:dyDescent="0.35">
      <c r="A659" t="s">
        <v>24</v>
      </c>
      <c r="B659">
        <v>2010</v>
      </c>
      <c r="C659" t="s">
        <v>137</v>
      </c>
      <c r="D659">
        <v>7.1</v>
      </c>
      <c r="E659">
        <f>INT(Table2[[#This Row],[Transect]])</f>
        <v>7</v>
      </c>
      <c r="F659" t="s">
        <v>14</v>
      </c>
      <c r="G659">
        <v>12</v>
      </c>
      <c r="H659">
        <f t="shared" si="0"/>
        <v>116</v>
      </c>
      <c r="I659">
        <v>58</v>
      </c>
      <c r="J659">
        <f>Table2[[#This Row],[Hits]]/Table2[[#This Row],[Points]]*100</f>
        <v>10.344827586206897</v>
      </c>
      <c r="K659">
        <f>VLOOKUP(Table2[[#This Row],[Site]],'Site Info'!$A$1:$C$11,2, FALSE)</f>
        <v>34</v>
      </c>
      <c r="L659">
        <f>VLOOKUP(Table2[[#This Row],[Site]],'Site Info'!$A$1:$C$11,3, FALSE)</f>
        <v>6</v>
      </c>
      <c r="M659" t="str">
        <f>VLOOKUP(Table2[[#This Row],[Species]],'Species Table'!$A$1:$D$68,3, FALSE)</f>
        <v>Perennial</v>
      </c>
      <c r="O659" s="15">
        <f>IF(SUMPRODUCT(($A$2:$A659=A659)*($B$2:$B659=B659)*($F$2:$F659=F659))&gt;1,0,1)</f>
        <v>0</v>
      </c>
      <c r="P659" s="15">
        <f>IF(SUMPRODUCT(($A$2:$A659=A659)*($B$2:$B659=B659)*($D$2:$D659=D659))&gt;1,0,1)</f>
        <v>1</v>
      </c>
    </row>
    <row r="660" spans="1:16" x14ac:dyDescent="0.35">
      <c r="A660" t="s">
        <v>24</v>
      </c>
      <c r="B660">
        <v>2010</v>
      </c>
      <c r="C660" t="s">
        <v>137</v>
      </c>
      <c r="D660">
        <v>7.1</v>
      </c>
      <c r="E660">
        <f>INT(Table2[[#This Row],[Transect]])</f>
        <v>7</v>
      </c>
      <c r="F660" t="s">
        <v>3</v>
      </c>
      <c r="G660">
        <v>3</v>
      </c>
      <c r="H660">
        <f t="shared" si="0"/>
        <v>116</v>
      </c>
      <c r="I660">
        <v>58</v>
      </c>
      <c r="J660">
        <f>Table2[[#This Row],[Hits]]/Table2[[#This Row],[Points]]*100</f>
        <v>2.5862068965517242</v>
      </c>
      <c r="K660">
        <f>VLOOKUP(Table2[[#This Row],[Site]],'Site Info'!$A$1:$C$11,2, FALSE)</f>
        <v>34</v>
      </c>
      <c r="L660">
        <f>VLOOKUP(Table2[[#This Row],[Site]],'Site Info'!$A$1:$C$11,3, FALSE)</f>
        <v>6</v>
      </c>
      <c r="M660" t="str">
        <f>VLOOKUP(Table2[[#This Row],[Species]],'Species Table'!$A$1:$D$68,3, FALSE)</f>
        <v>Perennial</v>
      </c>
      <c r="O660" s="15">
        <f>IF(SUMPRODUCT(($A$2:$A660=A660)*($B$2:$B660=B660)*($F$2:$F660=F660))&gt;1,0,1)</f>
        <v>0</v>
      </c>
      <c r="P660" s="15">
        <f>IF(SUMPRODUCT(($A$2:$A660=A660)*($B$2:$B660=B660)*($D$2:$D660=D660))&gt;1,0,1)</f>
        <v>0</v>
      </c>
    </row>
    <row r="661" spans="1:16" hidden="1" x14ac:dyDescent="0.35">
      <c r="A661" t="s">
        <v>24</v>
      </c>
      <c r="B661">
        <v>2010</v>
      </c>
      <c r="C661" t="s">
        <v>137</v>
      </c>
      <c r="D661">
        <v>7.1</v>
      </c>
      <c r="E661">
        <f>INT(Table2[[#This Row],[Transect]])</f>
        <v>7</v>
      </c>
      <c r="F661" t="s">
        <v>10</v>
      </c>
      <c r="G661">
        <v>2</v>
      </c>
      <c r="H661">
        <f t="shared" si="0"/>
        <v>116</v>
      </c>
      <c r="I661">
        <v>58</v>
      </c>
      <c r="J661">
        <f>Table2[[#This Row],[Hits]]/Table2[[#This Row],[Points]]*100</f>
        <v>1.7241379310344827</v>
      </c>
      <c r="K661">
        <f>VLOOKUP(Table2[[#This Row],[Site]],'Site Info'!$A$1:$C$11,2, FALSE)</f>
        <v>34</v>
      </c>
      <c r="L661">
        <f>VLOOKUP(Table2[[#This Row],[Site]],'Site Info'!$A$1:$C$11,3, FALSE)</f>
        <v>6</v>
      </c>
      <c r="M661" t="str">
        <f>VLOOKUP(Table2[[#This Row],[Species]],'Species Table'!$A$1:$D$68,3, FALSE)</f>
        <v>Annual</v>
      </c>
      <c r="O661" s="15">
        <f>IF(SUMPRODUCT(($A$2:$A661=A661)*($B$2:$B661=B661)*($F$2:$F661=F661))&gt;1,0,1)</f>
        <v>0</v>
      </c>
      <c r="P661" s="15">
        <f>IF(SUMPRODUCT(($A$2:$A661=A661)*($B$2:$B661=B661)*($D$2:$D661=D661))&gt;1,0,1)</f>
        <v>0</v>
      </c>
    </row>
    <row r="662" spans="1:16" x14ac:dyDescent="0.35">
      <c r="A662" t="s">
        <v>24</v>
      </c>
      <c r="B662">
        <v>2010</v>
      </c>
      <c r="C662" t="s">
        <v>137</v>
      </c>
      <c r="D662">
        <v>7.1</v>
      </c>
      <c r="E662">
        <f>INT(Table2[[#This Row],[Transect]])</f>
        <v>7</v>
      </c>
      <c r="F662" t="s">
        <v>23</v>
      </c>
      <c r="G662">
        <v>1</v>
      </c>
      <c r="H662">
        <f t="shared" si="0"/>
        <v>116</v>
      </c>
      <c r="I662">
        <v>58</v>
      </c>
      <c r="J662">
        <f>Table2[[#This Row],[Hits]]/Table2[[#This Row],[Points]]*100</f>
        <v>0.86206896551724133</v>
      </c>
      <c r="K662">
        <f>VLOOKUP(Table2[[#This Row],[Site]],'Site Info'!$A$1:$C$11,2, FALSE)</f>
        <v>34</v>
      </c>
      <c r="L662">
        <f>VLOOKUP(Table2[[#This Row],[Site]],'Site Info'!$A$1:$C$11,3, FALSE)</f>
        <v>6</v>
      </c>
      <c r="M662" t="str">
        <f>VLOOKUP(Table2[[#This Row],[Species]],'Species Table'!$A$1:$D$68,3, FALSE)</f>
        <v>Perennial</v>
      </c>
      <c r="O662" s="15">
        <f>IF(SUMPRODUCT(($A$2:$A662=A662)*($B$2:$B662=B662)*($F$2:$F662=F662))&gt;1,0,1)</f>
        <v>0</v>
      </c>
      <c r="P662" s="15">
        <f>IF(SUMPRODUCT(($A$2:$A662=A662)*($B$2:$B662=B662)*($D$2:$D662=D662))&gt;1,0,1)</f>
        <v>0</v>
      </c>
    </row>
    <row r="663" spans="1:16" x14ac:dyDescent="0.35">
      <c r="A663" t="s">
        <v>19</v>
      </c>
      <c r="B663">
        <v>1999</v>
      </c>
      <c r="D663">
        <v>1.1000000000000001</v>
      </c>
      <c r="E663">
        <f>INT(Table2[[#This Row],[Transect]])</f>
        <v>1</v>
      </c>
      <c r="F663" t="s">
        <v>6</v>
      </c>
      <c r="G663">
        <v>6</v>
      </c>
      <c r="H663">
        <v>200</v>
      </c>
      <c r="J663">
        <f>Table2[[#This Row],[Hits]]/Table2[[#This Row],[Points]]*100</f>
        <v>3</v>
      </c>
      <c r="K663">
        <f>VLOOKUP(Table2[[#This Row],[Site]],'Site Info'!$A$1:$C$11,2, FALSE)</f>
        <v>17</v>
      </c>
      <c r="L663">
        <f>VLOOKUP(Table2[[#This Row],[Site]],'Site Info'!$A$1:$C$11,3, FALSE)</f>
        <v>4</v>
      </c>
      <c r="M663" t="str">
        <f>VLOOKUP(Table2[[#This Row],[Species]],'Species Table'!$A$1:$D$68,3, FALSE)</f>
        <v>Perennial</v>
      </c>
      <c r="O663" s="15">
        <f>IF(SUMPRODUCT(($A$2:$A663=A663)*($B$2:$B663=B663)*($F$2:$F663=F663))&gt;1,0,1)</f>
        <v>1</v>
      </c>
      <c r="P663" s="15">
        <f>IF(SUMPRODUCT(($A$2:$A663=A663)*($B$2:$B663=B663)*($D$2:$D663=D663))&gt;1,0,1)</f>
        <v>1</v>
      </c>
    </row>
    <row r="664" spans="1:16" x14ac:dyDescent="0.35">
      <c r="A664" t="s">
        <v>19</v>
      </c>
      <c r="B664">
        <v>1999</v>
      </c>
      <c r="D664">
        <v>1.1000000000000001</v>
      </c>
      <c r="E664">
        <f>INT(Table2[[#This Row],[Transect]])</f>
        <v>1</v>
      </c>
      <c r="F664" t="s">
        <v>3</v>
      </c>
      <c r="G664">
        <v>3</v>
      </c>
      <c r="H664">
        <v>200</v>
      </c>
      <c r="J664">
        <f>Table2[[#This Row],[Hits]]/Table2[[#This Row],[Points]]*100</f>
        <v>1.5</v>
      </c>
      <c r="K664">
        <f>VLOOKUP(Table2[[#This Row],[Site]],'Site Info'!$A$1:$C$11,2, FALSE)</f>
        <v>17</v>
      </c>
      <c r="L664">
        <f>VLOOKUP(Table2[[#This Row],[Site]],'Site Info'!$A$1:$C$11,3, FALSE)</f>
        <v>4</v>
      </c>
      <c r="M664" t="str">
        <f>VLOOKUP(Table2[[#This Row],[Species]],'Species Table'!$A$1:$D$68,3, FALSE)</f>
        <v>Perennial</v>
      </c>
      <c r="O664" s="15">
        <f>IF(SUMPRODUCT(($A$2:$A664=A664)*($B$2:$B664=B664)*($F$2:$F664=F664))&gt;1,0,1)</f>
        <v>1</v>
      </c>
      <c r="P664" s="15">
        <f>IF(SUMPRODUCT(($A$2:$A664=A664)*($B$2:$B664=B664)*($D$2:$D664=D664))&gt;1,0,1)</f>
        <v>0</v>
      </c>
    </row>
    <row r="665" spans="1:16" x14ac:dyDescent="0.35">
      <c r="A665" t="s">
        <v>19</v>
      </c>
      <c r="B665">
        <v>1999</v>
      </c>
      <c r="D665">
        <v>1.2</v>
      </c>
      <c r="E665">
        <f>INT(Table2[[#This Row],[Transect]])</f>
        <v>1</v>
      </c>
      <c r="F665" t="s">
        <v>3</v>
      </c>
      <c r="G665">
        <v>13</v>
      </c>
      <c r="H665">
        <v>200</v>
      </c>
      <c r="J665">
        <f>Table2[[#This Row],[Hits]]/Table2[[#This Row],[Points]]*100</f>
        <v>6.5</v>
      </c>
      <c r="K665">
        <f>VLOOKUP(Table2[[#This Row],[Site]],'Site Info'!$A$1:$C$11,2, FALSE)</f>
        <v>17</v>
      </c>
      <c r="L665">
        <f>VLOOKUP(Table2[[#This Row],[Site]],'Site Info'!$A$1:$C$11,3, FALSE)</f>
        <v>4</v>
      </c>
      <c r="M665" t="str">
        <f>VLOOKUP(Table2[[#This Row],[Species]],'Species Table'!$A$1:$D$68,3, FALSE)</f>
        <v>Perennial</v>
      </c>
      <c r="O665" s="15">
        <f>IF(SUMPRODUCT(($A$2:$A665=A665)*($B$2:$B665=B665)*($F$2:$F665=F665))&gt;1,0,1)</f>
        <v>0</v>
      </c>
      <c r="P665" s="15">
        <f>IF(SUMPRODUCT(($A$2:$A665=A665)*($B$2:$B665=B665)*($D$2:$D665=D665))&gt;1,0,1)</f>
        <v>1</v>
      </c>
    </row>
    <row r="666" spans="1:16" x14ac:dyDescent="0.35">
      <c r="A666" t="s">
        <v>19</v>
      </c>
      <c r="B666">
        <v>1999</v>
      </c>
      <c r="D666">
        <v>2.1</v>
      </c>
      <c r="E666">
        <f>INT(Table2[[#This Row],[Transect]])</f>
        <v>2</v>
      </c>
      <c r="F666" t="s">
        <v>3</v>
      </c>
      <c r="G666">
        <v>12</v>
      </c>
      <c r="H666">
        <v>200</v>
      </c>
      <c r="J666">
        <f>Table2[[#This Row],[Hits]]/Table2[[#This Row],[Points]]*100</f>
        <v>6</v>
      </c>
      <c r="K666">
        <f>VLOOKUP(Table2[[#This Row],[Site]],'Site Info'!$A$1:$C$11,2, FALSE)</f>
        <v>17</v>
      </c>
      <c r="L666">
        <f>VLOOKUP(Table2[[#This Row],[Site]],'Site Info'!$A$1:$C$11,3, FALSE)</f>
        <v>4</v>
      </c>
      <c r="M666" t="str">
        <f>VLOOKUP(Table2[[#This Row],[Species]],'Species Table'!$A$1:$D$68,3, FALSE)</f>
        <v>Perennial</v>
      </c>
      <c r="O666" s="15">
        <f>IF(SUMPRODUCT(($A$2:$A666=A666)*($B$2:$B666=B666)*($F$2:$F666=F666))&gt;1,0,1)</f>
        <v>0</v>
      </c>
      <c r="P666" s="15">
        <f>IF(SUMPRODUCT(($A$2:$A666=A666)*($B$2:$B666=B666)*($D$2:$D666=D666))&gt;1,0,1)</f>
        <v>1</v>
      </c>
    </row>
    <row r="667" spans="1:16" x14ac:dyDescent="0.35">
      <c r="A667" t="s">
        <v>19</v>
      </c>
      <c r="B667">
        <v>1999</v>
      </c>
      <c r="D667">
        <v>2.1</v>
      </c>
      <c r="E667">
        <f>INT(Table2[[#This Row],[Transect]])</f>
        <v>2</v>
      </c>
      <c r="F667" t="s">
        <v>12</v>
      </c>
      <c r="G667">
        <v>2</v>
      </c>
      <c r="H667">
        <v>200</v>
      </c>
      <c r="J667">
        <f>Table2[[#This Row],[Hits]]/Table2[[#This Row],[Points]]*100</f>
        <v>1</v>
      </c>
      <c r="K667">
        <f>VLOOKUP(Table2[[#This Row],[Site]],'Site Info'!$A$1:$C$11,2, FALSE)</f>
        <v>17</v>
      </c>
      <c r="L667">
        <f>VLOOKUP(Table2[[#This Row],[Site]],'Site Info'!$A$1:$C$11,3, FALSE)</f>
        <v>4</v>
      </c>
      <c r="M667" t="str">
        <f>VLOOKUP(Table2[[#This Row],[Species]],'Species Table'!$A$1:$D$68,3, FALSE)</f>
        <v>Perennial</v>
      </c>
      <c r="O667" s="15">
        <f>IF(SUMPRODUCT(($A$2:$A667=A667)*($B$2:$B667=B667)*($F$2:$F667=F667))&gt;1,0,1)</f>
        <v>1</v>
      </c>
      <c r="P667" s="15">
        <f>IF(SUMPRODUCT(($A$2:$A667=A667)*($B$2:$B667=B667)*($D$2:$D667=D667))&gt;1,0,1)</f>
        <v>0</v>
      </c>
    </row>
    <row r="668" spans="1:16" x14ac:dyDescent="0.35">
      <c r="A668" t="s">
        <v>19</v>
      </c>
      <c r="B668">
        <v>1999</v>
      </c>
      <c r="D668">
        <v>2.2000000000000002</v>
      </c>
      <c r="E668">
        <f>INT(Table2[[#This Row],[Transect]])</f>
        <v>2</v>
      </c>
      <c r="F668" t="s">
        <v>6</v>
      </c>
      <c r="G668">
        <v>3</v>
      </c>
      <c r="H668">
        <v>200</v>
      </c>
      <c r="J668">
        <f>Table2[[#This Row],[Hits]]/Table2[[#This Row],[Points]]*100</f>
        <v>1.5</v>
      </c>
      <c r="K668">
        <f>VLOOKUP(Table2[[#This Row],[Site]],'Site Info'!$A$1:$C$11,2, FALSE)</f>
        <v>17</v>
      </c>
      <c r="L668">
        <f>VLOOKUP(Table2[[#This Row],[Site]],'Site Info'!$A$1:$C$11,3, FALSE)</f>
        <v>4</v>
      </c>
      <c r="M668" t="str">
        <f>VLOOKUP(Table2[[#This Row],[Species]],'Species Table'!$A$1:$D$68,3, FALSE)</f>
        <v>Perennial</v>
      </c>
      <c r="O668" s="15">
        <f>IF(SUMPRODUCT(($A$2:$A668=A668)*($B$2:$B668=B668)*($F$2:$F668=F668))&gt;1,0,1)</f>
        <v>0</v>
      </c>
      <c r="P668" s="15">
        <f>IF(SUMPRODUCT(($A$2:$A668=A668)*($B$2:$B668=B668)*($D$2:$D668=D668))&gt;1,0,1)</f>
        <v>1</v>
      </c>
    </row>
    <row r="669" spans="1:16" x14ac:dyDescent="0.35">
      <c r="A669" t="s">
        <v>19</v>
      </c>
      <c r="B669">
        <v>1999</v>
      </c>
      <c r="D669">
        <v>2.2000000000000002</v>
      </c>
      <c r="E669">
        <f>INT(Table2[[#This Row],[Transect]])</f>
        <v>2</v>
      </c>
      <c r="F669" t="s">
        <v>3</v>
      </c>
      <c r="G669">
        <v>7</v>
      </c>
      <c r="H669">
        <v>200</v>
      </c>
      <c r="J669">
        <f>Table2[[#This Row],[Hits]]/Table2[[#This Row],[Points]]*100</f>
        <v>3.5000000000000004</v>
      </c>
      <c r="K669">
        <f>VLOOKUP(Table2[[#This Row],[Site]],'Site Info'!$A$1:$C$11,2, FALSE)</f>
        <v>17</v>
      </c>
      <c r="L669">
        <f>VLOOKUP(Table2[[#This Row],[Site]],'Site Info'!$A$1:$C$11,3, FALSE)</f>
        <v>4</v>
      </c>
      <c r="M669" t="str">
        <f>VLOOKUP(Table2[[#This Row],[Species]],'Species Table'!$A$1:$D$68,3, FALSE)</f>
        <v>Perennial</v>
      </c>
      <c r="O669" s="15">
        <f>IF(SUMPRODUCT(($A$2:$A669=A669)*($B$2:$B669=B669)*($F$2:$F669=F669))&gt;1,0,1)</f>
        <v>0</v>
      </c>
      <c r="P669" s="15">
        <f>IF(SUMPRODUCT(($A$2:$A669=A669)*($B$2:$B669=B669)*($D$2:$D669=D669))&gt;1,0,1)</f>
        <v>0</v>
      </c>
    </row>
    <row r="670" spans="1:16" x14ac:dyDescent="0.35">
      <c r="A670" t="s">
        <v>19</v>
      </c>
      <c r="B670">
        <v>1999</v>
      </c>
      <c r="D670">
        <v>2.2000000000000002</v>
      </c>
      <c r="E670">
        <f>INT(Table2[[#This Row],[Transect]])</f>
        <v>2</v>
      </c>
      <c r="F670" t="s">
        <v>12</v>
      </c>
      <c r="G670">
        <v>1</v>
      </c>
      <c r="H670">
        <v>200</v>
      </c>
      <c r="J670">
        <f>Table2[[#This Row],[Hits]]/Table2[[#This Row],[Points]]*100</f>
        <v>0.5</v>
      </c>
      <c r="K670">
        <f>VLOOKUP(Table2[[#This Row],[Site]],'Site Info'!$A$1:$C$11,2, FALSE)</f>
        <v>17</v>
      </c>
      <c r="L670">
        <f>VLOOKUP(Table2[[#This Row],[Site]],'Site Info'!$A$1:$C$11,3, FALSE)</f>
        <v>4</v>
      </c>
      <c r="M670" t="str">
        <f>VLOOKUP(Table2[[#This Row],[Species]],'Species Table'!$A$1:$D$68,3, FALSE)</f>
        <v>Perennial</v>
      </c>
      <c r="O670" s="15">
        <f>IF(SUMPRODUCT(($A$2:$A670=A670)*($B$2:$B670=B670)*($F$2:$F670=F670))&gt;1,0,1)</f>
        <v>0</v>
      </c>
      <c r="P670" s="15">
        <f>IF(SUMPRODUCT(($A$2:$A670=A670)*($B$2:$B670=B670)*($D$2:$D670=D670))&gt;1,0,1)</f>
        <v>0</v>
      </c>
    </row>
    <row r="671" spans="1:16" x14ac:dyDescent="0.35">
      <c r="A671" t="s">
        <v>19</v>
      </c>
      <c r="B671">
        <v>1999</v>
      </c>
      <c r="D671">
        <v>3.1</v>
      </c>
      <c r="E671">
        <f>INT(Table2[[#This Row],[Transect]])</f>
        <v>3</v>
      </c>
      <c r="F671" t="s">
        <v>3</v>
      </c>
      <c r="G671">
        <v>12</v>
      </c>
      <c r="H671">
        <v>200</v>
      </c>
      <c r="J671">
        <f>Table2[[#This Row],[Hits]]/Table2[[#This Row],[Points]]*100</f>
        <v>6</v>
      </c>
      <c r="K671">
        <f>VLOOKUP(Table2[[#This Row],[Site]],'Site Info'!$A$1:$C$11,2, FALSE)</f>
        <v>17</v>
      </c>
      <c r="L671">
        <f>VLOOKUP(Table2[[#This Row],[Site]],'Site Info'!$A$1:$C$11,3, FALSE)</f>
        <v>4</v>
      </c>
      <c r="M671" t="str">
        <f>VLOOKUP(Table2[[#This Row],[Species]],'Species Table'!$A$1:$D$68,3, FALSE)</f>
        <v>Perennial</v>
      </c>
      <c r="O671" s="15">
        <f>IF(SUMPRODUCT(($A$2:$A671=A671)*($B$2:$B671=B671)*($F$2:$F671=F671))&gt;1,0,1)</f>
        <v>0</v>
      </c>
      <c r="P671" s="15">
        <f>IF(SUMPRODUCT(($A$2:$A671=A671)*($B$2:$B671=B671)*($D$2:$D671=D671))&gt;1,0,1)</f>
        <v>1</v>
      </c>
    </row>
    <row r="672" spans="1:16" x14ac:dyDescent="0.35">
      <c r="A672" t="s">
        <v>19</v>
      </c>
      <c r="B672">
        <v>1999</v>
      </c>
      <c r="D672">
        <v>3.2</v>
      </c>
      <c r="E672">
        <f>INT(Table2[[#This Row],[Transect]])</f>
        <v>3</v>
      </c>
      <c r="F672" t="s">
        <v>3</v>
      </c>
      <c r="G672">
        <v>8</v>
      </c>
      <c r="H672">
        <v>192</v>
      </c>
      <c r="J672">
        <f>Table2[[#This Row],[Hits]]/Table2[[#This Row],[Points]]*100</f>
        <v>4.1666666666666661</v>
      </c>
      <c r="K672">
        <f>VLOOKUP(Table2[[#This Row],[Site]],'Site Info'!$A$1:$C$11,2, FALSE)</f>
        <v>17</v>
      </c>
      <c r="L672">
        <f>VLOOKUP(Table2[[#This Row],[Site]],'Site Info'!$A$1:$C$11,3, FALSE)</f>
        <v>4</v>
      </c>
      <c r="M672" t="str">
        <f>VLOOKUP(Table2[[#This Row],[Species]],'Species Table'!$A$1:$D$68,3, FALSE)</f>
        <v>Perennial</v>
      </c>
      <c r="O672" s="15">
        <f>IF(SUMPRODUCT(($A$2:$A672=A672)*($B$2:$B672=B672)*($F$2:$F672=F672))&gt;1,0,1)</f>
        <v>0</v>
      </c>
      <c r="P672" s="15">
        <f>IF(SUMPRODUCT(($A$2:$A672=A672)*($B$2:$B672=B672)*($D$2:$D672=D672))&gt;1,0,1)</f>
        <v>1</v>
      </c>
    </row>
    <row r="673" spans="1:16" x14ac:dyDescent="0.35">
      <c r="A673" t="s">
        <v>19</v>
      </c>
      <c r="B673">
        <v>1999</v>
      </c>
      <c r="D673">
        <v>4.0999999999999996</v>
      </c>
      <c r="E673">
        <f>INT(Table2[[#This Row],[Transect]])</f>
        <v>4</v>
      </c>
      <c r="F673" t="s">
        <v>3</v>
      </c>
      <c r="G673">
        <v>10</v>
      </c>
      <c r="H673">
        <v>200</v>
      </c>
      <c r="J673">
        <f>Table2[[#This Row],[Hits]]/Table2[[#This Row],[Points]]*100</f>
        <v>5</v>
      </c>
      <c r="K673">
        <f>VLOOKUP(Table2[[#This Row],[Site]],'Site Info'!$A$1:$C$11,2, FALSE)</f>
        <v>17</v>
      </c>
      <c r="L673">
        <f>VLOOKUP(Table2[[#This Row],[Site]],'Site Info'!$A$1:$C$11,3, FALSE)</f>
        <v>4</v>
      </c>
      <c r="M673" t="str">
        <f>VLOOKUP(Table2[[#This Row],[Species]],'Species Table'!$A$1:$D$68,3, FALSE)</f>
        <v>Perennial</v>
      </c>
      <c r="O673" s="15">
        <f>IF(SUMPRODUCT(($A$2:$A673=A673)*($B$2:$B673=B673)*($F$2:$F673=F673))&gt;1,0,1)</f>
        <v>0</v>
      </c>
      <c r="P673" s="15">
        <f>IF(SUMPRODUCT(($A$2:$A673=A673)*($B$2:$B673=B673)*($D$2:$D673=D673))&gt;1,0,1)</f>
        <v>1</v>
      </c>
    </row>
    <row r="674" spans="1:16" x14ac:dyDescent="0.35">
      <c r="A674" t="s">
        <v>19</v>
      </c>
      <c r="B674">
        <v>1999</v>
      </c>
      <c r="D674">
        <v>4.0999999999999996</v>
      </c>
      <c r="E674">
        <f>INT(Table2[[#This Row],[Transect]])</f>
        <v>4</v>
      </c>
      <c r="F674" t="s">
        <v>12</v>
      </c>
      <c r="G674">
        <v>4</v>
      </c>
      <c r="H674">
        <v>200</v>
      </c>
      <c r="J674">
        <f>Table2[[#This Row],[Hits]]/Table2[[#This Row],[Points]]*100</f>
        <v>2</v>
      </c>
      <c r="K674">
        <f>VLOOKUP(Table2[[#This Row],[Site]],'Site Info'!$A$1:$C$11,2, FALSE)</f>
        <v>17</v>
      </c>
      <c r="L674">
        <f>VLOOKUP(Table2[[#This Row],[Site]],'Site Info'!$A$1:$C$11,3, FALSE)</f>
        <v>4</v>
      </c>
      <c r="M674" t="str">
        <f>VLOOKUP(Table2[[#This Row],[Species]],'Species Table'!$A$1:$D$68,3, FALSE)</f>
        <v>Perennial</v>
      </c>
      <c r="O674" s="15">
        <f>IF(SUMPRODUCT(($A$2:$A674=A674)*($B$2:$B674=B674)*($F$2:$F674=F674))&gt;1,0,1)</f>
        <v>0</v>
      </c>
      <c r="P674" s="15">
        <f>IF(SUMPRODUCT(($A$2:$A674=A674)*($B$2:$B674=B674)*($D$2:$D674=D674))&gt;1,0,1)</f>
        <v>0</v>
      </c>
    </row>
    <row r="675" spans="1:16" x14ac:dyDescent="0.35">
      <c r="A675" t="s">
        <v>19</v>
      </c>
      <c r="B675">
        <v>1999</v>
      </c>
      <c r="D675">
        <v>4.2</v>
      </c>
      <c r="E675">
        <f>INT(Table2[[#This Row],[Transect]])</f>
        <v>4</v>
      </c>
      <c r="F675" t="s">
        <v>3</v>
      </c>
      <c r="G675">
        <v>15</v>
      </c>
      <c r="H675">
        <v>177</v>
      </c>
      <c r="J675">
        <f>Table2[[#This Row],[Hits]]/Table2[[#This Row],[Points]]*100</f>
        <v>8.4745762711864394</v>
      </c>
      <c r="K675">
        <f>VLOOKUP(Table2[[#This Row],[Site]],'Site Info'!$A$1:$C$11,2, FALSE)</f>
        <v>17</v>
      </c>
      <c r="L675">
        <f>VLOOKUP(Table2[[#This Row],[Site]],'Site Info'!$A$1:$C$11,3, FALSE)</f>
        <v>4</v>
      </c>
      <c r="M675" t="str">
        <f>VLOOKUP(Table2[[#This Row],[Species]],'Species Table'!$A$1:$D$68,3, FALSE)</f>
        <v>Perennial</v>
      </c>
      <c r="O675" s="15">
        <f>IF(SUMPRODUCT(($A$2:$A675=A675)*($B$2:$B675=B675)*($F$2:$F675=F675))&gt;1,0,1)</f>
        <v>0</v>
      </c>
      <c r="P675" s="15">
        <f>IF(SUMPRODUCT(($A$2:$A675=A675)*($B$2:$B675=B675)*($D$2:$D675=D675))&gt;1,0,1)</f>
        <v>1</v>
      </c>
    </row>
    <row r="676" spans="1:16" x14ac:dyDescent="0.35">
      <c r="A676" t="s">
        <v>19</v>
      </c>
      <c r="B676">
        <v>1999</v>
      </c>
      <c r="D676">
        <v>4.2</v>
      </c>
      <c r="E676">
        <f>INT(Table2[[#This Row],[Transect]])</f>
        <v>4</v>
      </c>
      <c r="F676" t="s">
        <v>12</v>
      </c>
      <c r="G676">
        <v>4</v>
      </c>
      <c r="H676">
        <v>177</v>
      </c>
      <c r="J676">
        <f>Table2[[#This Row],[Hits]]/Table2[[#This Row],[Points]]*100</f>
        <v>2.2598870056497176</v>
      </c>
      <c r="K676">
        <f>VLOOKUP(Table2[[#This Row],[Site]],'Site Info'!$A$1:$C$11,2, FALSE)</f>
        <v>17</v>
      </c>
      <c r="L676">
        <f>VLOOKUP(Table2[[#This Row],[Site]],'Site Info'!$A$1:$C$11,3, FALSE)</f>
        <v>4</v>
      </c>
      <c r="M676" t="str">
        <f>VLOOKUP(Table2[[#This Row],[Species]],'Species Table'!$A$1:$D$68,3, FALSE)</f>
        <v>Perennial</v>
      </c>
      <c r="O676" s="15">
        <f>IF(SUMPRODUCT(($A$2:$A676=A676)*($B$2:$B676=B676)*($F$2:$F676=F676))&gt;1,0,1)</f>
        <v>0</v>
      </c>
      <c r="P676" s="15">
        <f>IF(SUMPRODUCT(($A$2:$A676=A676)*($B$2:$B676=B676)*($D$2:$D676=D676))&gt;1,0,1)</f>
        <v>0</v>
      </c>
    </row>
    <row r="677" spans="1:16" x14ac:dyDescent="0.35">
      <c r="A677" t="s">
        <v>19</v>
      </c>
      <c r="B677">
        <v>1999</v>
      </c>
      <c r="D677">
        <v>5.0999999999999996</v>
      </c>
      <c r="E677">
        <f>INT(Table2[[#This Row],[Transect]])</f>
        <v>5</v>
      </c>
      <c r="F677" t="s">
        <v>3</v>
      </c>
      <c r="G677">
        <v>28</v>
      </c>
      <c r="H677">
        <v>200</v>
      </c>
      <c r="J677">
        <f>Table2[[#This Row],[Hits]]/Table2[[#This Row],[Points]]*100</f>
        <v>14.000000000000002</v>
      </c>
      <c r="K677">
        <f>VLOOKUP(Table2[[#This Row],[Site]],'Site Info'!$A$1:$C$11,2, FALSE)</f>
        <v>17</v>
      </c>
      <c r="L677">
        <f>VLOOKUP(Table2[[#This Row],[Site]],'Site Info'!$A$1:$C$11,3, FALSE)</f>
        <v>4</v>
      </c>
      <c r="M677" t="str">
        <f>VLOOKUP(Table2[[#This Row],[Species]],'Species Table'!$A$1:$D$68,3, FALSE)</f>
        <v>Perennial</v>
      </c>
      <c r="O677" s="15">
        <f>IF(SUMPRODUCT(($A$2:$A677=A677)*($B$2:$B677=B677)*($F$2:$F677=F677))&gt;1,0,1)</f>
        <v>0</v>
      </c>
      <c r="P677" s="15">
        <f>IF(SUMPRODUCT(($A$2:$A677=A677)*($B$2:$B677=B677)*($D$2:$D677=D677))&gt;1,0,1)</f>
        <v>1</v>
      </c>
    </row>
    <row r="678" spans="1:16" x14ac:dyDescent="0.35">
      <c r="A678" t="s">
        <v>19</v>
      </c>
      <c r="B678">
        <v>1999</v>
      </c>
      <c r="D678">
        <v>5.0999999999999996</v>
      </c>
      <c r="E678">
        <f>INT(Table2[[#This Row],[Transect]])</f>
        <v>5</v>
      </c>
      <c r="F678" t="s">
        <v>5</v>
      </c>
      <c r="G678">
        <v>1</v>
      </c>
      <c r="H678">
        <v>200</v>
      </c>
      <c r="J678">
        <f>Table2[[#This Row],[Hits]]/Table2[[#This Row],[Points]]*100</f>
        <v>0.5</v>
      </c>
      <c r="K678">
        <f>VLOOKUP(Table2[[#This Row],[Site]],'Site Info'!$A$1:$C$11,2, FALSE)</f>
        <v>17</v>
      </c>
      <c r="L678">
        <f>VLOOKUP(Table2[[#This Row],[Site]],'Site Info'!$A$1:$C$11,3, FALSE)</f>
        <v>4</v>
      </c>
      <c r="M678" t="str">
        <f>VLOOKUP(Table2[[#This Row],[Species]],'Species Table'!$A$1:$D$68,3, FALSE)</f>
        <v>Perennial</v>
      </c>
      <c r="O678" s="15">
        <f>IF(SUMPRODUCT(($A$2:$A678=A678)*($B$2:$B678=B678)*($F$2:$F678=F678))&gt;1,0,1)</f>
        <v>1</v>
      </c>
      <c r="P678" s="15">
        <f>IF(SUMPRODUCT(($A$2:$A678=A678)*($B$2:$B678=B678)*($D$2:$D678=D678))&gt;1,0,1)</f>
        <v>0</v>
      </c>
    </row>
    <row r="679" spans="1:16" x14ac:dyDescent="0.35">
      <c r="A679" t="s">
        <v>19</v>
      </c>
      <c r="B679">
        <v>1999</v>
      </c>
      <c r="D679">
        <v>5.2</v>
      </c>
      <c r="E679">
        <f>INT(Table2[[#This Row],[Transect]])</f>
        <v>5</v>
      </c>
      <c r="F679" t="s">
        <v>3</v>
      </c>
      <c r="G679">
        <v>10</v>
      </c>
      <c r="H679">
        <v>157</v>
      </c>
      <c r="J679">
        <f>Table2[[#This Row],[Hits]]/Table2[[#This Row],[Points]]*100</f>
        <v>6.369426751592357</v>
      </c>
      <c r="K679">
        <f>VLOOKUP(Table2[[#This Row],[Site]],'Site Info'!$A$1:$C$11,2, FALSE)</f>
        <v>17</v>
      </c>
      <c r="L679">
        <f>VLOOKUP(Table2[[#This Row],[Site]],'Site Info'!$A$1:$C$11,3, FALSE)</f>
        <v>4</v>
      </c>
      <c r="M679" t="str">
        <f>VLOOKUP(Table2[[#This Row],[Species]],'Species Table'!$A$1:$D$68,3, FALSE)</f>
        <v>Perennial</v>
      </c>
      <c r="O679" s="15">
        <f>IF(SUMPRODUCT(($A$2:$A679=A679)*($B$2:$B679=B679)*($F$2:$F679=F679))&gt;1,0,1)</f>
        <v>0</v>
      </c>
      <c r="P679" s="15">
        <f>IF(SUMPRODUCT(($A$2:$A679=A679)*($B$2:$B679=B679)*($D$2:$D679=D679))&gt;1,0,1)</f>
        <v>1</v>
      </c>
    </row>
    <row r="680" spans="1:16" x14ac:dyDescent="0.35">
      <c r="A680" t="s">
        <v>19</v>
      </c>
      <c r="B680">
        <v>1999</v>
      </c>
      <c r="D680">
        <v>5.2</v>
      </c>
      <c r="E680">
        <f>INT(Table2[[#This Row],[Transect]])</f>
        <v>5</v>
      </c>
      <c r="F680" t="s">
        <v>12</v>
      </c>
      <c r="G680">
        <v>1</v>
      </c>
      <c r="H680">
        <v>157</v>
      </c>
      <c r="J680">
        <f>Table2[[#This Row],[Hits]]/Table2[[#This Row],[Points]]*100</f>
        <v>0.63694267515923575</v>
      </c>
      <c r="K680">
        <f>VLOOKUP(Table2[[#This Row],[Site]],'Site Info'!$A$1:$C$11,2, FALSE)</f>
        <v>17</v>
      </c>
      <c r="L680">
        <f>VLOOKUP(Table2[[#This Row],[Site]],'Site Info'!$A$1:$C$11,3, FALSE)</f>
        <v>4</v>
      </c>
      <c r="M680" t="str">
        <f>VLOOKUP(Table2[[#This Row],[Species]],'Species Table'!$A$1:$D$68,3, FALSE)</f>
        <v>Perennial</v>
      </c>
      <c r="O680" s="15">
        <f>IF(SUMPRODUCT(($A$2:$A680=A680)*($B$2:$B680=B680)*($F$2:$F680=F680))&gt;1,0,1)</f>
        <v>0</v>
      </c>
      <c r="P680" s="15">
        <f>IF(SUMPRODUCT(($A$2:$A680=A680)*($B$2:$B680=B680)*($D$2:$D680=D680))&gt;1,0,1)</f>
        <v>0</v>
      </c>
    </row>
    <row r="681" spans="1:16" x14ac:dyDescent="0.35">
      <c r="A681" t="s">
        <v>19</v>
      </c>
      <c r="B681">
        <v>1999</v>
      </c>
      <c r="D681">
        <v>6.1</v>
      </c>
      <c r="E681">
        <f>INT(Table2[[#This Row],[Transect]])</f>
        <v>6</v>
      </c>
      <c r="F681" t="s">
        <v>3</v>
      </c>
      <c r="G681">
        <v>19</v>
      </c>
      <c r="H681">
        <v>200</v>
      </c>
      <c r="J681">
        <f>Table2[[#This Row],[Hits]]/Table2[[#This Row],[Points]]*100</f>
        <v>9.5</v>
      </c>
      <c r="K681">
        <f>VLOOKUP(Table2[[#This Row],[Site]],'Site Info'!$A$1:$C$11,2, FALSE)</f>
        <v>17</v>
      </c>
      <c r="L681">
        <f>VLOOKUP(Table2[[#This Row],[Site]],'Site Info'!$A$1:$C$11,3, FALSE)</f>
        <v>4</v>
      </c>
      <c r="M681" t="str">
        <f>VLOOKUP(Table2[[#This Row],[Species]],'Species Table'!$A$1:$D$68,3, FALSE)</f>
        <v>Perennial</v>
      </c>
      <c r="O681" s="15">
        <f>IF(SUMPRODUCT(($A$2:$A681=A681)*($B$2:$B681=B681)*($F$2:$F681=F681))&gt;1,0,1)</f>
        <v>0</v>
      </c>
      <c r="P681" s="15">
        <f>IF(SUMPRODUCT(($A$2:$A681=A681)*($B$2:$B681=B681)*($D$2:$D681=D681))&gt;1,0,1)</f>
        <v>1</v>
      </c>
    </row>
    <row r="682" spans="1:16" x14ac:dyDescent="0.35">
      <c r="A682" t="s">
        <v>19</v>
      </c>
      <c r="B682">
        <v>1999</v>
      </c>
      <c r="D682">
        <v>6.1</v>
      </c>
      <c r="E682">
        <f>INT(Table2[[#This Row],[Transect]])</f>
        <v>6</v>
      </c>
      <c r="F682" t="s">
        <v>12</v>
      </c>
      <c r="G682">
        <v>4</v>
      </c>
      <c r="H682">
        <v>200</v>
      </c>
      <c r="J682">
        <f>Table2[[#This Row],[Hits]]/Table2[[#This Row],[Points]]*100</f>
        <v>2</v>
      </c>
      <c r="K682">
        <f>VLOOKUP(Table2[[#This Row],[Site]],'Site Info'!$A$1:$C$11,2, FALSE)</f>
        <v>17</v>
      </c>
      <c r="L682">
        <f>VLOOKUP(Table2[[#This Row],[Site]],'Site Info'!$A$1:$C$11,3, FALSE)</f>
        <v>4</v>
      </c>
      <c r="M682" t="str">
        <f>VLOOKUP(Table2[[#This Row],[Species]],'Species Table'!$A$1:$D$68,3, FALSE)</f>
        <v>Perennial</v>
      </c>
      <c r="O682" s="15">
        <f>IF(SUMPRODUCT(($A$2:$A682=A682)*($B$2:$B682=B682)*($F$2:$F682=F682))&gt;1,0,1)</f>
        <v>0</v>
      </c>
      <c r="P682" s="15">
        <f>IF(SUMPRODUCT(($A$2:$A682=A682)*($B$2:$B682=B682)*($D$2:$D682=D682))&gt;1,0,1)</f>
        <v>0</v>
      </c>
    </row>
    <row r="683" spans="1:16" x14ac:dyDescent="0.35">
      <c r="A683" t="s">
        <v>19</v>
      </c>
      <c r="B683">
        <v>1999</v>
      </c>
      <c r="D683">
        <v>6.2</v>
      </c>
      <c r="E683">
        <f>INT(Table2[[#This Row],[Transect]])</f>
        <v>6</v>
      </c>
      <c r="F683" t="s">
        <v>3</v>
      </c>
      <c r="G683">
        <v>19</v>
      </c>
      <c r="H683">
        <v>135</v>
      </c>
      <c r="J683">
        <f>Table2[[#This Row],[Hits]]/Table2[[#This Row],[Points]]*100</f>
        <v>14.074074074074074</v>
      </c>
      <c r="K683">
        <f>VLOOKUP(Table2[[#This Row],[Site]],'Site Info'!$A$1:$C$11,2, FALSE)</f>
        <v>17</v>
      </c>
      <c r="L683">
        <f>VLOOKUP(Table2[[#This Row],[Site]],'Site Info'!$A$1:$C$11,3, FALSE)</f>
        <v>4</v>
      </c>
      <c r="M683" t="str">
        <f>VLOOKUP(Table2[[#This Row],[Species]],'Species Table'!$A$1:$D$68,3, FALSE)</f>
        <v>Perennial</v>
      </c>
      <c r="O683" s="15">
        <f>IF(SUMPRODUCT(($A$2:$A683=A683)*($B$2:$B683=B683)*($F$2:$F683=F683))&gt;1,0,1)</f>
        <v>0</v>
      </c>
      <c r="P683" s="15">
        <f>IF(SUMPRODUCT(($A$2:$A683=A683)*($B$2:$B683=B683)*($D$2:$D683=D683))&gt;1,0,1)</f>
        <v>1</v>
      </c>
    </row>
    <row r="684" spans="1:16" x14ac:dyDescent="0.35">
      <c r="A684" t="s">
        <v>19</v>
      </c>
      <c r="B684">
        <v>1999</v>
      </c>
      <c r="D684">
        <v>6.2</v>
      </c>
      <c r="E684">
        <f>INT(Table2[[#This Row],[Transect]])</f>
        <v>6</v>
      </c>
      <c r="F684" t="s">
        <v>12</v>
      </c>
      <c r="G684">
        <v>2</v>
      </c>
      <c r="H684">
        <v>135</v>
      </c>
      <c r="J684">
        <f>Table2[[#This Row],[Hits]]/Table2[[#This Row],[Points]]*100</f>
        <v>1.4814814814814816</v>
      </c>
      <c r="K684">
        <f>VLOOKUP(Table2[[#This Row],[Site]],'Site Info'!$A$1:$C$11,2, FALSE)</f>
        <v>17</v>
      </c>
      <c r="L684">
        <f>VLOOKUP(Table2[[#This Row],[Site]],'Site Info'!$A$1:$C$11,3, FALSE)</f>
        <v>4</v>
      </c>
      <c r="M684" t="str">
        <f>VLOOKUP(Table2[[#This Row],[Species]],'Species Table'!$A$1:$D$68,3, FALSE)</f>
        <v>Perennial</v>
      </c>
      <c r="O684" s="15">
        <f>IF(SUMPRODUCT(($A$2:$A684=A684)*($B$2:$B684=B684)*($F$2:$F684=F684))&gt;1,0,1)</f>
        <v>0</v>
      </c>
      <c r="P684" s="15">
        <f>IF(SUMPRODUCT(($A$2:$A684=A684)*($B$2:$B684=B684)*($D$2:$D684=D684))&gt;1,0,1)</f>
        <v>0</v>
      </c>
    </row>
    <row r="685" spans="1:16" x14ac:dyDescent="0.35">
      <c r="A685" t="s">
        <v>19</v>
      </c>
      <c r="B685">
        <v>2001</v>
      </c>
      <c r="D685">
        <v>1.1000000000000001</v>
      </c>
      <c r="E685">
        <f>INT(Table2[[#This Row],[Transect]])</f>
        <v>1</v>
      </c>
      <c r="F685" t="s">
        <v>6</v>
      </c>
      <c r="G685">
        <v>7</v>
      </c>
      <c r="H685">
        <v>200</v>
      </c>
      <c r="J685" s="17">
        <f>Table2[[#This Row],[Hits]]/Table2[[#This Row],[Points]]*100</f>
        <v>3.5000000000000004</v>
      </c>
      <c r="K685">
        <f>VLOOKUP(Table2[[#This Row],[Site]],'Site Info'!$A$1:$C$11,2, FALSE)</f>
        <v>17</v>
      </c>
      <c r="L685">
        <f>VLOOKUP(Table2[[#This Row],[Site]],'Site Info'!$A$1:$C$11,3, FALSE)</f>
        <v>4</v>
      </c>
      <c r="M685" t="str">
        <f>VLOOKUP(Table2[[#This Row],[Species]],'Species Table'!$A$1:$D$68,3, FALSE)</f>
        <v>Perennial</v>
      </c>
      <c r="O685" s="15">
        <f>IF(SUMPRODUCT(($A$2:$A685=A685)*($B$2:$B685=B685)*($F$2:$F685=F685))&gt;1,0,1)</f>
        <v>1</v>
      </c>
      <c r="P685" s="15">
        <f>IF(SUMPRODUCT(($A$2:$A685=A685)*($B$2:$B685=B685)*($D$2:$D685=D685))&gt;1,0,1)</f>
        <v>1</v>
      </c>
    </row>
    <row r="686" spans="1:16" x14ac:dyDescent="0.35">
      <c r="A686" t="s">
        <v>19</v>
      </c>
      <c r="B686">
        <v>2001</v>
      </c>
      <c r="D686">
        <v>1.1000000000000001</v>
      </c>
      <c r="E686">
        <f>INT(Table2[[#This Row],[Transect]])</f>
        <v>1</v>
      </c>
      <c r="F686" t="s">
        <v>3</v>
      </c>
      <c r="G686">
        <v>2</v>
      </c>
      <c r="H686">
        <v>200</v>
      </c>
      <c r="J686" s="17">
        <f>Table2[[#This Row],[Hits]]/Table2[[#This Row],[Points]]*100</f>
        <v>1</v>
      </c>
      <c r="K686">
        <f>VLOOKUP(Table2[[#This Row],[Site]],'Site Info'!$A$1:$C$11,2, FALSE)</f>
        <v>17</v>
      </c>
      <c r="L686">
        <f>VLOOKUP(Table2[[#This Row],[Site]],'Site Info'!$A$1:$C$11,3, FALSE)</f>
        <v>4</v>
      </c>
      <c r="M686" t="str">
        <f>VLOOKUP(Table2[[#This Row],[Species]],'Species Table'!$A$1:$D$68,3, FALSE)</f>
        <v>Perennial</v>
      </c>
      <c r="O686" s="15">
        <f>IF(SUMPRODUCT(($A$2:$A686=A686)*($B$2:$B686=B686)*($F$2:$F686=F686))&gt;1,0,1)</f>
        <v>1</v>
      </c>
      <c r="P686" s="15">
        <f>IF(SUMPRODUCT(($A$2:$A686=A686)*($B$2:$B686=B686)*($D$2:$D686=D686))&gt;1,0,1)</f>
        <v>0</v>
      </c>
    </row>
    <row r="687" spans="1:16" x14ac:dyDescent="0.35">
      <c r="A687" t="s">
        <v>19</v>
      </c>
      <c r="B687">
        <v>2001</v>
      </c>
      <c r="D687">
        <v>1.2</v>
      </c>
      <c r="E687">
        <f>INT(Table2[[#This Row],[Transect]])</f>
        <v>1</v>
      </c>
      <c r="F687" t="s">
        <v>3</v>
      </c>
      <c r="G687">
        <v>14</v>
      </c>
      <c r="H687">
        <v>200</v>
      </c>
      <c r="J687" s="17">
        <f>Table2[[#This Row],[Hits]]/Table2[[#This Row],[Points]]*100</f>
        <v>7.0000000000000009</v>
      </c>
      <c r="K687">
        <f>VLOOKUP(Table2[[#This Row],[Site]],'Site Info'!$A$1:$C$11,2, FALSE)</f>
        <v>17</v>
      </c>
      <c r="L687">
        <f>VLOOKUP(Table2[[#This Row],[Site]],'Site Info'!$A$1:$C$11,3, FALSE)</f>
        <v>4</v>
      </c>
      <c r="M687" t="str">
        <f>VLOOKUP(Table2[[#This Row],[Species]],'Species Table'!$A$1:$D$68,3, FALSE)</f>
        <v>Perennial</v>
      </c>
      <c r="O687" s="15">
        <f>IF(SUMPRODUCT(($A$2:$A687=A687)*($B$2:$B687=B687)*($F$2:$F687=F687))&gt;1,0,1)</f>
        <v>0</v>
      </c>
      <c r="P687" s="15">
        <f>IF(SUMPRODUCT(($A$2:$A687=A687)*($B$2:$B687=B687)*($D$2:$D687=D687))&gt;1,0,1)</f>
        <v>1</v>
      </c>
    </row>
    <row r="688" spans="1:16" x14ac:dyDescent="0.35">
      <c r="A688" t="s">
        <v>19</v>
      </c>
      <c r="B688">
        <v>2001</v>
      </c>
      <c r="D688">
        <v>2.1</v>
      </c>
      <c r="E688">
        <f>INT(Table2[[#This Row],[Transect]])</f>
        <v>2</v>
      </c>
      <c r="F688" t="s">
        <v>3</v>
      </c>
      <c r="G688">
        <v>15</v>
      </c>
      <c r="H688">
        <v>200</v>
      </c>
      <c r="J688" s="17">
        <f>Table2[[#This Row],[Hits]]/Table2[[#This Row],[Points]]*100</f>
        <v>7.5</v>
      </c>
      <c r="K688">
        <f>VLOOKUP(Table2[[#This Row],[Site]],'Site Info'!$A$1:$C$11,2, FALSE)</f>
        <v>17</v>
      </c>
      <c r="L688">
        <f>VLOOKUP(Table2[[#This Row],[Site]],'Site Info'!$A$1:$C$11,3, FALSE)</f>
        <v>4</v>
      </c>
      <c r="M688" t="str">
        <f>VLOOKUP(Table2[[#This Row],[Species]],'Species Table'!$A$1:$D$68,3, FALSE)</f>
        <v>Perennial</v>
      </c>
      <c r="O688" s="15">
        <f>IF(SUMPRODUCT(($A$2:$A688=A688)*($B$2:$B688=B688)*($F$2:$F688=F688))&gt;1,0,1)</f>
        <v>0</v>
      </c>
      <c r="P688" s="15">
        <f>IF(SUMPRODUCT(($A$2:$A688=A688)*($B$2:$B688=B688)*($D$2:$D688=D688))&gt;1,0,1)</f>
        <v>1</v>
      </c>
    </row>
    <row r="689" spans="1:16" x14ac:dyDescent="0.35">
      <c r="A689" t="s">
        <v>19</v>
      </c>
      <c r="B689">
        <v>2001</v>
      </c>
      <c r="D689">
        <v>2.1</v>
      </c>
      <c r="E689">
        <f>INT(Table2[[#This Row],[Transect]])</f>
        <v>2</v>
      </c>
      <c r="F689" t="s">
        <v>12</v>
      </c>
      <c r="G689">
        <v>4</v>
      </c>
      <c r="H689">
        <v>200</v>
      </c>
      <c r="J689" s="17">
        <f>Table2[[#This Row],[Hits]]/Table2[[#This Row],[Points]]*100</f>
        <v>2</v>
      </c>
      <c r="K689">
        <f>VLOOKUP(Table2[[#This Row],[Site]],'Site Info'!$A$1:$C$11,2, FALSE)</f>
        <v>17</v>
      </c>
      <c r="L689">
        <f>VLOOKUP(Table2[[#This Row],[Site]],'Site Info'!$A$1:$C$11,3, FALSE)</f>
        <v>4</v>
      </c>
      <c r="M689" t="str">
        <f>VLOOKUP(Table2[[#This Row],[Species]],'Species Table'!$A$1:$D$68,3, FALSE)</f>
        <v>Perennial</v>
      </c>
      <c r="O689" s="15">
        <f>IF(SUMPRODUCT(($A$2:$A689=A689)*($B$2:$B689=B689)*($F$2:$F689=F689))&gt;1,0,1)</f>
        <v>1</v>
      </c>
      <c r="P689" s="15">
        <f>IF(SUMPRODUCT(($A$2:$A689=A689)*($B$2:$B689=B689)*($D$2:$D689=D689))&gt;1,0,1)</f>
        <v>0</v>
      </c>
    </row>
    <row r="690" spans="1:16" x14ac:dyDescent="0.35">
      <c r="A690" t="s">
        <v>19</v>
      </c>
      <c r="B690">
        <v>2001</v>
      </c>
      <c r="D690">
        <v>2.2000000000000002</v>
      </c>
      <c r="E690">
        <f>INT(Table2[[#This Row],[Transect]])</f>
        <v>2</v>
      </c>
      <c r="F690" t="s">
        <v>6</v>
      </c>
      <c r="G690">
        <v>8</v>
      </c>
      <c r="H690">
        <v>200</v>
      </c>
      <c r="J690" s="17">
        <f>Table2[[#This Row],[Hits]]/Table2[[#This Row],[Points]]*100</f>
        <v>4</v>
      </c>
      <c r="K690">
        <f>VLOOKUP(Table2[[#This Row],[Site]],'Site Info'!$A$1:$C$11,2, FALSE)</f>
        <v>17</v>
      </c>
      <c r="L690">
        <f>VLOOKUP(Table2[[#This Row],[Site]],'Site Info'!$A$1:$C$11,3, FALSE)</f>
        <v>4</v>
      </c>
      <c r="M690" t="str">
        <f>VLOOKUP(Table2[[#This Row],[Species]],'Species Table'!$A$1:$D$68,3, FALSE)</f>
        <v>Perennial</v>
      </c>
      <c r="O690" s="15">
        <f>IF(SUMPRODUCT(($A$2:$A690=A690)*($B$2:$B690=B690)*($F$2:$F690=F690))&gt;1,0,1)</f>
        <v>0</v>
      </c>
      <c r="P690" s="15">
        <f>IF(SUMPRODUCT(($A$2:$A690=A690)*($B$2:$B690=B690)*($D$2:$D690=D690))&gt;1,0,1)</f>
        <v>1</v>
      </c>
    </row>
    <row r="691" spans="1:16" x14ac:dyDescent="0.35">
      <c r="A691" t="s">
        <v>19</v>
      </c>
      <c r="B691">
        <v>2001</v>
      </c>
      <c r="D691">
        <v>2.2000000000000002</v>
      </c>
      <c r="E691">
        <f>INT(Table2[[#This Row],[Transect]])</f>
        <v>2</v>
      </c>
      <c r="F691" t="s">
        <v>3</v>
      </c>
      <c r="G691">
        <v>8</v>
      </c>
      <c r="H691">
        <v>200</v>
      </c>
      <c r="J691" s="17">
        <f>Table2[[#This Row],[Hits]]/Table2[[#This Row],[Points]]*100</f>
        <v>4</v>
      </c>
      <c r="K691">
        <f>VLOOKUP(Table2[[#This Row],[Site]],'Site Info'!$A$1:$C$11,2, FALSE)</f>
        <v>17</v>
      </c>
      <c r="L691">
        <f>VLOOKUP(Table2[[#This Row],[Site]],'Site Info'!$A$1:$C$11,3, FALSE)</f>
        <v>4</v>
      </c>
      <c r="M691" t="str">
        <f>VLOOKUP(Table2[[#This Row],[Species]],'Species Table'!$A$1:$D$68,3, FALSE)</f>
        <v>Perennial</v>
      </c>
      <c r="O691" s="15">
        <f>IF(SUMPRODUCT(($A$2:$A691=A691)*($B$2:$B691=B691)*($F$2:$F691=F691))&gt;1,0,1)</f>
        <v>0</v>
      </c>
      <c r="P691" s="15">
        <f>IF(SUMPRODUCT(($A$2:$A691=A691)*($B$2:$B691=B691)*($D$2:$D691=D691))&gt;1,0,1)</f>
        <v>0</v>
      </c>
    </row>
    <row r="692" spans="1:16" x14ac:dyDescent="0.35">
      <c r="A692" t="s">
        <v>19</v>
      </c>
      <c r="B692">
        <v>2001</v>
      </c>
      <c r="D692">
        <v>2.2000000000000002</v>
      </c>
      <c r="E692">
        <f>INT(Table2[[#This Row],[Transect]])</f>
        <v>2</v>
      </c>
      <c r="F692" t="s">
        <v>12</v>
      </c>
      <c r="G692">
        <v>1</v>
      </c>
      <c r="H692">
        <v>200</v>
      </c>
      <c r="J692" s="17">
        <f>Table2[[#This Row],[Hits]]/Table2[[#This Row],[Points]]*100</f>
        <v>0.5</v>
      </c>
      <c r="K692">
        <f>VLOOKUP(Table2[[#This Row],[Site]],'Site Info'!$A$1:$C$11,2, FALSE)</f>
        <v>17</v>
      </c>
      <c r="L692">
        <f>VLOOKUP(Table2[[#This Row],[Site]],'Site Info'!$A$1:$C$11,3, FALSE)</f>
        <v>4</v>
      </c>
      <c r="M692" t="str">
        <f>VLOOKUP(Table2[[#This Row],[Species]],'Species Table'!$A$1:$D$68,3, FALSE)</f>
        <v>Perennial</v>
      </c>
      <c r="O692" s="15">
        <f>IF(SUMPRODUCT(($A$2:$A692=A692)*($B$2:$B692=B692)*($F$2:$F692=F692))&gt;1,0,1)</f>
        <v>0</v>
      </c>
      <c r="P692" s="15">
        <f>IF(SUMPRODUCT(($A$2:$A692=A692)*($B$2:$B692=B692)*($D$2:$D692=D692))&gt;1,0,1)</f>
        <v>0</v>
      </c>
    </row>
    <row r="693" spans="1:16" x14ac:dyDescent="0.35">
      <c r="A693" t="s">
        <v>19</v>
      </c>
      <c r="B693">
        <v>2001</v>
      </c>
      <c r="D693">
        <v>3.1</v>
      </c>
      <c r="E693">
        <f>INT(Table2[[#This Row],[Transect]])</f>
        <v>3</v>
      </c>
      <c r="F693" t="s">
        <v>3</v>
      </c>
      <c r="G693">
        <v>11</v>
      </c>
      <c r="H693">
        <v>200</v>
      </c>
      <c r="J693" s="17">
        <f>Table2[[#This Row],[Hits]]/Table2[[#This Row],[Points]]*100</f>
        <v>5.5</v>
      </c>
      <c r="K693">
        <f>VLOOKUP(Table2[[#This Row],[Site]],'Site Info'!$A$1:$C$11,2, FALSE)</f>
        <v>17</v>
      </c>
      <c r="L693">
        <f>VLOOKUP(Table2[[#This Row],[Site]],'Site Info'!$A$1:$C$11,3, FALSE)</f>
        <v>4</v>
      </c>
      <c r="M693" t="str">
        <f>VLOOKUP(Table2[[#This Row],[Species]],'Species Table'!$A$1:$D$68,3, FALSE)</f>
        <v>Perennial</v>
      </c>
      <c r="O693" s="15">
        <f>IF(SUMPRODUCT(($A$2:$A693=A693)*($B$2:$B693=B693)*($F$2:$F693=F693))&gt;1,0,1)</f>
        <v>0</v>
      </c>
      <c r="P693" s="15">
        <f>IF(SUMPRODUCT(($A$2:$A693=A693)*($B$2:$B693=B693)*($D$2:$D693=D693))&gt;1,0,1)</f>
        <v>1</v>
      </c>
    </row>
    <row r="694" spans="1:16" x14ac:dyDescent="0.35">
      <c r="A694" t="s">
        <v>19</v>
      </c>
      <c r="B694">
        <v>2001</v>
      </c>
      <c r="D694">
        <v>3.2</v>
      </c>
      <c r="E694">
        <f>INT(Table2[[#This Row],[Transect]])</f>
        <v>3</v>
      </c>
      <c r="F694" t="s">
        <v>6</v>
      </c>
      <c r="G694">
        <v>12</v>
      </c>
      <c r="H694">
        <v>192</v>
      </c>
      <c r="J694" s="17">
        <f>Table2[[#This Row],[Hits]]/Table2[[#This Row],[Points]]*100</f>
        <v>6.25</v>
      </c>
      <c r="K694">
        <f>VLOOKUP(Table2[[#This Row],[Site]],'Site Info'!$A$1:$C$11,2, FALSE)</f>
        <v>17</v>
      </c>
      <c r="L694">
        <f>VLOOKUP(Table2[[#This Row],[Site]],'Site Info'!$A$1:$C$11,3, FALSE)</f>
        <v>4</v>
      </c>
      <c r="M694" t="str">
        <f>VLOOKUP(Table2[[#This Row],[Species]],'Species Table'!$A$1:$D$68,3, FALSE)</f>
        <v>Perennial</v>
      </c>
      <c r="O694" s="15">
        <f>IF(SUMPRODUCT(($A$2:$A694=A694)*($B$2:$B694=B694)*($F$2:$F694=F694))&gt;1,0,1)</f>
        <v>0</v>
      </c>
      <c r="P694" s="15">
        <f>IF(SUMPRODUCT(($A$2:$A694=A694)*($B$2:$B694=B694)*($D$2:$D694=D694))&gt;1,0,1)</f>
        <v>1</v>
      </c>
    </row>
    <row r="695" spans="1:16" x14ac:dyDescent="0.35">
      <c r="A695" t="s">
        <v>19</v>
      </c>
      <c r="B695">
        <v>2001</v>
      </c>
      <c r="D695">
        <v>3.2</v>
      </c>
      <c r="E695">
        <f>INT(Table2[[#This Row],[Transect]])</f>
        <v>3</v>
      </c>
      <c r="F695" t="s">
        <v>3</v>
      </c>
      <c r="G695">
        <v>8</v>
      </c>
      <c r="H695">
        <v>192</v>
      </c>
      <c r="J695" s="17">
        <f>Table2[[#This Row],[Hits]]/Table2[[#This Row],[Points]]*100</f>
        <v>4.1666666666666661</v>
      </c>
      <c r="K695">
        <f>VLOOKUP(Table2[[#This Row],[Site]],'Site Info'!$A$1:$C$11,2, FALSE)</f>
        <v>17</v>
      </c>
      <c r="L695">
        <f>VLOOKUP(Table2[[#This Row],[Site]],'Site Info'!$A$1:$C$11,3, FALSE)</f>
        <v>4</v>
      </c>
      <c r="M695" t="str">
        <f>VLOOKUP(Table2[[#This Row],[Species]],'Species Table'!$A$1:$D$68,3, FALSE)</f>
        <v>Perennial</v>
      </c>
      <c r="O695" s="15">
        <f>IF(SUMPRODUCT(($A$2:$A695=A695)*($B$2:$B695=B695)*($F$2:$F695=F695))&gt;1,0,1)</f>
        <v>0</v>
      </c>
      <c r="P695" s="15">
        <f>IF(SUMPRODUCT(($A$2:$A695=A695)*($B$2:$B695=B695)*($D$2:$D695=D695))&gt;1,0,1)</f>
        <v>0</v>
      </c>
    </row>
    <row r="696" spans="1:16" x14ac:dyDescent="0.35">
      <c r="A696" t="s">
        <v>19</v>
      </c>
      <c r="B696">
        <v>2001</v>
      </c>
      <c r="D696">
        <v>4.0999999999999996</v>
      </c>
      <c r="E696">
        <f>INT(Table2[[#This Row],[Transect]])</f>
        <v>4</v>
      </c>
      <c r="F696" t="s">
        <v>3</v>
      </c>
      <c r="G696">
        <v>14</v>
      </c>
      <c r="H696">
        <v>200</v>
      </c>
      <c r="J696" s="17">
        <f>Table2[[#This Row],[Hits]]/Table2[[#This Row],[Points]]*100</f>
        <v>7.0000000000000009</v>
      </c>
      <c r="K696">
        <f>VLOOKUP(Table2[[#This Row],[Site]],'Site Info'!$A$1:$C$11,2, FALSE)</f>
        <v>17</v>
      </c>
      <c r="L696">
        <f>VLOOKUP(Table2[[#This Row],[Site]],'Site Info'!$A$1:$C$11,3, FALSE)</f>
        <v>4</v>
      </c>
      <c r="M696" t="str">
        <f>VLOOKUP(Table2[[#This Row],[Species]],'Species Table'!$A$1:$D$68,3, FALSE)</f>
        <v>Perennial</v>
      </c>
      <c r="O696" s="15">
        <f>IF(SUMPRODUCT(($A$2:$A696=A696)*($B$2:$B696=B696)*($F$2:$F696=F696))&gt;1,0,1)</f>
        <v>0</v>
      </c>
      <c r="P696" s="15">
        <f>IF(SUMPRODUCT(($A$2:$A696=A696)*($B$2:$B696=B696)*($D$2:$D696=D696))&gt;1,0,1)</f>
        <v>1</v>
      </c>
    </row>
    <row r="697" spans="1:16" x14ac:dyDescent="0.35">
      <c r="A697" t="s">
        <v>19</v>
      </c>
      <c r="B697">
        <v>2001</v>
      </c>
      <c r="D697">
        <v>4.0999999999999996</v>
      </c>
      <c r="E697">
        <f>INT(Table2[[#This Row],[Transect]])</f>
        <v>4</v>
      </c>
      <c r="F697" t="s">
        <v>12</v>
      </c>
      <c r="G697">
        <v>4</v>
      </c>
      <c r="H697">
        <v>200</v>
      </c>
      <c r="J697" s="17">
        <f>Table2[[#This Row],[Hits]]/Table2[[#This Row],[Points]]*100</f>
        <v>2</v>
      </c>
      <c r="K697">
        <f>VLOOKUP(Table2[[#This Row],[Site]],'Site Info'!$A$1:$C$11,2, FALSE)</f>
        <v>17</v>
      </c>
      <c r="L697">
        <f>VLOOKUP(Table2[[#This Row],[Site]],'Site Info'!$A$1:$C$11,3, FALSE)</f>
        <v>4</v>
      </c>
      <c r="M697" t="str">
        <f>VLOOKUP(Table2[[#This Row],[Species]],'Species Table'!$A$1:$D$68,3, FALSE)</f>
        <v>Perennial</v>
      </c>
      <c r="O697" s="15">
        <f>IF(SUMPRODUCT(($A$2:$A697=A697)*($B$2:$B697=B697)*($F$2:$F697=F697))&gt;1,0,1)</f>
        <v>0</v>
      </c>
      <c r="P697" s="15">
        <f>IF(SUMPRODUCT(($A$2:$A697=A697)*($B$2:$B697=B697)*($D$2:$D697=D697))&gt;1,0,1)</f>
        <v>0</v>
      </c>
    </row>
    <row r="698" spans="1:16" x14ac:dyDescent="0.35">
      <c r="A698" t="s">
        <v>19</v>
      </c>
      <c r="B698">
        <v>2001</v>
      </c>
      <c r="D698">
        <v>4.2</v>
      </c>
      <c r="E698">
        <f>INT(Table2[[#This Row],[Transect]])</f>
        <v>4</v>
      </c>
      <c r="F698" t="s">
        <v>3</v>
      </c>
      <c r="G698">
        <v>18</v>
      </c>
      <c r="H698">
        <v>177</v>
      </c>
      <c r="J698" s="17">
        <f>Table2[[#This Row],[Hits]]/Table2[[#This Row],[Points]]*100</f>
        <v>10.16949152542373</v>
      </c>
      <c r="K698">
        <f>VLOOKUP(Table2[[#This Row],[Site]],'Site Info'!$A$1:$C$11,2, FALSE)</f>
        <v>17</v>
      </c>
      <c r="L698">
        <f>VLOOKUP(Table2[[#This Row],[Site]],'Site Info'!$A$1:$C$11,3, FALSE)</f>
        <v>4</v>
      </c>
      <c r="M698" t="str">
        <f>VLOOKUP(Table2[[#This Row],[Species]],'Species Table'!$A$1:$D$68,3, FALSE)</f>
        <v>Perennial</v>
      </c>
      <c r="O698" s="15">
        <f>IF(SUMPRODUCT(($A$2:$A698=A698)*($B$2:$B698=B698)*($F$2:$F698=F698))&gt;1,0,1)</f>
        <v>0</v>
      </c>
      <c r="P698" s="15">
        <f>IF(SUMPRODUCT(($A$2:$A698=A698)*($B$2:$B698=B698)*($D$2:$D698=D698))&gt;1,0,1)</f>
        <v>1</v>
      </c>
    </row>
    <row r="699" spans="1:16" x14ac:dyDescent="0.35">
      <c r="A699" t="s">
        <v>19</v>
      </c>
      <c r="B699">
        <v>2001</v>
      </c>
      <c r="D699">
        <v>4.2</v>
      </c>
      <c r="E699">
        <f>INT(Table2[[#This Row],[Transect]])</f>
        <v>4</v>
      </c>
      <c r="F699" t="s">
        <v>12</v>
      </c>
      <c r="G699">
        <v>4</v>
      </c>
      <c r="H699">
        <v>177</v>
      </c>
      <c r="J699" s="17">
        <f>Table2[[#This Row],[Hits]]/Table2[[#This Row],[Points]]*100</f>
        <v>2.2598870056497176</v>
      </c>
      <c r="K699">
        <f>VLOOKUP(Table2[[#This Row],[Site]],'Site Info'!$A$1:$C$11,2, FALSE)</f>
        <v>17</v>
      </c>
      <c r="L699">
        <f>VLOOKUP(Table2[[#This Row],[Site]],'Site Info'!$A$1:$C$11,3, FALSE)</f>
        <v>4</v>
      </c>
      <c r="M699" t="str">
        <f>VLOOKUP(Table2[[#This Row],[Species]],'Species Table'!$A$1:$D$68,3, FALSE)</f>
        <v>Perennial</v>
      </c>
      <c r="O699" s="15">
        <f>IF(SUMPRODUCT(($A$2:$A699=A699)*($B$2:$B699=B699)*($F$2:$F699=F699))&gt;1,0,1)</f>
        <v>0</v>
      </c>
      <c r="P699" s="15">
        <f>IF(SUMPRODUCT(($A$2:$A699=A699)*($B$2:$B699=B699)*($D$2:$D699=D699))&gt;1,0,1)</f>
        <v>0</v>
      </c>
    </row>
    <row r="700" spans="1:16" x14ac:dyDescent="0.35">
      <c r="A700" t="s">
        <v>19</v>
      </c>
      <c r="B700">
        <v>2001</v>
      </c>
      <c r="D700">
        <v>5.0999999999999996</v>
      </c>
      <c r="E700">
        <f>INT(Table2[[#This Row],[Transect]])</f>
        <v>5</v>
      </c>
      <c r="F700" t="s">
        <v>3</v>
      </c>
      <c r="G700">
        <v>44</v>
      </c>
      <c r="H700">
        <v>200</v>
      </c>
      <c r="J700" s="17">
        <f>Table2[[#This Row],[Hits]]/Table2[[#This Row],[Points]]*100</f>
        <v>22</v>
      </c>
      <c r="K700">
        <f>VLOOKUP(Table2[[#This Row],[Site]],'Site Info'!$A$1:$C$11,2, FALSE)</f>
        <v>17</v>
      </c>
      <c r="L700">
        <f>VLOOKUP(Table2[[#This Row],[Site]],'Site Info'!$A$1:$C$11,3, FALSE)</f>
        <v>4</v>
      </c>
      <c r="M700" t="str">
        <f>VLOOKUP(Table2[[#This Row],[Species]],'Species Table'!$A$1:$D$68,3, FALSE)</f>
        <v>Perennial</v>
      </c>
      <c r="O700" s="15">
        <f>IF(SUMPRODUCT(($A$2:$A700=A700)*($B$2:$B700=B700)*($F$2:$F700=F700))&gt;1,0,1)</f>
        <v>0</v>
      </c>
      <c r="P700" s="15">
        <f>IF(SUMPRODUCT(($A$2:$A700=A700)*($B$2:$B700=B700)*($D$2:$D700=D700))&gt;1,0,1)</f>
        <v>1</v>
      </c>
    </row>
    <row r="701" spans="1:16" x14ac:dyDescent="0.35">
      <c r="A701" t="s">
        <v>19</v>
      </c>
      <c r="B701">
        <v>2001</v>
      </c>
      <c r="D701">
        <v>5.2</v>
      </c>
      <c r="E701">
        <f>INT(Table2[[#This Row],[Transect]])</f>
        <v>5</v>
      </c>
      <c r="F701" t="s">
        <v>3</v>
      </c>
      <c r="G701">
        <v>25</v>
      </c>
      <c r="H701">
        <v>157</v>
      </c>
      <c r="J701" s="17">
        <f>Table2[[#This Row],[Hits]]/Table2[[#This Row],[Points]]*100</f>
        <v>15.923566878980891</v>
      </c>
      <c r="K701">
        <f>VLOOKUP(Table2[[#This Row],[Site]],'Site Info'!$A$1:$C$11,2, FALSE)</f>
        <v>17</v>
      </c>
      <c r="L701">
        <f>VLOOKUP(Table2[[#This Row],[Site]],'Site Info'!$A$1:$C$11,3, FALSE)</f>
        <v>4</v>
      </c>
      <c r="M701" t="str">
        <f>VLOOKUP(Table2[[#This Row],[Species]],'Species Table'!$A$1:$D$68,3, FALSE)</f>
        <v>Perennial</v>
      </c>
      <c r="O701" s="15">
        <f>IF(SUMPRODUCT(($A$2:$A701=A701)*($B$2:$B701=B701)*($F$2:$F701=F701))&gt;1,0,1)</f>
        <v>0</v>
      </c>
      <c r="P701" s="15">
        <f>IF(SUMPRODUCT(($A$2:$A701=A701)*($B$2:$B701=B701)*($D$2:$D701=D701))&gt;1,0,1)</f>
        <v>1</v>
      </c>
    </row>
    <row r="702" spans="1:16" x14ac:dyDescent="0.35">
      <c r="A702" t="s">
        <v>19</v>
      </c>
      <c r="B702">
        <v>2001</v>
      </c>
      <c r="D702">
        <v>5.2</v>
      </c>
      <c r="E702">
        <f>INT(Table2[[#This Row],[Transect]])</f>
        <v>5</v>
      </c>
      <c r="F702" t="s">
        <v>12</v>
      </c>
      <c r="G702">
        <v>6</v>
      </c>
      <c r="H702">
        <v>157</v>
      </c>
      <c r="J702" s="17">
        <f>Table2[[#This Row],[Hits]]/Table2[[#This Row],[Points]]*100</f>
        <v>3.8216560509554141</v>
      </c>
      <c r="K702">
        <f>VLOOKUP(Table2[[#This Row],[Site]],'Site Info'!$A$1:$C$11,2, FALSE)</f>
        <v>17</v>
      </c>
      <c r="L702">
        <f>VLOOKUP(Table2[[#This Row],[Site]],'Site Info'!$A$1:$C$11,3, FALSE)</f>
        <v>4</v>
      </c>
      <c r="M702" t="str">
        <f>VLOOKUP(Table2[[#This Row],[Species]],'Species Table'!$A$1:$D$68,3, FALSE)</f>
        <v>Perennial</v>
      </c>
      <c r="O702" s="15">
        <f>IF(SUMPRODUCT(($A$2:$A702=A702)*($B$2:$B702=B702)*($F$2:$F702=F702))&gt;1,0,1)</f>
        <v>0</v>
      </c>
      <c r="P702" s="15">
        <f>IF(SUMPRODUCT(($A$2:$A702=A702)*($B$2:$B702=B702)*($D$2:$D702=D702))&gt;1,0,1)</f>
        <v>0</v>
      </c>
    </row>
    <row r="703" spans="1:16" x14ac:dyDescent="0.35">
      <c r="A703" t="s">
        <v>19</v>
      </c>
      <c r="B703">
        <v>2001</v>
      </c>
      <c r="D703">
        <v>6.1</v>
      </c>
      <c r="E703">
        <f>INT(Table2[[#This Row],[Transect]])</f>
        <v>6</v>
      </c>
      <c r="F703" t="s">
        <v>3</v>
      </c>
      <c r="G703">
        <v>30</v>
      </c>
      <c r="H703">
        <v>200</v>
      </c>
      <c r="J703" s="17">
        <f>Table2[[#This Row],[Hits]]/Table2[[#This Row],[Points]]*100</f>
        <v>15</v>
      </c>
      <c r="K703">
        <f>VLOOKUP(Table2[[#This Row],[Site]],'Site Info'!$A$1:$C$11,2, FALSE)</f>
        <v>17</v>
      </c>
      <c r="L703">
        <f>VLOOKUP(Table2[[#This Row],[Site]],'Site Info'!$A$1:$C$11,3, FALSE)</f>
        <v>4</v>
      </c>
      <c r="M703" t="str">
        <f>VLOOKUP(Table2[[#This Row],[Species]],'Species Table'!$A$1:$D$68,3, FALSE)</f>
        <v>Perennial</v>
      </c>
      <c r="O703" s="15">
        <f>IF(SUMPRODUCT(($A$2:$A703=A703)*($B$2:$B703=B703)*($F$2:$F703=F703))&gt;1,0,1)</f>
        <v>0</v>
      </c>
      <c r="P703" s="15">
        <f>IF(SUMPRODUCT(($A$2:$A703=A703)*($B$2:$B703=B703)*($D$2:$D703=D703))&gt;1,0,1)</f>
        <v>1</v>
      </c>
    </row>
    <row r="704" spans="1:16" x14ac:dyDescent="0.35">
      <c r="A704" t="s">
        <v>19</v>
      </c>
      <c r="B704">
        <v>2001</v>
      </c>
      <c r="D704">
        <v>6.1</v>
      </c>
      <c r="E704">
        <f>INT(Table2[[#This Row],[Transect]])</f>
        <v>6</v>
      </c>
      <c r="F704" t="s">
        <v>12</v>
      </c>
      <c r="G704">
        <v>4</v>
      </c>
      <c r="H704">
        <v>200</v>
      </c>
      <c r="J704" s="17">
        <f>Table2[[#This Row],[Hits]]/Table2[[#This Row],[Points]]*100</f>
        <v>2</v>
      </c>
      <c r="K704">
        <f>VLOOKUP(Table2[[#This Row],[Site]],'Site Info'!$A$1:$C$11,2, FALSE)</f>
        <v>17</v>
      </c>
      <c r="L704">
        <f>VLOOKUP(Table2[[#This Row],[Site]],'Site Info'!$A$1:$C$11,3, FALSE)</f>
        <v>4</v>
      </c>
      <c r="M704" t="str">
        <f>VLOOKUP(Table2[[#This Row],[Species]],'Species Table'!$A$1:$D$68,3, FALSE)</f>
        <v>Perennial</v>
      </c>
      <c r="O704" s="15">
        <f>IF(SUMPRODUCT(($A$2:$A704=A704)*($B$2:$B704=B704)*($F$2:$F704=F704))&gt;1,0,1)</f>
        <v>0</v>
      </c>
      <c r="P704" s="15">
        <f>IF(SUMPRODUCT(($A$2:$A704=A704)*($B$2:$B704=B704)*($D$2:$D704=D704))&gt;1,0,1)</f>
        <v>0</v>
      </c>
    </row>
    <row r="705" spans="1:16" x14ac:dyDescent="0.35">
      <c r="A705" t="s">
        <v>19</v>
      </c>
      <c r="B705">
        <v>2001</v>
      </c>
      <c r="D705">
        <v>6.2</v>
      </c>
      <c r="E705">
        <f>INT(Table2[[#This Row],[Transect]])</f>
        <v>6</v>
      </c>
      <c r="F705" t="s">
        <v>3</v>
      </c>
      <c r="G705">
        <v>29</v>
      </c>
      <c r="H705">
        <v>135</v>
      </c>
      <c r="J705" s="17">
        <f>Table2[[#This Row],[Hits]]/Table2[[#This Row],[Points]]*100</f>
        <v>21.481481481481481</v>
      </c>
      <c r="K705">
        <f>VLOOKUP(Table2[[#This Row],[Site]],'Site Info'!$A$1:$C$11,2, FALSE)</f>
        <v>17</v>
      </c>
      <c r="L705">
        <f>VLOOKUP(Table2[[#This Row],[Site]],'Site Info'!$A$1:$C$11,3, FALSE)</f>
        <v>4</v>
      </c>
      <c r="M705" t="str">
        <f>VLOOKUP(Table2[[#This Row],[Species]],'Species Table'!$A$1:$D$68,3, FALSE)</f>
        <v>Perennial</v>
      </c>
      <c r="O705" s="15">
        <f>IF(SUMPRODUCT(($A$2:$A705=A705)*($B$2:$B705=B705)*($F$2:$F705=F705))&gt;1,0,1)</f>
        <v>0</v>
      </c>
      <c r="P705" s="15">
        <f>IF(SUMPRODUCT(($A$2:$A705=A705)*($B$2:$B705=B705)*($D$2:$D705=D705))&gt;1,0,1)</f>
        <v>1</v>
      </c>
    </row>
    <row r="706" spans="1:16" x14ac:dyDescent="0.35">
      <c r="A706" t="s">
        <v>19</v>
      </c>
      <c r="B706">
        <v>2001</v>
      </c>
      <c r="D706">
        <v>6.2</v>
      </c>
      <c r="E706">
        <f>INT(Table2[[#This Row],[Transect]])</f>
        <v>6</v>
      </c>
      <c r="F706" t="s">
        <v>12</v>
      </c>
      <c r="G706">
        <v>2</v>
      </c>
      <c r="H706">
        <v>135</v>
      </c>
      <c r="J706" s="17">
        <f>Table2[[#This Row],[Hits]]/Table2[[#This Row],[Points]]*100</f>
        <v>1.4814814814814816</v>
      </c>
      <c r="K706">
        <f>VLOOKUP(Table2[[#This Row],[Site]],'Site Info'!$A$1:$C$11,2, FALSE)</f>
        <v>17</v>
      </c>
      <c r="L706">
        <f>VLOOKUP(Table2[[#This Row],[Site]],'Site Info'!$A$1:$C$11,3, FALSE)</f>
        <v>4</v>
      </c>
      <c r="M706" t="str">
        <f>VLOOKUP(Table2[[#This Row],[Species]],'Species Table'!$A$1:$D$68,3, FALSE)</f>
        <v>Perennial</v>
      </c>
      <c r="O706" s="15">
        <f>IF(SUMPRODUCT(($A$2:$A706=A706)*($B$2:$B706=B706)*($F$2:$F706=F706))&gt;1,0,1)</f>
        <v>0</v>
      </c>
      <c r="P706" s="15">
        <f>IF(SUMPRODUCT(($A$2:$A706=A706)*($B$2:$B706=B706)*($D$2:$D706=D706))&gt;1,0,1)</f>
        <v>0</v>
      </c>
    </row>
    <row r="707" spans="1:16" x14ac:dyDescent="0.35">
      <c r="A707" t="s">
        <v>35</v>
      </c>
      <c r="B707">
        <v>2001</v>
      </c>
      <c r="C707" t="s">
        <v>37</v>
      </c>
      <c r="D707" s="6">
        <v>1.1000000000000001</v>
      </c>
      <c r="E707" s="6">
        <f>INT(Table2[[#This Row],[Transect]])</f>
        <v>1</v>
      </c>
      <c r="F707" s="1" t="s">
        <v>3</v>
      </c>
      <c r="G707">
        <v>1</v>
      </c>
      <c r="H707">
        <f t="shared" ref="H707:H715" si="1">I707*2</f>
        <v>200</v>
      </c>
      <c r="I707">
        <v>100</v>
      </c>
      <c r="J707">
        <f>Table2[[#This Row],[Hits]]/Table2[[#This Row],[Points]]*100</f>
        <v>0.5</v>
      </c>
      <c r="K707">
        <f>VLOOKUP(Table2[[#This Row],[Site]],'Site Info'!$A$1:$C$11,2, FALSE)</f>
        <v>17</v>
      </c>
      <c r="L707">
        <f>VLOOKUP(Table2[[#This Row],[Site]],'Site Info'!$A$1:$C$11,3, FALSE)</f>
        <v>4</v>
      </c>
      <c r="M707" t="str">
        <f>VLOOKUP(Table2[[#This Row],[Species]],'Species Table'!$A$1:$D$68,3, FALSE)</f>
        <v>Perennial</v>
      </c>
      <c r="O707" s="15">
        <f>IF(SUMPRODUCT(($A$2:$A707=A707)*($B$2:$B707=B707)*($F$2:$F707=F707))&gt;1,0,1)</f>
        <v>1</v>
      </c>
      <c r="P707" s="15">
        <f>IF(SUMPRODUCT(($A$2:$A707=A707)*($B$2:$B707=B707)*($D$2:$D707=D707))&gt;1,0,1)</f>
        <v>1</v>
      </c>
    </row>
    <row r="708" spans="1:16" x14ac:dyDescent="0.35">
      <c r="A708" t="s">
        <v>35</v>
      </c>
      <c r="B708">
        <v>2001</v>
      </c>
      <c r="C708" t="s">
        <v>38</v>
      </c>
      <c r="D708" s="6">
        <v>1.2</v>
      </c>
      <c r="E708" s="6">
        <f>INT(Table2[[#This Row],[Transect]])</f>
        <v>1</v>
      </c>
      <c r="F708" s="1" t="s">
        <v>5</v>
      </c>
      <c r="G708">
        <v>1</v>
      </c>
      <c r="H708">
        <f t="shared" si="1"/>
        <v>200</v>
      </c>
      <c r="I708">
        <v>100</v>
      </c>
      <c r="J708">
        <f>Table2[[#This Row],[Hits]]/Table2[[#This Row],[Points]]*100</f>
        <v>0.5</v>
      </c>
      <c r="K708">
        <f>VLOOKUP(Table2[[#This Row],[Site]],'Site Info'!$A$1:$C$11,2, FALSE)</f>
        <v>17</v>
      </c>
      <c r="L708">
        <f>VLOOKUP(Table2[[#This Row],[Site]],'Site Info'!$A$1:$C$11,3, FALSE)</f>
        <v>4</v>
      </c>
      <c r="M708" t="str">
        <f>VLOOKUP(Table2[[#This Row],[Species]],'Species Table'!$A$1:$D$68,3, FALSE)</f>
        <v>Perennial</v>
      </c>
      <c r="O708" s="15">
        <f>IF(SUMPRODUCT(($A$2:$A708=A708)*($B$2:$B708=B708)*($F$2:$F708=F708))&gt;1,0,1)</f>
        <v>1</v>
      </c>
      <c r="P708" s="15">
        <f>IF(SUMPRODUCT(($A$2:$A708=A708)*($B$2:$B708=B708)*($D$2:$D708=D708))&gt;1,0,1)</f>
        <v>1</v>
      </c>
    </row>
    <row r="709" spans="1:16" x14ac:dyDescent="0.35">
      <c r="A709" t="s">
        <v>35</v>
      </c>
      <c r="B709">
        <v>2001</v>
      </c>
      <c r="C709" t="s">
        <v>91</v>
      </c>
      <c r="D709" s="6">
        <v>1.3</v>
      </c>
      <c r="E709" s="6">
        <f>INT(Table2[[#This Row],[Transect]])</f>
        <v>1</v>
      </c>
      <c r="F709" s="1" t="s">
        <v>6</v>
      </c>
      <c r="G709">
        <v>6</v>
      </c>
      <c r="H709">
        <f t="shared" si="1"/>
        <v>121</v>
      </c>
      <c r="I709">
        <v>60.5</v>
      </c>
      <c r="J709">
        <f>Table2[[#This Row],[Hits]]/Table2[[#This Row],[Points]]*100</f>
        <v>4.9586776859504136</v>
      </c>
      <c r="K709">
        <f>VLOOKUP(Table2[[#This Row],[Site]],'Site Info'!$A$1:$C$11,2, FALSE)</f>
        <v>17</v>
      </c>
      <c r="L709">
        <f>VLOOKUP(Table2[[#This Row],[Site]],'Site Info'!$A$1:$C$11,3, FALSE)</f>
        <v>4</v>
      </c>
      <c r="M709" t="str">
        <f>VLOOKUP(Table2[[#This Row],[Species]],'Species Table'!$A$1:$D$68,3, FALSE)</f>
        <v>Perennial</v>
      </c>
      <c r="O709" s="15">
        <f>IF(SUMPRODUCT(($A$2:$A709=A709)*($B$2:$B709=B709)*($F$2:$F709=F709))&gt;1,0,1)</f>
        <v>1</v>
      </c>
      <c r="P709" s="15">
        <f>IF(SUMPRODUCT(($A$2:$A709=A709)*($B$2:$B709=B709)*($D$2:$D709=D709))&gt;1,0,1)</f>
        <v>1</v>
      </c>
    </row>
    <row r="710" spans="1:16" x14ac:dyDescent="0.35">
      <c r="A710" t="s">
        <v>35</v>
      </c>
      <c r="B710">
        <v>2001</v>
      </c>
      <c r="C710" t="s">
        <v>91</v>
      </c>
      <c r="D710" s="6">
        <v>1.3</v>
      </c>
      <c r="E710" s="6">
        <f>INT(Table2[[#This Row],[Transect]])</f>
        <v>1</v>
      </c>
      <c r="F710" s="1" t="s">
        <v>3</v>
      </c>
      <c r="G710">
        <v>3</v>
      </c>
      <c r="H710">
        <f t="shared" si="1"/>
        <v>121</v>
      </c>
      <c r="I710">
        <v>60.5</v>
      </c>
      <c r="J710">
        <f>Table2[[#This Row],[Hits]]/Table2[[#This Row],[Points]]*100</f>
        <v>2.4793388429752068</v>
      </c>
      <c r="K710">
        <f>VLOOKUP(Table2[[#This Row],[Site]],'Site Info'!$A$1:$C$11,2, FALSE)</f>
        <v>17</v>
      </c>
      <c r="L710">
        <f>VLOOKUP(Table2[[#This Row],[Site]],'Site Info'!$A$1:$C$11,3, FALSE)</f>
        <v>4</v>
      </c>
      <c r="M710" t="str">
        <f>VLOOKUP(Table2[[#This Row],[Species]],'Species Table'!$A$1:$D$68,3, FALSE)</f>
        <v>Perennial</v>
      </c>
      <c r="O710" s="15">
        <f>IF(SUMPRODUCT(($A$2:$A710=A710)*($B$2:$B710=B710)*($F$2:$F710=F710))&gt;1,0,1)</f>
        <v>0</v>
      </c>
      <c r="P710" s="15">
        <f>IF(SUMPRODUCT(($A$2:$A710=A710)*($B$2:$B710=B710)*($D$2:$D710=D710))&gt;1,0,1)</f>
        <v>0</v>
      </c>
    </row>
    <row r="711" spans="1:16" x14ac:dyDescent="0.35">
      <c r="A711" t="s">
        <v>35</v>
      </c>
      <c r="B711">
        <v>2001</v>
      </c>
      <c r="C711" t="s">
        <v>43</v>
      </c>
      <c r="D711" s="6">
        <v>2.1</v>
      </c>
      <c r="E711" s="6">
        <f>INT(Table2[[#This Row],[Transect]])</f>
        <v>2</v>
      </c>
      <c r="F711" s="1" t="s">
        <v>3</v>
      </c>
      <c r="G711">
        <v>4</v>
      </c>
      <c r="H711">
        <f t="shared" si="1"/>
        <v>200</v>
      </c>
      <c r="I711">
        <v>100</v>
      </c>
      <c r="J711">
        <f>Table2[[#This Row],[Hits]]/Table2[[#This Row],[Points]]*100</f>
        <v>2</v>
      </c>
      <c r="K711">
        <f>VLOOKUP(Table2[[#This Row],[Site]],'Site Info'!$A$1:$C$11,2, FALSE)</f>
        <v>17</v>
      </c>
      <c r="L711">
        <f>VLOOKUP(Table2[[#This Row],[Site]],'Site Info'!$A$1:$C$11,3, FALSE)</f>
        <v>4</v>
      </c>
      <c r="M711" t="str">
        <f>VLOOKUP(Table2[[#This Row],[Species]],'Species Table'!$A$1:$D$68,3, FALSE)</f>
        <v>Perennial</v>
      </c>
      <c r="O711" s="15">
        <f>IF(SUMPRODUCT(($A$2:$A711=A711)*($B$2:$B711=B711)*($F$2:$F711=F711))&gt;1,0,1)</f>
        <v>0</v>
      </c>
      <c r="P711" s="15">
        <f>IF(SUMPRODUCT(($A$2:$A711=A711)*($B$2:$B711=B711)*($D$2:$D711=D711))&gt;1,0,1)</f>
        <v>1</v>
      </c>
    </row>
    <row r="712" spans="1:16" x14ac:dyDescent="0.35">
      <c r="A712" t="s">
        <v>35</v>
      </c>
      <c r="B712">
        <v>2001</v>
      </c>
      <c r="C712" t="s">
        <v>44</v>
      </c>
      <c r="D712" s="6">
        <v>2.2000000000000002</v>
      </c>
      <c r="E712" s="6">
        <f>INT(Table2[[#This Row],[Transect]])</f>
        <v>2</v>
      </c>
      <c r="F712" s="1" t="s">
        <v>3</v>
      </c>
      <c r="G712">
        <v>3</v>
      </c>
      <c r="H712">
        <f t="shared" si="1"/>
        <v>200</v>
      </c>
      <c r="I712">
        <v>100</v>
      </c>
      <c r="J712">
        <f>Table2[[#This Row],[Hits]]/Table2[[#This Row],[Points]]*100</f>
        <v>1.5</v>
      </c>
      <c r="K712">
        <f>VLOOKUP(Table2[[#This Row],[Site]],'Site Info'!$A$1:$C$11,2, FALSE)</f>
        <v>17</v>
      </c>
      <c r="L712">
        <f>VLOOKUP(Table2[[#This Row],[Site]],'Site Info'!$A$1:$C$11,3, FALSE)</f>
        <v>4</v>
      </c>
      <c r="M712" t="str">
        <f>VLOOKUP(Table2[[#This Row],[Species]],'Species Table'!$A$1:$D$68,3, FALSE)</f>
        <v>Perennial</v>
      </c>
      <c r="O712" s="15">
        <f>IF(SUMPRODUCT(($A$2:$A712=A712)*($B$2:$B712=B712)*($F$2:$F712=F712))&gt;1,0,1)</f>
        <v>0</v>
      </c>
      <c r="P712" s="15">
        <f>IF(SUMPRODUCT(($A$2:$A712=A712)*($B$2:$B712=B712)*($D$2:$D712=D712))&gt;1,0,1)</f>
        <v>1</v>
      </c>
    </row>
    <row r="713" spans="1:16" x14ac:dyDescent="0.35">
      <c r="A713" t="s">
        <v>35</v>
      </c>
      <c r="B713">
        <v>2001</v>
      </c>
      <c r="C713" t="s">
        <v>45</v>
      </c>
      <c r="D713" s="6">
        <v>2.2999999999999998</v>
      </c>
      <c r="E713" s="6">
        <f>INT(Table2[[#This Row],[Transect]])</f>
        <v>2</v>
      </c>
      <c r="F713" s="1" t="s">
        <v>3</v>
      </c>
      <c r="G713">
        <v>3</v>
      </c>
      <c r="H713">
        <f t="shared" si="1"/>
        <v>200</v>
      </c>
      <c r="I713">
        <v>100</v>
      </c>
      <c r="J713">
        <f>Table2[[#This Row],[Hits]]/Table2[[#This Row],[Points]]*100</f>
        <v>1.5</v>
      </c>
      <c r="K713">
        <f>VLOOKUP(Table2[[#This Row],[Site]],'Site Info'!$A$1:$C$11,2, FALSE)</f>
        <v>17</v>
      </c>
      <c r="L713">
        <f>VLOOKUP(Table2[[#This Row],[Site]],'Site Info'!$A$1:$C$11,3, FALSE)</f>
        <v>4</v>
      </c>
      <c r="M713" t="str">
        <f>VLOOKUP(Table2[[#This Row],[Species]],'Species Table'!$A$1:$D$68,3, FALSE)</f>
        <v>Perennial</v>
      </c>
      <c r="O713" s="15">
        <f>IF(SUMPRODUCT(($A$2:$A713=A713)*($B$2:$B713=B713)*($F$2:$F713=F713))&gt;1,0,1)</f>
        <v>0</v>
      </c>
      <c r="P713" s="15">
        <f>IF(SUMPRODUCT(($A$2:$A713=A713)*($B$2:$B713=B713)*($D$2:$D713=D713))&gt;1,0,1)</f>
        <v>1</v>
      </c>
    </row>
    <row r="714" spans="1:16" x14ac:dyDescent="0.35">
      <c r="A714" t="s">
        <v>35</v>
      </c>
      <c r="B714">
        <v>2001</v>
      </c>
      <c r="C714" t="s">
        <v>92</v>
      </c>
      <c r="D714" s="6">
        <v>2.4</v>
      </c>
      <c r="E714" s="6">
        <f>INT(Table2[[#This Row],[Transect]])</f>
        <v>2</v>
      </c>
      <c r="F714" s="1" t="s">
        <v>3</v>
      </c>
      <c r="G714">
        <v>1</v>
      </c>
      <c r="H714">
        <f t="shared" si="1"/>
        <v>71</v>
      </c>
      <c r="I714">
        <v>35.5</v>
      </c>
      <c r="J714">
        <f>Table2[[#This Row],[Hits]]/Table2[[#This Row],[Points]]*100</f>
        <v>1.4084507042253522</v>
      </c>
      <c r="K714">
        <f>VLOOKUP(Table2[[#This Row],[Site]],'Site Info'!$A$1:$C$11,2, FALSE)</f>
        <v>17</v>
      </c>
      <c r="L714">
        <f>VLOOKUP(Table2[[#This Row],[Site]],'Site Info'!$A$1:$C$11,3, FALSE)</f>
        <v>4</v>
      </c>
      <c r="M714" t="str">
        <f>VLOOKUP(Table2[[#This Row],[Species]],'Species Table'!$A$1:$D$68,3, FALSE)</f>
        <v>Perennial</v>
      </c>
      <c r="O714" s="15">
        <f>IF(SUMPRODUCT(($A$2:$A714=A714)*($B$2:$B714=B714)*($F$2:$F714=F714))&gt;1,0,1)</f>
        <v>0</v>
      </c>
      <c r="P714" s="15">
        <f>IF(SUMPRODUCT(($A$2:$A714=A714)*($B$2:$B714=B714)*($D$2:$D714=D714))&gt;1,0,1)</f>
        <v>1</v>
      </c>
    </row>
    <row r="715" spans="1:16" x14ac:dyDescent="0.35">
      <c r="A715" t="s">
        <v>35</v>
      </c>
      <c r="B715">
        <v>2001</v>
      </c>
      <c r="C715" t="s">
        <v>50</v>
      </c>
      <c r="D715" s="6">
        <v>3.1</v>
      </c>
      <c r="E715" s="6">
        <f>INT(Table2[[#This Row],[Transect]])</f>
        <v>3</v>
      </c>
      <c r="F715" s="1" t="s">
        <v>3</v>
      </c>
      <c r="G715">
        <v>26</v>
      </c>
      <c r="H715">
        <f t="shared" si="1"/>
        <v>200</v>
      </c>
      <c r="I715">
        <v>100</v>
      </c>
      <c r="J715">
        <f>Table2[[#This Row],[Hits]]/Table2[[#This Row],[Points]]*100</f>
        <v>13</v>
      </c>
      <c r="K715">
        <f>VLOOKUP(Table2[[#This Row],[Site]],'Site Info'!$A$1:$C$11,2, FALSE)</f>
        <v>17</v>
      </c>
      <c r="L715">
        <f>VLOOKUP(Table2[[#This Row],[Site]],'Site Info'!$A$1:$C$11,3, FALSE)</f>
        <v>4</v>
      </c>
      <c r="M715" t="str">
        <f>VLOOKUP(Table2[[#This Row],[Species]],'Species Table'!$A$1:$D$68,3, FALSE)</f>
        <v>Perennial</v>
      </c>
      <c r="O715" s="15">
        <f>IF(SUMPRODUCT(($A$2:$A715=A715)*($B$2:$B715=B715)*($F$2:$F715=F715))&gt;1,0,1)</f>
        <v>0</v>
      </c>
      <c r="P715" s="15">
        <f>IF(SUMPRODUCT(($A$2:$A715=A715)*($B$2:$B715=B715)*($D$2:$D715=D715))&gt;1,0,1)</f>
        <v>1</v>
      </c>
    </row>
    <row r="716" spans="1:16" x14ac:dyDescent="0.35">
      <c r="A716" t="s">
        <v>35</v>
      </c>
      <c r="B716">
        <v>2001</v>
      </c>
      <c r="C716" t="s">
        <v>51</v>
      </c>
      <c r="D716" s="6">
        <v>3.2</v>
      </c>
      <c r="E716" s="6">
        <f>INT(Table2[[#This Row],[Transect]])</f>
        <v>3</v>
      </c>
      <c r="F716" s="1" t="s">
        <v>3</v>
      </c>
      <c r="G716">
        <v>13</v>
      </c>
      <c r="H716">
        <f t="shared" ref="H716:H727" si="2">I716*2</f>
        <v>200</v>
      </c>
      <c r="I716">
        <v>100</v>
      </c>
      <c r="J716">
        <f>Table2[[#This Row],[Hits]]/Table2[[#This Row],[Points]]*100</f>
        <v>6.5</v>
      </c>
      <c r="K716">
        <f>VLOOKUP(Table2[[#This Row],[Site]],'Site Info'!$A$1:$C$11,2, FALSE)</f>
        <v>17</v>
      </c>
      <c r="L716">
        <f>VLOOKUP(Table2[[#This Row],[Site]],'Site Info'!$A$1:$C$11,3, FALSE)</f>
        <v>4</v>
      </c>
      <c r="M716" t="str">
        <f>VLOOKUP(Table2[[#This Row],[Species]],'Species Table'!$A$1:$D$68,3, FALSE)</f>
        <v>Perennial</v>
      </c>
      <c r="O716" s="15">
        <f>IF(SUMPRODUCT(($A$2:$A716=A716)*($B$2:$B716=B716)*($F$2:$F716=F716))&gt;1,0,1)</f>
        <v>0</v>
      </c>
      <c r="P716" s="15">
        <f>IF(SUMPRODUCT(($A$2:$A716=A716)*($B$2:$B716=B716)*($D$2:$D716=D716))&gt;1,0,1)</f>
        <v>1</v>
      </c>
    </row>
    <row r="717" spans="1:16" x14ac:dyDescent="0.35">
      <c r="A717" t="s">
        <v>35</v>
      </c>
      <c r="B717">
        <v>2001</v>
      </c>
      <c r="C717" t="s">
        <v>52</v>
      </c>
      <c r="D717" s="6">
        <v>3.3</v>
      </c>
      <c r="E717" s="6">
        <f>INT(Table2[[#This Row],[Transect]])</f>
        <v>3</v>
      </c>
      <c r="F717" s="1" t="s">
        <v>3</v>
      </c>
      <c r="G717">
        <v>19</v>
      </c>
      <c r="H717">
        <f t="shared" si="2"/>
        <v>200</v>
      </c>
      <c r="I717">
        <v>100</v>
      </c>
      <c r="J717">
        <f>Table2[[#This Row],[Hits]]/Table2[[#This Row],[Points]]*100</f>
        <v>9.5</v>
      </c>
      <c r="K717">
        <f>VLOOKUP(Table2[[#This Row],[Site]],'Site Info'!$A$1:$C$11,2, FALSE)</f>
        <v>17</v>
      </c>
      <c r="L717">
        <f>VLOOKUP(Table2[[#This Row],[Site]],'Site Info'!$A$1:$C$11,3, FALSE)</f>
        <v>4</v>
      </c>
      <c r="M717" t="str">
        <f>VLOOKUP(Table2[[#This Row],[Species]],'Species Table'!$A$1:$D$68,3, FALSE)</f>
        <v>Perennial</v>
      </c>
      <c r="O717" s="15">
        <f>IF(SUMPRODUCT(($A$2:$A717=A717)*($B$2:$B717=B717)*($F$2:$F717=F717))&gt;1,0,1)</f>
        <v>0</v>
      </c>
      <c r="P717" s="15">
        <f>IF(SUMPRODUCT(($A$2:$A717=A717)*($B$2:$B717=B717)*($D$2:$D717=D717))&gt;1,0,1)</f>
        <v>1</v>
      </c>
    </row>
    <row r="718" spans="1:16" x14ac:dyDescent="0.35">
      <c r="A718" t="s">
        <v>35</v>
      </c>
      <c r="B718">
        <v>2001</v>
      </c>
      <c r="C718" t="s">
        <v>93</v>
      </c>
      <c r="D718" s="6">
        <v>3.4</v>
      </c>
      <c r="E718" s="6">
        <f>INT(Table2[[#This Row],[Transect]])</f>
        <v>3</v>
      </c>
      <c r="F718" s="1" t="s">
        <v>3</v>
      </c>
      <c r="G718">
        <v>1</v>
      </c>
      <c r="H718">
        <f t="shared" si="2"/>
        <v>23</v>
      </c>
      <c r="I718">
        <v>11.5</v>
      </c>
      <c r="J718">
        <f>Table2[[#This Row],[Hits]]/Table2[[#This Row],[Points]]*100</f>
        <v>4.3478260869565215</v>
      </c>
      <c r="K718">
        <f>VLOOKUP(Table2[[#This Row],[Site]],'Site Info'!$A$1:$C$11,2, FALSE)</f>
        <v>17</v>
      </c>
      <c r="L718">
        <f>VLOOKUP(Table2[[#This Row],[Site]],'Site Info'!$A$1:$C$11,3, FALSE)</f>
        <v>4</v>
      </c>
      <c r="M718" t="str">
        <f>VLOOKUP(Table2[[#This Row],[Species]],'Species Table'!$A$1:$D$68,3, FALSE)</f>
        <v>Perennial</v>
      </c>
      <c r="O718" s="15">
        <f>IF(SUMPRODUCT(($A$2:$A718=A718)*($B$2:$B718=B718)*($F$2:$F718=F718))&gt;1,0,1)</f>
        <v>0</v>
      </c>
      <c r="P718" s="15">
        <f>IF(SUMPRODUCT(($A$2:$A718=A718)*($B$2:$B718=B718)*($D$2:$D718=D718))&gt;1,0,1)</f>
        <v>1</v>
      </c>
    </row>
    <row r="719" spans="1:16" hidden="1" x14ac:dyDescent="0.35">
      <c r="A719" t="s">
        <v>35</v>
      </c>
      <c r="B719">
        <v>2001</v>
      </c>
      <c r="C719" t="s">
        <v>55</v>
      </c>
      <c r="D719" s="6">
        <v>4.0999999999999996</v>
      </c>
      <c r="E719" s="6">
        <f>INT(Table2[[#This Row],[Transect]])</f>
        <v>4</v>
      </c>
      <c r="F719" s="1" t="s">
        <v>127</v>
      </c>
      <c r="G719">
        <v>0</v>
      </c>
      <c r="H719">
        <f t="shared" si="2"/>
        <v>200</v>
      </c>
      <c r="I719">
        <v>100</v>
      </c>
      <c r="J719">
        <f>Table2[[#This Row],[Hits]]/Table2[[#This Row],[Points]]*100</f>
        <v>0</v>
      </c>
      <c r="K719">
        <f>VLOOKUP(Table2[[#This Row],[Site]],'Site Info'!$A$1:$C$11,2, FALSE)</f>
        <v>17</v>
      </c>
      <c r="L719">
        <f>VLOOKUP(Table2[[#This Row],[Site]],'Site Info'!$A$1:$C$11,3, FALSE)</f>
        <v>4</v>
      </c>
      <c r="M719" t="str">
        <f>VLOOKUP(Table2[[#This Row],[Species]],'Species Table'!$A$1:$D$68,3, FALSE)</f>
        <v>NA</v>
      </c>
      <c r="O719" s="15">
        <f>IF(SUMPRODUCT(($A$2:$A719=A719)*($B$2:$B719=B719)*($F$2:$F719=F719))&gt;1,0,1)</f>
        <v>1</v>
      </c>
      <c r="P719" s="15">
        <f>IF(SUMPRODUCT(($A$2:$A719=A719)*($B$2:$B719=B719)*($D$2:$D719=D719))&gt;1,0,1)</f>
        <v>1</v>
      </c>
    </row>
    <row r="720" spans="1:16" x14ac:dyDescent="0.35">
      <c r="A720" t="s">
        <v>35</v>
      </c>
      <c r="B720">
        <v>2001</v>
      </c>
      <c r="C720" t="s">
        <v>56</v>
      </c>
      <c r="D720" s="6">
        <v>4.2</v>
      </c>
      <c r="E720" s="6">
        <f>INT(Table2[[#This Row],[Transect]])</f>
        <v>4</v>
      </c>
      <c r="F720" s="1" t="s">
        <v>3</v>
      </c>
      <c r="G720">
        <v>6</v>
      </c>
      <c r="H720">
        <f t="shared" si="2"/>
        <v>200</v>
      </c>
      <c r="I720">
        <v>100</v>
      </c>
      <c r="J720">
        <f>Table2[[#This Row],[Hits]]/Table2[[#This Row],[Points]]*100</f>
        <v>3</v>
      </c>
      <c r="K720">
        <f>VLOOKUP(Table2[[#This Row],[Site]],'Site Info'!$A$1:$C$11,2, FALSE)</f>
        <v>17</v>
      </c>
      <c r="L720">
        <f>VLOOKUP(Table2[[#This Row],[Site]],'Site Info'!$A$1:$C$11,3, FALSE)</f>
        <v>4</v>
      </c>
      <c r="M720" t="str">
        <f>VLOOKUP(Table2[[#This Row],[Species]],'Species Table'!$A$1:$D$68,3, FALSE)</f>
        <v>Perennial</v>
      </c>
      <c r="O720" s="15">
        <f>IF(SUMPRODUCT(($A$2:$A720=A720)*($B$2:$B720=B720)*($F$2:$F720=F720))&gt;1,0,1)</f>
        <v>0</v>
      </c>
      <c r="P720" s="15">
        <f>IF(SUMPRODUCT(($A$2:$A720=A720)*($B$2:$B720=B720)*($D$2:$D720=D720))&gt;1,0,1)</f>
        <v>1</v>
      </c>
    </row>
    <row r="721" spans="1:16" x14ac:dyDescent="0.35">
      <c r="A721" t="s">
        <v>35</v>
      </c>
      <c r="B721">
        <v>2001</v>
      </c>
      <c r="C721" t="s">
        <v>94</v>
      </c>
      <c r="D721" s="6">
        <v>4.3</v>
      </c>
      <c r="E721" s="6">
        <f>INT(Table2[[#This Row],[Transect]])</f>
        <v>4</v>
      </c>
      <c r="F721" s="1" t="s">
        <v>12</v>
      </c>
      <c r="G721">
        <v>3</v>
      </c>
      <c r="H721">
        <f t="shared" si="2"/>
        <v>169</v>
      </c>
      <c r="I721">
        <v>84.5</v>
      </c>
      <c r="J721">
        <f>Table2[[#This Row],[Hits]]/Table2[[#This Row],[Points]]*100</f>
        <v>1.7751479289940828</v>
      </c>
      <c r="K721">
        <f>VLOOKUP(Table2[[#This Row],[Site]],'Site Info'!$A$1:$C$11,2, FALSE)</f>
        <v>17</v>
      </c>
      <c r="L721">
        <f>VLOOKUP(Table2[[#This Row],[Site]],'Site Info'!$A$1:$C$11,3, FALSE)</f>
        <v>4</v>
      </c>
      <c r="M721" t="str">
        <f>VLOOKUP(Table2[[#This Row],[Species]],'Species Table'!$A$1:$D$68,3, FALSE)</f>
        <v>Perennial</v>
      </c>
      <c r="O721" s="15">
        <f>IF(SUMPRODUCT(($A$2:$A721=A721)*($B$2:$B721=B721)*($F$2:$F721=F721))&gt;1,0,1)</f>
        <v>1</v>
      </c>
      <c r="P721" s="15">
        <f>IF(SUMPRODUCT(($A$2:$A721=A721)*($B$2:$B721=B721)*($D$2:$D721=D721))&gt;1,0,1)</f>
        <v>1</v>
      </c>
    </row>
    <row r="722" spans="1:16" x14ac:dyDescent="0.35">
      <c r="A722" t="s">
        <v>35</v>
      </c>
      <c r="B722">
        <v>2001</v>
      </c>
      <c r="C722" t="s">
        <v>94</v>
      </c>
      <c r="D722" s="6">
        <v>4.3</v>
      </c>
      <c r="E722" s="6">
        <f>INT(Table2[[#This Row],[Transect]])</f>
        <v>4</v>
      </c>
      <c r="F722" s="1" t="s">
        <v>3</v>
      </c>
      <c r="G722">
        <v>11</v>
      </c>
      <c r="H722">
        <f t="shared" si="2"/>
        <v>169</v>
      </c>
      <c r="I722">
        <v>84.5</v>
      </c>
      <c r="J722">
        <f>Table2[[#This Row],[Hits]]/Table2[[#This Row],[Points]]*100</f>
        <v>6.5088757396449708</v>
      </c>
      <c r="K722">
        <f>VLOOKUP(Table2[[#This Row],[Site]],'Site Info'!$A$1:$C$11,2, FALSE)</f>
        <v>17</v>
      </c>
      <c r="L722">
        <f>VLOOKUP(Table2[[#This Row],[Site]],'Site Info'!$A$1:$C$11,3, FALSE)</f>
        <v>4</v>
      </c>
      <c r="M722" t="str">
        <f>VLOOKUP(Table2[[#This Row],[Species]],'Species Table'!$A$1:$D$68,3, FALSE)</f>
        <v>Perennial</v>
      </c>
      <c r="O722" s="15">
        <f>IF(SUMPRODUCT(($A$2:$A722=A722)*($B$2:$B722=B722)*($F$2:$F722=F722))&gt;1,0,1)</f>
        <v>0</v>
      </c>
      <c r="P722" s="15">
        <f>IF(SUMPRODUCT(($A$2:$A722=A722)*($B$2:$B722=B722)*($D$2:$D722=D722))&gt;1,0,1)</f>
        <v>0</v>
      </c>
    </row>
    <row r="723" spans="1:16" x14ac:dyDescent="0.35">
      <c r="A723" t="s">
        <v>35</v>
      </c>
      <c r="B723">
        <v>2001</v>
      </c>
      <c r="C723" t="s">
        <v>62</v>
      </c>
      <c r="D723" s="6">
        <v>5.0999999999999996</v>
      </c>
      <c r="E723" s="6">
        <f>INT(Table2[[#This Row],[Transect]])</f>
        <v>5</v>
      </c>
      <c r="F723" s="1" t="s">
        <v>3</v>
      </c>
      <c r="G723">
        <v>7</v>
      </c>
      <c r="H723">
        <f t="shared" si="2"/>
        <v>200</v>
      </c>
      <c r="I723">
        <v>100</v>
      </c>
      <c r="J723">
        <f>Table2[[#This Row],[Hits]]/Table2[[#This Row],[Points]]*100</f>
        <v>3.5000000000000004</v>
      </c>
      <c r="K723">
        <f>VLOOKUP(Table2[[#This Row],[Site]],'Site Info'!$A$1:$C$11,2, FALSE)</f>
        <v>17</v>
      </c>
      <c r="L723">
        <f>VLOOKUP(Table2[[#This Row],[Site]],'Site Info'!$A$1:$C$11,3, FALSE)</f>
        <v>4</v>
      </c>
      <c r="M723" t="str">
        <f>VLOOKUP(Table2[[#This Row],[Species]],'Species Table'!$A$1:$D$68,3, FALSE)</f>
        <v>Perennial</v>
      </c>
      <c r="O723" s="15">
        <f>IF(SUMPRODUCT(($A$2:$A723=A723)*($B$2:$B723=B723)*($F$2:$F723=F723))&gt;1,0,1)</f>
        <v>0</v>
      </c>
      <c r="P723" s="15">
        <f>IF(SUMPRODUCT(($A$2:$A723=A723)*($B$2:$B723=B723)*($D$2:$D723=D723))&gt;1,0,1)</f>
        <v>1</v>
      </c>
    </row>
    <row r="724" spans="1:16" x14ac:dyDescent="0.35">
      <c r="A724" t="s">
        <v>35</v>
      </c>
      <c r="B724">
        <v>2001</v>
      </c>
      <c r="C724" t="s">
        <v>63</v>
      </c>
      <c r="D724" s="6">
        <v>5.2</v>
      </c>
      <c r="E724" s="6">
        <f>INT(Table2[[#This Row],[Transect]])</f>
        <v>5</v>
      </c>
      <c r="F724" s="1" t="s">
        <v>3</v>
      </c>
      <c r="G724">
        <v>11</v>
      </c>
      <c r="H724">
        <f t="shared" si="2"/>
        <v>200</v>
      </c>
      <c r="I724">
        <v>100</v>
      </c>
      <c r="J724">
        <f>Table2[[#This Row],[Hits]]/Table2[[#This Row],[Points]]*100</f>
        <v>5.5</v>
      </c>
      <c r="K724">
        <f>VLOOKUP(Table2[[#This Row],[Site]],'Site Info'!$A$1:$C$11,2, FALSE)</f>
        <v>17</v>
      </c>
      <c r="L724">
        <f>VLOOKUP(Table2[[#This Row],[Site]],'Site Info'!$A$1:$C$11,3, FALSE)</f>
        <v>4</v>
      </c>
      <c r="M724" t="str">
        <f>VLOOKUP(Table2[[#This Row],[Species]],'Species Table'!$A$1:$D$68,3, FALSE)</f>
        <v>Perennial</v>
      </c>
      <c r="O724" s="15">
        <f>IF(SUMPRODUCT(($A$2:$A724=A724)*($B$2:$B724=B724)*($F$2:$F724=F724))&gt;1,0,1)</f>
        <v>0</v>
      </c>
      <c r="P724" s="15">
        <f>IF(SUMPRODUCT(($A$2:$A724=A724)*($B$2:$B724=B724)*($D$2:$D724=D724))&gt;1,0,1)</f>
        <v>1</v>
      </c>
    </row>
    <row r="725" spans="1:16" x14ac:dyDescent="0.35">
      <c r="A725" t="s">
        <v>35</v>
      </c>
      <c r="B725">
        <v>2001</v>
      </c>
      <c r="C725" t="s">
        <v>63</v>
      </c>
      <c r="D725" s="6">
        <v>5.2</v>
      </c>
      <c r="E725" s="6">
        <f>INT(Table2[[#This Row],[Transect]])</f>
        <v>5</v>
      </c>
      <c r="F725" s="1" t="s">
        <v>12</v>
      </c>
      <c r="G725">
        <v>3</v>
      </c>
      <c r="H725">
        <f t="shared" si="2"/>
        <v>200</v>
      </c>
      <c r="I725">
        <v>100</v>
      </c>
      <c r="J725">
        <f>Table2[[#This Row],[Hits]]/Table2[[#This Row],[Points]]*100</f>
        <v>1.5</v>
      </c>
      <c r="K725">
        <f>VLOOKUP(Table2[[#This Row],[Site]],'Site Info'!$A$1:$C$11,2, FALSE)</f>
        <v>17</v>
      </c>
      <c r="L725">
        <f>VLOOKUP(Table2[[#This Row],[Site]],'Site Info'!$A$1:$C$11,3, FALSE)</f>
        <v>4</v>
      </c>
      <c r="M725" t="str">
        <f>VLOOKUP(Table2[[#This Row],[Species]],'Species Table'!$A$1:$D$68,3, FALSE)</f>
        <v>Perennial</v>
      </c>
      <c r="O725" s="15">
        <f>IF(SUMPRODUCT(($A$2:$A725=A725)*($B$2:$B725=B725)*($F$2:$F725=F725))&gt;1,0,1)</f>
        <v>0</v>
      </c>
      <c r="P725" s="15">
        <f>IF(SUMPRODUCT(($A$2:$A725=A725)*($B$2:$B725=B725)*($D$2:$D725=D725))&gt;1,0,1)</f>
        <v>0</v>
      </c>
    </row>
    <row r="726" spans="1:16" x14ac:dyDescent="0.35">
      <c r="A726" t="s">
        <v>35</v>
      </c>
      <c r="B726">
        <v>2001</v>
      </c>
      <c r="C726" t="s">
        <v>95</v>
      </c>
      <c r="D726" s="6">
        <v>5.3</v>
      </c>
      <c r="E726" s="6">
        <f>INT(Table2[[#This Row],[Transect]])</f>
        <v>5</v>
      </c>
      <c r="F726" s="1" t="s">
        <v>3</v>
      </c>
      <c r="G726">
        <v>13</v>
      </c>
      <c r="H726">
        <f t="shared" si="2"/>
        <v>112</v>
      </c>
      <c r="I726">
        <v>56</v>
      </c>
      <c r="J726">
        <f>Table2[[#This Row],[Hits]]/Table2[[#This Row],[Points]]*100</f>
        <v>11.607142857142858</v>
      </c>
      <c r="K726">
        <f>VLOOKUP(Table2[[#This Row],[Site]],'Site Info'!$A$1:$C$11,2, FALSE)</f>
        <v>17</v>
      </c>
      <c r="L726">
        <f>VLOOKUP(Table2[[#This Row],[Site]],'Site Info'!$A$1:$C$11,3, FALSE)</f>
        <v>4</v>
      </c>
      <c r="M726" t="str">
        <f>VLOOKUP(Table2[[#This Row],[Species]],'Species Table'!$A$1:$D$68,3, FALSE)</f>
        <v>Perennial</v>
      </c>
      <c r="O726" s="15">
        <f>IF(SUMPRODUCT(($A$2:$A726=A726)*($B$2:$B726=B726)*($F$2:$F726=F726))&gt;1,0,1)</f>
        <v>0</v>
      </c>
      <c r="P726" s="15">
        <f>IF(SUMPRODUCT(($A$2:$A726=A726)*($B$2:$B726=B726)*($D$2:$D726=D726))&gt;1,0,1)</f>
        <v>1</v>
      </c>
    </row>
    <row r="727" spans="1:16" x14ac:dyDescent="0.35">
      <c r="A727" t="s">
        <v>35</v>
      </c>
      <c r="B727">
        <v>2001</v>
      </c>
      <c r="C727" t="s">
        <v>96</v>
      </c>
      <c r="D727" s="6">
        <v>6.1</v>
      </c>
      <c r="E727" s="6">
        <f>INT(Table2[[#This Row],[Transect]])</f>
        <v>6</v>
      </c>
      <c r="F727" s="1" t="s">
        <v>3</v>
      </c>
      <c r="G727">
        <v>15</v>
      </c>
      <c r="H727">
        <f t="shared" si="2"/>
        <v>193</v>
      </c>
      <c r="I727">
        <v>96.5</v>
      </c>
      <c r="J727">
        <f>Table2[[#This Row],[Hits]]/Table2[[#This Row],[Points]]*100</f>
        <v>7.7720207253886011</v>
      </c>
      <c r="K727">
        <f>VLOOKUP(Table2[[#This Row],[Site]],'Site Info'!$A$1:$C$11,2, FALSE)</f>
        <v>17</v>
      </c>
      <c r="L727">
        <f>VLOOKUP(Table2[[#This Row],[Site]],'Site Info'!$A$1:$C$11,3, FALSE)</f>
        <v>4</v>
      </c>
      <c r="M727" t="str">
        <f>VLOOKUP(Table2[[#This Row],[Species]],'Species Table'!$A$1:$D$68,3, FALSE)</f>
        <v>Perennial</v>
      </c>
      <c r="O727" s="15">
        <f>IF(SUMPRODUCT(($A$2:$A727=A727)*($B$2:$B727=B727)*($F$2:$F727=F727))&gt;1,0,1)</f>
        <v>0</v>
      </c>
      <c r="P727" s="15">
        <f>IF(SUMPRODUCT(($A$2:$A727=A727)*($B$2:$B727=B727)*($D$2:$D727=D727))&gt;1,0,1)</f>
        <v>1</v>
      </c>
    </row>
    <row r="728" spans="1:16" hidden="1" x14ac:dyDescent="0.35">
      <c r="A728" t="s">
        <v>35</v>
      </c>
      <c r="B728">
        <v>2006</v>
      </c>
      <c r="C728" t="s">
        <v>37</v>
      </c>
      <c r="D728">
        <v>1.1000000000000001</v>
      </c>
      <c r="E728">
        <f>INT(Table2[[#This Row],[Transect]])</f>
        <v>1</v>
      </c>
      <c r="F728" t="s">
        <v>10</v>
      </c>
      <c r="G728">
        <v>12</v>
      </c>
      <c r="H728">
        <v>200</v>
      </c>
      <c r="J728">
        <f>Table2[[#This Row],[Hits]]/Table2[[#This Row],[Points]]*100</f>
        <v>6</v>
      </c>
      <c r="K728">
        <f>VLOOKUP(Table2[[#This Row],[Site]],'Site Info'!$A$1:$C$11,2, FALSE)</f>
        <v>17</v>
      </c>
      <c r="L728">
        <f>VLOOKUP(Table2[[#This Row],[Site]],'Site Info'!$A$1:$C$11,3, FALSE)</f>
        <v>4</v>
      </c>
      <c r="M728" t="str">
        <f>VLOOKUP(Table2[[#This Row],[Species]],'Species Table'!$A$1:$D$68,3, FALSE)</f>
        <v>Annual</v>
      </c>
      <c r="O728" s="15">
        <f>IF(SUMPRODUCT(($A$2:$A728=A728)*($B$2:$B728=B728)*($F$2:$F728=F728))&gt;1,0,1)</f>
        <v>1</v>
      </c>
      <c r="P728" s="15">
        <f>IF(SUMPRODUCT(($A$2:$A728=A728)*($B$2:$B728=B728)*($D$2:$D728=D728))&gt;1,0,1)</f>
        <v>1</v>
      </c>
    </row>
    <row r="729" spans="1:16" x14ac:dyDescent="0.35">
      <c r="A729" t="s">
        <v>35</v>
      </c>
      <c r="B729">
        <v>2006</v>
      </c>
      <c r="C729" t="s">
        <v>37</v>
      </c>
      <c r="D729">
        <v>1.1000000000000001</v>
      </c>
      <c r="E729">
        <f>INT(Table2[[#This Row],[Transect]])</f>
        <v>1</v>
      </c>
      <c r="F729" t="s">
        <v>3</v>
      </c>
      <c r="G729">
        <v>3</v>
      </c>
      <c r="H729">
        <v>200</v>
      </c>
      <c r="J729">
        <f>Table2[[#This Row],[Hits]]/Table2[[#This Row],[Points]]*100</f>
        <v>1.5</v>
      </c>
      <c r="K729">
        <f>VLOOKUP(Table2[[#This Row],[Site]],'Site Info'!$A$1:$C$11,2, FALSE)</f>
        <v>17</v>
      </c>
      <c r="L729">
        <f>VLOOKUP(Table2[[#This Row],[Site]],'Site Info'!$A$1:$C$11,3, FALSE)</f>
        <v>4</v>
      </c>
      <c r="M729" t="str">
        <f>VLOOKUP(Table2[[#This Row],[Species]],'Species Table'!$A$1:$D$68,3, FALSE)</f>
        <v>Perennial</v>
      </c>
      <c r="O729" s="15">
        <f>IF(SUMPRODUCT(($A$2:$A729=A729)*($B$2:$B729=B729)*($F$2:$F729=F729))&gt;1,0,1)</f>
        <v>1</v>
      </c>
      <c r="P729" s="15">
        <f>IF(SUMPRODUCT(($A$2:$A729=A729)*($B$2:$B729=B729)*($D$2:$D729=D729))&gt;1,0,1)</f>
        <v>0</v>
      </c>
    </row>
    <row r="730" spans="1:16" x14ac:dyDescent="0.35">
      <c r="A730" t="s">
        <v>35</v>
      </c>
      <c r="B730">
        <v>2006</v>
      </c>
      <c r="C730" t="s">
        <v>37</v>
      </c>
      <c r="D730">
        <v>1.1000000000000001</v>
      </c>
      <c r="E730">
        <f>INT(Table2[[#This Row],[Transect]])</f>
        <v>1</v>
      </c>
      <c r="F730" t="s">
        <v>6</v>
      </c>
      <c r="G730">
        <v>10</v>
      </c>
      <c r="H730">
        <v>200</v>
      </c>
      <c r="J730">
        <f>Table2[[#This Row],[Hits]]/Table2[[#This Row],[Points]]*100</f>
        <v>5</v>
      </c>
      <c r="K730">
        <f>VLOOKUP(Table2[[#This Row],[Site]],'Site Info'!$A$1:$C$11,2, FALSE)</f>
        <v>17</v>
      </c>
      <c r="L730">
        <f>VLOOKUP(Table2[[#This Row],[Site]],'Site Info'!$A$1:$C$11,3, FALSE)</f>
        <v>4</v>
      </c>
      <c r="M730" t="str">
        <f>VLOOKUP(Table2[[#This Row],[Species]],'Species Table'!$A$1:$D$68,3, FALSE)</f>
        <v>Perennial</v>
      </c>
      <c r="O730" s="15">
        <f>IF(SUMPRODUCT(($A$2:$A730=A730)*($B$2:$B730=B730)*($F$2:$F730=F730))&gt;1,0,1)</f>
        <v>1</v>
      </c>
      <c r="P730" s="15">
        <f>IF(SUMPRODUCT(($A$2:$A730=A730)*($B$2:$B730=B730)*($D$2:$D730=D730))&gt;1,0,1)</f>
        <v>0</v>
      </c>
    </row>
    <row r="731" spans="1:16" x14ac:dyDescent="0.35">
      <c r="A731" t="s">
        <v>35</v>
      </c>
      <c r="B731">
        <v>2006</v>
      </c>
      <c r="C731" t="s">
        <v>37</v>
      </c>
      <c r="D731">
        <v>1.1000000000000001</v>
      </c>
      <c r="E731">
        <f>INT(Table2[[#This Row],[Transect]])</f>
        <v>1</v>
      </c>
      <c r="F731" t="s">
        <v>5</v>
      </c>
      <c r="G731">
        <v>2</v>
      </c>
      <c r="H731">
        <v>200</v>
      </c>
      <c r="J731">
        <f>Table2[[#This Row],[Hits]]/Table2[[#This Row],[Points]]*100</f>
        <v>1</v>
      </c>
      <c r="K731">
        <f>VLOOKUP(Table2[[#This Row],[Site]],'Site Info'!$A$1:$C$11,2, FALSE)</f>
        <v>17</v>
      </c>
      <c r="L731">
        <f>VLOOKUP(Table2[[#This Row],[Site]],'Site Info'!$A$1:$C$11,3, FALSE)</f>
        <v>4</v>
      </c>
      <c r="M731" t="str">
        <f>VLOOKUP(Table2[[#This Row],[Species]],'Species Table'!$A$1:$D$68,3, FALSE)</f>
        <v>Perennial</v>
      </c>
      <c r="O731" s="15">
        <f>IF(SUMPRODUCT(($A$2:$A731=A731)*($B$2:$B731=B731)*($F$2:$F731=F731))&gt;1,0,1)</f>
        <v>1</v>
      </c>
      <c r="P731" s="15">
        <f>IF(SUMPRODUCT(($A$2:$A731=A731)*($B$2:$B731=B731)*($D$2:$D731=D731))&gt;1,0,1)</f>
        <v>0</v>
      </c>
    </row>
    <row r="732" spans="1:16" hidden="1" x14ac:dyDescent="0.35">
      <c r="A732" t="s">
        <v>35</v>
      </c>
      <c r="B732">
        <v>2006</v>
      </c>
      <c r="C732" t="s">
        <v>38</v>
      </c>
      <c r="D732">
        <v>1.2</v>
      </c>
      <c r="E732">
        <f>INT(Table2[[#This Row],[Transect]])</f>
        <v>1</v>
      </c>
      <c r="F732" t="s">
        <v>10</v>
      </c>
      <c r="G732">
        <v>1</v>
      </c>
      <c r="H732">
        <v>200</v>
      </c>
      <c r="J732">
        <f>Table2[[#This Row],[Hits]]/Table2[[#This Row],[Points]]*100</f>
        <v>0.5</v>
      </c>
      <c r="K732">
        <f>VLOOKUP(Table2[[#This Row],[Site]],'Site Info'!$A$1:$C$11,2, FALSE)</f>
        <v>17</v>
      </c>
      <c r="L732">
        <f>VLOOKUP(Table2[[#This Row],[Site]],'Site Info'!$A$1:$C$11,3, FALSE)</f>
        <v>4</v>
      </c>
      <c r="M732" t="str">
        <f>VLOOKUP(Table2[[#This Row],[Species]],'Species Table'!$A$1:$D$68,3, FALSE)</f>
        <v>Annual</v>
      </c>
      <c r="O732" s="15">
        <f>IF(SUMPRODUCT(($A$2:$A732=A732)*($B$2:$B732=B732)*($F$2:$F732=F732))&gt;1,0,1)</f>
        <v>0</v>
      </c>
      <c r="P732" s="15">
        <f>IF(SUMPRODUCT(($A$2:$A732=A732)*($B$2:$B732=B732)*($D$2:$D732=D732))&gt;1,0,1)</f>
        <v>1</v>
      </c>
    </row>
    <row r="733" spans="1:16" x14ac:dyDescent="0.35">
      <c r="A733" t="s">
        <v>35</v>
      </c>
      <c r="B733">
        <v>2006</v>
      </c>
      <c r="C733" t="s">
        <v>38</v>
      </c>
      <c r="D733">
        <v>1.2</v>
      </c>
      <c r="E733">
        <f>INT(Table2[[#This Row],[Transect]])</f>
        <v>1</v>
      </c>
      <c r="F733" t="s">
        <v>6</v>
      </c>
      <c r="G733">
        <v>10</v>
      </c>
      <c r="H733">
        <v>200</v>
      </c>
      <c r="J733">
        <f>Table2[[#This Row],[Hits]]/Table2[[#This Row],[Points]]*100</f>
        <v>5</v>
      </c>
      <c r="K733">
        <f>VLOOKUP(Table2[[#This Row],[Site]],'Site Info'!$A$1:$C$11,2, FALSE)</f>
        <v>17</v>
      </c>
      <c r="L733">
        <f>VLOOKUP(Table2[[#This Row],[Site]],'Site Info'!$A$1:$C$11,3, FALSE)</f>
        <v>4</v>
      </c>
      <c r="M733" t="str">
        <f>VLOOKUP(Table2[[#This Row],[Species]],'Species Table'!$A$1:$D$68,3, FALSE)</f>
        <v>Perennial</v>
      </c>
      <c r="O733" s="15">
        <f>IF(SUMPRODUCT(($A$2:$A733=A733)*($B$2:$B733=B733)*($F$2:$F733=F733))&gt;1,0,1)</f>
        <v>0</v>
      </c>
      <c r="P733" s="15">
        <f>IF(SUMPRODUCT(($A$2:$A733=A733)*($B$2:$B733=B733)*($D$2:$D733=D733))&gt;1,0,1)</f>
        <v>0</v>
      </c>
    </row>
    <row r="734" spans="1:16" hidden="1" x14ac:dyDescent="0.35">
      <c r="A734" t="s">
        <v>35</v>
      </c>
      <c r="B734">
        <v>2006</v>
      </c>
      <c r="C734" t="s">
        <v>91</v>
      </c>
      <c r="D734">
        <v>1.3</v>
      </c>
      <c r="E734">
        <f>INT(Table2[[#This Row],[Transect]])</f>
        <v>1</v>
      </c>
      <c r="F734" t="s">
        <v>10</v>
      </c>
      <c r="G734">
        <v>2</v>
      </c>
      <c r="H734">
        <v>122</v>
      </c>
      <c r="J734">
        <f>Table2[[#This Row],[Hits]]/Table2[[#This Row],[Points]]*100</f>
        <v>1.639344262295082</v>
      </c>
      <c r="K734">
        <f>VLOOKUP(Table2[[#This Row],[Site]],'Site Info'!$A$1:$C$11,2, FALSE)</f>
        <v>17</v>
      </c>
      <c r="L734">
        <f>VLOOKUP(Table2[[#This Row],[Site]],'Site Info'!$A$1:$C$11,3, FALSE)</f>
        <v>4</v>
      </c>
      <c r="M734" t="str">
        <f>VLOOKUP(Table2[[#This Row],[Species]],'Species Table'!$A$1:$D$68,3, FALSE)</f>
        <v>Annual</v>
      </c>
      <c r="O734" s="15">
        <f>IF(SUMPRODUCT(($A$2:$A734=A734)*($B$2:$B734=B734)*($F$2:$F734=F734))&gt;1,0,1)</f>
        <v>0</v>
      </c>
      <c r="P734" s="15">
        <f>IF(SUMPRODUCT(($A$2:$A734=A734)*($B$2:$B734=B734)*($D$2:$D734=D734))&gt;1,0,1)</f>
        <v>1</v>
      </c>
    </row>
    <row r="735" spans="1:16" x14ac:dyDescent="0.35">
      <c r="A735" t="s">
        <v>35</v>
      </c>
      <c r="B735">
        <v>2006</v>
      </c>
      <c r="C735" t="s">
        <v>91</v>
      </c>
      <c r="D735">
        <v>1.3</v>
      </c>
      <c r="E735">
        <f>INT(Table2[[#This Row],[Transect]])</f>
        <v>1</v>
      </c>
      <c r="F735" t="s">
        <v>3</v>
      </c>
      <c r="G735">
        <v>2</v>
      </c>
      <c r="H735">
        <v>122</v>
      </c>
      <c r="J735">
        <f>Table2[[#This Row],[Hits]]/Table2[[#This Row],[Points]]*100</f>
        <v>1.639344262295082</v>
      </c>
      <c r="K735">
        <f>VLOOKUP(Table2[[#This Row],[Site]],'Site Info'!$A$1:$C$11,2, FALSE)</f>
        <v>17</v>
      </c>
      <c r="L735">
        <f>VLOOKUP(Table2[[#This Row],[Site]],'Site Info'!$A$1:$C$11,3, FALSE)</f>
        <v>4</v>
      </c>
      <c r="M735" t="str">
        <f>VLOOKUP(Table2[[#This Row],[Species]],'Species Table'!$A$1:$D$68,3, FALSE)</f>
        <v>Perennial</v>
      </c>
      <c r="O735" s="15">
        <f>IF(SUMPRODUCT(($A$2:$A735=A735)*($B$2:$B735=B735)*($F$2:$F735=F735))&gt;1,0,1)</f>
        <v>0</v>
      </c>
      <c r="P735" s="15">
        <f>IF(SUMPRODUCT(($A$2:$A735=A735)*($B$2:$B735=B735)*($D$2:$D735=D735))&gt;1,0,1)</f>
        <v>0</v>
      </c>
    </row>
    <row r="736" spans="1:16" x14ac:dyDescent="0.35">
      <c r="A736" t="s">
        <v>35</v>
      </c>
      <c r="B736">
        <v>2006</v>
      </c>
      <c r="C736" t="s">
        <v>91</v>
      </c>
      <c r="D736">
        <v>1.3</v>
      </c>
      <c r="E736">
        <f>INT(Table2[[#This Row],[Transect]])</f>
        <v>1</v>
      </c>
      <c r="F736" t="s">
        <v>6</v>
      </c>
      <c r="G736">
        <v>19</v>
      </c>
      <c r="H736">
        <v>122</v>
      </c>
      <c r="J736">
        <f>Table2[[#This Row],[Hits]]/Table2[[#This Row],[Points]]*100</f>
        <v>15.573770491803279</v>
      </c>
      <c r="K736">
        <f>VLOOKUP(Table2[[#This Row],[Site]],'Site Info'!$A$1:$C$11,2, FALSE)</f>
        <v>17</v>
      </c>
      <c r="L736">
        <f>VLOOKUP(Table2[[#This Row],[Site]],'Site Info'!$A$1:$C$11,3, FALSE)</f>
        <v>4</v>
      </c>
      <c r="M736" t="str">
        <f>VLOOKUP(Table2[[#This Row],[Species]],'Species Table'!$A$1:$D$68,3, FALSE)</f>
        <v>Perennial</v>
      </c>
      <c r="O736" s="15">
        <f>IF(SUMPRODUCT(($A$2:$A736=A736)*($B$2:$B736=B736)*($F$2:$F736=F736))&gt;1,0,1)</f>
        <v>0</v>
      </c>
      <c r="P736" s="15">
        <f>IF(SUMPRODUCT(($A$2:$A736=A736)*($B$2:$B736=B736)*($D$2:$D736=D736))&gt;1,0,1)</f>
        <v>0</v>
      </c>
    </row>
    <row r="737" spans="1:16" hidden="1" x14ac:dyDescent="0.35">
      <c r="A737" t="s">
        <v>35</v>
      </c>
      <c r="B737">
        <v>2006</v>
      </c>
      <c r="C737" t="s">
        <v>43</v>
      </c>
      <c r="D737">
        <v>2.1</v>
      </c>
      <c r="E737">
        <f>INT(Table2[[#This Row],[Transect]])</f>
        <v>2</v>
      </c>
      <c r="F737" t="s">
        <v>10</v>
      </c>
      <c r="G737">
        <v>3</v>
      </c>
      <c r="H737">
        <v>200</v>
      </c>
      <c r="J737">
        <f>Table2[[#This Row],[Hits]]/Table2[[#This Row],[Points]]*100</f>
        <v>1.5</v>
      </c>
      <c r="K737">
        <f>VLOOKUP(Table2[[#This Row],[Site]],'Site Info'!$A$1:$C$11,2, FALSE)</f>
        <v>17</v>
      </c>
      <c r="L737">
        <f>VLOOKUP(Table2[[#This Row],[Site]],'Site Info'!$A$1:$C$11,3, FALSE)</f>
        <v>4</v>
      </c>
      <c r="M737" t="str">
        <f>VLOOKUP(Table2[[#This Row],[Species]],'Species Table'!$A$1:$D$68,3, FALSE)</f>
        <v>Annual</v>
      </c>
      <c r="O737" s="15">
        <f>IF(SUMPRODUCT(($A$2:$A737=A737)*($B$2:$B737=B737)*($F$2:$F737=F737))&gt;1,0,1)</f>
        <v>0</v>
      </c>
      <c r="P737" s="15">
        <f>IF(SUMPRODUCT(($A$2:$A737=A737)*($B$2:$B737=B737)*($D$2:$D737=D737))&gt;1,0,1)</f>
        <v>1</v>
      </c>
    </row>
    <row r="738" spans="1:16" x14ac:dyDescent="0.35">
      <c r="A738" t="s">
        <v>35</v>
      </c>
      <c r="B738">
        <v>2006</v>
      </c>
      <c r="C738" t="s">
        <v>43</v>
      </c>
      <c r="D738">
        <v>2.1</v>
      </c>
      <c r="E738">
        <f>INT(Table2[[#This Row],[Transect]])</f>
        <v>2</v>
      </c>
      <c r="F738" t="s">
        <v>3</v>
      </c>
      <c r="G738">
        <v>19</v>
      </c>
      <c r="H738">
        <v>200</v>
      </c>
      <c r="J738">
        <f>Table2[[#This Row],[Hits]]/Table2[[#This Row],[Points]]*100</f>
        <v>9.5</v>
      </c>
      <c r="K738">
        <f>VLOOKUP(Table2[[#This Row],[Site]],'Site Info'!$A$1:$C$11,2, FALSE)</f>
        <v>17</v>
      </c>
      <c r="L738">
        <f>VLOOKUP(Table2[[#This Row],[Site]],'Site Info'!$A$1:$C$11,3, FALSE)</f>
        <v>4</v>
      </c>
      <c r="M738" t="str">
        <f>VLOOKUP(Table2[[#This Row],[Species]],'Species Table'!$A$1:$D$68,3, FALSE)</f>
        <v>Perennial</v>
      </c>
      <c r="O738" s="15">
        <f>IF(SUMPRODUCT(($A$2:$A738=A738)*($B$2:$B738=B738)*($F$2:$F738=F738))&gt;1,0,1)</f>
        <v>0</v>
      </c>
      <c r="P738" s="15">
        <f>IF(SUMPRODUCT(($A$2:$A738=A738)*($B$2:$B738=B738)*($D$2:$D738=D738))&gt;1,0,1)</f>
        <v>0</v>
      </c>
    </row>
    <row r="739" spans="1:16" x14ac:dyDescent="0.35">
      <c r="A739" t="s">
        <v>35</v>
      </c>
      <c r="B739">
        <v>2006</v>
      </c>
      <c r="C739" t="s">
        <v>43</v>
      </c>
      <c r="D739">
        <v>2.1</v>
      </c>
      <c r="E739">
        <f>INT(Table2[[#This Row],[Transect]])</f>
        <v>2</v>
      </c>
      <c r="F739" t="s">
        <v>6</v>
      </c>
      <c r="G739">
        <v>1</v>
      </c>
      <c r="H739">
        <v>200</v>
      </c>
      <c r="J739">
        <f>Table2[[#This Row],[Hits]]/Table2[[#This Row],[Points]]*100</f>
        <v>0.5</v>
      </c>
      <c r="K739">
        <f>VLOOKUP(Table2[[#This Row],[Site]],'Site Info'!$A$1:$C$11,2, FALSE)</f>
        <v>17</v>
      </c>
      <c r="L739">
        <f>VLOOKUP(Table2[[#This Row],[Site]],'Site Info'!$A$1:$C$11,3, FALSE)</f>
        <v>4</v>
      </c>
      <c r="M739" t="str">
        <f>VLOOKUP(Table2[[#This Row],[Species]],'Species Table'!$A$1:$D$68,3, FALSE)</f>
        <v>Perennial</v>
      </c>
      <c r="O739" s="15">
        <f>IF(SUMPRODUCT(($A$2:$A739=A739)*($B$2:$B739=B739)*($F$2:$F739=F739))&gt;1,0,1)</f>
        <v>0</v>
      </c>
      <c r="P739" s="15">
        <f>IF(SUMPRODUCT(($A$2:$A739=A739)*($B$2:$B739=B739)*($D$2:$D739=D739))&gt;1,0,1)</f>
        <v>0</v>
      </c>
    </row>
    <row r="740" spans="1:16" hidden="1" x14ac:dyDescent="0.35">
      <c r="A740" t="s">
        <v>35</v>
      </c>
      <c r="B740">
        <v>2006</v>
      </c>
      <c r="C740" t="s">
        <v>44</v>
      </c>
      <c r="D740">
        <v>2.2000000000000002</v>
      </c>
      <c r="E740">
        <f>INT(Table2[[#This Row],[Transect]])</f>
        <v>2</v>
      </c>
      <c r="F740" t="s">
        <v>10</v>
      </c>
      <c r="G740">
        <v>10</v>
      </c>
      <c r="H740">
        <v>200</v>
      </c>
      <c r="J740">
        <f>Table2[[#This Row],[Hits]]/Table2[[#This Row],[Points]]*100</f>
        <v>5</v>
      </c>
      <c r="K740">
        <f>VLOOKUP(Table2[[#This Row],[Site]],'Site Info'!$A$1:$C$11,2, FALSE)</f>
        <v>17</v>
      </c>
      <c r="L740">
        <f>VLOOKUP(Table2[[#This Row],[Site]],'Site Info'!$A$1:$C$11,3, FALSE)</f>
        <v>4</v>
      </c>
      <c r="M740" t="str">
        <f>VLOOKUP(Table2[[#This Row],[Species]],'Species Table'!$A$1:$D$68,3, FALSE)</f>
        <v>Annual</v>
      </c>
      <c r="O740" s="15">
        <f>IF(SUMPRODUCT(($A$2:$A740=A740)*($B$2:$B740=B740)*($F$2:$F740=F740))&gt;1,0,1)</f>
        <v>0</v>
      </c>
      <c r="P740" s="15">
        <f>IF(SUMPRODUCT(($A$2:$A740=A740)*($B$2:$B740=B740)*($D$2:$D740=D740))&gt;1,0,1)</f>
        <v>1</v>
      </c>
    </row>
    <row r="741" spans="1:16" x14ac:dyDescent="0.35">
      <c r="A741" t="s">
        <v>35</v>
      </c>
      <c r="B741">
        <v>2006</v>
      </c>
      <c r="C741" t="s">
        <v>44</v>
      </c>
      <c r="D741">
        <v>2.2000000000000002</v>
      </c>
      <c r="E741">
        <f>INT(Table2[[#This Row],[Transect]])</f>
        <v>2</v>
      </c>
      <c r="F741" t="s">
        <v>3</v>
      </c>
      <c r="G741">
        <v>11</v>
      </c>
      <c r="H741">
        <v>200</v>
      </c>
      <c r="J741">
        <f>Table2[[#This Row],[Hits]]/Table2[[#This Row],[Points]]*100</f>
        <v>5.5</v>
      </c>
      <c r="K741">
        <f>VLOOKUP(Table2[[#This Row],[Site]],'Site Info'!$A$1:$C$11,2, FALSE)</f>
        <v>17</v>
      </c>
      <c r="L741">
        <f>VLOOKUP(Table2[[#This Row],[Site]],'Site Info'!$A$1:$C$11,3, FALSE)</f>
        <v>4</v>
      </c>
      <c r="M741" t="str">
        <f>VLOOKUP(Table2[[#This Row],[Species]],'Species Table'!$A$1:$D$68,3, FALSE)</f>
        <v>Perennial</v>
      </c>
      <c r="O741" s="15">
        <f>IF(SUMPRODUCT(($A$2:$A741=A741)*($B$2:$B741=B741)*($F$2:$F741=F741))&gt;1,0,1)</f>
        <v>0</v>
      </c>
      <c r="P741" s="15">
        <f>IF(SUMPRODUCT(($A$2:$A741=A741)*($B$2:$B741=B741)*($D$2:$D741=D741))&gt;1,0,1)</f>
        <v>0</v>
      </c>
    </row>
    <row r="742" spans="1:16" hidden="1" x14ac:dyDescent="0.35">
      <c r="A742" t="s">
        <v>35</v>
      </c>
      <c r="B742">
        <v>2006</v>
      </c>
      <c r="C742" t="s">
        <v>45</v>
      </c>
      <c r="D742">
        <v>2.2999999999999998</v>
      </c>
      <c r="E742">
        <f>INT(Table2[[#This Row],[Transect]])</f>
        <v>2</v>
      </c>
      <c r="F742" t="s">
        <v>10</v>
      </c>
      <c r="G742">
        <v>8</v>
      </c>
      <c r="H742">
        <v>200</v>
      </c>
      <c r="J742">
        <f>Table2[[#This Row],[Hits]]/Table2[[#This Row],[Points]]*100</f>
        <v>4</v>
      </c>
      <c r="K742">
        <f>VLOOKUP(Table2[[#This Row],[Site]],'Site Info'!$A$1:$C$11,2, FALSE)</f>
        <v>17</v>
      </c>
      <c r="L742">
        <f>VLOOKUP(Table2[[#This Row],[Site]],'Site Info'!$A$1:$C$11,3, FALSE)</f>
        <v>4</v>
      </c>
      <c r="M742" t="str">
        <f>VLOOKUP(Table2[[#This Row],[Species]],'Species Table'!$A$1:$D$68,3, FALSE)</f>
        <v>Annual</v>
      </c>
      <c r="O742" s="15">
        <f>IF(SUMPRODUCT(($A$2:$A742=A742)*($B$2:$B742=B742)*($F$2:$F742=F742))&gt;1,0,1)</f>
        <v>0</v>
      </c>
      <c r="P742" s="15">
        <f>IF(SUMPRODUCT(($A$2:$A742=A742)*($B$2:$B742=B742)*($D$2:$D742=D742))&gt;1,0,1)</f>
        <v>1</v>
      </c>
    </row>
    <row r="743" spans="1:16" x14ac:dyDescent="0.35">
      <c r="A743" t="s">
        <v>35</v>
      </c>
      <c r="B743">
        <v>2006</v>
      </c>
      <c r="C743" t="s">
        <v>45</v>
      </c>
      <c r="D743">
        <v>2.2999999999999998</v>
      </c>
      <c r="E743">
        <f>INT(Table2[[#This Row],[Transect]])</f>
        <v>2</v>
      </c>
      <c r="F743" t="s">
        <v>3</v>
      </c>
      <c r="G743">
        <v>18</v>
      </c>
      <c r="H743">
        <v>200</v>
      </c>
      <c r="J743">
        <f>Table2[[#This Row],[Hits]]/Table2[[#This Row],[Points]]*100</f>
        <v>9</v>
      </c>
      <c r="K743">
        <f>VLOOKUP(Table2[[#This Row],[Site]],'Site Info'!$A$1:$C$11,2, FALSE)</f>
        <v>17</v>
      </c>
      <c r="L743">
        <f>VLOOKUP(Table2[[#This Row],[Site]],'Site Info'!$A$1:$C$11,3, FALSE)</f>
        <v>4</v>
      </c>
      <c r="M743" t="str">
        <f>VLOOKUP(Table2[[#This Row],[Species]],'Species Table'!$A$1:$D$68,3, FALSE)</f>
        <v>Perennial</v>
      </c>
      <c r="O743" s="15">
        <f>IF(SUMPRODUCT(($A$2:$A743=A743)*($B$2:$B743=B743)*($F$2:$F743=F743))&gt;1,0,1)</f>
        <v>0</v>
      </c>
      <c r="P743" s="15">
        <f>IF(SUMPRODUCT(($A$2:$A743=A743)*($B$2:$B743=B743)*($D$2:$D743=D743))&gt;1,0,1)</f>
        <v>0</v>
      </c>
    </row>
    <row r="744" spans="1:16" x14ac:dyDescent="0.35">
      <c r="A744" t="s">
        <v>35</v>
      </c>
      <c r="B744">
        <v>2006</v>
      </c>
      <c r="C744" t="s">
        <v>45</v>
      </c>
      <c r="D744">
        <v>2.2999999999999998</v>
      </c>
      <c r="E744">
        <f>INT(Table2[[#This Row],[Transect]])</f>
        <v>2</v>
      </c>
      <c r="F744" t="s">
        <v>6</v>
      </c>
      <c r="G744">
        <v>2</v>
      </c>
      <c r="H744">
        <v>200</v>
      </c>
      <c r="J744">
        <f>Table2[[#This Row],[Hits]]/Table2[[#This Row],[Points]]*100</f>
        <v>1</v>
      </c>
      <c r="K744">
        <f>VLOOKUP(Table2[[#This Row],[Site]],'Site Info'!$A$1:$C$11,2, FALSE)</f>
        <v>17</v>
      </c>
      <c r="L744">
        <f>VLOOKUP(Table2[[#This Row],[Site]],'Site Info'!$A$1:$C$11,3, FALSE)</f>
        <v>4</v>
      </c>
      <c r="M744" t="str">
        <f>VLOOKUP(Table2[[#This Row],[Species]],'Species Table'!$A$1:$D$68,3, FALSE)</f>
        <v>Perennial</v>
      </c>
      <c r="O744" s="15">
        <f>IF(SUMPRODUCT(($A$2:$A744=A744)*($B$2:$B744=B744)*($F$2:$F744=F744))&gt;1,0,1)</f>
        <v>0</v>
      </c>
      <c r="P744" s="15">
        <f>IF(SUMPRODUCT(($A$2:$A744=A744)*($B$2:$B744=B744)*($D$2:$D744=D744))&gt;1,0,1)</f>
        <v>0</v>
      </c>
    </row>
    <row r="745" spans="1:16" hidden="1" x14ac:dyDescent="0.35">
      <c r="A745" t="s">
        <v>35</v>
      </c>
      <c r="B745">
        <v>2006</v>
      </c>
      <c r="C745" t="s">
        <v>92</v>
      </c>
      <c r="D745">
        <v>2.4</v>
      </c>
      <c r="E745">
        <f>INT(Table2[[#This Row],[Transect]])</f>
        <v>2</v>
      </c>
      <c r="F745" t="s">
        <v>10</v>
      </c>
      <c r="G745">
        <v>4</v>
      </c>
      <c r="H745">
        <v>72</v>
      </c>
      <c r="J745">
        <f>Table2[[#This Row],[Hits]]/Table2[[#This Row],[Points]]*100</f>
        <v>5.5555555555555554</v>
      </c>
      <c r="K745">
        <f>VLOOKUP(Table2[[#This Row],[Site]],'Site Info'!$A$1:$C$11,2, FALSE)</f>
        <v>17</v>
      </c>
      <c r="L745">
        <f>VLOOKUP(Table2[[#This Row],[Site]],'Site Info'!$A$1:$C$11,3, FALSE)</f>
        <v>4</v>
      </c>
      <c r="M745" t="str">
        <f>VLOOKUP(Table2[[#This Row],[Species]],'Species Table'!$A$1:$D$68,3, FALSE)</f>
        <v>Annual</v>
      </c>
      <c r="O745" s="15">
        <f>IF(SUMPRODUCT(($A$2:$A745=A745)*($B$2:$B745=B745)*($F$2:$F745=F745))&gt;1,0,1)</f>
        <v>0</v>
      </c>
      <c r="P745" s="15">
        <f>IF(SUMPRODUCT(($A$2:$A745=A745)*($B$2:$B745=B745)*($D$2:$D745=D745))&gt;1,0,1)</f>
        <v>1</v>
      </c>
    </row>
    <row r="746" spans="1:16" x14ac:dyDescent="0.35">
      <c r="A746" t="s">
        <v>35</v>
      </c>
      <c r="B746">
        <v>2006</v>
      </c>
      <c r="C746" t="s">
        <v>92</v>
      </c>
      <c r="D746">
        <v>2.4</v>
      </c>
      <c r="E746">
        <f>INT(Table2[[#This Row],[Transect]])</f>
        <v>2</v>
      </c>
      <c r="F746" t="s">
        <v>12</v>
      </c>
      <c r="G746">
        <v>1</v>
      </c>
      <c r="H746">
        <v>72</v>
      </c>
      <c r="J746">
        <f>Table2[[#This Row],[Hits]]/Table2[[#This Row],[Points]]*100</f>
        <v>1.3888888888888888</v>
      </c>
      <c r="K746">
        <f>VLOOKUP(Table2[[#This Row],[Site]],'Site Info'!$A$1:$C$11,2, FALSE)</f>
        <v>17</v>
      </c>
      <c r="L746">
        <f>VLOOKUP(Table2[[#This Row],[Site]],'Site Info'!$A$1:$C$11,3, FALSE)</f>
        <v>4</v>
      </c>
      <c r="M746" t="str">
        <f>VLOOKUP(Table2[[#This Row],[Species]],'Species Table'!$A$1:$D$68,3, FALSE)</f>
        <v>Perennial</v>
      </c>
      <c r="O746" s="15">
        <f>IF(SUMPRODUCT(($A$2:$A746=A746)*($B$2:$B746=B746)*($F$2:$F746=F746))&gt;1,0,1)</f>
        <v>1</v>
      </c>
      <c r="P746" s="15">
        <f>IF(SUMPRODUCT(($A$2:$A746=A746)*($B$2:$B746=B746)*($D$2:$D746=D746))&gt;1,0,1)</f>
        <v>0</v>
      </c>
    </row>
    <row r="747" spans="1:16" x14ac:dyDescent="0.35">
      <c r="A747" t="s">
        <v>35</v>
      </c>
      <c r="B747">
        <v>2006</v>
      </c>
      <c r="C747" t="s">
        <v>92</v>
      </c>
      <c r="D747">
        <v>2.4</v>
      </c>
      <c r="E747">
        <f>INT(Table2[[#This Row],[Transect]])</f>
        <v>2</v>
      </c>
      <c r="F747" t="s">
        <v>3</v>
      </c>
      <c r="G747">
        <v>1</v>
      </c>
      <c r="H747">
        <v>72</v>
      </c>
      <c r="J747">
        <f>Table2[[#This Row],[Hits]]/Table2[[#This Row],[Points]]*100</f>
        <v>1.3888888888888888</v>
      </c>
      <c r="K747">
        <f>VLOOKUP(Table2[[#This Row],[Site]],'Site Info'!$A$1:$C$11,2, FALSE)</f>
        <v>17</v>
      </c>
      <c r="L747">
        <f>VLOOKUP(Table2[[#This Row],[Site]],'Site Info'!$A$1:$C$11,3, FALSE)</f>
        <v>4</v>
      </c>
      <c r="M747" t="str">
        <f>VLOOKUP(Table2[[#This Row],[Species]],'Species Table'!$A$1:$D$68,3, FALSE)</f>
        <v>Perennial</v>
      </c>
      <c r="O747" s="15">
        <f>IF(SUMPRODUCT(($A$2:$A747=A747)*($B$2:$B747=B747)*($F$2:$F747=F747))&gt;1,0,1)</f>
        <v>0</v>
      </c>
      <c r="P747" s="15">
        <f>IF(SUMPRODUCT(($A$2:$A747=A747)*($B$2:$B747=B747)*($D$2:$D747=D747))&gt;1,0,1)</f>
        <v>0</v>
      </c>
    </row>
    <row r="748" spans="1:16" hidden="1" x14ac:dyDescent="0.35">
      <c r="A748" t="s">
        <v>35</v>
      </c>
      <c r="B748">
        <v>2006</v>
      </c>
      <c r="C748" t="s">
        <v>50</v>
      </c>
      <c r="D748">
        <v>3.1</v>
      </c>
      <c r="E748">
        <f>INT(Table2[[#This Row],[Transect]])</f>
        <v>3</v>
      </c>
      <c r="F748" t="s">
        <v>10</v>
      </c>
      <c r="G748">
        <v>1</v>
      </c>
      <c r="H748">
        <v>200</v>
      </c>
      <c r="J748">
        <f>Table2[[#This Row],[Hits]]/Table2[[#This Row],[Points]]*100</f>
        <v>0.5</v>
      </c>
      <c r="K748">
        <f>VLOOKUP(Table2[[#This Row],[Site]],'Site Info'!$A$1:$C$11,2, FALSE)</f>
        <v>17</v>
      </c>
      <c r="L748">
        <f>VLOOKUP(Table2[[#This Row],[Site]],'Site Info'!$A$1:$C$11,3, FALSE)</f>
        <v>4</v>
      </c>
      <c r="M748" t="str">
        <f>VLOOKUP(Table2[[#This Row],[Species]],'Species Table'!$A$1:$D$68,3, FALSE)</f>
        <v>Annual</v>
      </c>
      <c r="O748" s="15">
        <f>IF(SUMPRODUCT(($A$2:$A748=A748)*($B$2:$B748=B748)*($F$2:$F748=F748))&gt;1,0,1)</f>
        <v>0</v>
      </c>
      <c r="P748" s="15">
        <f>IF(SUMPRODUCT(($A$2:$A748=A748)*($B$2:$B748=B748)*($D$2:$D748=D748))&gt;1,0,1)</f>
        <v>1</v>
      </c>
    </row>
    <row r="749" spans="1:16" x14ac:dyDescent="0.35">
      <c r="A749" t="s">
        <v>35</v>
      </c>
      <c r="B749">
        <v>2006</v>
      </c>
      <c r="C749" t="s">
        <v>50</v>
      </c>
      <c r="D749">
        <v>3.1</v>
      </c>
      <c r="E749">
        <f>INT(Table2[[#This Row],[Transect]])</f>
        <v>3</v>
      </c>
      <c r="F749" t="s">
        <v>3</v>
      </c>
      <c r="G749">
        <v>50</v>
      </c>
      <c r="H749">
        <v>200</v>
      </c>
      <c r="J749">
        <f>Table2[[#This Row],[Hits]]/Table2[[#This Row],[Points]]*100</f>
        <v>25</v>
      </c>
      <c r="K749">
        <f>VLOOKUP(Table2[[#This Row],[Site]],'Site Info'!$A$1:$C$11,2, FALSE)</f>
        <v>17</v>
      </c>
      <c r="L749">
        <f>VLOOKUP(Table2[[#This Row],[Site]],'Site Info'!$A$1:$C$11,3, FALSE)</f>
        <v>4</v>
      </c>
      <c r="M749" t="str">
        <f>VLOOKUP(Table2[[#This Row],[Species]],'Species Table'!$A$1:$D$68,3, FALSE)</f>
        <v>Perennial</v>
      </c>
      <c r="O749" s="15">
        <f>IF(SUMPRODUCT(($A$2:$A749=A749)*($B$2:$B749=B749)*($F$2:$F749=F749))&gt;1,0,1)</f>
        <v>0</v>
      </c>
      <c r="P749" s="15">
        <f>IF(SUMPRODUCT(($A$2:$A749=A749)*($B$2:$B749=B749)*($D$2:$D749=D749))&gt;1,0,1)</f>
        <v>0</v>
      </c>
    </row>
    <row r="750" spans="1:16" x14ac:dyDescent="0.35">
      <c r="A750" t="s">
        <v>35</v>
      </c>
      <c r="B750">
        <v>2006</v>
      </c>
      <c r="C750" t="s">
        <v>51</v>
      </c>
      <c r="D750">
        <v>3.2</v>
      </c>
      <c r="E750">
        <f>INT(Table2[[#This Row],[Transect]])</f>
        <v>3</v>
      </c>
      <c r="F750" t="s">
        <v>3</v>
      </c>
      <c r="G750">
        <v>37</v>
      </c>
      <c r="H750">
        <v>200</v>
      </c>
      <c r="J750">
        <f>Table2[[#This Row],[Hits]]/Table2[[#This Row],[Points]]*100</f>
        <v>18.5</v>
      </c>
      <c r="K750">
        <f>VLOOKUP(Table2[[#This Row],[Site]],'Site Info'!$A$1:$C$11,2, FALSE)</f>
        <v>17</v>
      </c>
      <c r="L750">
        <f>VLOOKUP(Table2[[#This Row],[Site]],'Site Info'!$A$1:$C$11,3, FALSE)</f>
        <v>4</v>
      </c>
      <c r="M750" t="str">
        <f>VLOOKUP(Table2[[#This Row],[Species]],'Species Table'!$A$1:$D$68,3, FALSE)</f>
        <v>Perennial</v>
      </c>
      <c r="O750" s="15">
        <f>IF(SUMPRODUCT(($A$2:$A750=A750)*($B$2:$B750=B750)*($F$2:$F750=F750))&gt;1,0,1)</f>
        <v>0</v>
      </c>
      <c r="P750" s="15">
        <f>IF(SUMPRODUCT(($A$2:$A750=A750)*($B$2:$B750=B750)*($D$2:$D750=D750))&gt;1,0,1)</f>
        <v>1</v>
      </c>
    </row>
    <row r="751" spans="1:16" x14ac:dyDescent="0.35">
      <c r="A751" t="s">
        <v>35</v>
      </c>
      <c r="B751">
        <v>2006</v>
      </c>
      <c r="C751" t="s">
        <v>52</v>
      </c>
      <c r="D751">
        <v>3.3</v>
      </c>
      <c r="E751">
        <f>INT(Table2[[#This Row],[Transect]])</f>
        <v>3</v>
      </c>
      <c r="F751" t="s">
        <v>3</v>
      </c>
      <c r="G751">
        <v>32</v>
      </c>
      <c r="H751">
        <v>200</v>
      </c>
      <c r="J751">
        <f>Table2[[#This Row],[Hits]]/Table2[[#This Row],[Points]]*100</f>
        <v>16</v>
      </c>
      <c r="K751">
        <f>VLOOKUP(Table2[[#This Row],[Site]],'Site Info'!$A$1:$C$11,2, FALSE)</f>
        <v>17</v>
      </c>
      <c r="L751">
        <f>VLOOKUP(Table2[[#This Row],[Site]],'Site Info'!$A$1:$C$11,3, FALSE)</f>
        <v>4</v>
      </c>
      <c r="M751" t="str">
        <f>VLOOKUP(Table2[[#This Row],[Species]],'Species Table'!$A$1:$D$68,3, FALSE)</f>
        <v>Perennial</v>
      </c>
      <c r="O751" s="15">
        <f>IF(SUMPRODUCT(($A$2:$A751=A751)*($B$2:$B751=B751)*($F$2:$F751=F751))&gt;1,0,1)</f>
        <v>0</v>
      </c>
      <c r="P751" s="15">
        <f>IF(SUMPRODUCT(($A$2:$A751=A751)*($B$2:$B751=B751)*($D$2:$D751=D751))&gt;1,0,1)</f>
        <v>1</v>
      </c>
    </row>
    <row r="752" spans="1:16" hidden="1" x14ac:dyDescent="0.35">
      <c r="A752" t="s">
        <v>35</v>
      </c>
      <c r="B752">
        <v>2006</v>
      </c>
      <c r="C752" t="s">
        <v>93</v>
      </c>
      <c r="D752">
        <v>3.4</v>
      </c>
      <c r="E752">
        <f>INT(Table2[[#This Row],[Transect]])</f>
        <v>3</v>
      </c>
      <c r="F752" t="s">
        <v>10</v>
      </c>
      <c r="G752">
        <v>2</v>
      </c>
      <c r="H752">
        <v>23</v>
      </c>
      <c r="J752">
        <f>Table2[[#This Row],[Hits]]/Table2[[#This Row],[Points]]*100</f>
        <v>8.695652173913043</v>
      </c>
      <c r="K752">
        <f>VLOOKUP(Table2[[#This Row],[Site]],'Site Info'!$A$1:$C$11,2, FALSE)</f>
        <v>17</v>
      </c>
      <c r="L752">
        <f>VLOOKUP(Table2[[#This Row],[Site]],'Site Info'!$A$1:$C$11,3, FALSE)</f>
        <v>4</v>
      </c>
      <c r="M752" t="str">
        <f>VLOOKUP(Table2[[#This Row],[Species]],'Species Table'!$A$1:$D$68,3, FALSE)</f>
        <v>Annual</v>
      </c>
      <c r="O752" s="15">
        <f>IF(SUMPRODUCT(($A$2:$A752=A752)*($B$2:$B752=B752)*($F$2:$F752=F752))&gt;1,0,1)</f>
        <v>0</v>
      </c>
      <c r="P752" s="15">
        <f>IF(SUMPRODUCT(($A$2:$A752=A752)*($B$2:$B752=B752)*($D$2:$D752=D752))&gt;1,0,1)</f>
        <v>1</v>
      </c>
    </row>
    <row r="753" spans="1:16" x14ac:dyDescent="0.35">
      <c r="A753" t="s">
        <v>35</v>
      </c>
      <c r="B753">
        <v>2006</v>
      </c>
      <c r="C753" t="s">
        <v>93</v>
      </c>
      <c r="D753">
        <v>3.4</v>
      </c>
      <c r="E753">
        <f>INT(Table2[[#This Row],[Transect]])</f>
        <v>3</v>
      </c>
      <c r="F753" t="s">
        <v>3</v>
      </c>
      <c r="G753">
        <v>4</v>
      </c>
      <c r="H753">
        <v>23</v>
      </c>
      <c r="J753">
        <f>Table2[[#This Row],[Hits]]/Table2[[#This Row],[Points]]*100</f>
        <v>17.391304347826086</v>
      </c>
      <c r="K753">
        <f>VLOOKUP(Table2[[#This Row],[Site]],'Site Info'!$A$1:$C$11,2, FALSE)</f>
        <v>17</v>
      </c>
      <c r="L753">
        <f>VLOOKUP(Table2[[#This Row],[Site]],'Site Info'!$A$1:$C$11,3, FALSE)</f>
        <v>4</v>
      </c>
      <c r="M753" t="str">
        <f>VLOOKUP(Table2[[#This Row],[Species]],'Species Table'!$A$1:$D$68,3, FALSE)</f>
        <v>Perennial</v>
      </c>
      <c r="O753" s="15">
        <f>IF(SUMPRODUCT(($A$2:$A753=A753)*($B$2:$B753=B753)*($F$2:$F753=F753))&gt;1,0,1)</f>
        <v>0</v>
      </c>
      <c r="P753" s="15">
        <f>IF(SUMPRODUCT(($A$2:$A753=A753)*($B$2:$B753=B753)*($D$2:$D753=D753))&gt;1,0,1)</f>
        <v>0</v>
      </c>
    </row>
    <row r="754" spans="1:16" x14ac:dyDescent="0.35">
      <c r="A754" t="s">
        <v>35</v>
      </c>
      <c r="B754">
        <v>2006</v>
      </c>
      <c r="C754" t="s">
        <v>55</v>
      </c>
      <c r="D754">
        <v>4.0999999999999996</v>
      </c>
      <c r="E754">
        <f>INT(Table2[[#This Row],[Transect]])</f>
        <v>4</v>
      </c>
      <c r="F754" t="s">
        <v>3</v>
      </c>
      <c r="G754">
        <v>37</v>
      </c>
      <c r="H754">
        <v>200</v>
      </c>
      <c r="J754">
        <f>Table2[[#This Row],[Hits]]/Table2[[#This Row],[Points]]*100</f>
        <v>18.5</v>
      </c>
      <c r="K754">
        <f>VLOOKUP(Table2[[#This Row],[Site]],'Site Info'!$A$1:$C$11,2, FALSE)</f>
        <v>17</v>
      </c>
      <c r="L754">
        <f>VLOOKUP(Table2[[#This Row],[Site]],'Site Info'!$A$1:$C$11,3, FALSE)</f>
        <v>4</v>
      </c>
      <c r="M754" t="str">
        <f>VLOOKUP(Table2[[#This Row],[Species]],'Species Table'!$A$1:$D$68,3, FALSE)</f>
        <v>Perennial</v>
      </c>
      <c r="O754" s="15">
        <f>IF(SUMPRODUCT(($A$2:$A754=A754)*($B$2:$B754=B754)*($F$2:$F754=F754))&gt;1,0,1)</f>
        <v>0</v>
      </c>
      <c r="P754" s="15">
        <f>IF(SUMPRODUCT(($A$2:$A754=A754)*($B$2:$B754=B754)*($D$2:$D754=D754))&gt;1,0,1)</f>
        <v>1</v>
      </c>
    </row>
    <row r="755" spans="1:16" x14ac:dyDescent="0.35">
      <c r="A755" t="s">
        <v>35</v>
      </c>
      <c r="B755">
        <v>2006</v>
      </c>
      <c r="C755" t="s">
        <v>56</v>
      </c>
      <c r="D755">
        <v>4.2</v>
      </c>
      <c r="E755">
        <f>INT(Table2[[#This Row],[Transect]])</f>
        <v>4</v>
      </c>
      <c r="F755" t="s">
        <v>3</v>
      </c>
      <c r="G755">
        <v>38</v>
      </c>
      <c r="H755">
        <v>200</v>
      </c>
      <c r="J755">
        <f>Table2[[#This Row],[Hits]]/Table2[[#This Row],[Points]]*100</f>
        <v>19</v>
      </c>
      <c r="K755">
        <f>VLOOKUP(Table2[[#This Row],[Site]],'Site Info'!$A$1:$C$11,2, FALSE)</f>
        <v>17</v>
      </c>
      <c r="L755">
        <f>VLOOKUP(Table2[[#This Row],[Site]],'Site Info'!$A$1:$C$11,3, FALSE)</f>
        <v>4</v>
      </c>
      <c r="M755" t="str">
        <f>VLOOKUP(Table2[[#This Row],[Species]],'Species Table'!$A$1:$D$68,3, FALSE)</f>
        <v>Perennial</v>
      </c>
      <c r="O755" s="15">
        <f>IF(SUMPRODUCT(($A$2:$A755=A755)*($B$2:$B755=B755)*($F$2:$F755=F755))&gt;1,0,1)</f>
        <v>0</v>
      </c>
      <c r="P755" s="15">
        <f>IF(SUMPRODUCT(($A$2:$A755=A755)*($B$2:$B755=B755)*($D$2:$D755=D755))&gt;1,0,1)</f>
        <v>1</v>
      </c>
    </row>
    <row r="756" spans="1:16" x14ac:dyDescent="0.35">
      <c r="A756" t="s">
        <v>35</v>
      </c>
      <c r="B756">
        <v>2006</v>
      </c>
      <c r="C756" t="s">
        <v>94</v>
      </c>
      <c r="D756">
        <v>4.3</v>
      </c>
      <c r="E756">
        <f>INT(Table2[[#This Row],[Transect]])</f>
        <v>4</v>
      </c>
      <c r="F756" t="s">
        <v>12</v>
      </c>
      <c r="G756">
        <v>6</v>
      </c>
      <c r="H756">
        <v>171</v>
      </c>
      <c r="J756">
        <f>Table2[[#This Row],[Hits]]/Table2[[#This Row],[Points]]*100</f>
        <v>3.5087719298245612</v>
      </c>
      <c r="K756">
        <f>VLOOKUP(Table2[[#This Row],[Site]],'Site Info'!$A$1:$C$11,2, FALSE)</f>
        <v>17</v>
      </c>
      <c r="L756">
        <f>VLOOKUP(Table2[[#This Row],[Site]],'Site Info'!$A$1:$C$11,3, FALSE)</f>
        <v>4</v>
      </c>
      <c r="M756" t="str">
        <f>VLOOKUP(Table2[[#This Row],[Species]],'Species Table'!$A$1:$D$68,3, FALSE)</f>
        <v>Perennial</v>
      </c>
      <c r="O756" s="15">
        <f>IF(SUMPRODUCT(($A$2:$A756=A756)*($B$2:$B756=B756)*($F$2:$F756=F756))&gt;1,0,1)</f>
        <v>0</v>
      </c>
      <c r="P756" s="15">
        <f>IF(SUMPRODUCT(($A$2:$A756=A756)*($B$2:$B756=B756)*($D$2:$D756=D756))&gt;1,0,1)</f>
        <v>1</v>
      </c>
    </row>
    <row r="757" spans="1:16" x14ac:dyDescent="0.35">
      <c r="A757" t="s">
        <v>35</v>
      </c>
      <c r="B757">
        <v>2006</v>
      </c>
      <c r="C757" t="s">
        <v>94</v>
      </c>
      <c r="D757">
        <v>4.3</v>
      </c>
      <c r="E757">
        <f>INT(Table2[[#This Row],[Transect]])</f>
        <v>4</v>
      </c>
      <c r="F757" t="s">
        <v>3</v>
      </c>
      <c r="G757">
        <v>20</v>
      </c>
      <c r="H757">
        <v>171</v>
      </c>
      <c r="J757">
        <f>Table2[[#This Row],[Hits]]/Table2[[#This Row],[Points]]*100</f>
        <v>11.695906432748536</v>
      </c>
      <c r="K757">
        <f>VLOOKUP(Table2[[#This Row],[Site]],'Site Info'!$A$1:$C$11,2, FALSE)</f>
        <v>17</v>
      </c>
      <c r="L757">
        <f>VLOOKUP(Table2[[#This Row],[Site]],'Site Info'!$A$1:$C$11,3, FALSE)</f>
        <v>4</v>
      </c>
      <c r="M757" t="str">
        <f>VLOOKUP(Table2[[#This Row],[Species]],'Species Table'!$A$1:$D$68,3, FALSE)</f>
        <v>Perennial</v>
      </c>
      <c r="O757" s="15">
        <f>IF(SUMPRODUCT(($A$2:$A757=A757)*($B$2:$B757=B757)*($F$2:$F757=F757))&gt;1,0,1)</f>
        <v>0</v>
      </c>
      <c r="P757" s="15">
        <f>IF(SUMPRODUCT(($A$2:$A757=A757)*($B$2:$B757=B757)*($D$2:$D757=D757))&gt;1,0,1)</f>
        <v>0</v>
      </c>
    </row>
    <row r="758" spans="1:16" x14ac:dyDescent="0.35">
      <c r="A758" t="s">
        <v>35</v>
      </c>
      <c r="B758">
        <v>2006</v>
      </c>
      <c r="C758" t="s">
        <v>62</v>
      </c>
      <c r="D758">
        <v>5.0999999999999996</v>
      </c>
      <c r="E758">
        <f>INT(Table2[[#This Row],[Transect]])</f>
        <v>5</v>
      </c>
      <c r="F758" t="s">
        <v>3</v>
      </c>
      <c r="G758">
        <v>58</v>
      </c>
      <c r="H758">
        <v>200</v>
      </c>
      <c r="J758">
        <f>Table2[[#This Row],[Hits]]/Table2[[#This Row],[Points]]*100</f>
        <v>28.999999999999996</v>
      </c>
      <c r="K758">
        <f>VLOOKUP(Table2[[#This Row],[Site]],'Site Info'!$A$1:$C$11,2, FALSE)</f>
        <v>17</v>
      </c>
      <c r="L758">
        <f>VLOOKUP(Table2[[#This Row],[Site]],'Site Info'!$A$1:$C$11,3, FALSE)</f>
        <v>4</v>
      </c>
      <c r="M758" t="str">
        <f>VLOOKUP(Table2[[#This Row],[Species]],'Species Table'!$A$1:$D$68,3, FALSE)</f>
        <v>Perennial</v>
      </c>
      <c r="O758" s="15">
        <f>IF(SUMPRODUCT(($A$2:$A758=A758)*($B$2:$B758=B758)*($F$2:$F758=F758))&gt;1,0,1)</f>
        <v>0</v>
      </c>
      <c r="P758" s="15">
        <f>IF(SUMPRODUCT(($A$2:$A758=A758)*($B$2:$B758=B758)*($D$2:$D758=D758))&gt;1,0,1)</f>
        <v>1</v>
      </c>
    </row>
    <row r="759" spans="1:16" x14ac:dyDescent="0.35">
      <c r="A759" t="s">
        <v>35</v>
      </c>
      <c r="B759">
        <v>2006</v>
      </c>
      <c r="C759" t="s">
        <v>63</v>
      </c>
      <c r="D759">
        <v>5.2</v>
      </c>
      <c r="E759">
        <f>INT(Table2[[#This Row],[Transect]])</f>
        <v>5</v>
      </c>
      <c r="F759" t="s">
        <v>12</v>
      </c>
      <c r="G759">
        <v>12</v>
      </c>
      <c r="H759">
        <v>200</v>
      </c>
      <c r="J759">
        <f>Table2[[#This Row],[Hits]]/Table2[[#This Row],[Points]]*100</f>
        <v>6</v>
      </c>
      <c r="K759">
        <f>VLOOKUP(Table2[[#This Row],[Site]],'Site Info'!$A$1:$C$11,2, FALSE)</f>
        <v>17</v>
      </c>
      <c r="L759">
        <f>VLOOKUP(Table2[[#This Row],[Site]],'Site Info'!$A$1:$C$11,3, FALSE)</f>
        <v>4</v>
      </c>
      <c r="M759" t="str">
        <f>VLOOKUP(Table2[[#This Row],[Species]],'Species Table'!$A$1:$D$68,3, FALSE)</f>
        <v>Perennial</v>
      </c>
      <c r="O759" s="15">
        <f>IF(SUMPRODUCT(($A$2:$A759=A759)*($B$2:$B759=B759)*($F$2:$F759=F759))&gt;1,0,1)</f>
        <v>0</v>
      </c>
      <c r="P759" s="15">
        <f>IF(SUMPRODUCT(($A$2:$A759=A759)*($B$2:$B759=B759)*($D$2:$D759=D759))&gt;1,0,1)</f>
        <v>1</v>
      </c>
    </row>
    <row r="760" spans="1:16" x14ac:dyDescent="0.35">
      <c r="A760" t="s">
        <v>35</v>
      </c>
      <c r="B760">
        <v>2006</v>
      </c>
      <c r="C760" t="s">
        <v>63</v>
      </c>
      <c r="D760">
        <v>5.2</v>
      </c>
      <c r="E760">
        <f>INT(Table2[[#This Row],[Transect]])</f>
        <v>5</v>
      </c>
      <c r="F760" t="s">
        <v>3</v>
      </c>
      <c r="G760">
        <v>28</v>
      </c>
      <c r="H760">
        <v>200</v>
      </c>
      <c r="J760">
        <f>Table2[[#This Row],[Hits]]/Table2[[#This Row],[Points]]*100</f>
        <v>14.000000000000002</v>
      </c>
      <c r="K760">
        <f>VLOOKUP(Table2[[#This Row],[Site]],'Site Info'!$A$1:$C$11,2, FALSE)</f>
        <v>17</v>
      </c>
      <c r="L760">
        <f>VLOOKUP(Table2[[#This Row],[Site]],'Site Info'!$A$1:$C$11,3, FALSE)</f>
        <v>4</v>
      </c>
      <c r="M760" t="str">
        <f>VLOOKUP(Table2[[#This Row],[Species]],'Species Table'!$A$1:$D$68,3, FALSE)</f>
        <v>Perennial</v>
      </c>
      <c r="O760" s="15">
        <f>IF(SUMPRODUCT(($A$2:$A760=A760)*($B$2:$B760=B760)*($F$2:$F760=F760))&gt;1,0,1)</f>
        <v>0</v>
      </c>
      <c r="P760" s="15">
        <f>IF(SUMPRODUCT(($A$2:$A760=A760)*($B$2:$B760=B760)*($D$2:$D760=D760))&gt;1,0,1)</f>
        <v>0</v>
      </c>
    </row>
    <row r="761" spans="1:16" x14ac:dyDescent="0.35">
      <c r="A761" t="s">
        <v>35</v>
      </c>
      <c r="B761">
        <v>2006</v>
      </c>
      <c r="C761" t="s">
        <v>95</v>
      </c>
      <c r="D761">
        <v>5.3</v>
      </c>
      <c r="E761">
        <f>INT(Table2[[#This Row],[Transect]])</f>
        <v>5</v>
      </c>
      <c r="F761" t="s">
        <v>3</v>
      </c>
      <c r="G761">
        <v>29</v>
      </c>
      <c r="H761">
        <v>113</v>
      </c>
      <c r="J761">
        <f>Table2[[#This Row],[Hits]]/Table2[[#This Row],[Points]]*100</f>
        <v>25.663716814159294</v>
      </c>
      <c r="K761">
        <f>VLOOKUP(Table2[[#This Row],[Site]],'Site Info'!$A$1:$C$11,2, FALSE)</f>
        <v>17</v>
      </c>
      <c r="L761">
        <f>VLOOKUP(Table2[[#This Row],[Site]],'Site Info'!$A$1:$C$11,3, FALSE)</f>
        <v>4</v>
      </c>
      <c r="M761" t="str">
        <f>VLOOKUP(Table2[[#This Row],[Species]],'Species Table'!$A$1:$D$68,3, FALSE)</f>
        <v>Perennial</v>
      </c>
      <c r="O761" s="15">
        <f>IF(SUMPRODUCT(($A$2:$A761=A761)*($B$2:$B761=B761)*($F$2:$F761=F761))&gt;1,0,1)</f>
        <v>0</v>
      </c>
      <c r="P761" s="15">
        <f>IF(SUMPRODUCT(($A$2:$A761=A761)*($B$2:$B761=B761)*($D$2:$D761=D761))&gt;1,0,1)</f>
        <v>1</v>
      </c>
    </row>
    <row r="762" spans="1:16" x14ac:dyDescent="0.35">
      <c r="A762" t="s">
        <v>35</v>
      </c>
      <c r="B762">
        <v>2006</v>
      </c>
      <c r="C762" t="s">
        <v>96</v>
      </c>
      <c r="D762">
        <v>6.1</v>
      </c>
      <c r="E762">
        <f>INT(Table2[[#This Row],[Transect]])</f>
        <v>6</v>
      </c>
      <c r="F762" t="s">
        <v>3</v>
      </c>
      <c r="G762">
        <v>69</v>
      </c>
      <c r="H762">
        <v>194</v>
      </c>
      <c r="J762">
        <f>Table2[[#This Row],[Hits]]/Table2[[#This Row],[Points]]*100</f>
        <v>35.567010309278352</v>
      </c>
      <c r="K762">
        <f>VLOOKUP(Table2[[#This Row],[Site]],'Site Info'!$A$1:$C$11,2, FALSE)</f>
        <v>17</v>
      </c>
      <c r="L762">
        <f>VLOOKUP(Table2[[#This Row],[Site]],'Site Info'!$A$1:$C$11,3, FALSE)</f>
        <v>4</v>
      </c>
      <c r="M762" t="str">
        <f>VLOOKUP(Table2[[#This Row],[Species]],'Species Table'!$A$1:$D$68,3, FALSE)</f>
        <v>Perennial</v>
      </c>
      <c r="O762" s="15">
        <f>IF(SUMPRODUCT(($A$2:$A762=A762)*($B$2:$B762=B762)*($F$2:$F762=F762))&gt;1,0,1)</f>
        <v>0</v>
      </c>
      <c r="P762" s="15">
        <f>IF(SUMPRODUCT(($A$2:$A762=A762)*($B$2:$B762=B762)*($D$2:$D762=D762))&gt;1,0,1)</f>
        <v>1</v>
      </c>
    </row>
    <row r="763" spans="1:16" x14ac:dyDescent="0.35">
      <c r="A763" t="s">
        <v>99</v>
      </c>
      <c r="B763">
        <v>2001</v>
      </c>
      <c r="C763" t="s">
        <v>37</v>
      </c>
      <c r="D763" s="6">
        <v>1.1000000000000001</v>
      </c>
      <c r="E763" s="6">
        <f>INT(Table2[[#This Row],[Transect]])</f>
        <v>1</v>
      </c>
      <c r="F763" s="1" t="s">
        <v>97</v>
      </c>
      <c r="G763">
        <v>1</v>
      </c>
      <c r="H763">
        <f t="shared" ref="H763:H772" si="3">I763*2</f>
        <v>200</v>
      </c>
      <c r="I763">
        <v>100</v>
      </c>
      <c r="J763">
        <f>Table2[[#This Row],[Hits]]/Table2[[#This Row],[Points]]*100</f>
        <v>0.5</v>
      </c>
      <c r="K763">
        <f>VLOOKUP(Table2[[#This Row],[Site]],'Site Info'!$A$1:$C$11,2, FALSE)</f>
        <v>17</v>
      </c>
      <c r="L763">
        <f>VLOOKUP(Table2[[#This Row],[Site]],'Site Info'!$A$1:$C$11,3, FALSE)</f>
        <v>4</v>
      </c>
      <c r="M763" t="str">
        <f>VLOOKUP(Table2[[#This Row],[Species]],'Species Table'!$A$1:$D$68,3, FALSE)</f>
        <v>Perennial</v>
      </c>
      <c r="O763" s="15">
        <f>IF(SUMPRODUCT(($A$2:$A763=A763)*($B$2:$B763=B763)*($F$2:$F763=F763))&gt;1,0,1)</f>
        <v>1</v>
      </c>
      <c r="P763" s="15">
        <f>IF(SUMPRODUCT(($A$2:$A763=A763)*($B$2:$B763=B763)*($D$2:$D763=D763))&gt;1,0,1)</f>
        <v>1</v>
      </c>
    </row>
    <row r="764" spans="1:16" x14ac:dyDescent="0.35">
      <c r="A764" t="s">
        <v>99</v>
      </c>
      <c r="B764">
        <v>2001</v>
      </c>
      <c r="C764" t="s">
        <v>37</v>
      </c>
      <c r="D764" s="6">
        <v>1.1000000000000001</v>
      </c>
      <c r="E764" s="6">
        <f>INT(Table2[[#This Row],[Transect]])</f>
        <v>1</v>
      </c>
      <c r="F764" s="1" t="s">
        <v>3</v>
      </c>
      <c r="G764">
        <v>3</v>
      </c>
      <c r="H764">
        <f t="shared" si="3"/>
        <v>200</v>
      </c>
      <c r="I764">
        <v>100</v>
      </c>
      <c r="J764">
        <f>Table2[[#This Row],[Hits]]/Table2[[#This Row],[Points]]*100</f>
        <v>1.5</v>
      </c>
      <c r="K764">
        <f>VLOOKUP(Table2[[#This Row],[Site]],'Site Info'!$A$1:$C$11,2, FALSE)</f>
        <v>17</v>
      </c>
      <c r="L764">
        <f>VLOOKUP(Table2[[#This Row],[Site]],'Site Info'!$A$1:$C$11,3, FALSE)</f>
        <v>4</v>
      </c>
      <c r="M764" t="str">
        <f>VLOOKUP(Table2[[#This Row],[Species]],'Species Table'!$A$1:$D$68,3, FALSE)</f>
        <v>Perennial</v>
      </c>
      <c r="O764" s="15">
        <f>IF(SUMPRODUCT(($A$2:$A764=A764)*($B$2:$B764=B764)*($F$2:$F764=F764))&gt;1,0,1)</f>
        <v>1</v>
      </c>
      <c r="P764" s="15">
        <f>IF(SUMPRODUCT(($A$2:$A764=A764)*($B$2:$B764=B764)*($D$2:$D764=D764))&gt;1,0,1)</f>
        <v>0</v>
      </c>
    </row>
    <row r="765" spans="1:16" x14ac:dyDescent="0.35">
      <c r="A765" t="s">
        <v>99</v>
      </c>
      <c r="B765">
        <v>2001</v>
      </c>
      <c r="C765" t="s">
        <v>38</v>
      </c>
      <c r="D765" s="6">
        <v>1.2</v>
      </c>
      <c r="E765" s="6">
        <f>INT(Table2[[#This Row],[Transect]])</f>
        <v>1</v>
      </c>
      <c r="F765" s="1" t="s">
        <v>3</v>
      </c>
      <c r="G765">
        <v>1</v>
      </c>
      <c r="H765">
        <f t="shared" si="3"/>
        <v>200</v>
      </c>
      <c r="I765">
        <v>100</v>
      </c>
      <c r="J765">
        <f>Table2[[#This Row],[Hits]]/Table2[[#This Row],[Points]]*100</f>
        <v>0.5</v>
      </c>
      <c r="K765">
        <f>VLOOKUP(Table2[[#This Row],[Site]],'Site Info'!$A$1:$C$11,2, FALSE)</f>
        <v>17</v>
      </c>
      <c r="L765">
        <f>VLOOKUP(Table2[[#This Row],[Site]],'Site Info'!$A$1:$C$11,3, FALSE)</f>
        <v>4</v>
      </c>
      <c r="M765" t="str">
        <f>VLOOKUP(Table2[[#This Row],[Species]],'Species Table'!$A$1:$D$68,3, FALSE)</f>
        <v>Perennial</v>
      </c>
      <c r="O765" s="15">
        <f>IF(SUMPRODUCT(($A$2:$A765=A765)*($B$2:$B765=B765)*($F$2:$F765=F765))&gt;1,0,1)</f>
        <v>0</v>
      </c>
      <c r="P765" s="15">
        <f>IF(SUMPRODUCT(($A$2:$A765=A765)*($B$2:$B765=B765)*($D$2:$D765=D765))&gt;1,0,1)</f>
        <v>1</v>
      </c>
    </row>
    <row r="766" spans="1:16" x14ac:dyDescent="0.35">
      <c r="A766" t="s">
        <v>99</v>
      </c>
      <c r="B766">
        <v>2001</v>
      </c>
      <c r="C766" t="s">
        <v>91</v>
      </c>
      <c r="D766" s="6">
        <v>1.3</v>
      </c>
      <c r="E766" s="6">
        <f>INT(Table2[[#This Row],[Transect]])</f>
        <v>1</v>
      </c>
      <c r="F766" s="1" t="s">
        <v>12</v>
      </c>
      <c r="G766">
        <v>1</v>
      </c>
      <c r="H766">
        <f t="shared" si="3"/>
        <v>69</v>
      </c>
      <c r="I766">
        <v>34.5</v>
      </c>
      <c r="J766">
        <f>Table2[[#This Row],[Hits]]/Table2[[#This Row],[Points]]*100</f>
        <v>1.4492753623188406</v>
      </c>
      <c r="K766">
        <f>VLOOKUP(Table2[[#This Row],[Site]],'Site Info'!$A$1:$C$11,2, FALSE)</f>
        <v>17</v>
      </c>
      <c r="L766">
        <f>VLOOKUP(Table2[[#This Row],[Site]],'Site Info'!$A$1:$C$11,3, FALSE)</f>
        <v>4</v>
      </c>
      <c r="M766" t="str">
        <f>VLOOKUP(Table2[[#This Row],[Species]],'Species Table'!$A$1:$D$68,3, FALSE)</f>
        <v>Perennial</v>
      </c>
      <c r="O766" s="15">
        <f>IF(SUMPRODUCT(($A$2:$A766=A766)*($B$2:$B766=B766)*($F$2:$F766=F766))&gt;1,0,1)</f>
        <v>1</v>
      </c>
      <c r="P766" s="15">
        <f>IF(SUMPRODUCT(($A$2:$A766=A766)*($B$2:$B766=B766)*($D$2:$D766=D766))&gt;1,0,1)</f>
        <v>1</v>
      </c>
    </row>
    <row r="767" spans="1:16" x14ac:dyDescent="0.35">
      <c r="A767" t="s">
        <v>99</v>
      </c>
      <c r="B767">
        <v>2001</v>
      </c>
      <c r="C767" t="s">
        <v>43</v>
      </c>
      <c r="D767" s="6">
        <v>2.1</v>
      </c>
      <c r="E767" s="6">
        <f>INT(Table2[[#This Row],[Transect]])</f>
        <v>2</v>
      </c>
      <c r="F767" s="1" t="s">
        <v>3</v>
      </c>
      <c r="G767">
        <v>9</v>
      </c>
      <c r="H767">
        <f t="shared" si="3"/>
        <v>200</v>
      </c>
      <c r="I767">
        <v>100</v>
      </c>
      <c r="J767">
        <f>Table2[[#This Row],[Hits]]/Table2[[#This Row],[Points]]*100</f>
        <v>4.5</v>
      </c>
      <c r="K767">
        <f>VLOOKUP(Table2[[#This Row],[Site]],'Site Info'!$A$1:$C$11,2, FALSE)</f>
        <v>17</v>
      </c>
      <c r="L767">
        <f>VLOOKUP(Table2[[#This Row],[Site]],'Site Info'!$A$1:$C$11,3, FALSE)</f>
        <v>4</v>
      </c>
      <c r="M767" t="str">
        <f>VLOOKUP(Table2[[#This Row],[Species]],'Species Table'!$A$1:$D$68,3, FALSE)</f>
        <v>Perennial</v>
      </c>
      <c r="O767" s="15">
        <f>IF(SUMPRODUCT(($A$2:$A767=A767)*($B$2:$B767=B767)*($F$2:$F767=F767))&gt;1,0,1)</f>
        <v>0</v>
      </c>
      <c r="P767" s="15">
        <f>IF(SUMPRODUCT(($A$2:$A767=A767)*($B$2:$B767=B767)*($D$2:$D767=D767))&gt;1,0,1)</f>
        <v>1</v>
      </c>
    </row>
    <row r="768" spans="1:16" x14ac:dyDescent="0.35">
      <c r="A768" t="s">
        <v>99</v>
      </c>
      <c r="B768">
        <v>2001</v>
      </c>
      <c r="C768" t="s">
        <v>44</v>
      </c>
      <c r="D768" s="6">
        <v>2.2000000000000002</v>
      </c>
      <c r="E768" s="6">
        <f>INT(Table2[[#This Row],[Transect]])</f>
        <v>2</v>
      </c>
      <c r="F768" s="1" t="s">
        <v>97</v>
      </c>
      <c r="G768">
        <v>2</v>
      </c>
      <c r="H768">
        <f t="shared" si="3"/>
        <v>200</v>
      </c>
      <c r="I768">
        <v>100</v>
      </c>
      <c r="J768">
        <f>Table2[[#This Row],[Hits]]/Table2[[#This Row],[Points]]*100</f>
        <v>1</v>
      </c>
      <c r="K768">
        <f>VLOOKUP(Table2[[#This Row],[Site]],'Site Info'!$A$1:$C$11,2, FALSE)</f>
        <v>17</v>
      </c>
      <c r="L768">
        <f>VLOOKUP(Table2[[#This Row],[Site]],'Site Info'!$A$1:$C$11,3, FALSE)</f>
        <v>4</v>
      </c>
      <c r="M768" t="str">
        <f>VLOOKUP(Table2[[#This Row],[Species]],'Species Table'!$A$1:$D$68,3, FALSE)</f>
        <v>Perennial</v>
      </c>
      <c r="O768" s="15">
        <f>IF(SUMPRODUCT(($A$2:$A768=A768)*($B$2:$B768=B768)*($F$2:$F768=F768))&gt;1,0,1)</f>
        <v>0</v>
      </c>
      <c r="P768" s="15">
        <f>IF(SUMPRODUCT(($A$2:$A768=A768)*($B$2:$B768=B768)*($D$2:$D768=D768))&gt;1,0,1)</f>
        <v>1</v>
      </c>
    </row>
    <row r="769" spans="1:16" x14ac:dyDescent="0.35">
      <c r="A769" t="s">
        <v>99</v>
      </c>
      <c r="B769">
        <v>2001</v>
      </c>
      <c r="C769" t="s">
        <v>45</v>
      </c>
      <c r="D769" s="6">
        <v>2.4</v>
      </c>
      <c r="E769" s="6">
        <f>INT(Table2[[#This Row],[Transect]])</f>
        <v>2</v>
      </c>
      <c r="F769" s="1" t="s">
        <v>12</v>
      </c>
      <c r="G769">
        <v>4</v>
      </c>
      <c r="H769">
        <f t="shared" si="3"/>
        <v>200</v>
      </c>
      <c r="I769">
        <v>100</v>
      </c>
      <c r="J769">
        <f>Table2[[#This Row],[Hits]]/Table2[[#This Row],[Points]]*100</f>
        <v>2</v>
      </c>
      <c r="K769">
        <f>VLOOKUP(Table2[[#This Row],[Site]],'Site Info'!$A$1:$C$11,2, FALSE)</f>
        <v>17</v>
      </c>
      <c r="L769">
        <f>VLOOKUP(Table2[[#This Row],[Site]],'Site Info'!$A$1:$C$11,3, FALSE)</f>
        <v>4</v>
      </c>
      <c r="M769" t="str">
        <f>VLOOKUP(Table2[[#This Row],[Species]],'Species Table'!$A$1:$D$68,3, FALSE)</f>
        <v>Perennial</v>
      </c>
      <c r="O769" s="15">
        <f>IF(SUMPRODUCT(($A$2:$A769=A769)*($B$2:$B769=B769)*($F$2:$F769=F769))&gt;1,0,1)</f>
        <v>0</v>
      </c>
      <c r="P769" s="15">
        <f>IF(SUMPRODUCT(($A$2:$A769=A769)*($B$2:$B769=B769)*($D$2:$D769=D769))&gt;1,0,1)</f>
        <v>1</v>
      </c>
    </row>
    <row r="770" spans="1:16" x14ac:dyDescent="0.35">
      <c r="A770" t="s">
        <v>99</v>
      </c>
      <c r="B770">
        <v>2001</v>
      </c>
      <c r="C770" t="s">
        <v>92</v>
      </c>
      <c r="D770" s="6">
        <v>2.4</v>
      </c>
      <c r="E770" s="6">
        <f>INT(Table2[[#This Row],[Transect]])</f>
        <v>2</v>
      </c>
      <c r="F770" s="1" t="s">
        <v>98</v>
      </c>
      <c r="G770">
        <v>6</v>
      </c>
      <c r="H770">
        <f t="shared" si="3"/>
        <v>200</v>
      </c>
      <c r="I770">
        <v>100</v>
      </c>
      <c r="J770">
        <f>Table2[[#This Row],[Hits]]/Table2[[#This Row],[Points]]*100</f>
        <v>3</v>
      </c>
      <c r="K770">
        <f>VLOOKUP(Table2[[#This Row],[Site]],'Site Info'!$A$1:$C$11,2, FALSE)</f>
        <v>17</v>
      </c>
      <c r="L770">
        <f>VLOOKUP(Table2[[#This Row],[Site]],'Site Info'!$A$1:$C$11,3, FALSE)</f>
        <v>4</v>
      </c>
      <c r="M770" t="str">
        <f>VLOOKUP(Table2[[#This Row],[Species]],'Species Table'!$A$1:$D$68,3, FALSE)</f>
        <v>Perennial</v>
      </c>
      <c r="O770" s="15">
        <f>IF(SUMPRODUCT(($A$2:$A770=A770)*($B$2:$B770=B770)*($F$2:$F770=F770))&gt;1,0,1)</f>
        <v>1</v>
      </c>
      <c r="P770" s="15">
        <f>IF(SUMPRODUCT(($A$2:$A770=A770)*($B$2:$B770=B770)*($D$2:$D770=D770))&gt;1,0,1)</f>
        <v>0</v>
      </c>
    </row>
    <row r="771" spans="1:16" x14ac:dyDescent="0.35">
      <c r="A771" t="s">
        <v>99</v>
      </c>
      <c r="B771">
        <v>2001</v>
      </c>
      <c r="C771" t="s">
        <v>92</v>
      </c>
      <c r="D771" s="6">
        <v>2.4</v>
      </c>
      <c r="E771" s="6">
        <f>INT(Table2[[#This Row],[Transect]])</f>
        <v>2</v>
      </c>
      <c r="F771" s="1" t="s">
        <v>12</v>
      </c>
      <c r="G771">
        <v>3</v>
      </c>
      <c r="H771">
        <f t="shared" si="3"/>
        <v>200</v>
      </c>
      <c r="I771">
        <v>100</v>
      </c>
      <c r="J771">
        <f>Table2[[#This Row],[Hits]]/Table2[[#This Row],[Points]]*100</f>
        <v>1.5</v>
      </c>
      <c r="K771">
        <f>VLOOKUP(Table2[[#This Row],[Site]],'Site Info'!$A$1:$C$11,2, FALSE)</f>
        <v>17</v>
      </c>
      <c r="L771">
        <f>VLOOKUP(Table2[[#This Row],[Site]],'Site Info'!$A$1:$C$11,3, FALSE)</f>
        <v>4</v>
      </c>
      <c r="M771" t="str">
        <f>VLOOKUP(Table2[[#This Row],[Species]],'Species Table'!$A$1:$D$68,3, FALSE)</f>
        <v>Perennial</v>
      </c>
      <c r="O771" s="15">
        <f>IF(SUMPRODUCT(($A$2:$A771=A771)*($B$2:$B771=B771)*($F$2:$F771=F771))&gt;1,0,1)</f>
        <v>0</v>
      </c>
      <c r="P771" s="15">
        <f>IF(SUMPRODUCT(($A$2:$A771=A771)*($B$2:$B771=B771)*($D$2:$D771=D771))&gt;1,0,1)</f>
        <v>0</v>
      </c>
    </row>
    <row r="772" spans="1:16" x14ac:dyDescent="0.35">
      <c r="A772" t="s">
        <v>99</v>
      </c>
      <c r="B772">
        <v>2001</v>
      </c>
      <c r="C772" t="s">
        <v>50</v>
      </c>
      <c r="D772" s="6">
        <v>3.1</v>
      </c>
      <c r="E772" s="6">
        <f>INT(Table2[[#This Row],[Transect]])</f>
        <v>3</v>
      </c>
      <c r="F772" s="1" t="s">
        <v>3</v>
      </c>
      <c r="G772">
        <v>36</v>
      </c>
      <c r="H772">
        <f t="shared" si="3"/>
        <v>200</v>
      </c>
      <c r="I772">
        <v>100</v>
      </c>
      <c r="J772">
        <f>Table2[[#This Row],[Hits]]/Table2[[#This Row],[Points]]*100</f>
        <v>18</v>
      </c>
      <c r="K772">
        <f>VLOOKUP(Table2[[#This Row],[Site]],'Site Info'!$A$1:$C$11,2, FALSE)</f>
        <v>17</v>
      </c>
      <c r="L772">
        <f>VLOOKUP(Table2[[#This Row],[Site]],'Site Info'!$A$1:$C$11,3, FALSE)</f>
        <v>4</v>
      </c>
      <c r="M772" t="str">
        <f>VLOOKUP(Table2[[#This Row],[Species]],'Species Table'!$A$1:$D$68,3, FALSE)</f>
        <v>Perennial</v>
      </c>
      <c r="O772" s="15">
        <f>IF(SUMPRODUCT(($A$2:$A772=A772)*($B$2:$B772=B772)*($F$2:$F772=F772))&gt;1,0,1)</f>
        <v>0</v>
      </c>
      <c r="P772" s="15">
        <f>IF(SUMPRODUCT(($A$2:$A772=A772)*($B$2:$B772=B772)*($D$2:$D772=D772))&gt;1,0,1)</f>
        <v>1</v>
      </c>
    </row>
    <row r="773" spans="1:16" x14ac:dyDescent="0.35">
      <c r="A773" t="s">
        <v>99</v>
      </c>
      <c r="B773">
        <v>2001</v>
      </c>
      <c r="C773" t="s">
        <v>51</v>
      </c>
      <c r="D773" s="6">
        <v>3.2</v>
      </c>
      <c r="E773" s="6">
        <f>INT(Table2[[#This Row],[Transect]])</f>
        <v>3</v>
      </c>
      <c r="F773" s="1" t="s">
        <v>3</v>
      </c>
      <c r="G773">
        <v>4</v>
      </c>
      <c r="H773">
        <f>I773*2</f>
        <v>200</v>
      </c>
      <c r="I773">
        <v>100</v>
      </c>
      <c r="J773">
        <f>Table2[[#This Row],[Hits]]/Table2[[#This Row],[Points]]*100</f>
        <v>2</v>
      </c>
      <c r="K773">
        <f>VLOOKUP(Table2[[#This Row],[Site]],'Site Info'!$A$1:$C$11,2, FALSE)</f>
        <v>17</v>
      </c>
      <c r="L773">
        <f>VLOOKUP(Table2[[#This Row],[Site]],'Site Info'!$A$1:$C$11,3, FALSE)</f>
        <v>4</v>
      </c>
      <c r="M773" t="str">
        <f>VLOOKUP(Table2[[#This Row],[Species]],'Species Table'!$A$1:$D$68,3, FALSE)</f>
        <v>Perennial</v>
      </c>
      <c r="O773" s="15">
        <f>IF(SUMPRODUCT(($A$2:$A773=A773)*($B$2:$B773=B773)*($F$2:$F773=F773))&gt;1,0,1)</f>
        <v>0</v>
      </c>
      <c r="P773" s="15">
        <f>IF(SUMPRODUCT(($A$2:$A773=A773)*($B$2:$B773=B773)*($D$2:$D773=D773))&gt;1,0,1)</f>
        <v>1</v>
      </c>
    </row>
    <row r="774" spans="1:16" x14ac:dyDescent="0.35">
      <c r="A774" t="s">
        <v>99</v>
      </c>
      <c r="B774">
        <v>2006</v>
      </c>
      <c r="C774" t="s">
        <v>37</v>
      </c>
      <c r="D774">
        <v>1.1000000000000001</v>
      </c>
      <c r="E774">
        <f>INT(Table2[[#This Row],[Transect]])</f>
        <v>1</v>
      </c>
      <c r="F774" t="s">
        <v>3</v>
      </c>
      <c r="G774">
        <v>14</v>
      </c>
      <c r="H774">
        <v>200</v>
      </c>
      <c r="J774">
        <f>Table2[[#This Row],[Hits]]/Table2[[#This Row],[Points]]*100</f>
        <v>7.0000000000000009</v>
      </c>
      <c r="K774">
        <f>VLOOKUP(Table2[[#This Row],[Site]],'Site Info'!$A$1:$C$11,2, FALSE)</f>
        <v>17</v>
      </c>
      <c r="L774">
        <f>VLOOKUP(Table2[[#This Row],[Site]],'Site Info'!$A$1:$C$11,3, FALSE)</f>
        <v>4</v>
      </c>
      <c r="M774" t="str">
        <f>VLOOKUP(Table2[[#This Row],[Species]],'Species Table'!$A$1:$D$68,3, FALSE)</f>
        <v>Perennial</v>
      </c>
      <c r="O774" s="15">
        <f>IF(SUMPRODUCT(($A$2:$A774=A774)*($B$2:$B774=B774)*($F$2:$F774=F774))&gt;1,0,1)</f>
        <v>1</v>
      </c>
      <c r="P774" s="15">
        <f>IF(SUMPRODUCT(($A$2:$A774=A774)*($B$2:$B774=B774)*($D$2:$D774=D774))&gt;1,0,1)</f>
        <v>1</v>
      </c>
    </row>
    <row r="775" spans="1:16" x14ac:dyDescent="0.35">
      <c r="A775" t="s">
        <v>99</v>
      </c>
      <c r="B775">
        <v>2006</v>
      </c>
      <c r="C775" t="s">
        <v>37</v>
      </c>
      <c r="D775">
        <v>1.1000000000000001</v>
      </c>
      <c r="E775">
        <f>INT(Table2[[#This Row],[Transect]])</f>
        <v>1</v>
      </c>
      <c r="F775" t="s">
        <v>6</v>
      </c>
      <c r="G775">
        <v>3</v>
      </c>
      <c r="H775">
        <v>200</v>
      </c>
      <c r="J775">
        <f>Table2[[#This Row],[Hits]]/Table2[[#This Row],[Points]]*100</f>
        <v>1.5</v>
      </c>
      <c r="K775">
        <f>VLOOKUP(Table2[[#This Row],[Site]],'Site Info'!$A$1:$C$11,2, FALSE)</f>
        <v>17</v>
      </c>
      <c r="L775">
        <f>VLOOKUP(Table2[[#This Row],[Site]],'Site Info'!$A$1:$C$11,3, FALSE)</f>
        <v>4</v>
      </c>
      <c r="M775" t="str">
        <f>VLOOKUP(Table2[[#This Row],[Species]],'Species Table'!$A$1:$D$68,3, FALSE)</f>
        <v>Perennial</v>
      </c>
      <c r="O775" s="15">
        <f>IF(SUMPRODUCT(($A$2:$A775=A775)*($B$2:$B775=B775)*($F$2:$F775=F775))&gt;1,0,1)</f>
        <v>1</v>
      </c>
      <c r="P775" s="15">
        <f>IF(SUMPRODUCT(($A$2:$A775=A775)*($B$2:$B775=B775)*($D$2:$D775=D775))&gt;1,0,1)</f>
        <v>0</v>
      </c>
    </row>
    <row r="776" spans="1:16" x14ac:dyDescent="0.35">
      <c r="A776" t="s">
        <v>99</v>
      </c>
      <c r="B776">
        <v>2006</v>
      </c>
      <c r="C776" t="s">
        <v>37</v>
      </c>
      <c r="D776">
        <v>1.1000000000000001</v>
      </c>
      <c r="E776">
        <f>INT(Table2[[#This Row],[Transect]])</f>
        <v>1</v>
      </c>
      <c r="F776" t="s">
        <v>97</v>
      </c>
      <c r="G776">
        <v>2</v>
      </c>
      <c r="H776">
        <v>200</v>
      </c>
      <c r="J776">
        <f>Table2[[#This Row],[Hits]]/Table2[[#This Row],[Points]]*100</f>
        <v>1</v>
      </c>
      <c r="K776">
        <f>VLOOKUP(Table2[[#This Row],[Site]],'Site Info'!$A$1:$C$11,2, FALSE)</f>
        <v>17</v>
      </c>
      <c r="L776">
        <f>VLOOKUP(Table2[[#This Row],[Site]],'Site Info'!$A$1:$C$11,3, FALSE)</f>
        <v>4</v>
      </c>
      <c r="M776" t="str">
        <f>VLOOKUP(Table2[[#This Row],[Species]],'Species Table'!$A$1:$D$68,3, FALSE)</f>
        <v>Perennial</v>
      </c>
      <c r="O776" s="15">
        <f>IF(SUMPRODUCT(($A$2:$A776=A776)*($B$2:$B776=B776)*($F$2:$F776=F776))&gt;1,0,1)</f>
        <v>1</v>
      </c>
      <c r="P776" s="15">
        <f>IF(SUMPRODUCT(($A$2:$A776=A776)*($B$2:$B776=B776)*($D$2:$D776=D776))&gt;1,0,1)</f>
        <v>0</v>
      </c>
    </row>
    <row r="777" spans="1:16" hidden="1" x14ac:dyDescent="0.35">
      <c r="A777" t="s">
        <v>99</v>
      </c>
      <c r="B777">
        <v>2006</v>
      </c>
      <c r="C777" t="s">
        <v>38</v>
      </c>
      <c r="D777">
        <v>1.2</v>
      </c>
      <c r="E777">
        <f>INT(Table2[[#This Row],[Transect]])</f>
        <v>1</v>
      </c>
      <c r="F777" t="s">
        <v>10</v>
      </c>
      <c r="G777">
        <v>2</v>
      </c>
      <c r="H777">
        <v>200</v>
      </c>
      <c r="J777">
        <f>Table2[[#This Row],[Hits]]/Table2[[#This Row],[Points]]*100</f>
        <v>1</v>
      </c>
      <c r="K777">
        <f>VLOOKUP(Table2[[#This Row],[Site]],'Site Info'!$A$1:$C$11,2, FALSE)</f>
        <v>17</v>
      </c>
      <c r="L777">
        <f>VLOOKUP(Table2[[#This Row],[Site]],'Site Info'!$A$1:$C$11,3, FALSE)</f>
        <v>4</v>
      </c>
      <c r="M777" t="str">
        <f>VLOOKUP(Table2[[#This Row],[Species]],'Species Table'!$A$1:$D$68,3, FALSE)</f>
        <v>Annual</v>
      </c>
      <c r="O777" s="15">
        <f>IF(SUMPRODUCT(($A$2:$A777=A777)*($B$2:$B777=B777)*($F$2:$F777=F777))&gt;1,0,1)</f>
        <v>1</v>
      </c>
      <c r="P777" s="15">
        <f>IF(SUMPRODUCT(($A$2:$A777=A777)*($B$2:$B777=B777)*($D$2:$D777=D777))&gt;1,0,1)</f>
        <v>1</v>
      </c>
    </row>
    <row r="778" spans="1:16" x14ac:dyDescent="0.35">
      <c r="A778" t="s">
        <v>99</v>
      </c>
      <c r="B778">
        <v>2006</v>
      </c>
      <c r="C778" t="s">
        <v>38</v>
      </c>
      <c r="D778">
        <v>1.2</v>
      </c>
      <c r="E778">
        <f>INT(Table2[[#This Row],[Transect]])</f>
        <v>1</v>
      </c>
      <c r="F778" t="s">
        <v>3</v>
      </c>
      <c r="G778">
        <v>13</v>
      </c>
      <c r="H778">
        <v>200</v>
      </c>
      <c r="J778">
        <f>Table2[[#This Row],[Hits]]/Table2[[#This Row],[Points]]*100</f>
        <v>6.5</v>
      </c>
      <c r="K778">
        <f>VLOOKUP(Table2[[#This Row],[Site]],'Site Info'!$A$1:$C$11,2, FALSE)</f>
        <v>17</v>
      </c>
      <c r="L778">
        <f>VLOOKUP(Table2[[#This Row],[Site]],'Site Info'!$A$1:$C$11,3, FALSE)</f>
        <v>4</v>
      </c>
      <c r="M778" t="str">
        <f>VLOOKUP(Table2[[#This Row],[Species]],'Species Table'!$A$1:$D$68,3, FALSE)</f>
        <v>Perennial</v>
      </c>
      <c r="O778" s="15">
        <f>IF(SUMPRODUCT(($A$2:$A778=A778)*($B$2:$B778=B778)*($F$2:$F778=F778))&gt;1,0,1)</f>
        <v>0</v>
      </c>
      <c r="P778" s="15">
        <f>IF(SUMPRODUCT(($A$2:$A778=A778)*($B$2:$B778=B778)*($D$2:$D778=D778))&gt;1,0,1)</f>
        <v>0</v>
      </c>
    </row>
    <row r="779" spans="1:16" x14ac:dyDescent="0.35">
      <c r="A779" t="s">
        <v>99</v>
      </c>
      <c r="B779">
        <v>2006</v>
      </c>
      <c r="C779" t="s">
        <v>91</v>
      </c>
      <c r="D779">
        <v>1.3</v>
      </c>
      <c r="E779">
        <f>INT(Table2[[#This Row],[Transect]])</f>
        <v>1</v>
      </c>
      <c r="F779" t="s">
        <v>12</v>
      </c>
      <c r="G779">
        <v>3</v>
      </c>
      <c r="H779">
        <v>69</v>
      </c>
      <c r="J779">
        <f>Table2[[#This Row],[Hits]]/Table2[[#This Row],[Points]]*100</f>
        <v>4.3478260869565215</v>
      </c>
      <c r="K779">
        <f>VLOOKUP(Table2[[#This Row],[Site]],'Site Info'!$A$1:$C$11,2, FALSE)</f>
        <v>17</v>
      </c>
      <c r="L779">
        <f>VLOOKUP(Table2[[#This Row],[Site]],'Site Info'!$A$1:$C$11,3, FALSE)</f>
        <v>4</v>
      </c>
      <c r="M779" t="str">
        <f>VLOOKUP(Table2[[#This Row],[Species]],'Species Table'!$A$1:$D$68,3, FALSE)</f>
        <v>Perennial</v>
      </c>
      <c r="O779" s="15">
        <f>IF(SUMPRODUCT(($A$2:$A779=A779)*($B$2:$B779=B779)*($F$2:$F779=F779))&gt;1,0,1)</f>
        <v>1</v>
      </c>
      <c r="P779" s="15">
        <f>IF(SUMPRODUCT(($A$2:$A779=A779)*($B$2:$B779=B779)*($D$2:$D779=D779))&gt;1,0,1)</f>
        <v>1</v>
      </c>
    </row>
    <row r="780" spans="1:16" x14ac:dyDescent="0.35">
      <c r="A780" t="s">
        <v>99</v>
      </c>
      <c r="B780">
        <v>2006</v>
      </c>
      <c r="C780" t="s">
        <v>43</v>
      </c>
      <c r="D780">
        <v>2.1</v>
      </c>
      <c r="E780">
        <f>INT(Table2[[#This Row],[Transect]])</f>
        <v>2</v>
      </c>
      <c r="F780" t="s">
        <v>3</v>
      </c>
      <c r="G780">
        <v>36</v>
      </c>
      <c r="H780">
        <v>200</v>
      </c>
      <c r="J780">
        <f>Table2[[#This Row],[Hits]]/Table2[[#This Row],[Points]]*100</f>
        <v>18</v>
      </c>
      <c r="K780">
        <f>VLOOKUP(Table2[[#This Row],[Site]],'Site Info'!$A$1:$C$11,2, FALSE)</f>
        <v>17</v>
      </c>
      <c r="L780">
        <f>VLOOKUP(Table2[[#This Row],[Site]],'Site Info'!$A$1:$C$11,3, FALSE)</f>
        <v>4</v>
      </c>
      <c r="M780" t="str">
        <f>VLOOKUP(Table2[[#This Row],[Species]],'Species Table'!$A$1:$D$68,3, FALSE)</f>
        <v>Perennial</v>
      </c>
      <c r="O780" s="15">
        <f>IF(SUMPRODUCT(($A$2:$A780=A780)*($B$2:$B780=B780)*($F$2:$F780=F780))&gt;1,0,1)</f>
        <v>0</v>
      </c>
      <c r="P780" s="15">
        <f>IF(SUMPRODUCT(($A$2:$A780=A780)*($B$2:$B780=B780)*($D$2:$D780=D780))&gt;1,0,1)</f>
        <v>1</v>
      </c>
    </row>
    <row r="781" spans="1:16" x14ac:dyDescent="0.35">
      <c r="A781" t="s">
        <v>99</v>
      </c>
      <c r="B781">
        <v>2006</v>
      </c>
      <c r="C781" t="s">
        <v>44</v>
      </c>
      <c r="D781">
        <v>2.2000000000000002</v>
      </c>
      <c r="E781">
        <f>INT(Table2[[#This Row],[Transect]])</f>
        <v>2</v>
      </c>
      <c r="F781" t="s">
        <v>3</v>
      </c>
      <c r="G781">
        <v>27</v>
      </c>
      <c r="H781">
        <v>200</v>
      </c>
      <c r="J781">
        <f>Table2[[#This Row],[Hits]]/Table2[[#This Row],[Points]]*100</f>
        <v>13.5</v>
      </c>
      <c r="K781">
        <f>VLOOKUP(Table2[[#This Row],[Site]],'Site Info'!$A$1:$C$11,2, FALSE)</f>
        <v>17</v>
      </c>
      <c r="L781">
        <f>VLOOKUP(Table2[[#This Row],[Site]],'Site Info'!$A$1:$C$11,3, FALSE)</f>
        <v>4</v>
      </c>
      <c r="M781" t="str">
        <f>VLOOKUP(Table2[[#This Row],[Species]],'Species Table'!$A$1:$D$68,3, FALSE)</f>
        <v>Perennial</v>
      </c>
      <c r="O781" s="15">
        <f>IF(SUMPRODUCT(($A$2:$A781=A781)*($B$2:$B781=B781)*($F$2:$F781=F781))&gt;1,0,1)</f>
        <v>0</v>
      </c>
      <c r="P781" s="15">
        <f>IF(SUMPRODUCT(($A$2:$A781=A781)*($B$2:$B781=B781)*($D$2:$D781=D781))&gt;1,0,1)</f>
        <v>1</v>
      </c>
    </row>
    <row r="782" spans="1:16" x14ac:dyDescent="0.35">
      <c r="A782" t="s">
        <v>99</v>
      </c>
      <c r="B782">
        <v>2006</v>
      </c>
      <c r="C782" t="s">
        <v>44</v>
      </c>
      <c r="D782">
        <v>2.2000000000000002</v>
      </c>
      <c r="E782">
        <f>INT(Table2[[#This Row],[Transect]])</f>
        <v>2</v>
      </c>
      <c r="F782" t="s">
        <v>97</v>
      </c>
      <c r="G782">
        <v>2</v>
      </c>
      <c r="H782">
        <v>200</v>
      </c>
      <c r="J782">
        <f>Table2[[#This Row],[Hits]]/Table2[[#This Row],[Points]]*100</f>
        <v>1</v>
      </c>
      <c r="K782">
        <f>VLOOKUP(Table2[[#This Row],[Site]],'Site Info'!$A$1:$C$11,2, FALSE)</f>
        <v>17</v>
      </c>
      <c r="L782">
        <f>VLOOKUP(Table2[[#This Row],[Site]],'Site Info'!$A$1:$C$11,3, FALSE)</f>
        <v>4</v>
      </c>
      <c r="M782" t="str">
        <f>VLOOKUP(Table2[[#This Row],[Species]],'Species Table'!$A$1:$D$68,3, FALSE)</f>
        <v>Perennial</v>
      </c>
      <c r="O782" s="15">
        <f>IF(SUMPRODUCT(($A$2:$A782=A782)*($B$2:$B782=B782)*($F$2:$F782=F782))&gt;1,0,1)</f>
        <v>0</v>
      </c>
      <c r="P782" s="15">
        <f>IF(SUMPRODUCT(($A$2:$A782=A782)*($B$2:$B782=B782)*($D$2:$D782=D782))&gt;1,0,1)</f>
        <v>0</v>
      </c>
    </row>
    <row r="783" spans="1:16" hidden="1" x14ac:dyDescent="0.35">
      <c r="A783" t="s">
        <v>99</v>
      </c>
      <c r="B783">
        <v>2006</v>
      </c>
      <c r="C783" t="s">
        <v>45</v>
      </c>
      <c r="D783">
        <v>2.2999999999999998</v>
      </c>
      <c r="E783">
        <f>INT(Table2[[#This Row],[Transect]])</f>
        <v>2</v>
      </c>
      <c r="F783" t="s">
        <v>10</v>
      </c>
      <c r="G783">
        <v>1</v>
      </c>
      <c r="H783">
        <v>200</v>
      </c>
      <c r="J783">
        <f>Table2[[#This Row],[Hits]]/Table2[[#This Row],[Points]]*100</f>
        <v>0.5</v>
      </c>
      <c r="K783">
        <f>VLOOKUP(Table2[[#This Row],[Site]],'Site Info'!$A$1:$C$11,2, FALSE)</f>
        <v>17</v>
      </c>
      <c r="L783">
        <f>VLOOKUP(Table2[[#This Row],[Site]],'Site Info'!$A$1:$C$11,3, FALSE)</f>
        <v>4</v>
      </c>
      <c r="M783" t="str">
        <f>VLOOKUP(Table2[[#This Row],[Species]],'Species Table'!$A$1:$D$68,3, FALSE)</f>
        <v>Annual</v>
      </c>
      <c r="O783" s="15">
        <f>IF(SUMPRODUCT(($A$2:$A783=A783)*($B$2:$B783=B783)*($F$2:$F783=F783))&gt;1,0,1)</f>
        <v>0</v>
      </c>
      <c r="P783" s="15">
        <f>IF(SUMPRODUCT(($A$2:$A783=A783)*($B$2:$B783=B783)*($D$2:$D783=D783))&gt;1,0,1)</f>
        <v>1</v>
      </c>
    </row>
    <row r="784" spans="1:16" x14ac:dyDescent="0.35">
      <c r="A784" t="s">
        <v>99</v>
      </c>
      <c r="B784">
        <v>2006</v>
      </c>
      <c r="C784" t="s">
        <v>45</v>
      </c>
      <c r="D784">
        <v>2.2999999999999998</v>
      </c>
      <c r="E784">
        <f>INT(Table2[[#This Row],[Transect]])</f>
        <v>2</v>
      </c>
      <c r="F784" t="s">
        <v>12</v>
      </c>
      <c r="G784">
        <v>6</v>
      </c>
      <c r="H784">
        <v>200</v>
      </c>
      <c r="J784">
        <f>Table2[[#This Row],[Hits]]/Table2[[#This Row],[Points]]*100</f>
        <v>3</v>
      </c>
      <c r="K784">
        <f>VLOOKUP(Table2[[#This Row],[Site]],'Site Info'!$A$1:$C$11,2, FALSE)</f>
        <v>17</v>
      </c>
      <c r="L784">
        <f>VLOOKUP(Table2[[#This Row],[Site]],'Site Info'!$A$1:$C$11,3, FALSE)</f>
        <v>4</v>
      </c>
      <c r="M784" t="str">
        <f>VLOOKUP(Table2[[#This Row],[Species]],'Species Table'!$A$1:$D$68,3, FALSE)</f>
        <v>Perennial</v>
      </c>
      <c r="O784" s="15">
        <f>IF(SUMPRODUCT(($A$2:$A784=A784)*($B$2:$B784=B784)*($F$2:$F784=F784))&gt;1,0,1)</f>
        <v>0</v>
      </c>
      <c r="P784" s="15">
        <f>IF(SUMPRODUCT(($A$2:$A784=A784)*($B$2:$B784=B784)*($D$2:$D784=D784))&gt;1,0,1)</f>
        <v>0</v>
      </c>
    </row>
    <row r="785" spans="1:16" x14ac:dyDescent="0.35">
      <c r="A785" t="s">
        <v>99</v>
      </c>
      <c r="B785">
        <v>2006</v>
      </c>
      <c r="C785" t="s">
        <v>45</v>
      </c>
      <c r="D785">
        <v>2.2999999999999998</v>
      </c>
      <c r="E785">
        <f>INT(Table2[[#This Row],[Transect]])</f>
        <v>2</v>
      </c>
      <c r="F785" t="s">
        <v>3</v>
      </c>
      <c r="G785">
        <v>8</v>
      </c>
      <c r="H785">
        <v>200</v>
      </c>
      <c r="J785">
        <f>Table2[[#This Row],[Hits]]/Table2[[#This Row],[Points]]*100</f>
        <v>4</v>
      </c>
      <c r="K785">
        <f>VLOOKUP(Table2[[#This Row],[Site]],'Site Info'!$A$1:$C$11,2, FALSE)</f>
        <v>17</v>
      </c>
      <c r="L785">
        <f>VLOOKUP(Table2[[#This Row],[Site]],'Site Info'!$A$1:$C$11,3, FALSE)</f>
        <v>4</v>
      </c>
      <c r="M785" t="str">
        <f>VLOOKUP(Table2[[#This Row],[Species]],'Species Table'!$A$1:$D$68,3, FALSE)</f>
        <v>Perennial</v>
      </c>
      <c r="O785" s="15">
        <f>IF(SUMPRODUCT(($A$2:$A785=A785)*($B$2:$B785=B785)*($F$2:$F785=F785))&gt;1,0,1)</f>
        <v>0</v>
      </c>
      <c r="P785" s="15">
        <f>IF(SUMPRODUCT(($A$2:$A785=A785)*($B$2:$B785=B785)*($D$2:$D785=D785))&gt;1,0,1)</f>
        <v>0</v>
      </c>
    </row>
    <row r="786" spans="1:16" x14ac:dyDescent="0.35">
      <c r="A786" t="s">
        <v>99</v>
      </c>
      <c r="B786">
        <v>2006</v>
      </c>
      <c r="C786" t="s">
        <v>45</v>
      </c>
      <c r="D786">
        <v>2.2999999999999998</v>
      </c>
      <c r="E786">
        <f>INT(Table2[[#This Row],[Transect]])</f>
        <v>2</v>
      </c>
      <c r="F786" t="s">
        <v>14</v>
      </c>
      <c r="G786">
        <v>1</v>
      </c>
      <c r="H786">
        <v>200</v>
      </c>
      <c r="J786">
        <f>Table2[[#This Row],[Hits]]/Table2[[#This Row],[Points]]*100</f>
        <v>0.5</v>
      </c>
      <c r="K786">
        <f>VLOOKUP(Table2[[#This Row],[Site]],'Site Info'!$A$1:$C$11,2, FALSE)</f>
        <v>17</v>
      </c>
      <c r="L786">
        <f>VLOOKUP(Table2[[#This Row],[Site]],'Site Info'!$A$1:$C$11,3, FALSE)</f>
        <v>4</v>
      </c>
      <c r="M786" t="str">
        <f>VLOOKUP(Table2[[#This Row],[Species]],'Species Table'!$A$1:$D$68,3, FALSE)</f>
        <v>Perennial</v>
      </c>
      <c r="O786" s="15">
        <f>IF(SUMPRODUCT(($A$2:$A786=A786)*($B$2:$B786=B786)*($F$2:$F786=F786))&gt;1,0,1)</f>
        <v>1</v>
      </c>
      <c r="P786" s="15">
        <f>IF(SUMPRODUCT(($A$2:$A786=A786)*($B$2:$B786=B786)*($D$2:$D786=D786))&gt;1,0,1)</f>
        <v>0</v>
      </c>
    </row>
    <row r="787" spans="1:16" hidden="1" x14ac:dyDescent="0.35">
      <c r="A787" t="s">
        <v>99</v>
      </c>
      <c r="B787">
        <v>2006</v>
      </c>
      <c r="C787" t="s">
        <v>92</v>
      </c>
      <c r="D787">
        <v>2.4</v>
      </c>
      <c r="E787">
        <f>INT(Table2[[#This Row],[Transect]])</f>
        <v>2</v>
      </c>
      <c r="F787" t="s">
        <v>10</v>
      </c>
      <c r="G787">
        <v>1</v>
      </c>
      <c r="H787">
        <v>200</v>
      </c>
      <c r="J787">
        <f>Table2[[#This Row],[Hits]]/Table2[[#This Row],[Points]]*100</f>
        <v>0.5</v>
      </c>
      <c r="K787">
        <f>VLOOKUP(Table2[[#This Row],[Site]],'Site Info'!$A$1:$C$11,2, FALSE)</f>
        <v>17</v>
      </c>
      <c r="L787">
        <f>VLOOKUP(Table2[[#This Row],[Site]],'Site Info'!$A$1:$C$11,3, FALSE)</f>
        <v>4</v>
      </c>
      <c r="M787" t="str">
        <f>VLOOKUP(Table2[[#This Row],[Species]],'Species Table'!$A$1:$D$68,3, FALSE)</f>
        <v>Annual</v>
      </c>
      <c r="O787" s="15">
        <f>IF(SUMPRODUCT(($A$2:$A787=A787)*($B$2:$B787=B787)*($F$2:$F787=F787))&gt;1,0,1)</f>
        <v>0</v>
      </c>
      <c r="P787" s="15">
        <f>IF(SUMPRODUCT(($A$2:$A787=A787)*($B$2:$B787=B787)*($D$2:$D787=D787))&gt;1,0,1)</f>
        <v>1</v>
      </c>
    </row>
    <row r="788" spans="1:16" x14ac:dyDescent="0.35">
      <c r="A788" t="s">
        <v>99</v>
      </c>
      <c r="B788">
        <v>2006</v>
      </c>
      <c r="C788" t="s">
        <v>92</v>
      </c>
      <c r="D788">
        <v>2.4</v>
      </c>
      <c r="E788">
        <f>INT(Table2[[#This Row],[Transect]])</f>
        <v>2</v>
      </c>
      <c r="F788" t="s">
        <v>12</v>
      </c>
      <c r="G788">
        <v>9</v>
      </c>
      <c r="H788">
        <v>200</v>
      </c>
      <c r="J788">
        <f>Table2[[#This Row],[Hits]]/Table2[[#This Row],[Points]]*100</f>
        <v>4.5</v>
      </c>
      <c r="K788">
        <f>VLOOKUP(Table2[[#This Row],[Site]],'Site Info'!$A$1:$C$11,2, FALSE)</f>
        <v>17</v>
      </c>
      <c r="L788">
        <f>VLOOKUP(Table2[[#This Row],[Site]],'Site Info'!$A$1:$C$11,3, FALSE)</f>
        <v>4</v>
      </c>
      <c r="M788" t="str">
        <f>VLOOKUP(Table2[[#This Row],[Species]],'Species Table'!$A$1:$D$68,3, FALSE)</f>
        <v>Perennial</v>
      </c>
      <c r="O788" s="15">
        <f>IF(SUMPRODUCT(($A$2:$A788=A788)*($B$2:$B788=B788)*($F$2:$F788=F788))&gt;1,0,1)</f>
        <v>0</v>
      </c>
      <c r="P788" s="15">
        <f>IF(SUMPRODUCT(($A$2:$A788=A788)*($B$2:$B788=B788)*($D$2:$D788=D788))&gt;1,0,1)</f>
        <v>0</v>
      </c>
    </row>
    <row r="789" spans="1:16" x14ac:dyDescent="0.35">
      <c r="A789" t="s">
        <v>99</v>
      </c>
      <c r="B789">
        <v>2006</v>
      </c>
      <c r="C789" t="s">
        <v>92</v>
      </c>
      <c r="D789">
        <v>2.4</v>
      </c>
      <c r="E789">
        <f>INT(Table2[[#This Row],[Transect]])</f>
        <v>2</v>
      </c>
      <c r="F789" t="s">
        <v>3</v>
      </c>
      <c r="G789">
        <v>2</v>
      </c>
      <c r="H789">
        <v>200</v>
      </c>
      <c r="J789">
        <f>Table2[[#This Row],[Hits]]/Table2[[#This Row],[Points]]*100</f>
        <v>1</v>
      </c>
      <c r="K789">
        <f>VLOOKUP(Table2[[#This Row],[Site]],'Site Info'!$A$1:$C$11,2, FALSE)</f>
        <v>17</v>
      </c>
      <c r="L789">
        <f>VLOOKUP(Table2[[#This Row],[Site]],'Site Info'!$A$1:$C$11,3, FALSE)</f>
        <v>4</v>
      </c>
      <c r="M789" t="str">
        <f>VLOOKUP(Table2[[#This Row],[Species]],'Species Table'!$A$1:$D$68,3, FALSE)</f>
        <v>Perennial</v>
      </c>
      <c r="O789" s="15">
        <f>IF(SUMPRODUCT(($A$2:$A789=A789)*($B$2:$B789=B789)*($F$2:$F789=F789))&gt;1,0,1)</f>
        <v>0</v>
      </c>
      <c r="P789" s="15">
        <f>IF(SUMPRODUCT(($A$2:$A789=A789)*($B$2:$B789=B789)*($D$2:$D789=D789))&gt;1,0,1)</f>
        <v>0</v>
      </c>
    </row>
    <row r="790" spans="1:16" x14ac:dyDescent="0.35">
      <c r="A790" t="s">
        <v>99</v>
      </c>
      <c r="B790">
        <v>2006</v>
      </c>
      <c r="C790" t="s">
        <v>92</v>
      </c>
      <c r="D790">
        <v>2.4</v>
      </c>
      <c r="E790">
        <f>INT(Table2[[#This Row],[Transect]])</f>
        <v>2</v>
      </c>
      <c r="F790" t="s">
        <v>98</v>
      </c>
      <c r="G790">
        <v>8</v>
      </c>
      <c r="H790">
        <v>200</v>
      </c>
      <c r="J790">
        <f>Table2[[#This Row],[Hits]]/Table2[[#This Row],[Points]]*100</f>
        <v>4</v>
      </c>
      <c r="K790">
        <f>VLOOKUP(Table2[[#This Row],[Site]],'Site Info'!$A$1:$C$11,2, FALSE)</f>
        <v>17</v>
      </c>
      <c r="L790">
        <f>VLOOKUP(Table2[[#This Row],[Site]],'Site Info'!$A$1:$C$11,3, FALSE)</f>
        <v>4</v>
      </c>
      <c r="M790" t="str">
        <f>VLOOKUP(Table2[[#This Row],[Species]],'Species Table'!$A$1:$D$68,3, FALSE)</f>
        <v>Perennial</v>
      </c>
      <c r="O790" s="15">
        <f>IF(SUMPRODUCT(($A$2:$A790=A790)*($B$2:$B790=B790)*($F$2:$F790=F790))&gt;1,0,1)</f>
        <v>1</v>
      </c>
      <c r="P790" s="15">
        <f>IF(SUMPRODUCT(($A$2:$A790=A790)*($B$2:$B790=B790)*($D$2:$D790=D790))&gt;1,0,1)</f>
        <v>0</v>
      </c>
    </row>
    <row r="791" spans="1:16" x14ac:dyDescent="0.35">
      <c r="A791" t="s">
        <v>99</v>
      </c>
      <c r="B791">
        <v>2006</v>
      </c>
      <c r="C791" t="s">
        <v>50</v>
      </c>
      <c r="D791">
        <v>3.1</v>
      </c>
      <c r="E791">
        <f>INT(Table2[[#This Row],[Transect]])</f>
        <v>3</v>
      </c>
      <c r="F791" t="s">
        <v>3</v>
      </c>
      <c r="G791">
        <v>103</v>
      </c>
      <c r="H791">
        <v>200</v>
      </c>
      <c r="J791">
        <f>Table2[[#This Row],[Hits]]/Table2[[#This Row],[Points]]*100</f>
        <v>51.5</v>
      </c>
      <c r="K791">
        <f>VLOOKUP(Table2[[#This Row],[Site]],'Site Info'!$A$1:$C$11,2, FALSE)</f>
        <v>17</v>
      </c>
      <c r="L791">
        <f>VLOOKUP(Table2[[#This Row],[Site]],'Site Info'!$A$1:$C$11,3, FALSE)</f>
        <v>4</v>
      </c>
      <c r="M791" t="str">
        <f>VLOOKUP(Table2[[#This Row],[Species]],'Species Table'!$A$1:$D$68,3, FALSE)</f>
        <v>Perennial</v>
      </c>
      <c r="O791" s="15">
        <f>IF(SUMPRODUCT(($A$2:$A791=A791)*($B$2:$B791=B791)*($F$2:$F791=F791))&gt;1,0,1)</f>
        <v>0</v>
      </c>
      <c r="P791" s="15">
        <f>IF(SUMPRODUCT(($A$2:$A791=A791)*($B$2:$B791=B791)*($D$2:$D791=D791))&gt;1,0,1)</f>
        <v>1</v>
      </c>
    </row>
    <row r="792" spans="1:16" hidden="1" x14ac:dyDescent="0.35">
      <c r="A792" t="s">
        <v>99</v>
      </c>
      <c r="B792">
        <v>2006</v>
      </c>
      <c r="C792" t="s">
        <v>51</v>
      </c>
      <c r="D792">
        <v>3.2</v>
      </c>
      <c r="E792">
        <f>INT(Table2[[#This Row],[Transect]])</f>
        <v>3</v>
      </c>
      <c r="F792" t="s">
        <v>127</v>
      </c>
      <c r="G792">
        <v>0</v>
      </c>
      <c r="H792">
        <v>200</v>
      </c>
      <c r="J792">
        <f>Table2[[#This Row],[Hits]]/Table2[[#This Row],[Points]]*100</f>
        <v>0</v>
      </c>
      <c r="K792">
        <f>VLOOKUP(Table2[[#This Row],[Site]],'Site Info'!$A$1:$C$11,2, FALSE)</f>
        <v>17</v>
      </c>
      <c r="L792">
        <f>VLOOKUP(Table2[[#This Row],[Site]],'Site Info'!$A$1:$C$11,3, FALSE)</f>
        <v>4</v>
      </c>
      <c r="M792" t="str">
        <f>VLOOKUP(Table2[[#This Row],[Species]],'Species Table'!$A$1:$D$68,3, FALSE)</f>
        <v>NA</v>
      </c>
      <c r="O792" s="15">
        <f>IF(SUMPRODUCT(($A$2:$A792=A792)*($B$2:$B792=B792)*($F$2:$F792=F792))&gt;1,0,1)</f>
        <v>1</v>
      </c>
      <c r="P792" s="15">
        <f>IF(SUMPRODUCT(($A$2:$A792=A792)*($B$2:$B792=B792)*($D$2:$D792=D792))&gt;1,0,1)</f>
        <v>1</v>
      </c>
    </row>
    <row r="793" spans="1:16" hidden="1" x14ac:dyDescent="0.35">
      <c r="A793" t="s">
        <v>99</v>
      </c>
      <c r="B793">
        <v>2006</v>
      </c>
      <c r="C793" t="s">
        <v>133</v>
      </c>
      <c r="D793">
        <v>3.3</v>
      </c>
      <c r="E793">
        <f>INT(Table2[[#This Row],[Transect]])</f>
        <v>3</v>
      </c>
      <c r="F793" t="s">
        <v>127</v>
      </c>
      <c r="G793">
        <v>0</v>
      </c>
      <c r="H793">
        <v>33</v>
      </c>
      <c r="J793">
        <f>Table2[[#This Row],[Hits]]/Table2[[#This Row],[Points]]*100</f>
        <v>0</v>
      </c>
      <c r="K793">
        <f>VLOOKUP(Table2[[#This Row],[Site]],'Site Info'!$A$1:$C$11,2, FALSE)</f>
        <v>17</v>
      </c>
      <c r="L793">
        <f>VLOOKUP(Table2[[#This Row],[Site]],'Site Info'!$A$1:$C$11,3, FALSE)</f>
        <v>4</v>
      </c>
      <c r="M793" t="str">
        <f>VLOOKUP(Table2[[#This Row],[Species]],'Species Table'!$A$1:$D$68,3, FALSE)</f>
        <v>NA</v>
      </c>
      <c r="O793" s="15">
        <f>IF(SUMPRODUCT(($A$2:$A793=A793)*($B$2:$B793=B793)*($F$2:$F793=F793))&gt;1,0,1)</f>
        <v>0</v>
      </c>
      <c r="P793" s="15">
        <f>IF(SUMPRODUCT(($A$2:$A793=A793)*($B$2:$B793=B793)*($D$2:$D793=D793))&gt;1,0,1)</f>
        <v>1</v>
      </c>
    </row>
    <row r="794" spans="1:16" x14ac:dyDescent="0.35">
      <c r="A794" t="s">
        <v>99</v>
      </c>
      <c r="B794">
        <v>2012</v>
      </c>
      <c r="C794" t="s">
        <v>37</v>
      </c>
      <c r="D794">
        <v>1.1000000000000001</v>
      </c>
      <c r="E794">
        <f>INT(Table2[[#This Row],[Transect]])</f>
        <v>1</v>
      </c>
      <c r="F794" t="s">
        <v>3</v>
      </c>
      <c r="G794">
        <v>18</v>
      </c>
      <c r="H794">
        <v>200</v>
      </c>
      <c r="J794">
        <f>Table2[[#This Row],[Hits]]/Table2[[#This Row],[Points]]*100</f>
        <v>9</v>
      </c>
      <c r="K794">
        <f>VLOOKUP(Table2[[#This Row],[Site]],'Site Info'!$A$1:$C$11,2, FALSE)</f>
        <v>17</v>
      </c>
      <c r="L794">
        <f>VLOOKUP(Table2[[#This Row],[Site]],'Site Info'!$A$1:$C$11,3, FALSE)</f>
        <v>4</v>
      </c>
      <c r="M794" t="str">
        <f>VLOOKUP(Table2[[#This Row],[Species]],'Species Table'!$A$1:$D$68,3, FALSE)</f>
        <v>Perennial</v>
      </c>
      <c r="O794" s="15">
        <f>IF(SUMPRODUCT(($A$2:$A794=A794)*($B$2:$B794=B794)*($F$2:$F794=F794))&gt;1,0,1)</f>
        <v>1</v>
      </c>
      <c r="P794" s="15">
        <f>IF(SUMPRODUCT(($A$2:$A794=A794)*($B$2:$B794=B794)*($D$2:$D794=D794))&gt;1,0,1)</f>
        <v>1</v>
      </c>
    </row>
    <row r="795" spans="1:16" x14ac:dyDescent="0.35">
      <c r="A795" t="s">
        <v>99</v>
      </c>
      <c r="B795">
        <v>2012</v>
      </c>
      <c r="C795" t="s">
        <v>37</v>
      </c>
      <c r="D795">
        <v>1.1000000000000001</v>
      </c>
      <c r="E795">
        <f>INT(Table2[[#This Row],[Transect]])</f>
        <v>1</v>
      </c>
      <c r="F795" t="s">
        <v>6</v>
      </c>
      <c r="G795">
        <v>2</v>
      </c>
      <c r="H795">
        <v>200</v>
      </c>
      <c r="J795">
        <f>Table2[[#This Row],[Hits]]/Table2[[#This Row],[Points]]*100</f>
        <v>1</v>
      </c>
      <c r="K795">
        <f>VLOOKUP(Table2[[#This Row],[Site]],'Site Info'!$A$1:$C$11,2, FALSE)</f>
        <v>17</v>
      </c>
      <c r="L795">
        <f>VLOOKUP(Table2[[#This Row],[Site]],'Site Info'!$A$1:$C$11,3, FALSE)</f>
        <v>4</v>
      </c>
      <c r="M795" t="str">
        <f>VLOOKUP(Table2[[#This Row],[Species]],'Species Table'!$A$1:$D$68,3, FALSE)</f>
        <v>Perennial</v>
      </c>
      <c r="O795" s="15">
        <f>IF(SUMPRODUCT(($A$2:$A795=A795)*($B$2:$B795=B795)*($F$2:$F795=F795))&gt;1,0,1)</f>
        <v>1</v>
      </c>
      <c r="P795" s="15">
        <f>IF(SUMPRODUCT(($A$2:$A795=A795)*($B$2:$B795=B795)*($D$2:$D795=D795))&gt;1,0,1)</f>
        <v>0</v>
      </c>
    </row>
    <row r="796" spans="1:16" x14ac:dyDescent="0.35">
      <c r="A796" t="s">
        <v>99</v>
      </c>
      <c r="B796">
        <v>2012</v>
      </c>
      <c r="C796" t="s">
        <v>38</v>
      </c>
      <c r="D796">
        <v>1.2</v>
      </c>
      <c r="E796">
        <f>INT(Table2[[#This Row],[Transect]])</f>
        <v>1</v>
      </c>
      <c r="F796" t="s">
        <v>3</v>
      </c>
      <c r="G796">
        <v>14</v>
      </c>
      <c r="H796">
        <v>200</v>
      </c>
      <c r="J796">
        <f>Table2[[#This Row],[Hits]]/Table2[[#This Row],[Points]]*100</f>
        <v>7.0000000000000009</v>
      </c>
      <c r="K796">
        <f>VLOOKUP(Table2[[#This Row],[Site]],'Site Info'!$A$1:$C$11,2, FALSE)</f>
        <v>17</v>
      </c>
      <c r="L796">
        <f>VLOOKUP(Table2[[#This Row],[Site]],'Site Info'!$A$1:$C$11,3, FALSE)</f>
        <v>4</v>
      </c>
      <c r="M796" t="str">
        <f>VLOOKUP(Table2[[#This Row],[Species]],'Species Table'!$A$1:$D$68,3, FALSE)</f>
        <v>Perennial</v>
      </c>
      <c r="O796" s="15">
        <f>IF(SUMPRODUCT(($A$2:$A796=A796)*($B$2:$B796=B796)*($F$2:$F796=F796))&gt;1,0,1)</f>
        <v>0</v>
      </c>
      <c r="P796" s="15">
        <f>IF(SUMPRODUCT(($A$2:$A796=A796)*($B$2:$B796=B796)*($D$2:$D796=D796))&gt;1,0,1)</f>
        <v>1</v>
      </c>
    </row>
    <row r="797" spans="1:16" x14ac:dyDescent="0.35">
      <c r="A797" t="s">
        <v>99</v>
      </c>
      <c r="B797">
        <v>2012</v>
      </c>
      <c r="C797" t="s">
        <v>38</v>
      </c>
      <c r="D797">
        <v>1.2</v>
      </c>
      <c r="E797">
        <f>INT(Table2[[#This Row],[Transect]])</f>
        <v>1</v>
      </c>
      <c r="F797" t="s">
        <v>6</v>
      </c>
      <c r="G797">
        <v>3</v>
      </c>
      <c r="H797">
        <v>200</v>
      </c>
      <c r="J797">
        <f>Table2[[#This Row],[Hits]]/Table2[[#This Row],[Points]]*100</f>
        <v>1.5</v>
      </c>
      <c r="K797">
        <f>VLOOKUP(Table2[[#This Row],[Site]],'Site Info'!$A$1:$C$11,2, FALSE)</f>
        <v>17</v>
      </c>
      <c r="L797">
        <f>VLOOKUP(Table2[[#This Row],[Site]],'Site Info'!$A$1:$C$11,3, FALSE)</f>
        <v>4</v>
      </c>
      <c r="M797" t="str">
        <f>VLOOKUP(Table2[[#This Row],[Species]],'Species Table'!$A$1:$D$68,3, FALSE)</f>
        <v>Perennial</v>
      </c>
      <c r="O797" s="15">
        <f>IF(SUMPRODUCT(($A$2:$A797=A797)*($B$2:$B797=B797)*($F$2:$F797=F797))&gt;1,0,1)</f>
        <v>0</v>
      </c>
      <c r="P797" s="15">
        <f>IF(SUMPRODUCT(($A$2:$A797=A797)*($B$2:$B797=B797)*($D$2:$D797=D797))&gt;1,0,1)</f>
        <v>0</v>
      </c>
    </row>
    <row r="798" spans="1:16" x14ac:dyDescent="0.35">
      <c r="A798" t="s">
        <v>99</v>
      </c>
      <c r="B798">
        <v>2012</v>
      </c>
      <c r="C798" t="s">
        <v>91</v>
      </c>
      <c r="D798">
        <v>1.3</v>
      </c>
      <c r="E798">
        <f>INT(Table2[[#This Row],[Transect]])</f>
        <v>1</v>
      </c>
      <c r="F798" t="s">
        <v>3</v>
      </c>
      <c r="G798">
        <v>2</v>
      </c>
      <c r="H798">
        <v>69</v>
      </c>
      <c r="J798">
        <f>Table2[[#This Row],[Hits]]/Table2[[#This Row],[Points]]*100</f>
        <v>2.8985507246376812</v>
      </c>
      <c r="K798">
        <f>VLOOKUP(Table2[[#This Row],[Site]],'Site Info'!$A$1:$C$11,2, FALSE)</f>
        <v>17</v>
      </c>
      <c r="L798">
        <f>VLOOKUP(Table2[[#This Row],[Site]],'Site Info'!$A$1:$C$11,3, FALSE)</f>
        <v>4</v>
      </c>
      <c r="M798" t="str">
        <f>VLOOKUP(Table2[[#This Row],[Species]],'Species Table'!$A$1:$D$68,3, FALSE)</f>
        <v>Perennial</v>
      </c>
      <c r="O798" s="15">
        <f>IF(SUMPRODUCT(($A$2:$A798=A798)*($B$2:$B798=B798)*($F$2:$F798=F798))&gt;1,0,1)</f>
        <v>0</v>
      </c>
      <c r="P798" s="15">
        <f>IF(SUMPRODUCT(($A$2:$A798=A798)*($B$2:$B798=B798)*($D$2:$D798=D798))&gt;1,0,1)</f>
        <v>1</v>
      </c>
    </row>
    <row r="799" spans="1:16" x14ac:dyDescent="0.35">
      <c r="A799" t="s">
        <v>99</v>
      </c>
      <c r="B799">
        <v>2012</v>
      </c>
      <c r="C799" t="s">
        <v>91</v>
      </c>
      <c r="D799">
        <v>1.3</v>
      </c>
      <c r="E799">
        <f>INT(Table2[[#This Row],[Transect]])</f>
        <v>1</v>
      </c>
      <c r="F799" t="s">
        <v>12</v>
      </c>
      <c r="G799">
        <v>3</v>
      </c>
      <c r="H799">
        <v>69</v>
      </c>
      <c r="J799">
        <f>Table2[[#This Row],[Hits]]/Table2[[#This Row],[Points]]*100</f>
        <v>4.3478260869565215</v>
      </c>
      <c r="K799">
        <f>VLOOKUP(Table2[[#This Row],[Site]],'Site Info'!$A$1:$C$11,2, FALSE)</f>
        <v>17</v>
      </c>
      <c r="L799">
        <f>VLOOKUP(Table2[[#This Row],[Site]],'Site Info'!$A$1:$C$11,3, FALSE)</f>
        <v>4</v>
      </c>
      <c r="M799" t="str">
        <f>VLOOKUP(Table2[[#This Row],[Species]],'Species Table'!$A$1:$D$68,3, FALSE)</f>
        <v>Perennial</v>
      </c>
      <c r="O799" s="15">
        <f>IF(SUMPRODUCT(($A$2:$A799=A799)*($B$2:$B799=B799)*($F$2:$F799=F799))&gt;1,0,1)</f>
        <v>1</v>
      </c>
      <c r="P799" s="15">
        <f>IF(SUMPRODUCT(($A$2:$A799=A799)*($B$2:$B799=B799)*($D$2:$D799=D799))&gt;1,0,1)</f>
        <v>0</v>
      </c>
    </row>
    <row r="800" spans="1:16" x14ac:dyDescent="0.35">
      <c r="A800" t="s">
        <v>99</v>
      </c>
      <c r="B800">
        <v>2012</v>
      </c>
      <c r="C800" t="s">
        <v>43</v>
      </c>
      <c r="D800">
        <v>2.1</v>
      </c>
      <c r="E800">
        <f>INT(Table2[[#This Row],[Transect]])</f>
        <v>2</v>
      </c>
      <c r="F800" t="s">
        <v>3</v>
      </c>
      <c r="G800">
        <v>51</v>
      </c>
      <c r="H800">
        <v>200</v>
      </c>
      <c r="J800">
        <f>Table2[[#This Row],[Hits]]/Table2[[#This Row],[Points]]*100</f>
        <v>25.5</v>
      </c>
      <c r="K800">
        <f>VLOOKUP(Table2[[#This Row],[Site]],'Site Info'!$A$1:$C$11,2, FALSE)</f>
        <v>17</v>
      </c>
      <c r="L800">
        <f>VLOOKUP(Table2[[#This Row],[Site]],'Site Info'!$A$1:$C$11,3, FALSE)</f>
        <v>4</v>
      </c>
      <c r="M800" t="str">
        <f>VLOOKUP(Table2[[#This Row],[Species]],'Species Table'!$A$1:$D$68,3, FALSE)</f>
        <v>Perennial</v>
      </c>
      <c r="O800" s="15">
        <f>IF(SUMPRODUCT(($A$2:$A800=A800)*($B$2:$B800=B800)*($F$2:$F800=F800))&gt;1,0,1)</f>
        <v>0</v>
      </c>
      <c r="P800" s="15">
        <f>IF(SUMPRODUCT(($A$2:$A800=A800)*($B$2:$B800=B800)*($D$2:$D800=D800))&gt;1,0,1)</f>
        <v>1</v>
      </c>
    </row>
    <row r="801" spans="1:16" x14ac:dyDescent="0.35">
      <c r="A801" t="s">
        <v>99</v>
      </c>
      <c r="B801">
        <v>2012</v>
      </c>
      <c r="C801" t="s">
        <v>44</v>
      </c>
      <c r="D801">
        <v>2.2000000000000002</v>
      </c>
      <c r="E801">
        <f>INT(Table2[[#This Row],[Transect]])</f>
        <v>2</v>
      </c>
      <c r="F801" t="s">
        <v>3</v>
      </c>
      <c r="G801">
        <v>42</v>
      </c>
      <c r="H801">
        <v>200</v>
      </c>
      <c r="J801">
        <f>Table2[[#This Row],[Hits]]/Table2[[#This Row],[Points]]*100</f>
        <v>21</v>
      </c>
      <c r="K801">
        <f>VLOOKUP(Table2[[#This Row],[Site]],'Site Info'!$A$1:$C$11,2, FALSE)</f>
        <v>17</v>
      </c>
      <c r="L801">
        <f>VLOOKUP(Table2[[#This Row],[Site]],'Site Info'!$A$1:$C$11,3, FALSE)</f>
        <v>4</v>
      </c>
      <c r="M801" t="str">
        <f>VLOOKUP(Table2[[#This Row],[Species]],'Species Table'!$A$1:$D$68,3, FALSE)</f>
        <v>Perennial</v>
      </c>
      <c r="O801" s="15">
        <f>IF(SUMPRODUCT(($A$2:$A801=A801)*($B$2:$B801=B801)*($F$2:$F801=F801))&gt;1,0,1)</f>
        <v>0</v>
      </c>
      <c r="P801" s="15">
        <f>IF(SUMPRODUCT(($A$2:$A801=A801)*($B$2:$B801=B801)*($D$2:$D801=D801))&gt;1,0,1)</f>
        <v>1</v>
      </c>
    </row>
    <row r="802" spans="1:16" x14ac:dyDescent="0.35">
      <c r="A802" t="s">
        <v>99</v>
      </c>
      <c r="B802">
        <v>2012</v>
      </c>
      <c r="C802" t="s">
        <v>44</v>
      </c>
      <c r="D802">
        <v>2.2000000000000002</v>
      </c>
      <c r="E802">
        <f>INT(Table2[[#This Row],[Transect]])</f>
        <v>2</v>
      </c>
      <c r="F802" t="s">
        <v>97</v>
      </c>
      <c r="G802">
        <v>1</v>
      </c>
      <c r="H802">
        <v>200</v>
      </c>
      <c r="J802">
        <f>Table2[[#This Row],[Hits]]/Table2[[#This Row],[Points]]*100</f>
        <v>0.5</v>
      </c>
      <c r="K802">
        <f>VLOOKUP(Table2[[#This Row],[Site]],'Site Info'!$A$1:$C$11,2, FALSE)</f>
        <v>17</v>
      </c>
      <c r="L802">
        <f>VLOOKUP(Table2[[#This Row],[Site]],'Site Info'!$A$1:$C$11,3, FALSE)</f>
        <v>4</v>
      </c>
      <c r="M802" t="str">
        <f>VLOOKUP(Table2[[#This Row],[Species]],'Species Table'!$A$1:$D$68,3, FALSE)</f>
        <v>Perennial</v>
      </c>
      <c r="O802" s="15">
        <f>IF(SUMPRODUCT(($A$2:$A802=A802)*($B$2:$B802=B802)*($F$2:$F802=F802))&gt;1,0,1)</f>
        <v>1</v>
      </c>
      <c r="P802" s="15">
        <f>IF(SUMPRODUCT(($A$2:$A802=A802)*($B$2:$B802=B802)*($D$2:$D802=D802))&gt;1,0,1)</f>
        <v>0</v>
      </c>
    </row>
    <row r="803" spans="1:16" x14ac:dyDescent="0.35">
      <c r="A803" t="s">
        <v>99</v>
      </c>
      <c r="B803">
        <v>2012</v>
      </c>
      <c r="C803" t="s">
        <v>45</v>
      </c>
      <c r="D803">
        <v>2.2999999999999998</v>
      </c>
      <c r="E803">
        <f>INT(Table2[[#This Row],[Transect]])</f>
        <v>2</v>
      </c>
      <c r="F803" t="s">
        <v>3</v>
      </c>
      <c r="G803">
        <v>12</v>
      </c>
      <c r="H803">
        <v>200</v>
      </c>
      <c r="J803">
        <f>Table2[[#This Row],[Hits]]/Table2[[#This Row],[Points]]*100</f>
        <v>6</v>
      </c>
      <c r="K803">
        <f>VLOOKUP(Table2[[#This Row],[Site]],'Site Info'!$A$1:$C$11,2, FALSE)</f>
        <v>17</v>
      </c>
      <c r="L803">
        <f>VLOOKUP(Table2[[#This Row],[Site]],'Site Info'!$A$1:$C$11,3, FALSE)</f>
        <v>4</v>
      </c>
      <c r="M803" t="str">
        <f>VLOOKUP(Table2[[#This Row],[Species]],'Species Table'!$A$1:$D$68,3, FALSE)</f>
        <v>Perennial</v>
      </c>
      <c r="O803" s="15">
        <f>IF(SUMPRODUCT(($A$2:$A803=A803)*($B$2:$B803=B803)*($F$2:$F803=F803))&gt;1,0,1)</f>
        <v>0</v>
      </c>
      <c r="P803" s="15">
        <f>IF(SUMPRODUCT(($A$2:$A803=A803)*($B$2:$B803=B803)*($D$2:$D803=D803))&gt;1,0,1)</f>
        <v>1</v>
      </c>
    </row>
    <row r="804" spans="1:16" x14ac:dyDescent="0.35">
      <c r="A804" t="s">
        <v>99</v>
      </c>
      <c r="B804">
        <v>2012</v>
      </c>
      <c r="C804" t="s">
        <v>45</v>
      </c>
      <c r="D804">
        <v>2.2999999999999998</v>
      </c>
      <c r="E804">
        <f>INT(Table2[[#This Row],[Transect]])</f>
        <v>2</v>
      </c>
      <c r="F804" t="s">
        <v>12</v>
      </c>
      <c r="G804">
        <v>9</v>
      </c>
      <c r="H804">
        <v>200</v>
      </c>
      <c r="J804">
        <f>Table2[[#This Row],[Hits]]/Table2[[#This Row],[Points]]*100</f>
        <v>4.5</v>
      </c>
      <c r="K804">
        <f>VLOOKUP(Table2[[#This Row],[Site]],'Site Info'!$A$1:$C$11,2, FALSE)</f>
        <v>17</v>
      </c>
      <c r="L804">
        <f>VLOOKUP(Table2[[#This Row],[Site]],'Site Info'!$A$1:$C$11,3, FALSE)</f>
        <v>4</v>
      </c>
      <c r="M804" t="str">
        <f>VLOOKUP(Table2[[#This Row],[Species]],'Species Table'!$A$1:$D$68,3, FALSE)</f>
        <v>Perennial</v>
      </c>
      <c r="O804" s="15">
        <f>IF(SUMPRODUCT(($A$2:$A804=A804)*($B$2:$B804=B804)*($F$2:$F804=F804))&gt;1,0,1)</f>
        <v>0</v>
      </c>
      <c r="P804" s="15">
        <f>IF(SUMPRODUCT(($A$2:$A804=A804)*($B$2:$B804=B804)*($D$2:$D804=D804))&gt;1,0,1)</f>
        <v>0</v>
      </c>
    </row>
    <row r="805" spans="1:16" x14ac:dyDescent="0.35">
      <c r="A805" t="s">
        <v>99</v>
      </c>
      <c r="B805">
        <v>2012</v>
      </c>
      <c r="C805" t="s">
        <v>45</v>
      </c>
      <c r="D805">
        <v>2.2999999999999998</v>
      </c>
      <c r="E805">
        <f>INT(Table2[[#This Row],[Transect]])</f>
        <v>2</v>
      </c>
      <c r="F805" t="s">
        <v>6</v>
      </c>
      <c r="G805">
        <v>2</v>
      </c>
      <c r="H805">
        <v>200</v>
      </c>
      <c r="J805">
        <f>Table2[[#This Row],[Hits]]/Table2[[#This Row],[Points]]*100</f>
        <v>1</v>
      </c>
      <c r="K805">
        <f>VLOOKUP(Table2[[#This Row],[Site]],'Site Info'!$A$1:$C$11,2, FALSE)</f>
        <v>17</v>
      </c>
      <c r="L805">
        <f>VLOOKUP(Table2[[#This Row],[Site]],'Site Info'!$A$1:$C$11,3, FALSE)</f>
        <v>4</v>
      </c>
      <c r="M805" t="str">
        <f>VLOOKUP(Table2[[#This Row],[Species]],'Species Table'!$A$1:$D$68,3, FALSE)</f>
        <v>Perennial</v>
      </c>
      <c r="O805" s="15">
        <f>IF(SUMPRODUCT(($A$2:$A805=A805)*($B$2:$B805=B805)*($F$2:$F805=F805))&gt;1,0,1)</f>
        <v>0</v>
      </c>
      <c r="P805" s="15">
        <f>IF(SUMPRODUCT(($A$2:$A805=A805)*($B$2:$B805=B805)*($D$2:$D805=D805))&gt;1,0,1)</f>
        <v>0</v>
      </c>
    </row>
    <row r="806" spans="1:16" x14ac:dyDescent="0.35">
      <c r="A806" t="s">
        <v>99</v>
      </c>
      <c r="B806">
        <v>2012</v>
      </c>
      <c r="C806" t="s">
        <v>92</v>
      </c>
      <c r="D806">
        <v>2.4</v>
      </c>
      <c r="E806">
        <f>INT(Table2[[#This Row],[Transect]])</f>
        <v>2</v>
      </c>
      <c r="F806" t="s">
        <v>3</v>
      </c>
      <c r="G806">
        <v>3</v>
      </c>
      <c r="H806">
        <v>200</v>
      </c>
      <c r="J806">
        <f>Table2[[#This Row],[Hits]]/Table2[[#This Row],[Points]]*100</f>
        <v>1.5</v>
      </c>
      <c r="K806">
        <f>VLOOKUP(Table2[[#This Row],[Site]],'Site Info'!$A$1:$C$11,2, FALSE)</f>
        <v>17</v>
      </c>
      <c r="L806">
        <f>VLOOKUP(Table2[[#This Row],[Site]],'Site Info'!$A$1:$C$11,3, FALSE)</f>
        <v>4</v>
      </c>
      <c r="M806" t="str">
        <f>VLOOKUP(Table2[[#This Row],[Species]],'Species Table'!$A$1:$D$68,3, FALSE)</f>
        <v>Perennial</v>
      </c>
      <c r="O806" s="15">
        <f>IF(SUMPRODUCT(($A$2:$A806=A806)*($B$2:$B806=B806)*($F$2:$F806=F806))&gt;1,0,1)</f>
        <v>0</v>
      </c>
      <c r="P806" s="15">
        <f>IF(SUMPRODUCT(($A$2:$A806=A806)*($B$2:$B806=B806)*($D$2:$D806=D806))&gt;1,0,1)</f>
        <v>1</v>
      </c>
    </row>
    <row r="807" spans="1:16" x14ac:dyDescent="0.35">
      <c r="A807" t="s">
        <v>99</v>
      </c>
      <c r="B807">
        <v>2012</v>
      </c>
      <c r="C807" t="s">
        <v>92</v>
      </c>
      <c r="D807">
        <v>2.4</v>
      </c>
      <c r="E807">
        <f>INT(Table2[[#This Row],[Transect]])</f>
        <v>2</v>
      </c>
      <c r="F807" t="s">
        <v>12</v>
      </c>
      <c r="G807">
        <v>14</v>
      </c>
      <c r="H807">
        <v>200</v>
      </c>
      <c r="J807">
        <f>Table2[[#This Row],[Hits]]/Table2[[#This Row],[Points]]*100</f>
        <v>7.0000000000000009</v>
      </c>
      <c r="K807">
        <f>VLOOKUP(Table2[[#This Row],[Site]],'Site Info'!$A$1:$C$11,2, FALSE)</f>
        <v>17</v>
      </c>
      <c r="L807">
        <f>VLOOKUP(Table2[[#This Row],[Site]],'Site Info'!$A$1:$C$11,3, FALSE)</f>
        <v>4</v>
      </c>
      <c r="M807" t="str">
        <f>VLOOKUP(Table2[[#This Row],[Species]],'Species Table'!$A$1:$D$68,3, FALSE)</f>
        <v>Perennial</v>
      </c>
      <c r="O807" s="15">
        <f>IF(SUMPRODUCT(($A$2:$A807=A807)*($B$2:$B807=B807)*($F$2:$F807=F807))&gt;1,0,1)</f>
        <v>0</v>
      </c>
      <c r="P807" s="15">
        <f>IF(SUMPRODUCT(($A$2:$A807=A807)*($B$2:$B807=B807)*($D$2:$D807=D807))&gt;1,0,1)</f>
        <v>0</v>
      </c>
    </row>
    <row r="808" spans="1:16" x14ac:dyDescent="0.35">
      <c r="A808" t="s">
        <v>99</v>
      </c>
      <c r="B808">
        <v>2012</v>
      </c>
      <c r="C808" t="s">
        <v>92</v>
      </c>
      <c r="D808">
        <v>2.4</v>
      </c>
      <c r="E808">
        <f>INT(Table2[[#This Row],[Transect]])</f>
        <v>2</v>
      </c>
      <c r="F808" t="s">
        <v>98</v>
      </c>
      <c r="G808">
        <v>6</v>
      </c>
      <c r="H808">
        <v>200</v>
      </c>
      <c r="J808">
        <f>Table2[[#This Row],[Hits]]/Table2[[#This Row],[Points]]*100</f>
        <v>3</v>
      </c>
      <c r="K808">
        <f>VLOOKUP(Table2[[#This Row],[Site]],'Site Info'!$A$1:$C$11,2, FALSE)</f>
        <v>17</v>
      </c>
      <c r="L808">
        <f>VLOOKUP(Table2[[#This Row],[Site]],'Site Info'!$A$1:$C$11,3, FALSE)</f>
        <v>4</v>
      </c>
      <c r="M808" t="str">
        <f>VLOOKUP(Table2[[#This Row],[Species]],'Species Table'!$A$1:$D$68,3, FALSE)</f>
        <v>Perennial</v>
      </c>
      <c r="O808" s="15">
        <f>IF(SUMPRODUCT(($A$2:$A808=A808)*($B$2:$B808=B808)*($F$2:$F808=F808))&gt;1,0,1)</f>
        <v>1</v>
      </c>
      <c r="P808" s="15">
        <f>IF(SUMPRODUCT(($A$2:$A808=A808)*($B$2:$B808=B808)*($D$2:$D808=D808))&gt;1,0,1)</f>
        <v>0</v>
      </c>
    </row>
    <row r="809" spans="1:16" x14ac:dyDescent="0.35">
      <c r="A809" t="s">
        <v>99</v>
      </c>
      <c r="B809">
        <v>2012</v>
      </c>
      <c r="C809" t="s">
        <v>50</v>
      </c>
      <c r="D809">
        <v>3.1</v>
      </c>
      <c r="E809">
        <f>INT(Table2[[#This Row],[Transect]])</f>
        <v>3</v>
      </c>
      <c r="F809" t="s">
        <v>3</v>
      </c>
      <c r="G809">
        <v>80</v>
      </c>
      <c r="H809">
        <v>200</v>
      </c>
      <c r="J809">
        <f>Table2[[#This Row],[Hits]]/Table2[[#This Row],[Points]]*100</f>
        <v>40</v>
      </c>
      <c r="K809">
        <f>VLOOKUP(Table2[[#This Row],[Site]],'Site Info'!$A$1:$C$11,2, FALSE)</f>
        <v>17</v>
      </c>
      <c r="L809">
        <f>VLOOKUP(Table2[[#This Row],[Site]],'Site Info'!$A$1:$C$11,3, FALSE)</f>
        <v>4</v>
      </c>
      <c r="M809" t="str">
        <f>VLOOKUP(Table2[[#This Row],[Species]],'Species Table'!$A$1:$D$68,3, FALSE)</f>
        <v>Perennial</v>
      </c>
      <c r="O809" s="15">
        <f>IF(SUMPRODUCT(($A$2:$A809=A809)*($B$2:$B809=B809)*($F$2:$F809=F809))&gt;1,0,1)</f>
        <v>0</v>
      </c>
      <c r="P809" s="15">
        <f>IF(SUMPRODUCT(($A$2:$A809=A809)*($B$2:$B809=B809)*($D$2:$D809=D809))&gt;1,0,1)</f>
        <v>1</v>
      </c>
    </row>
    <row r="810" spans="1:16" x14ac:dyDescent="0.35">
      <c r="A810" t="s">
        <v>99</v>
      </c>
      <c r="B810">
        <v>2012</v>
      </c>
      <c r="C810" t="s">
        <v>51</v>
      </c>
      <c r="D810">
        <v>3.2</v>
      </c>
      <c r="E810">
        <f>INT(Table2[[#This Row],[Transect]])</f>
        <v>3</v>
      </c>
      <c r="F810" t="s">
        <v>3</v>
      </c>
      <c r="G810">
        <v>5</v>
      </c>
      <c r="H810">
        <v>200</v>
      </c>
      <c r="J810">
        <f>Table2[[#This Row],[Hits]]/Table2[[#This Row],[Points]]*100</f>
        <v>2.5</v>
      </c>
      <c r="K810">
        <f>VLOOKUP(Table2[[#This Row],[Site]],'Site Info'!$A$1:$C$11,2, FALSE)</f>
        <v>17</v>
      </c>
      <c r="L810">
        <f>VLOOKUP(Table2[[#This Row],[Site]],'Site Info'!$A$1:$C$11,3, FALSE)</f>
        <v>4</v>
      </c>
      <c r="M810" t="str">
        <f>VLOOKUP(Table2[[#This Row],[Species]],'Species Table'!$A$1:$D$68,3, FALSE)</f>
        <v>Perennial</v>
      </c>
      <c r="O810" s="15">
        <f>IF(SUMPRODUCT(($A$2:$A810=A810)*($B$2:$B810=B810)*($F$2:$F810=F810))&gt;1,0,1)</f>
        <v>0</v>
      </c>
      <c r="P810" s="15">
        <f>IF(SUMPRODUCT(($A$2:$A810=A810)*($B$2:$B810=B810)*($D$2:$D810=D810))&gt;1,0,1)</f>
        <v>1</v>
      </c>
    </row>
    <row r="811" spans="1:16" hidden="1" x14ac:dyDescent="0.35">
      <c r="A811" t="s">
        <v>99</v>
      </c>
      <c r="B811">
        <v>2012</v>
      </c>
      <c r="C811" t="s">
        <v>133</v>
      </c>
      <c r="D811">
        <v>3.3</v>
      </c>
      <c r="E811">
        <f>INT(Table2[[#This Row],[Transect]])</f>
        <v>3</v>
      </c>
      <c r="F811" t="s">
        <v>127</v>
      </c>
      <c r="G811">
        <v>0</v>
      </c>
      <c r="H811">
        <v>33</v>
      </c>
      <c r="J811">
        <f>Table2[[#This Row],[Hits]]/Table2[[#This Row],[Points]]*100</f>
        <v>0</v>
      </c>
      <c r="K811">
        <f>VLOOKUP(Table2[[#This Row],[Site]],'Site Info'!$A$1:$C$11,2, FALSE)</f>
        <v>17</v>
      </c>
      <c r="L811">
        <f>VLOOKUP(Table2[[#This Row],[Site]],'Site Info'!$A$1:$C$11,3, FALSE)</f>
        <v>4</v>
      </c>
      <c r="M811" t="str">
        <f>VLOOKUP(Table2[[#This Row],[Species]],'Species Table'!$A$1:$D$68,3, FALSE)</f>
        <v>NA</v>
      </c>
      <c r="O811" s="15">
        <f>IF(SUMPRODUCT(($A$2:$A811=A811)*($B$2:$B811=B811)*($F$2:$F811=F811))&gt;1,0,1)</f>
        <v>1</v>
      </c>
      <c r="P811" s="15">
        <f>IF(SUMPRODUCT(($A$2:$A811=A811)*($B$2:$B811=B811)*($D$2:$D811=D811))&gt;1,0,1)</f>
        <v>1</v>
      </c>
    </row>
    <row r="812" spans="1:16" x14ac:dyDescent="0.35">
      <c r="A812" t="s">
        <v>105</v>
      </c>
      <c r="B812">
        <v>2001</v>
      </c>
      <c r="C812" t="s">
        <v>50</v>
      </c>
      <c r="D812" s="6">
        <v>3.1</v>
      </c>
      <c r="E812" s="6">
        <f>INT(Table2[[#This Row],[Transect]])</f>
        <v>3</v>
      </c>
      <c r="F812" s="1" t="s">
        <v>11</v>
      </c>
      <c r="G812">
        <v>1</v>
      </c>
      <c r="H812">
        <f t="shared" ref="H812:H822" si="4">I812*2</f>
        <v>200</v>
      </c>
      <c r="I812">
        <v>100</v>
      </c>
      <c r="J812">
        <f>Table2[[#This Row],[Hits]]/Table2[[#This Row],[Points]]*100</f>
        <v>0.5</v>
      </c>
      <c r="K812">
        <f>VLOOKUP(Table2[[#This Row],[Site]],'Site Info'!$A$1:$C$11,2, FALSE)</f>
        <v>17</v>
      </c>
      <c r="L812">
        <f>VLOOKUP(Table2[[#This Row],[Site]],'Site Info'!$A$1:$C$11,3, FALSE)</f>
        <v>4</v>
      </c>
      <c r="M812" t="str">
        <f>VLOOKUP(Table2[[#This Row],[Species]],'Species Table'!$A$1:$D$68,3, FALSE)</f>
        <v>Perennial</v>
      </c>
      <c r="O812" s="15">
        <f>IF(SUMPRODUCT(($A$2:$A812=A812)*($B$2:$B812=B812)*($F$2:$F812=F812))&gt;1,0,1)</f>
        <v>1</v>
      </c>
      <c r="P812" s="15">
        <f>IF(SUMPRODUCT(($A$2:$A812=A812)*($B$2:$B812=B812)*($D$2:$D812=D812))&gt;1,0,1)</f>
        <v>1</v>
      </c>
    </row>
    <row r="813" spans="1:16" x14ac:dyDescent="0.35">
      <c r="A813" t="s">
        <v>105</v>
      </c>
      <c r="B813">
        <v>2001</v>
      </c>
      <c r="C813" t="s">
        <v>51</v>
      </c>
      <c r="D813" s="6">
        <v>3.2</v>
      </c>
      <c r="E813" s="6">
        <f>INT(Table2[[#This Row],[Transect]])</f>
        <v>3</v>
      </c>
      <c r="F813" s="1" t="s">
        <v>31</v>
      </c>
      <c r="G813">
        <v>2</v>
      </c>
      <c r="H813">
        <f t="shared" si="4"/>
        <v>200</v>
      </c>
      <c r="I813">
        <v>100</v>
      </c>
      <c r="J813">
        <f>Table2[[#This Row],[Hits]]/Table2[[#This Row],[Points]]*100</f>
        <v>1</v>
      </c>
      <c r="K813">
        <f>VLOOKUP(Table2[[#This Row],[Site]],'Site Info'!$A$1:$C$11,2, FALSE)</f>
        <v>17</v>
      </c>
      <c r="L813">
        <f>VLOOKUP(Table2[[#This Row],[Site]],'Site Info'!$A$1:$C$11,3, FALSE)</f>
        <v>4</v>
      </c>
      <c r="M813" t="str">
        <f>VLOOKUP(Table2[[#This Row],[Species]],'Species Table'!$A$1:$D$68,3, FALSE)</f>
        <v>Perennial</v>
      </c>
      <c r="O813" s="15">
        <f>IF(SUMPRODUCT(($A$2:$A813=A813)*($B$2:$B813=B813)*($F$2:$F813=F813))&gt;1,0,1)</f>
        <v>1</v>
      </c>
      <c r="P813" s="15">
        <f>IF(SUMPRODUCT(($A$2:$A813=A813)*($B$2:$B813=B813)*($D$2:$D813=D813))&gt;1,0,1)</f>
        <v>1</v>
      </c>
    </row>
    <row r="814" spans="1:16" x14ac:dyDescent="0.35">
      <c r="A814" t="s">
        <v>105</v>
      </c>
      <c r="B814">
        <v>2001</v>
      </c>
      <c r="C814" t="s">
        <v>51</v>
      </c>
      <c r="D814" s="6">
        <v>3.2</v>
      </c>
      <c r="E814" s="6">
        <f>INT(Table2[[#This Row],[Transect]])</f>
        <v>3</v>
      </c>
      <c r="F814" s="1" t="s">
        <v>11</v>
      </c>
      <c r="G814">
        <v>11</v>
      </c>
      <c r="H814">
        <f t="shared" si="4"/>
        <v>200</v>
      </c>
      <c r="I814">
        <v>100</v>
      </c>
      <c r="J814">
        <f>Table2[[#This Row],[Hits]]/Table2[[#This Row],[Points]]*100</f>
        <v>5.5</v>
      </c>
      <c r="K814">
        <f>VLOOKUP(Table2[[#This Row],[Site]],'Site Info'!$A$1:$C$11,2, FALSE)</f>
        <v>17</v>
      </c>
      <c r="L814">
        <f>VLOOKUP(Table2[[#This Row],[Site]],'Site Info'!$A$1:$C$11,3, FALSE)</f>
        <v>4</v>
      </c>
      <c r="M814" t="str">
        <f>VLOOKUP(Table2[[#This Row],[Species]],'Species Table'!$A$1:$D$68,3, FALSE)</f>
        <v>Perennial</v>
      </c>
      <c r="O814" s="15">
        <f>IF(SUMPRODUCT(($A$2:$A814=A814)*($B$2:$B814=B814)*($F$2:$F814=F814))&gt;1,0,1)</f>
        <v>0</v>
      </c>
      <c r="P814" s="15">
        <f>IF(SUMPRODUCT(($A$2:$A814=A814)*($B$2:$B814=B814)*($D$2:$D814=D814))&gt;1,0,1)</f>
        <v>0</v>
      </c>
    </row>
    <row r="815" spans="1:16" x14ac:dyDescent="0.35">
      <c r="A815" t="s">
        <v>105</v>
      </c>
      <c r="B815">
        <v>2001</v>
      </c>
      <c r="C815" t="s">
        <v>52</v>
      </c>
      <c r="D815" s="6">
        <v>3.3</v>
      </c>
      <c r="E815" s="6">
        <f>INT(Table2[[#This Row],[Transect]])</f>
        <v>3</v>
      </c>
      <c r="F815" s="1" t="s">
        <v>11</v>
      </c>
      <c r="G815">
        <v>1</v>
      </c>
      <c r="H815">
        <f t="shared" si="4"/>
        <v>200</v>
      </c>
      <c r="I815">
        <v>100</v>
      </c>
      <c r="J815">
        <f>Table2[[#This Row],[Hits]]/Table2[[#This Row],[Points]]*100</f>
        <v>0.5</v>
      </c>
      <c r="K815">
        <f>VLOOKUP(Table2[[#This Row],[Site]],'Site Info'!$A$1:$C$11,2, FALSE)</f>
        <v>17</v>
      </c>
      <c r="L815">
        <f>VLOOKUP(Table2[[#This Row],[Site]],'Site Info'!$A$1:$C$11,3, FALSE)</f>
        <v>4</v>
      </c>
      <c r="M815" t="str">
        <f>VLOOKUP(Table2[[#This Row],[Species]],'Species Table'!$A$1:$D$68,3, FALSE)</f>
        <v>Perennial</v>
      </c>
      <c r="O815" s="15">
        <f>IF(SUMPRODUCT(($A$2:$A815=A815)*($B$2:$B815=B815)*($F$2:$F815=F815))&gt;1,0,1)</f>
        <v>0</v>
      </c>
      <c r="P815" s="15">
        <f>IF(SUMPRODUCT(($A$2:$A815=A815)*($B$2:$B815=B815)*($D$2:$D815=D815))&gt;1,0,1)</f>
        <v>1</v>
      </c>
    </row>
    <row r="816" spans="1:16" x14ac:dyDescent="0.35">
      <c r="A816" t="s">
        <v>105</v>
      </c>
      <c r="B816">
        <v>2001</v>
      </c>
      <c r="C816" t="s">
        <v>101</v>
      </c>
      <c r="D816" s="6">
        <v>3.4</v>
      </c>
      <c r="E816" s="6">
        <f>INT(Table2[[#This Row],[Transect]])</f>
        <v>3</v>
      </c>
      <c r="F816" s="1" t="s">
        <v>11</v>
      </c>
      <c r="G816">
        <v>18</v>
      </c>
      <c r="H816">
        <f t="shared" si="4"/>
        <v>200</v>
      </c>
      <c r="I816">
        <v>100</v>
      </c>
      <c r="J816">
        <f>Table2[[#This Row],[Hits]]/Table2[[#This Row],[Points]]*100</f>
        <v>9</v>
      </c>
      <c r="K816">
        <f>VLOOKUP(Table2[[#This Row],[Site]],'Site Info'!$A$1:$C$11,2, FALSE)</f>
        <v>17</v>
      </c>
      <c r="L816">
        <f>VLOOKUP(Table2[[#This Row],[Site]],'Site Info'!$A$1:$C$11,3, FALSE)</f>
        <v>4</v>
      </c>
      <c r="M816" t="str">
        <f>VLOOKUP(Table2[[#This Row],[Species]],'Species Table'!$A$1:$D$68,3, FALSE)</f>
        <v>Perennial</v>
      </c>
      <c r="O816" s="15">
        <f>IF(SUMPRODUCT(($A$2:$A816=A816)*($B$2:$B816=B816)*($F$2:$F816=F816))&gt;1,0,1)</f>
        <v>0</v>
      </c>
      <c r="P816" s="15">
        <f>IF(SUMPRODUCT(($A$2:$A816=A816)*($B$2:$B816=B816)*($D$2:$D816=D816))&gt;1,0,1)</f>
        <v>1</v>
      </c>
    </row>
    <row r="817" spans="1:16" x14ac:dyDescent="0.35">
      <c r="A817" t="s">
        <v>105</v>
      </c>
      <c r="B817">
        <v>2001</v>
      </c>
      <c r="C817" t="s">
        <v>102</v>
      </c>
      <c r="D817" s="6">
        <v>3.5</v>
      </c>
      <c r="E817" s="6">
        <f>INT(Table2[[#This Row],[Transect]])</f>
        <v>3</v>
      </c>
      <c r="F817" s="1" t="s">
        <v>11</v>
      </c>
      <c r="G817">
        <v>4</v>
      </c>
      <c r="H817">
        <f>I817*2</f>
        <v>200</v>
      </c>
      <c r="I817">
        <v>100</v>
      </c>
      <c r="J817">
        <f>Table2[[#This Row],[Hits]]/Table2[[#This Row],[Points]]*100</f>
        <v>2</v>
      </c>
      <c r="K817">
        <f>VLOOKUP(Table2[[#This Row],[Site]],'Site Info'!$A$1:$C$11,2, FALSE)</f>
        <v>17</v>
      </c>
      <c r="L817">
        <f>VLOOKUP(Table2[[#This Row],[Site]],'Site Info'!$A$1:$C$11,3, FALSE)</f>
        <v>4</v>
      </c>
      <c r="M817" t="str">
        <f>VLOOKUP(Table2[[#This Row],[Species]],'Species Table'!$A$1:$D$68,3, FALSE)</f>
        <v>Perennial</v>
      </c>
      <c r="O817" s="15">
        <f>IF(SUMPRODUCT(($A$2:$A817=A817)*($B$2:$B817=B817)*($F$2:$F817=F817))&gt;1,0,1)</f>
        <v>0</v>
      </c>
      <c r="P817" s="15">
        <f>IF(SUMPRODUCT(($A$2:$A817=A817)*($B$2:$B817=B817)*($D$2:$D817=D817))&gt;1,0,1)</f>
        <v>1</v>
      </c>
    </row>
    <row r="818" spans="1:16" x14ac:dyDescent="0.35">
      <c r="A818" t="s">
        <v>105</v>
      </c>
      <c r="B818">
        <v>2001</v>
      </c>
      <c r="C818" t="s">
        <v>53</v>
      </c>
      <c r="D818" s="6">
        <v>3.6</v>
      </c>
      <c r="E818" s="6">
        <f>INT(Table2[[#This Row],[Transect]])</f>
        <v>3</v>
      </c>
      <c r="F818" s="1" t="s">
        <v>3</v>
      </c>
      <c r="G818">
        <v>11</v>
      </c>
      <c r="H818">
        <f>I818*2</f>
        <v>200</v>
      </c>
      <c r="I818">
        <v>100</v>
      </c>
      <c r="J818">
        <f>Table2[[#This Row],[Hits]]/Table2[[#This Row],[Points]]*100</f>
        <v>5.5</v>
      </c>
      <c r="K818">
        <f>VLOOKUP(Table2[[#This Row],[Site]],'Site Info'!$A$1:$C$11,2, FALSE)</f>
        <v>17</v>
      </c>
      <c r="L818">
        <f>VLOOKUP(Table2[[#This Row],[Site]],'Site Info'!$A$1:$C$11,3, FALSE)</f>
        <v>4</v>
      </c>
      <c r="M818" t="str">
        <f>VLOOKUP(Table2[[#This Row],[Species]],'Species Table'!$A$1:$D$68,3, FALSE)</f>
        <v>Perennial</v>
      </c>
      <c r="O818" s="15">
        <f>IF(SUMPRODUCT(($A$2:$A818=A818)*($B$2:$B818=B818)*($F$2:$F818=F818))&gt;1,0,1)</f>
        <v>1</v>
      </c>
      <c r="P818" s="15">
        <f>IF(SUMPRODUCT(($A$2:$A818=A818)*($B$2:$B818=B818)*($D$2:$D818=D818))&gt;1,0,1)</f>
        <v>1</v>
      </c>
    </row>
    <row r="819" spans="1:16" x14ac:dyDescent="0.35">
      <c r="A819" t="s">
        <v>105</v>
      </c>
      <c r="B819">
        <v>2001</v>
      </c>
      <c r="C819" t="s">
        <v>54</v>
      </c>
      <c r="D819" s="6">
        <v>3.7</v>
      </c>
      <c r="E819" s="6">
        <f>INT(Table2[[#This Row],[Transect]])</f>
        <v>3</v>
      </c>
      <c r="F819" s="1" t="s">
        <v>3</v>
      </c>
      <c r="G819">
        <v>6</v>
      </c>
      <c r="H819">
        <f>I819*2</f>
        <v>46</v>
      </c>
      <c r="I819">
        <v>23</v>
      </c>
      <c r="J819">
        <f>Table2[[#This Row],[Hits]]/Table2[[#This Row],[Points]]*100</f>
        <v>13.043478260869565</v>
      </c>
      <c r="K819">
        <f>VLOOKUP(Table2[[#This Row],[Site]],'Site Info'!$A$1:$C$11,2, FALSE)</f>
        <v>17</v>
      </c>
      <c r="L819">
        <f>VLOOKUP(Table2[[#This Row],[Site]],'Site Info'!$A$1:$C$11,3, FALSE)</f>
        <v>4</v>
      </c>
      <c r="M819" t="str">
        <f>VLOOKUP(Table2[[#This Row],[Species]],'Species Table'!$A$1:$D$68,3, FALSE)</f>
        <v>Perennial</v>
      </c>
      <c r="O819" s="15">
        <f>IF(SUMPRODUCT(($A$2:$A819=A819)*($B$2:$B819=B819)*($F$2:$F819=F819))&gt;1,0,1)</f>
        <v>0</v>
      </c>
      <c r="P819" s="15">
        <f>IF(SUMPRODUCT(($A$2:$A819=A819)*($B$2:$B819=B819)*($D$2:$D819=D819))&gt;1,0,1)</f>
        <v>1</v>
      </c>
    </row>
    <row r="820" spans="1:16" x14ac:dyDescent="0.35">
      <c r="A820" t="s">
        <v>105</v>
      </c>
      <c r="B820">
        <v>2001</v>
      </c>
      <c r="C820" t="s">
        <v>55</v>
      </c>
      <c r="D820" s="6">
        <v>4.0999999999999996</v>
      </c>
      <c r="E820" s="6">
        <f>INT(Table2[[#This Row],[Transect]])</f>
        <v>4</v>
      </c>
      <c r="F820" s="1" t="s">
        <v>11</v>
      </c>
      <c r="G820">
        <v>9</v>
      </c>
      <c r="H820">
        <f>I820*2</f>
        <v>200</v>
      </c>
      <c r="I820">
        <v>100</v>
      </c>
      <c r="J820">
        <f>Table2[[#This Row],[Hits]]/Table2[[#This Row],[Points]]*100</f>
        <v>4.5</v>
      </c>
      <c r="K820">
        <f>VLOOKUP(Table2[[#This Row],[Site]],'Site Info'!$A$1:$C$11,2, FALSE)</f>
        <v>17</v>
      </c>
      <c r="L820">
        <f>VLOOKUP(Table2[[#This Row],[Site]],'Site Info'!$A$1:$C$11,3, FALSE)</f>
        <v>4</v>
      </c>
      <c r="M820" t="str">
        <f>VLOOKUP(Table2[[#This Row],[Species]],'Species Table'!$A$1:$D$68,3, FALSE)</f>
        <v>Perennial</v>
      </c>
      <c r="O820" s="15">
        <f>IF(SUMPRODUCT(($A$2:$A820=A820)*($B$2:$B820=B820)*($F$2:$F820=F820))&gt;1,0,1)</f>
        <v>0</v>
      </c>
      <c r="P820" s="15">
        <f>IF(SUMPRODUCT(($A$2:$A820=A820)*($B$2:$B820=B820)*($D$2:$D820=D820))&gt;1,0,1)</f>
        <v>1</v>
      </c>
    </row>
    <row r="821" spans="1:16" hidden="1" x14ac:dyDescent="0.35">
      <c r="A821" t="s">
        <v>105</v>
      </c>
      <c r="B821">
        <v>2001</v>
      </c>
      <c r="C821" t="s">
        <v>103</v>
      </c>
      <c r="D821" s="6">
        <v>4.2</v>
      </c>
      <c r="E821" s="6">
        <f>INT(Table2[[#This Row],[Transect]])</f>
        <v>4</v>
      </c>
      <c r="F821" s="1" t="s">
        <v>127</v>
      </c>
      <c r="G821">
        <v>0</v>
      </c>
      <c r="H821">
        <f>I821*2</f>
        <v>88</v>
      </c>
      <c r="I821">
        <v>44</v>
      </c>
      <c r="J821">
        <f>Table2[[#This Row],[Hits]]/Table2[[#This Row],[Points]]*100</f>
        <v>0</v>
      </c>
      <c r="K821">
        <f>VLOOKUP(Table2[[#This Row],[Site]],'Site Info'!$A$1:$C$11,2, FALSE)</f>
        <v>17</v>
      </c>
      <c r="L821">
        <f>VLOOKUP(Table2[[#This Row],[Site]],'Site Info'!$A$1:$C$11,3, FALSE)</f>
        <v>4</v>
      </c>
      <c r="M821" t="str">
        <f>VLOOKUP(Table2[[#This Row],[Species]],'Species Table'!$A$1:$D$68,3, FALSE)</f>
        <v>NA</v>
      </c>
      <c r="O821" s="15">
        <f>IF(SUMPRODUCT(($A$2:$A821=A821)*($B$2:$B821=B821)*($F$2:$F821=F821))&gt;1,0,1)</f>
        <v>1</v>
      </c>
      <c r="P821" s="15">
        <f>IF(SUMPRODUCT(($A$2:$A821=A821)*($B$2:$B821=B821)*($D$2:$D821=D821))&gt;1,0,1)</f>
        <v>1</v>
      </c>
    </row>
    <row r="822" spans="1:16" x14ac:dyDescent="0.35">
      <c r="A822" t="s">
        <v>105</v>
      </c>
      <c r="B822">
        <v>2001</v>
      </c>
      <c r="C822" t="s">
        <v>104</v>
      </c>
      <c r="D822" s="6">
        <v>5.0999999999999996</v>
      </c>
      <c r="E822" s="6">
        <f>INT(Table2[[#This Row],[Transect]])</f>
        <v>5</v>
      </c>
      <c r="F822" s="1" t="s">
        <v>3</v>
      </c>
      <c r="G822">
        <v>34</v>
      </c>
      <c r="H822">
        <f t="shared" si="4"/>
        <v>200</v>
      </c>
      <c r="I822">
        <v>100</v>
      </c>
      <c r="J822">
        <f>Table2[[#This Row],[Hits]]/Table2[[#This Row],[Points]]*100</f>
        <v>17</v>
      </c>
      <c r="K822">
        <f>VLOOKUP(Table2[[#This Row],[Site]],'Site Info'!$A$1:$C$11,2, FALSE)</f>
        <v>17</v>
      </c>
      <c r="L822">
        <f>VLOOKUP(Table2[[#This Row],[Site]],'Site Info'!$A$1:$C$11,3, FALSE)</f>
        <v>4</v>
      </c>
      <c r="M822" t="str">
        <f>VLOOKUP(Table2[[#This Row],[Species]],'Species Table'!$A$1:$D$68,3, FALSE)</f>
        <v>Perennial</v>
      </c>
      <c r="O822" s="15">
        <f>IF(SUMPRODUCT(($A$2:$A822=A822)*($B$2:$B822=B822)*($F$2:$F822=F822))&gt;1,0,1)</f>
        <v>0</v>
      </c>
      <c r="P822" s="15">
        <f>IF(SUMPRODUCT(($A$2:$A822=A822)*($B$2:$B822=B822)*($D$2:$D822=D822))&gt;1,0,1)</f>
        <v>1</v>
      </c>
    </row>
    <row r="823" spans="1:16" x14ac:dyDescent="0.35">
      <c r="A823" t="s">
        <v>105</v>
      </c>
      <c r="B823">
        <v>2001</v>
      </c>
      <c r="C823" t="s">
        <v>104</v>
      </c>
      <c r="D823" s="6">
        <v>5.0999999999999996</v>
      </c>
      <c r="E823" s="6">
        <f>INT(Table2[[#This Row],[Transect]])</f>
        <v>5</v>
      </c>
      <c r="F823" s="1" t="s">
        <v>97</v>
      </c>
      <c r="G823">
        <v>1</v>
      </c>
      <c r="H823">
        <f>I823*2</f>
        <v>200</v>
      </c>
      <c r="I823">
        <v>100</v>
      </c>
      <c r="J823">
        <f>Table2[[#This Row],[Hits]]/Table2[[#This Row],[Points]]*100</f>
        <v>0.5</v>
      </c>
      <c r="K823">
        <f>VLOOKUP(Table2[[#This Row],[Site]],'Site Info'!$A$1:$C$11,2, FALSE)</f>
        <v>17</v>
      </c>
      <c r="L823">
        <f>VLOOKUP(Table2[[#This Row],[Site]],'Site Info'!$A$1:$C$11,3, FALSE)</f>
        <v>4</v>
      </c>
      <c r="M823" t="str">
        <f>VLOOKUP(Table2[[#This Row],[Species]],'Species Table'!$A$1:$D$68,3, FALSE)</f>
        <v>Perennial</v>
      </c>
      <c r="O823" s="15">
        <f>IF(SUMPRODUCT(($A$2:$A823=A823)*($B$2:$B823=B823)*($F$2:$F823=F823))&gt;1,0,1)</f>
        <v>1</v>
      </c>
      <c r="P823" s="15">
        <f>IF(SUMPRODUCT(($A$2:$A823=A823)*($B$2:$B823=B823)*($D$2:$D823=D823))&gt;1,0,1)</f>
        <v>0</v>
      </c>
    </row>
    <row r="824" spans="1:16" x14ac:dyDescent="0.35">
      <c r="A824" t="s">
        <v>105</v>
      </c>
      <c r="B824">
        <v>2006</v>
      </c>
      <c r="C824" t="s">
        <v>37</v>
      </c>
      <c r="D824">
        <v>1.1000000000000001</v>
      </c>
      <c r="E824">
        <f>INT(Table2[[#This Row],[Transect]])</f>
        <v>1</v>
      </c>
      <c r="F824" t="s">
        <v>11</v>
      </c>
      <c r="G824">
        <v>4</v>
      </c>
      <c r="H824">
        <v>200</v>
      </c>
      <c r="J824">
        <f>Table2[[#This Row],[Hits]]/Table2[[#This Row],[Points]]*100</f>
        <v>2</v>
      </c>
      <c r="K824">
        <f>VLOOKUP(Table2[[#This Row],[Site]],'Site Info'!$A$1:$C$11,2, FALSE)</f>
        <v>17</v>
      </c>
      <c r="L824">
        <f>VLOOKUP(Table2[[#This Row],[Site]],'Site Info'!$A$1:$C$11,3, FALSE)</f>
        <v>4</v>
      </c>
      <c r="M824" t="str">
        <f>VLOOKUP(Table2[[#This Row],[Species]],'Species Table'!$A$1:$D$68,3, FALSE)</f>
        <v>Perennial</v>
      </c>
      <c r="O824" s="15">
        <f>IF(SUMPRODUCT(($A$2:$A824=A824)*($B$2:$B824=B824)*($F$2:$F824=F824))&gt;1,0,1)</f>
        <v>1</v>
      </c>
      <c r="P824" s="15">
        <f>IF(SUMPRODUCT(($A$2:$A824=A824)*($B$2:$B824=B824)*($D$2:$D824=D824))&gt;1,0,1)</f>
        <v>1</v>
      </c>
    </row>
    <row r="825" spans="1:16" hidden="1" x14ac:dyDescent="0.35">
      <c r="A825" t="s">
        <v>105</v>
      </c>
      <c r="B825">
        <v>2006</v>
      </c>
      <c r="C825" t="s">
        <v>37</v>
      </c>
      <c r="D825">
        <v>1.1000000000000001</v>
      </c>
      <c r="E825">
        <f>INT(Table2[[#This Row],[Transect]])</f>
        <v>1</v>
      </c>
      <c r="F825" t="s">
        <v>10</v>
      </c>
      <c r="G825">
        <v>12</v>
      </c>
      <c r="H825">
        <v>200</v>
      </c>
      <c r="J825">
        <f>Table2[[#This Row],[Hits]]/Table2[[#This Row],[Points]]*100</f>
        <v>6</v>
      </c>
      <c r="K825">
        <f>VLOOKUP(Table2[[#This Row],[Site]],'Site Info'!$A$1:$C$11,2, FALSE)</f>
        <v>17</v>
      </c>
      <c r="L825">
        <f>VLOOKUP(Table2[[#This Row],[Site]],'Site Info'!$A$1:$C$11,3, FALSE)</f>
        <v>4</v>
      </c>
      <c r="M825" t="str">
        <f>VLOOKUP(Table2[[#This Row],[Species]],'Species Table'!$A$1:$D$68,3, FALSE)</f>
        <v>Annual</v>
      </c>
      <c r="O825" s="15">
        <f>IF(SUMPRODUCT(($A$2:$A825=A825)*($B$2:$B825=B825)*($F$2:$F825=F825))&gt;1,0,1)</f>
        <v>1</v>
      </c>
      <c r="P825" s="15">
        <f>IF(SUMPRODUCT(($A$2:$A825=A825)*($B$2:$B825=B825)*($D$2:$D825=D825))&gt;1,0,1)</f>
        <v>0</v>
      </c>
    </row>
    <row r="826" spans="1:16" x14ac:dyDescent="0.35">
      <c r="A826" t="s">
        <v>105</v>
      </c>
      <c r="B826">
        <v>2006</v>
      </c>
      <c r="C826" t="s">
        <v>37</v>
      </c>
      <c r="D826">
        <v>1.1000000000000001</v>
      </c>
      <c r="E826">
        <f>INT(Table2[[#This Row],[Transect]])</f>
        <v>1</v>
      </c>
      <c r="F826" t="s">
        <v>6</v>
      </c>
      <c r="G826">
        <v>16</v>
      </c>
      <c r="H826">
        <v>200</v>
      </c>
      <c r="J826">
        <f>Table2[[#This Row],[Hits]]/Table2[[#This Row],[Points]]*100</f>
        <v>8</v>
      </c>
      <c r="K826">
        <f>VLOOKUP(Table2[[#This Row],[Site]],'Site Info'!$A$1:$C$11,2, FALSE)</f>
        <v>17</v>
      </c>
      <c r="L826">
        <f>VLOOKUP(Table2[[#This Row],[Site]],'Site Info'!$A$1:$C$11,3, FALSE)</f>
        <v>4</v>
      </c>
      <c r="M826" t="str">
        <f>VLOOKUP(Table2[[#This Row],[Species]],'Species Table'!$A$1:$D$68,3, FALSE)</f>
        <v>Perennial</v>
      </c>
      <c r="O826" s="15">
        <f>IF(SUMPRODUCT(($A$2:$A826=A826)*($B$2:$B826=B826)*($F$2:$F826=F826))&gt;1,0,1)</f>
        <v>1</v>
      </c>
      <c r="P826" s="15">
        <f>IF(SUMPRODUCT(($A$2:$A826=A826)*($B$2:$B826=B826)*($D$2:$D826=D826))&gt;1,0,1)</f>
        <v>0</v>
      </c>
    </row>
    <row r="827" spans="1:16" x14ac:dyDescent="0.35">
      <c r="A827" t="s">
        <v>105</v>
      </c>
      <c r="B827">
        <v>2006</v>
      </c>
      <c r="C827" t="s">
        <v>38</v>
      </c>
      <c r="D827">
        <v>1.2</v>
      </c>
      <c r="E827">
        <f>INT(Table2[[#This Row],[Transect]])</f>
        <v>1</v>
      </c>
      <c r="F827" t="s">
        <v>11</v>
      </c>
      <c r="G827">
        <v>3</v>
      </c>
      <c r="H827">
        <v>200</v>
      </c>
      <c r="J827">
        <f>Table2[[#This Row],[Hits]]/Table2[[#This Row],[Points]]*100</f>
        <v>1.5</v>
      </c>
      <c r="K827">
        <f>VLOOKUP(Table2[[#This Row],[Site]],'Site Info'!$A$1:$C$11,2, FALSE)</f>
        <v>17</v>
      </c>
      <c r="L827">
        <f>VLOOKUP(Table2[[#This Row],[Site]],'Site Info'!$A$1:$C$11,3, FALSE)</f>
        <v>4</v>
      </c>
      <c r="M827" t="str">
        <f>VLOOKUP(Table2[[#This Row],[Species]],'Species Table'!$A$1:$D$68,3, FALSE)</f>
        <v>Perennial</v>
      </c>
      <c r="O827" s="15">
        <f>IF(SUMPRODUCT(($A$2:$A827=A827)*($B$2:$B827=B827)*($F$2:$F827=F827))&gt;1,0,1)</f>
        <v>0</v>
      </c>
      <c r="P827" s="15">
        <f>IF(SUMPRODUCT(($A$2:$A827=A827)*($B$2:$B827=B827)*($D$2:$D827=D827))&gt;1,0,1)</f>
        <v>1</v>
      </c>
    </row>
    <row r="828" spans="1:16" hidden="1" x14ac:dyDescent="0.35">
      <c r="A828" t="s">
        <v>105</v>
      </c>
      <c r="B828">
        <v>2006</v>
      </c>
      <c r="C828" t="s">
        <v>38</v>
      </c>
      <c r="D828">
        <v>1.2</v>
      </c>
      <c r="E828">
        <f>INT(Table2[[#This Row],[Transect]])</f>
        <v>1</v>
      </c>
      <c r="F828" t="s">
        <v>10</v>
      </c>
      <c r="G828">
        <v>27</v>
      </c>
      <c r="H828">
        <v>200</v>
      </c>
      <c r="J828">
        <f>Table2[[#This Row],[Hits]]/Table2[[#This Row],[Points]]*100</f>
        <v>13.5</v>
      </c>
      <c r="K828">
        <f>VLOOKUP(Table2[[#This Row],[Site]],'Site Info'!$A$1:$C$11,2, FALSE)</f>
        <v>17</v>
      </c>
      <c r="L828">
        <f>VLOOKUP(Table2[[#This Row],[Site]],'Site Info'!$A$1:$C$11,3, FALSE)</f>
        <v>4</v>
      </c>
      <c r="M828" t="str">
        <f>VLOOKUP(Table2[[#This Row],[Species]],'Species Table'!$A$1:$D$68,3, FALSE)</f>
        <v>Annual</v>
      </c>
      <c r="O828" s="15">
        <f>IF(SUMPRODUCT(($A$2:$A828=A828)*($B$2:$B828=B828)*($F$2:$F828=F828))&gt;1,0,1)</f>
        <v>0</v>
      </c>
      <c r="P828" s="15">
        <f>IF(SUMPRODUCT(($A$2:$A828=A828)*($B$2:$B828=B828)*($D$2:$D828=D828))&gt;1,0,1)</f>
        <v>0</v>
      </c>
    </row>
    <row r="829" spans="1:16" x14ac:dyDescent="0.35">
      <c r="A829" t="s">
        <v>105</v>
      </c>
      <c r="B829">
        <v>2006</v>
      </c>
      <c r="C829" t="s">
        <v>83</v>
      </c>
      <c r="D829">
        <v>1.3</v>
      </c>
      <c r="E829">
        <f>INT(Table2[[#This Row],[Transect]])</f>
        <v>1</v>
      </c>
      <c r="F829" t="s">
        <v>11</v>
      </c>
      <c r="G829">
        <v>8</v>
      </c>
      <c r="H829">
        <v>200</v>
      </c>
      <c r="J829">
        <f>Table2[[#This Row],[Hits]]/Table2[[#This Row],[Points]]*100</f>
        <v>4</v>
      </c>
      <c r="K829">
        <f>VLOOKUP(Table2[[#This Row],[Site]],'Site Info'!$A$1:$C$11,2, FALSE)</f>
        <v>17</v>
      </c>
      <c r="L829">
        <f>VLOOKUP(Table2[[#This Row],[Site]],'Site Info'!$A$1:$C$11,3, FALSE)</f>
        <v>4</v>
      </c>
      <c r="M829" t="str">
        <f>VLOOKUP(Table2[[#This Row],[Species]],'Species Table'!$A$1:$D$68,3, FALSE)</f>
        <v>Perennial</v>
      </c>
      <c r="O829" s="15">
        <f>IF(SUMPRODUCT(($A$2:$A829=A829)*($B$2:$B829=B829)*($F$2:$F829=F829))&gt;1,0,1)</f>
        <v>0</v>
      </c>
      <c r="P829" s="15">
        <f>IF(SUMPRODUCT(($A$2:$A829=A829)*($B$2:$B829=B829)*($D$2:$D829=D829))&gt;1,0,1)</f>
        <v>1</v>
      </c>
    </row>
    <row r="830" spans="1:16" hidden="1" x14ac:dyDescent="0.35">
      <c r="A830" t="s">
        <v>105</v>
      </c>
      <c r="B830">
        <v>2006</v>
      </c>
      <c r="C830" t="s">
        <v>83</v>
      </c>
      <c r="D830">
        <v>1.3</v>
      </c>
      <c r="E830">
        <f>INT(Table2[[#This Row],[Transect]])</f>
        <v>1</v>
      </c>
      <c r="F830" t="s">
        <v>10</v>
      </c>
      <c r="G830">
        <v>10</v>
      </c>
      <c r="H830">
        <v>200</v>
      </c>
      <c r="J830">
        <f>Table2[[#This Row],[Hits]]/Table2[[#This Row],[Points]]*100</f>
        <v>5</v>
      </c>
      <c r="K830">
        <f>VLOOKUP(Table2[[#This Row],[Site]],'Site Info'!$A$1:$C$11,2, FALSE)</f>
        <v>17</v>
      </c>
      <c r="L830">
        <f>VLOOKUP(Table2[[#This Row],[Site]],'Site Info'!$A$1:$C$11,3, FALSE)</f>
        <v>4</v>
      </c>
      <c r="M830" t="str">
        <f>VLOOKUP(Table2[[#This Row],[Species]],'Species Table'!$A$1:$D$68,3, FALSE)</f>
        <v>Annual</v>
      </c>
      <c r="O830" s="15">
        <f>IF(SUMPRODUCT(($A$2:$A830=A830)*($B$2:$B830=B830)*($F$2:$F830=F830))&gt;1,0,1)</f>
        <v>0</v>
      </c>
      <c r="P830" s="15">
        <f>IF(SUMPRODUCT(($A$2:$A830=A830)*($B$2:$B830=B830)*($D$2:$D830=D830))&gt;1,0,1)</f>
        <v>0</v>
      </c>
    </row>
    <row r="831" spans="1:16" hidden="1" x14ac:dyDescent="0.35">
      <c r="A831" t="s">
        <v>105</v>
      </c>
      <c r="B831">
        <v>2006</v>
      </c>
      <c r="C831" t="s">
        <v>39</v>
      </c>
      <c r="D831">
        <v>1.4</v>
      </c>
      <c r="E831">
        <f>INT(Table2[[#This Row],[Transect]])</f>
        <v>1</v>
      </c>
      <c r="F831" t="s">
        <v>10</v>
      </c>
      <c r="G831">
        <v>6</v>
      </c>
      <c r="H831">
        <v>200</v>
      </c>
      <c r="J831">
        <f>Table2[[#This Row],[Hits]]/Table2[[#This Row],[Points]]*100</f>
        <v>3</v>
      </c>
      <c r="K831">
        <f>VLOOKUP(Table2[[#This Row],[Site]],'Site Info'!$A$1:$C$11,2, FALSE)</f>
        <v>17</v>
      </c>
      <c r="L831">
        <f>VLOOKUP(Table2[[#This Row],[Site]],'Site Info'!$A$1:$C$11,3, FALSE)</f>
        <v>4</v>
      </c>
      <c r="M831" t="str">
        <f>VLOOKUP(Table2[[#This Row],[Species]],'Species Table'!$A$1:$D$68,3, FALSE)</f>
        <v>Annual</v>
      </c>
      <c r="O831" s="15">
        <f>IF(SUMPRODUCT(($A$2:$A831=A831)*($B$2:$B831=B831)*($F$2:$F831=F831))&gt;1,0,1)</f>
        <v>0</v>
      </c>
      <c r="P831" s="15">
        <f>IF(SUMPRODUCT(($A$2:$A831=A831)*($B$2:$B831=B831)*($D$2:$D831=D831))&gt;1,0,1)</f>
        <v>1</v>
      </c>
    </row>
    <row r="832" spans="1:16" x14ac:dyDescent="0.35">
      <c r="A832" t="s">
        <v>105</v>
      </c>
      <c r="B832">
        <v>2006</v>
      </c>
      <c r="C832" t="s">
        <v>40</v>
      </c>
      <c r="D832">
        <v>1.5</v>
      </c>
      <c r="E832">
        <f>INT(Table2[[#This Row],[Transect]])</f>
        <v>1</v>
      </c>
      <c r="F832" t="s">
        <v>11</v>
      </c>
      <c r="G832">
        <v>3</v>
      </c>
      <c r="H832">
        <v>200</v>
      </c>
      <c r="J832">
        <f>Table2[[#This Row],[Hits]]/Table2[[#This Row],[Points]]*100</f>
        <v>1.5</v>
      </c>
      <c r="K832">
        <f>VLOOKUP(Table2[[#This Row],[Site]],'Site Info'!$A$1:$C$11,2, FALSE)</f>
        <v>17</v>
      </c>
      <c r="L832">
        <f>VLOOKUP(Table2[[#This Row],[Site]],'Site Info'!$A$1:$C$11,3, FALSE)</f>
        <v>4</v>
      </c>
      <c r="M832" t="str">
        <f>VLOOKUP(Table2[[#This Row],[Species]],'Species Table'!$A$1:$D$68,3, FALSE)</f>
        <v>Perennial</v>
      </c>
      <c r="O832" s="15">
        <f>IF(SUMPRODUCT(($A$2:$A832=A832)*($B$2:$B832=B832)*($F$2:$F832=F832))&gt;1,0,1)</f>
        <v>0</v>
      </c>
      <c r="P832" s="15">
        <f>IF(SUMPRODUCT(($A$2:$A832=A832)*($B$2:$B832=B832)*($D$2:$D832=D832))&gt;1,0,1)</f>
        <v>1</v>
      </c>
    </row>
    <row r="833" spans="1:16" x14ac:dyDescent="0.35">
      <c r="A833" t="s">
        <v>105</v>
      </c>
      <c r="B833">
        <v>2006</v>
      </c>
      <c r="C833" t="s">
        <v>100</v>
      </c>
      <c r="D833">
        <v>1.6</v>
      </c>
      <c r="E833">
        <f>INT(Table2[[#This Row],[Transect]])</f>
        <v>1</v>
      </c>
      <c r="F833" t="s">
        <v>11</v>
      </c>
      <c r="G833">
        <v>4</v>
      </c>
      <c r="H833">
        <v>174</v>
      </c>
      <c r="J833">
        <f>Table2[[#This Row],[Hits]]/Table2[[#This Row],[Points]]*100</f>
        <v>2.2988505747126435</v>
      </c>
      <c r="K833">
        <f>VLOOKUP(Table2[[#This Row],[Site]],'Site Info'!$A$1:$C$11,2, FALSE)</f>
        <v>17</v>
      </c>
      <c r="L833">
        <f>VLOOKUP(Table2[[#This Row],[Site]],'Site Info'!$A$1:$C$11,3, FALSE)</f>
        <v>4</v>
      </c>
      <c r="M833" t="str">
        <f>VLOOKUP(Table2[[#This Row],[Species]],'Species Table'!$A$1:$D$68,3, FALSE)</f>
        <v>Perennial</v>
      </c>
      <c r="O833" s="15">
        <f>IF(SUMPRODUCT(($A$2:$A833=A833)*($B$2:$B833=B833)*($F$2:$F833=F833))&gt;1,0,1)</f>
        <v>0</v>
      </c>
      <c r="P833" s="15">
        <f>IF(SUMPRODUCT(($A$2:$A833=A833)*($B$2:$B833=B833)*($D$2:$D833=D833))&gt;1,0,1)</f>
        <v>1</v>
      </c>
    </row>
    <row r="834" spans="1:16" hidden="1" x14ac:dyDescent="0.35">
      <c r="A834" t="s">
        <v>105</v>
      </c>
      <c r="B834">
        <v>2006</v>
      </c>
      <c r="C834" t="s">
        <v>100</v>
      </c>
      <c r="D834">
        <v>1.6</v>
      </c>
      <c r="E834">
        <f>INT(Table2[[#This Row],[Transect]])</f>
        <v>1</v>
      </c>
      <c r="F834" t="s">
        <v>10</v>
      </c>
      <c r="G834">
        <v>1</v>
      </c>
      <c r="H834">
        <v>174</v>
      </c>
      <c r="J834">
        <f>Table2[[#This Row],[Hits]]/Table2[[#This Row],[Points]]*100</f>
        <v>0.57471264367816088</v>
      </c>
      <c r="K834">
        <f>VLOOKUP(Table2[[#This Row],[Site]],'Site Info'!$A$1:$C$11,2, FALSE)</f>
        <v>17</v>
      </c>
      <c r="L834">
        <f>VLOOKUP(Table2[[#This Row],[Site]],'Site Info'!$A$1:$C$11,3, FALSE)</f>
        <v>4</v>
      </c>
      <c r="M834" t="str">
        <f>VLOOKUP(Table2[[#This Row],[Species]],'Species Table'!$A$1:$D$68,3, FALSE)</f>
        <v>Annual</v>
      </c>
      <c r="O834" s="15">
        <f>IF(SUMPRODUCT(($A$2:$A834=A834)*($B$2:$B834=B834)*($F$2:$F834=F834))&gt;1,0,1)</f>
        <v>0</v>
      </c>
      <c r="P834" s="15">
        <f>IF(SUMPRODUCT(($A$2:$A834=A834)*($B$2:$B834=B834)*($D$2:$D834=D834))&gt;1,0,1)</f>
        <v>0</v>
      </c>
    </row>
    <row r="835" spans="1:16" x14ac:dyDescent="0.35">
      <c r="A835" t="s">
        <v>105</v>
      </c>
      <c r="B835">
        <v>2006</v>
      </c>
      <c r="C835" t="s">
        <v>100</v>
      </c>
      <c r="D835">
        <v>1.6</v>
      </c>
      <c r="E835">
        <f>INT(Table2[[#This Row],[Transect]])</f>
        <v>1</v>
      </c>
      <c r="F835" t="s">
        <v>31</v>
      </c>
      <c r="G835">
        <v>8</v>
      </c>
      <c r="H835">
        <v>174</v>
      </c>
      <c r="J835">
        <f>Table2[[#This Row],[Hits]]/Table2[[#This Row],[Points]]*100</f>
        <v>4.5977011494252871</v>
      </c>
      <c r="K835">
        <f>VLOOKUP(Table2[[#This Row],[Site]],'Site Info'!$A$1:$C$11,2, FALSE)</f>
        <v>17</v>
      </c>
      <c r="L835">
        <f>VLOOKUP(Table2[[#This Row],[Site]],'Site Info'!$A$1:$C$11,3, FALSE)</f>
        <v>4</v>
      </c>
      <c r="M835" t="str">
        <f>VLOOKUP(Table2[[#This Row],[Species]],'Species Table'!$A$1:$D$68,3, FALSE)</f>
        <v>Perennial</v>
      </c>
      <c r="O835" s="15">
        <f>IF(SUMPRODUCT(($A$2:$A835=A835)*($B$2:$B835=B835)*($F$2:$F835=F835))&gt;1,0,1)</f>
        <v>1</v>
      </c>
      <c r="P835" s="15">
        <f>IF(SUMPRODUCT(($A$2:$A835=A835)*($B$2:$B835=B835)*($D$2:$D835=D835))&gt;1,0,1)</f>
        <v>0</v>
      </c>
    </row>
    <row r="836" spans="1:16" x14ac:dyDescent="0.35">
      <c r="A836" t="s">
        <v>105</v>
      </c>
      <c r="B836">
        <v>2006</v>
      </c>
      <c r="C836" t="s">
        <v>43</v>
      </c>
      <c r="D836">
        <v>2.1</v>
      </c>
      <c r="E836">
        <f>INT(Table2[[#This Row],[Transect]])</f>
        <v>2</v>
      </c>
      <c r="F836" t="s">
        <v>3</v>
      </c>
      <c r="G836">
        <v>8</v>
      </c>
      <c r="H836">
        <v>78</v>
      </c>
      <c r="J836">
        <f>Table2[[#This Row],[Hits]]/Table2[[#This Row],[Points]]*100</f>
        <v>10.256410256410255</v>
      </c>
      <c r="K836">
        <f>VLOOKUP(Table2[[#This Row],[Site]],'Site Info'!$A$1:$C$11,2, FALSE)</f>
        <v>17</v>
      </c>
      <c r="L836">
        <f>VLOOKUP(Table2[[#This Row],[Site]],'Site Info'!$A$1:$C$11,3, FALSE)</f>
        <v>4</v>
      </c>
      <c r="M836" t="str">
        <f>VLOOKUP(Table2[[#This Row],[Species]],'Species Table'!$A$1:$D$68,3, FALSE)</f>
        <v>Perennial</v>
      </c>
      <c r="O836" s="15">
        <f>IF(SUMPRODUCT(($A$2:$A836=A836)*($B$2:$B836=B836)*($F$2:$F836=F836))&gt;1,0,1)</f>
        <v>1</v>
      </c>
      <c r="P836" s="15">
        <f>IF(SUMPRODUCT(($A$2:$A836=A836)*($B$2:$B836=B836)*($D$2:$D836=D836))&gt;1,0,1)</f>
        <v>1</v>
      </c>
    </row>
    <row r="837" spans="1:16" x14ac:dyDescent="0.35">
      <c r="A837" t="s">
        <v>105</v>
      </c>
      <c r="B837">
        <v>2006</v>
      </c>
      <c r="C837" t="s">
        <v>44</v>
      </c>
      <c r="D837">
        <v>2.2000000000000002</v>
      </c>
      <c r="E837">
        <f>INT(Table2[[#This Row],[Transect]])</f>
        <v>2</v>
      </c>
      <c r="F837" t="s">
        <v>11</v>
      </c>
      <c r="G837">
        <v>9</v>
      </c>
      <c r="H837">
        <v>200</v>
      </c>
      <c r="J837">
        <f>Table2[[#This Row],[Hits]]/Table2[[#This Row],[Points]]*100</f>
        <v>4.5</v>
      </c>
      <c r="K837">
        <f>VLOOKUP(Table2[[#This Row],[Site]],'Site Info'!$A$1:$C$11,2, FALSE)</f>
        <v>17</v>
      </c>
      <c r="L837">
        <f>VLOOKUP(Table2[[#This Row],[Site]],'Site Info'!$A$1:$C$11,3, FALSE)</f>
        <v>4</v>
      </c>
      <c r="M837" t="str">
        <f>VLOOKUP(Table2[[#This Row],[Species]],'Species Table'!$A$1:$D$68,3, FALSE)</f>
        <v>Perennial</v>
      </c>
      <c r="O837" s="15">
        <f>IF(SUMPRODUCT(($A$2:$A837=A837)*($B$2:$B837=B837)*($F$2:$F837=F837))&gt;1,0,1)</f>
        <v>0</v>
      </c>
      <c r="P837" s="15">
        <f>IF(SUMPRODUCT(($A$2:$A837=A837)*($B$2:$B837=B837)*($D$2:$D837=D837))&gt;1,0,1)</f>
        <v>1</v>
      </c>
    </row>
    <row r="838" spans="1:16" hidden="1" x14ac:dyDescent="0.35">
      <c r="A838" t="s">
        <v>105</v>
      </c>
      <c r="B838">
        <v>2006</v>
      </c>
      <c r="C838" t="s">
        <v>44</v>
      </c>
      <c r="D838">
        <v>2.2000000000000002</v>
      </c>
      <c r="E838">
        <f>INT(Table2[[#This Row],[Transect]])</f>
        <v>2</v>
      </c>
      <c r="F838" t="s">
        <v>10</v>
      </c>
      <c r="G838">
        <v>1</v>
      </c>
      <c r="H838">
        <v>200</v>
      </c>
      <c r="J838">
        <f>Table2[[#This Row],[Hits]]/Table2[[#This Row],[Points]]*100</f>
        <v>0.5</v>
      </c>
      <c r="K838">
        <f>VLOOKUP(Table2[[#This Row],[Site]],'Site Info'!$A$1:$C$11,2, FALSE)</f>
        <v>17</v>
      </c>
      <c r="L838">
        <f>VLOOKUP(Table2[[#This Row],[Site]],'Site Info'!$A$1:$C$11,3, FALSE)</f>
        <v>4</v>
      </c>
      <c r="M838" t="str">
        <f>VLOOKUP(Table2[[#This Row],[Species]],'Species Table'!$A$1:$D$68,3, FALSE)</f>
        <v>Annual</v>
      </c>
      <c r="O838" s="15">
        <f>IF(SUMPRODUCT(($A$2:$A838=A838)*($B$2:$B838=B838)*($F$2:$F838=F838))&gt;1,0,1)</f>
        <v>0</v>
      </c>
      <c r="P838" s="15">
        <f>IF(SUMPRODUCT(($A$2:$A838=A838)*($B$2:$B838=B838)*($D$2:$D838=D838))&gt;1,0,1)</f>
        <v>0</v>
      </c>
    </row>
    <row r="839" spans="1:16" x14ac:dyDescent="0.35">
      <c r="A839" t="s">
        <v>105</v>
      </c>
      <c r="B839">
        <v>2006</v>
      </c>
      <c r="C839" t="s">
        <v>44</v>
      </c>
      <c r="D839">
        <v>2.2000000000000002</v>
      </c>
      <c r="E839">
        <f>INT(Table2[[#This Row],[Transect]])</f>
        <v>2</v>
      </c>
      <c r="F839" t="s">
        <v>31</v>
      </c>
      <c r="G839">
        <v>5</v>
      </c>
      <c r="H839">
        <v>200</v>
      </c>
      <c r="J839">
        <f>Table2[[#This Row],[Hits]]/Table2[[#This Row],[Points]]*100</f>
        <v>2.5</v>
      </c>
      <c r="K839">
        <f>VLOOKUP(Table2[[#This Row],[Site]],'Site Info'!$A$1:$C$11,2, FALSE)</f>
        <v>17</v>
      </c>
      <c r="L839">
        <f>VLOOKUP(Table2[[#This Row],[Site]],'Site Info'!$A$1:$C$11,3, FALSE)</f>
        <v>4</v>
      </c>
      <c r="M839" t="str">
        <f>VLOOKUP(Table2[[#This Row],[Species]],'Species Table'!$A$1:$D$68,3, FALSE)</f>
        <v>Perennial</v>
      </c>
      <c r="O839" s="15">
        <f>IF(SUMPRODUCT(($A$2:$A839=A839)*($B$2:$B839=B839)*($F$2:$F839=F839))&gt;1,0,1)</f>
        <v>0</v>
      </c>
      <c r="P839" s="15">
        <f>IF(SUMPRODUCT(($A$2:$A839=A839)*($B$2:$B839=B839)*($D$2:$D839=D839))&gt;1,0,1)</f>
        <v>0</v>
      </c>
    </row>
    <row r="840" spans="1:16" x14ac:dyDescent="0.35">
      <c r="A840" t="s">
        <v>105</v>
      </c>
      <c r="B840">
        <v>2006</v>
      </c>
      <c r="C840" t="s">
        <v>45</v>
      </c>
      <c r="D840">
        <v>2.2999999999999998</v>
      </c>
      <c r="E840">
        <f>INT(Table2[[#This Row],[Transect]])</f>
        <v>2</v>
      </c>
      <c r="F840" t="s">
        <v>11</v>
      </c>
      <c r="G840">
        <v>2</v>
      </c>
      <c r="H840">
        <v>200</v>
      </c>
      <c r="J840">
        <f>Table2[[#This Row],[Hits]]/Table2[[#This Row],[Points]]*100</f>
        <v>1</v>
      </c>
      <c r="K840">
        <f>VLOOKUP(Table2[[#This Row],[Site]],'Site Info'!$A$1:$C$11,2, FALSE)</f>
        <v>17</v>
      </c>
      <c r="L840">
        <f>VLOOKUP(Table2[[#This Row],[Site]],'Site Info'!$A$1:$C$11,3, FALSE)</f>
        <v>4</v>
      </c>
      <c r="M840" t="str">
        <f>VLOOKUP(Table2[[#This Row],[Species]],'Species Table'!$A$1:$D$68,3, FALSE)</f>
        <v>Perennial</v>
      </c>
      <c r="O840" s="15">
        <f>IF(SUMPRODUCT(($A$2:$A840=A840)*($B$2:$B840=B840)*($F$2:$F840=F840))&gt;1,0,1)</f>
        <v>0</v>
      </c>
      <c r="P840" s="15">
        <f>IF(SUMPRODUCT(($A$2:$A840=A840)*($B$2:$B840=B840)*($D$2:$D840=D840))&gt;1,0,1)</f>
        <v>1</v>
      </c>
    </row>
    <row r="841" spans="1:16" hidden="1" x14ac:dyDescent="0.35">
      <c r="A841" t="s">
        <v>105</v>
      </c>
      <c r="B841">
        <v>2006</v>
      </c>
      <c r="C841" t="s">
        <v>46</v>
      </c>
      <c r="D841">
        <v>2.4</v>
      </c>
      <c r="E841">
        <f>INT(Table2[[#This Row],[Transect]])</f>
        <v>2</v>
      </c>
      <c r="F841" t="s">
        <v>10</v>
      </c>
      <c r="G841">
        <v>11</v>
      </c>
      <c r="H841">
        <v>200</v>
      </c>
      <c r="J841">
        <f>Table2[[#This Row],[Hits]]/Table2[[#This Row],[Points]]*100</f>
        <v>5.5</v>
      </c>
      <c r="K841">
        <f>VLOOKUP(Table2[[#This Row],[Site]],'Site Info'!$A$1:$C$11,2, FALSE)</f>
        <v>17</v>
      </c>
      <c r="L841">
        <f>VLOOKUP(Table2[[#This Row],[Site]],'Site Info'!$A$1:$C$11,3, FALSE)</f>
        <v>4</v>
      </c>
      <c r="M841" t="str">
        <f>VLOOKUP(Table2[[#This Row],[Species]],'Species Table'!$A$1:$D$68,3, FALSE)</f>
        <v>Annual</v>
      </c>
      <c r="O841" s="15">
        <f>IF(SUMPRODUCT(($A$2:$A841=A841)*($B$2:$B841=B841)*($F$2:$F841=F841))&gt;1,0,1)</f>
        <v>0</v>
      </c>
      <c r="P841" s="15">
        <f>IF(SUMPRODUCT(($A$2:$A841=A841)*($B$2:$B841=B841)*($D$2:$D841=D841))&gt;1,0,1)</f>
        <v>1</v>
      </c>
    </row>
    <row r="842" spans="1:16" hidden="1" x14ac:dyDescent="0.35">
      <c r="A842" t="s">
        <v>105</v>
      </c>
      <c r="B842">
        <v>2006</v>
      </c>
      <c r="C842" t="s">
        <v>47</v>
      </c>
      <c r="D842">
        <v>2.5</v>
      </c>
      <c r="E842">
        <f>INT(Table2[[#This Row],[Transect]])</f>
        <v>2</v>
      </c>
      <c r="F842" t="s">
        <v>10</v>
      </c>
      <c r="G842">
        <v>20</v>
      </c>
      <c r="H842">
        <v>200</v>
      </c>
      <c r="J842">
        <f>Table2[[#This Row],[Hits]]/Table2[[#This Row],[Points]]*100</f>
        <v>10</v>
      </c>
      <c r="K842">
        <f>VLOOKUP(Table2[[#This Row],[Site]],'Site Info'!$A$1:$C$11,2, FALSE)</f>
        <v>17</v>
      </c>
      <c r="L842">
        <f>VLOOKUP(Table2[[#This Row],[Site]],'Site Info'!$A$1:$C$11,3, FALSE)</f>
        <v>4</v>
      </c>
      <c r="M842" t="str">
        <f>VLOOKUP(Table2[[#This Row],[Species]],'Species Table'!$A$1:$D$68,3, FALSE)</f>
        <v>Annual</v>
      </c>
      <c r="O842" s="15">
        <f>IF(SUMPRODUCT(($A$2:$A842=A842)*($B$2:$B842=B842)*($F$2:$F842=F842))&gt;1,0,1)</f>
        <v>0</v>
      </c>
      <c r="P842" s="15">
        <f>IF(SUMPRODUCT(($A$2:$A842=A842)*($B$2:$B842=B842)*($D$2:$D842=D842))&gt;1,0,1)</f>
        <v>1</v>
      </c>
    </row>
    <row r="843" spans="1:16" x14ac:dyDescent="0.35">
      <c r="A843" t="s">
        <v>105</v>
      </c>
      <c r="B843">
        <v>2006</v>
      </c>
      <c r="C843" t="s">
        <v>48</v>
      </c>
      <c r="D843">
        <v>2.6</v>
      </c>
      <c r="E843">
        <f>INT(Table2[[#This Row],[Transect]])</f>
        <v>2</v>
      </c>
      <c r="F843" t="s">
        <v>11</v>
      </c>
      <c r="G843">
        <v>3</v>
      </c>
      <c r="H843">
        <v>200</v>
      </c>
      <c r="J843">
        <f>Table2[[#This Row],[Hits]]/Table2[[#This Row],[Points]]*100</f>
        <v>1.5</v>
      </c>
      <c r="K843">
        <f>VLOOKUP(Table2[[#This Row],[Site]],'Site Info'!$A$1:$C$11,2, FALSE)</f>
        <v>17</v>
      </c>
      <c r="L843">
        <f>VLOOKUP(Table2[[#This Row],[Site]],'Site Info'!$A$1:$C$11,3, FALSE)</f>
        <v>4</v>
      </c>
      <c r="M843" t="str">
        <f>VLOOKUP(Table2[[#This Row],[Species]],'Species Table'!$A$1:$D$68,3, FALSE)</f>
        <v>Perennial</v>
      </c>
      <c r="O843" s="15">
        <f>IF(SUMPRODUCT(($A$2:$A843=A843)*($B$2:$B843=B843)*($F$2:$F843=F843))&gt;1,0,1)</f>
        <v>0</v>
      </c>
      <c r="P843" s="15">
        <f>IF(SUMPRODUCT(($A$2:$A843=A843)*($B$2:$B843=B843)*($D$2:$D843=D843))&gt;1,0,1)</f>
        <v>1</v>
      </c>
    </row>
    <row r="844" spans="1:16" hidden="1" x14ac:dyDescent="0.35">
      <c r="A844" t="s">
        <v>105</v>
      </c>
      <c r="B844">
        <v>2006</v>
      </c>
      <c r="C844" t="s">
        <v>48</v>
      </c>
      <c r="D844">
        <v>2.6</v>
      </c>
      <c r="E844">
        <f>INT(Table2[[#This Row],[Transect]])</f>
        <v>2</v>
      </c>
      <c r="F844" t="s">
        <v>10</v>
      </c>
      <c r="G844">
        <v>19</v>
      </c>
      <c r="H844">
        <v>200</v>
      </c>
      <c r="J844">
        <f>Table2[[#This Row],[Hits]]/Table2[[#This Row],[Points]]*100</f>
        <v>9.5</v>
      </c>
      <c r="K844">
        <f>VLOOKUP(Table2[[#This Row],[Site]],'Site Info'!$A$1:$C$11,2, FALSE)</f>
        <v>17</v>
      </c>
      <c r="L844">
        <f>VLOOKUP(Table2[[#This Row],[Site]],'Site Info'!$A$1:$C$11,3, FALSE)</f>
        <v>4</v>
      </c>
      <c r="M844" t="str">
        <f>VLOOKUP(Table2[[#This Row],[Species]],'Species Table'!$A$1:$D$68,3, FALSE)</f>
        <v>Annual</v>
      </c>
      <c r="O844" s="15">
        <f>IF(SUMPRODUCT(($A$2:$A844=A844)*($B$2:$B844=B844)*($F$2:$F844=F844))&gt;1,0,1)</f>
        <v>0</v>
      </c>
      <c r="P844" s="15">
        <f>IF(SUMPRODUCT(($A$2:$A844=A844)*($B$2:$B844=B844)*($D$2:$D844=D844))&gt;1,0,1)</f>
        <v>0</v>
      </c>
    </row>
    <row r="845" spans="1:16" x14ac:dyDescent="0.35">
      <c r="A845" t="s">
        <v>105</v>
      </c>
      <c r="B845">
        <v>2006</v>
      </c>
      <c r="C845" t="s">
        <v>49</v>
      </c>
      <c r="D845">
        <v>2.7</v>
      </c>
      <c r="E845">
        <f>INT(Table2[[#This Row],[Transect]])</f>
        <v>2</v>
      </c>
      <c r="F845" t="s">
        <v>11</v>
      </c>
      <c r="G845">
        <v>5</v>
      </c>
      <c r="H845">
        <v>200</v>
      </c>
      <c r="J845">
        <f>Table2[[#This Row],[Hits]]/Table2[[#This Row],[Points]]*100</f>
        <v>2.5</v>
      </c>
      <c r="K845">
        <f>VLOOKUP(Table2[[#This Row],[Site]],'Site Info'!$A$1:$C$11,2, FALSE)</f>
        <v>17</v>
      </c>
      <c r="L845">
        <f>VLOOKUP(Table2[[#This Row],[Site]],'Site Info'!$A$1:$C$11,3, FALSE)</f>
        <v>4</v>
      </c>
      <c r="M845" t="str">
        <f>VLOOKUP(Table2[[#This Row],[Species]],'Species Table'!$A$1:$D$68,3, FALSE)</f>
        <v>Perennial</v>
      </c>
      <c r="O845" s="15">
        <f>IF(SUMPRODUCT(($A$2:$A845=A845)*($B$2:$B845=B845)*($F$2:$F845=F845))&gt;1,0,1)</f>
        <v>0</v>
      </c>
      <c r="P845" s="15">
        <f>IF(SUMPRODUCT(($A$2:$A845=A845)*($B$2:$B845=B845)*($D$2:$D845=D845))&gt;1,0,1)</f>
        <v>1</v>
      </c>
    </row>
    <row r="846" spans="1:16" hidden="1" x14ac:dyDescent="0.35">
      <c r="A846" t="s">
        <v>105</v>
      </c>
      <c r="B846">
        <v>2006</v>
      </c>
      <c r="C846" t="s">
        <v>49</v>
      </c>
      <c r="D846">
        <v>2.7</v>
      </c>
      <c r="E846">
        <f>INT(Table2[[#This Row],[Transect]])</f>
        <v>2</v>
      </c>
      <c r="F846" t="s">
        <v>10</v>
      </c>
      <c r="G846">
        <v>14</v>
      </c>
      <c r="H846">
        <v>200</v>
      </c>
      <c r="J846">
        <f>Table2[[#This Row],[Hits]]/Table2[[#This Row],[Points]]*100</f>
        <v>7.0000000000000009</v>
      </c>
      <c r="K846">
        <f>VLOOKUP(Table2[[#This Row],[Site]],'Site Info'!$A$1:$C$11,2, FALSE)</f>
        <v>17</v>
      </c>
      <c r="L846">
        <f>VLOOKUP(Table2[[#This Row],[Site]],'Site Info'!$A$1:$C$11,3, FALSE)</f>
        <v>4</v>
      </c>
      <c r="M846" t="str">
        <f>VLOOKUP(Table2[[#This Row],[Species]],'Species Table'!$A$1:$D$68,3, FALSE)</f>
        <v>Annual</v>
      </c>
      <c r="O846" s="15">
        <f>IF(SUMPRODUCT(($A$2:$A846=A846)*($B$2:$B846=B846)*($F$2:$F846=F846))&gt;1,0,1)</f>
        <v>0</v>
      </c>
      <c r="P846" s="15">
        <f>IF(SUMPRODUCT(($A$2:$A846=A846)*($B$2:$B846=B846)*($D$2:$D846=D846))&gt;1,0,1)</f>
        <v>0</v>
      </c>
    </row>
    <row r="847" spans="1:16" x14ac:dyDescent="0.35">
      <c r="A847" t="s">
        <v>105</v>
      </c>
      <c r="B847">
        <v>2006</v>
      </c>
      <c r="C847" t="s">
        <v>49</v>
      </c>
      <c r="D847">
        <v>2.7</v>
      </c>
      <c r="E847">
        <f>INT(Table2[[#This Row],[Transect]])</f>
        <v>2</v>
      </c>
      <c r="F847" t="s">
        <v>12</v>
      </c>
      <c r="G847">
        <v>3</v>
      </c>
      <c r="H847">
        <v>200</v>
      </c>
      <c r="J847">
        <f>Table2[[#This Row],[Hits]]/Table2[[#This Row],[Points]]*100</f>
        <v>1.5</v>
      </c>
      <c r="K847">
        <f>VLOOKUP(Table2[[#This Row],[Site]],'Site Info'!$A$1:$C$11,2, FALSE)</f>
        <v>17</v>
      </c>
      <c r="L847">
        <f>VLOOKUP(Table2[[#This Row],[Site]],'Site Info'!$A$1:$C$11,3, FALSE)</f>
        <v>4</v>
      </c>
      <c r="M847" t="str">
        <f>VLOOKUP(Table2[[#This Row],[Species]],'Species Table'!$A$1:$D$68,3, FALSE)</f>
        <v>Perennial</v>
      </c>
      <c r="O847" s="15">
        <f>IF(SUMPRODUCT(($A$2:$A847=A847)*($B$2:$B847=B847)*($F$2:$F847=F847))&gt;1,0,1)</f>
        <v>1</v>
      </c>
      <c r="P847" s="15">
        <f>IF(SUMPRODUCT(($A$2:$A847=A847)*($B$2:$B847=B847)*($D$2:$D847=D847))&gt;1,0,1)</f>
        <v>0</v>
      </c>
    </row>
    <row r="848" spans="1:16" x14ac:dyDescent="0.35">
      <c r="A848" t="s">
        <v>105</v>
      </c>
      <c r="B848">
        <v>2006</v>
      </c>
      <c r="C848" t="s">
        <v>49</v>
      </c>
      <c r="D848">
        <v>2.7</v>
      </c>
      <c r="E848">
        <f>INT(Table2[[#This Row],[Transect]])</f>
        <v>2</v>
      </c>
      <c r="F848" t="s">
        <v>98</v>
      </c>
      <c r="G848">
        <v>2</v>
      </c>
      <c r="H848">
        <v>200</v>
      </c>
      <c r="J848">
        <f>Table2[[#This Row],[Hits]]/Table2[[#This Row],[Points]]*100</f>
        <v>1</v>
      </c>
      <c r="K848">
        <f>VLOOKUP(Table2[[#This Row],[Site]],'Site Info'!$A$1:$C$11,2, FALSE)</f>
        <v>17</v>
      </c>
      <c r="L848">
        <f>VLOOKUP(Table2[[#This Row],[Site]],'Site Info'!$A$1:$C$11,3, FALSE)</f>
        <v>4</v>
      </c>
      <c r="M848" t="str">
        <f>VLOOKUP(Table2[[#This Row],[Species]],'Species Table'!$A$1:$D$68,3, FALSE)</f>
        <v>Perennial</v>
      </c>
      <c r="O848" s="15">
        <f>IF(SUMPRODUCT(($A$2:$A848=A848)*($B$2:$B848=B848)*($F$2:$F848=F848))&gt;1,0,1)</f>
        <v>1</v>
      </c>
      <c r="P848" s="15">
        <f>IF(SUMPRODUCT(($A$2:$A848=A848)*($B$2:$B848=B848)*($D$2:$D848=D848))&gt;1,0,1)</f>
        <v>0</v>
      </c>
    </row>
    <row r="849" spans="1:16" x14ac:dyDescent="0.35">
      <c r="A849" t="s">
        <v>105</v>
      </c>
      <c r="B849">
        <v>2006</v>
      </c>
      <c r="C849" t="s">
        <v>50</v>
      </c>
      <c r="D849">
        <v>3.1</v>
      </c>
      <c r="E849">
        <f>INT(Table2[[#This Row],[Transect]])</f>
        <v>3</v>
      </c>
      <c r="F849" t="s">
        <v>11</v>
      </c>
      <c r="G849">
        <v>2</v>
      </c>
      <c r="H849">
        <v>200</v>
      </c>
      <c r="J849">
        <f>Table2[[#This Row],[Hits]]/Table2[[#This Row],[Points]]*100</f>
        <v>1</v>
      </c>
      <c r="K849">
        <f>VLOOKUP(Table2[[#This Row],[Site]],'Site Info'!$A$1:$C$11,2, FALSE)</f>
        <v>17</v>
      </c>
      <c r="L849">
        <f>VLOOKUP(Table2[[#This Row],[Site]],'Site Info'!$A$1:$C$11,3, FALSE)</f>
        <v>4</v>
      </c>
      <c r="M849" t="str">
        <f>VLOOKUP(Table2[[#This Row],[Species]],'Species Table'!$A$1:$D$68,3, FALSE)</f>
        <v>Perennial</v>
      </c>
      <c r="O849" s="15">
        <f>IF(SUMPRODUCT(($A$2:$A849=A849)*($B$2:$B849=B849)*($F$2:$F849=F849))&gt;1,0,1)</f>
        <v>0</v>
      </c>
      <c r="P849" s="15">
        <f>IF(SUMPRODUCT(($A$2:$A849=A849)*($B$2:$B849=B849)*($D$2:$D849=D849))&gt;1,0,1)</f>
        <v>1</v>
      </c>
    </row>
    <row r="850" spans="1:16" hidden="1" x14ac:dyDescent="0.35">
      <c r="A850" t="s">
        <v>105</v>
      </c>
      <c r="B850">
        <v>2006</v>
      </c>
      <c r="C850" t="s">
        <v>50</v>
      </c>
      <c r="D850">
        <v>3.1</v>
      </c>
      <c r="E850">
        <f>INT(Table2[[#This Row],[Transect]])</f>
        <v>3</v>
      </c>
      <c r="F850" t="s">
        <v>10</v>
      </c>
      <c r="G850">
        <v>9</v>
      </c>
      <c r="H850">
        <v>200</v>
      </c>
      <c r="J850">
        <f>Table2[[#This Row],[Hits]]/Table2[[#This Row],[Points]]*100</f>
        <v>4.5</v>
      </c>
      <c r="K850">
        <f>VLOOKUP(Table2[[#This Row],[Site]],'Site Info'!$A$1:$C$11,2, FALSE)</f>
        <v>17</v>
      </c>
      <c r="L850">
        <f>VLOOKUP(Table2[[#This Row],[Site]],'Site Info'!$A$1:$C$11,3, FALSE)</f>
        <v>4</v>
      </c>
      <c r="M850" t="str">
        <f>VLOOKUP(Table2[[#This Row],[Species]],'Species Table'!$A$1:$D$68,3, FALSE)</f>
        <v>Annual</v>
      </c>
      <c r="O850" s="15">
        <f>IF(SUMPRODUCT(($A$2:$A850=A850)*($B$2:$B850=B850)*($F$2:$F850=F850))&gt;1,0,1)</f>
        <v>0</v>
      </c>
      <c r="P850" s="15">
        <f>IF(SUMPRODUCT(($A$2:$A850=A850)*($B$2:$B850=B850)*($D$2:$D850=D850))&gt;1,0,1)</f>
        <v>0</v>
      </c>
    </row>
    <row r="851" spans="1:16" x14ac:dyDescent="0.35">
      <c r="A851" t="s">
        <v>105</v>
      </c>
      <c r="B851">
        <v>2006</v>
      </c>
      <c r="C851" t="s">
        <v>50</v>
      </c>
      <c r="D851">
        <v>3.1</v>
      </c>
      <c r="E851">
        <f>INT(Table2[[#This Row],[Transect]])</f>
        <v>3</v>
      </c>
      <c r="F851" t="s">
        <v>6</v>
      </c>
      <c r="G851">
        <v>4</v>
      </c>
      <c r="H851">
        <v>200</v>
      </c>
      <c r="J851">
        <f>Table2[[#This Row],[Hits]]/Table2[[#This Row],[Points]]*100</f>
        <v>2</v>
      </c>
      <c r="K851">
        <f>VLOOKUP(Table2[[#This Row],[Site]],'Site Info'!$A$1:$C$11,2, FALSE)</f>
        <v>17</v>
      </c>
      <c r="L851">
        <f>VLOOKUP(Table2[[#This Row],[Site]],'Site Info'!$A$1:$C$11,3, FALSE)</f>
        <v>4</v>
      </c>
      <c r="M851" t="str">
        <f>VLOOKUP(Table2[[#This Row],[Species]],'Species Table'!$A$1:$D$68,3, FALSE)</f>
        <v>Perennial</v>
      </c>
      <c r="O851" s="15">
        <f>IF(SUMPRODUCT(($A$2:$A851=A851)*($B$2:$B851=B851)*($F$2:$F851=F851))&gt;1,0,1)</f>
        <v>0</v>
      </c>
      <c r="P851" s="15">
        <f>IF(SUMPRODUCT(($A$2:$A851=A851)*($B$2:$B851=B851)*($D$2:$D851=D851))&gt;1,0,1)</f>
        <v>0</v>
      </c>
    </row>
    <row r="852" spans="1:16" x14ac:dyDescent="0.35">
      <c r="A852" t="s">
        <v>105</v>
      </c>
      <c r="B852">
        <v>2006</v>
      </c>
      <c r="C852" t="s">
        <v>51</v>
      </c>
      <c r="D852">
        <v>3.2</v>
      </c>
      <c r="E852">
        <f>INT(Table2[[#This Row],[Transect]])</f>
        <v>3</v>
      </c>
      <c r="F852" t="s">
        <v>11</v>
      </c>
      <c r="G852">
        <v>13</v>
      </c>
      <c r="H852">
        <v>200</v>
      </c>
      <c r="J852">
        <f>Table2[[#This Row],[Hits]]/Table2[[#This Row],[Points]]*100</f>
        <v>6.5</v>
      </c>
      <c r="K852">
        <f>VLOOKUP(Table2[[#This Row],[Site]],'Site Info'!$A$1:$C$11,2, FALSE)</f>
        <v>17</v>
      </c>
      <c r="L852">
        <f>VLOOKUP(Table2[[#This Row],[Site]],'Site Info'!$A$1:$C$11,3, FALSE)</f>
        <v>4</v>
      </c>
      <c r="M852" t="str">
        <f>VLOOKUP(Table2[[#This Row],[Species]],'Species Table'!$A$1:$D$68,3, FALSE)</f>
        <v>Perennial</v>
      </c>
      <c r="O852" s="15">
        <f>IF(SUMPRODUCT(($A$2:$A852=A852)*($B$2:$B852=B852)*($F$2:$F852=F852))&gt;1,0,1)</f>
        <v>0</v>
      </c>
      <c r="P852" s="15">
        <f>IF(SUMPRODUCT(($A$2:$A852=A852)*($B$2:$B852=B852)*($D$2:$D852=D852))&gt;1,0,1)</f>
        <v>1</v>
      </c>
    </row>
    <row r="853" spans="1:16" hidden="1" x14ac:dyDescent="0.35">
      <c r="A853" t="s">
        <v>105</v>
      </c>
      <c r="B853">
        <v>2006</v>
      </c>
      <c r="C853" t="s">
        <v>51</v>
      </c>
      <c r="D853">
        <v>3.2</v>
      </c>
      <c r="E853">
        <f>INT(Table2[[#This Row],[Transect]])</f>
        <v>3</v>
      </c>
      <c r="F853" t="s">
        <v>10</v>
      </c>
      <c r="G853">
        <v>6</v>
      </c>
      <c r="H853">
        <v>200</v>
      </c>
      <c r="J853">
        <f>Table2[[#This Row],[Hits]]/Table2[[#This Row],[Points]]*100</f>
        <v>3</v>
      </c>
      <c r="K853">
        <f>VLOOKUP(Table2[[#This Row],[Site]],'Site Info'!$A$1:$C$11,2, FALSE)</f>
        <v>17</v>
      </c>
      <c r="L853">
        <f>VLOOKUP(Table2[[#This Row],[Site]],'Site Info'!$A$1:$C$11,3, FALSE)</f>
        <v>4</v>
      </c>
      <c r="M853" t="str">
        <f>VLOOKUP(Table2[[#This Row],[Species]],'Species Table'!$A$1:$D$68,3, FALSE)</f>
        <v>Annual</v>
      </c>
      <c r="O853" s="15">
        <f>IF(SUMPRODUCT(($A$2:$A853=A853)*($B$2:$B853=B853)*($F$2:$F853=F853))&gt;1,0,1)</f>
        <v>0</v>
      </c>
      <c r="P853" s="15">
        <f>IF(SUMPRODUCT(($A$2:$A853=A853)*($B$2:$B853=B853)*($D$2:$D853=D853))&gt;1,0,1)</f>
        <v>0</v>
      </c>
    </row>
    <row r="854" spans="1:16" x14ac:dyDescent="0.35">
      <c r="A854" t="s">
        <v>105</v>
      </c>
      <c r="B854">
        <v>2006</v>
      </c>
      <c r="C854" t="s">
        <v>51</v>
      </c>
      <c r="D854">
        <v>3.2</v>
      </c>
      <c r="E854">
        <f>INT(Table2[[#This Row],[Transect]])</f>
        <v>3</v>
      </c>
      <c r="F854" t="s">
        <v>12</v>
      </c>
      <c r="G854">
        <v>1</v>
      </c>
      <c r="H854">
        <v>200</v>
      </c>
      <c r="J854">
        <f>Table2[[#This Row],[Hits]]/Table2[[#This Row],[Points]]*100</f>
        <v>0.5</v>
      </c>
      <c r="K854">
        <f>VLOOKUP(Table2[[#This Row],[Site]],'Site Info'!$A$1:$C$11,2, FALSE)</f>
        <v>17</v>
      </c>
      <c r="L854">
        <f>VLOOKUP(Table2[[#This Row],[Site]],'Site Info'!$A$1:$C$11,3, FALSE)</f>
        <v>4</v>
      </c>
      <c r="M854" t="str">
        <f>VLOOKUP(Table2[[#This Row],[Species]],'Species Table'!$A$1:$D$68,3, FALSE)</f>
        <v>Perennial</v>
      </c>
      <c r="O854" s="15">
        <f>IF(SUMPRODUCT(($A$2:$A854=A854)*($B$2:$B854=B854)*($F$2:$F854=F854))&gt;1,0,1)</f>
        <v>0</v>
      </c>
      <c r="P854" s="15">
        <f>IF(SUMPRODUCT(($A$2:$A854=A854)*($B$2:$B854=B854)*($D$2:$D854=D854))&gt;1,0,1)</f>
        <v>0</v>
      </c>
    </row>
    <row r="855" spans="1:16" x14ac:dyDescent="0.35">
      <c r="A855" t="s">
        <v>105</v>
      </c>
      <c r="B855">
        <v>2006</v>
      </c>
      <c r="C855" t="s">
        <v>51</v>
      </c>
      <c r="D855">
        <v>3.2</v>
      </c>
      <c r="E855">
        <f>INT(Table2[[#This Row],[Transect]])</f>
        <v>3</v>
      </c>
      <c r="F855" t="s">
        <v>31</v>
      </c>
      <c r="G855">
        <v>3</v>
      </c>
      <c r="H855">
        <v>200</v>
      </c>
      <c r="J855">
        <f>Table2[[#This Row],[Hits]]/Table2[[#This Row],[Points]]*100</f>
        <v>1.5</v>
      </c>
      <c r="K855">
        <f>VLOOKUP(Table2[[#This Row],[Site]],'Site Info'!$A$1:$C$11,2, FALSE)</f>
        <v>17</v>
      </c>
      <c r="L855">
        <f>VLOOKUP(Table2[[#This Row],[Site]],'Site Info'!$A$1:$C$11,3, FALSE)</f>
        <v>4</v>
      </c>
      <c r="M855" t="str">
        <f>VLOOKUP(Table2[[#This Row],[Species]],'Species Table'!$A$1:$D$68,3, FALSE)</f>
        <v>Perennial</v>
      </c>
      <c r="O855" s="15">
        <f>IF(SUMPRODUCT(($A$2:$A855=A855)*($B$2:$B855=B855)*($F$2:$F855=F855))&gt;1,0,1)</f>
        <v>0</v>
      </c>
      <c r="P855" s="15">
        <f>IF(SUMPRODUCT(($A$2:$A855=A855)*($B$2:$B855=B855)*($D$2:$D855=D855))&gt;1,0,1)</f>
        <v>0</v>
      </c>
    </row>
    <row r="856" spans="1:16" x14ac:dyDescent="0.35">
      <c r="A856" t="s">
        <v>105</v>
      </c>
      <c r="B856">
        <v>2006</v>
      </c>
      <c r="C856" t="s">
        <v>52</v>
      </c>
      <c r="D856">
        <v>3.3</v>
      </c>
      <c r="E856">
        <f>INT(Table2[[#This Row],[Transect]])</f>
        <v>3</v>
      </c>
      <c r="F856" t="s">
        <v>11</v>
      </c>
      <c r="G856">
        <v>8</v>
      </c>
      <c r="H856">
        <v>200</v>
      </c>
      <c r="J856">
        <f>Table2[[#This Row],[Hits]]/Table2[[#This Row],[Points]]*100</f>
        <v>4</v>
      </c>
      <c r="K856">
        <f>VLOOKUP(Table2[[#This Row],[Site]],'Site Info'!$A$1:$C$11,2, FALSE)</f>
        <v>17</v>
      </c>
      <c r="L856">
        <f>VLOOKUP(Table2[[#This Row],[Site]],'Site Info'!$A$1:$C$11,3, FALSE)</f>
        <v>4</v>
      </c>
      <c r="M856" t="str">
        <f>VLOOKUP(Table2[[#This Row],[Species]],'Species Table'!$A$1:$D$68,3, FALSE)</f>
        <v>Perennial</v>
      </c>
      <c r="O856" s="15">
        <f>IF(SUMPRODUCT(($A$2:$A856=A856)*($B$2:$B856=B856)*($F$2:$F856=F856))&gt;1,0,1)</f>
        <v>0</v>
      </c>
      <c r="P856" s="15">
        <f>IF(SUMPRODUCT(($A$2:$A856=A856)*($B$2:$B856=B856)*($D$2:$D856=D856))&gt;1,0,1)</f>
        <v>1</v>
      </c>
    </row>
    <row r="857" spans="1:16" hidden="1" x14ac:dyDescent="0.35">
      <c r="A857" t="s">
        <v>105</v>
      </c>
      <c r="B857">
        <v>2006</v>
      </c>
      <c r="C857" t="s">
        <v>52</v>
      </c>
      <c r="D857">
        <v>3.3</v>
      </c>
      <c r="E857">
        <f>INT(Table2[[#This Row],[Transect]])</f>
        <v>3</v>
      </c>
      <c r="F857" t="s">
        <v>10</v>
      </c>
      <c r="G857">
        <v>10</v>
      </c>
      <c r="H857">
        <v>200</v>
      </c>
      <c r="J857">
        <f>Table2[[#This Row],[Hits]]/Table2[[#This Row],[Points]]*100</f>
        <v>5</v>
      </c>
      <c r="K857">
        <f>VLOOKUP(Table2[[#This Row],[Site]],'Site Info'!$A$1:$C$11,2, FALSE)</f>
        <v>17</v>
      </c>
      <c r="L857">
        <f>VLOOKUP(Table2[[#This Row],[Site]],'Site Info'!$A$1:$C$11,3, FALSE)</f>
        <v>4</v>
      </c>
      <c r="M857" t="str">
        <f>VLOOKUP(Table2[[#This Row],[Species]],'Species Table'!$A$1:$D$68,3, FALSE)</f>
        <v>Annual</v>
      </c>
      <c r="O857" s="15">
        <f>IF(SUMPRODUCT(($A$2:$A857=A857)*($B$2:$B857=B857)*($F$2:$F857=F857))&gt;1,0,1)</f>
        <v>0</v>
      </c>
      <c r="P857" s="15">
        <f>IF(SUMPRODUCT(($A$2:$A857=A857)*($B$2:$B857=B857)*($D$2:$D857=D857))&gt;1,0,1)</f>
        <v>0</v>
      </c>
    </row>
    <row r="858" spans="1:16" x14ac:dyDescent="0.35">
      <c r="A858" t="s">
        <v>105</v>
      </c>
      <c r="B858">
        <v>2006</v>
      </c>
      <c r="C858" t="s">
        <v>101</v>
      </c>
      <c r="D858">
        <v>3.4</v>
      </c>
      <c r="E858">
        <f>INT(Table2[[#This Row],[Transect]])</f>
        <v>3</v>
      </c>
      <c r="F858" t="s">
        <v>11</v>
      </c>
      <c r="G858">
        <v>18</v>
      </c>
      <c r="H858">
        <v>200</v>
      </c>
      <c r="J858">
        <f>Table2[[#This Row],[Hits]]/Table2[[#This Row],[Points]]*100</f>
        <v>9</v>
      </c>
      <c r="K858">
        <f>VLOOKUP(Table2[[#This Row],[Site]],'Site Info'!$A$1:$C$11,2, FALSE)</f>
        <v>17</v>
      </c>
      <c r="L858">
        <f>VLOOKUP(Table2[[#This Row],[Site]],'Site Info'!$A$1:$C$11,3, FALSE)</f>
        <v>4</v>
      </c>
      <c r="M858" t="str">
        <f>VLOOKUP(Table2[[#This Row],[Species]],'Species Table'!$A$1:$D$68,3, FALSE)</f>
        <v>Perennial</v>
      </c>
      <c r="O858" s="15">
        <f>IF(SUMPRODUCT(($A$2:$A858=A858)*($B$2:$B858=B858)*($F$2:$F858=F858))&gt;1,0,1)</f>
        <v>0</v>
      </c>
      <c r="P858" s="15">
        <f>IF(SUMPRODUCT(($A$2:$A858=A858)*($B$2:$B858=B858)*($D$2:$D858=D858))&gt;1,0,1)</f>
        <v>1</v>
      </c>
    </row>
    <row r="859" spans="1:16" x14ac:dyDescent="0.35">
      <c r="A859" t="s">
        <v>105</v>
      </c>
      <c r="B859">
        <v>2006</v>
      </c>
      <c r="C859" t="s">
        <v>102</v>
      </c>
      <c r="D859">
        <v>3.5</v>
      </c>
      <c r="E859">
        <f>INT(Table2[[#This Row],[Transect]])</f>
        <v>3</v>
      </c>
      <c r="F859" t="s">
        <v>11</v>
      </c>
      <c r="G859">
        <v>7</v>
      </c>
      <c r="H859">
        <v>200</v>
      </c>
      <c r="J859">
        <f>Table2[[#This Row],[Hits]]/Table2[[#This Row],[Points]]*100</f>
        <v>3.5000000000000004</v>
      </c>
      <c r="K859">
        <f>VLOOKUP(Table2[[#This Row],[Site]],'Site Info'!$A$1:$C$11,2, FALSE)</f>
        <v>17</v>
      </c>
      <c r="L859">
        <f>VLOOKUP(Table2[[#This Row],[Site]],'Site Info'!$A$1:$C$11,3, FALSE)</f>
        <v>4</v>
      </c>
      <c r="M859" t="str">
        <f>VLOOKUP(Table2[[#This Row],[Species]],'Species Table'!$A$1:$D$68,3, FALSE)</f>
        <v>Perennial</v>
      </c>
      <c r="O859" s="15">
        <f>IF(SUMPRODUCT(($A$2:$A859=A859)*($B$2:$B859=B859)*($F$2:$F859=F859))&gt;1,0,1)</f>
        <v>0</v>
      </c>
      <c r="P859" s="15">
        <f>IF(SUMPRODUCT(($A$2:$A859=A859)*($B$2:$B859=B859)*($D$2:$D859=D859))&gt;1,0,1)</f>
        <v>1</v>
      </c>
    </row>
    <row r="860" spans="1:16" x14ac:dyDescent="0.35">
      <c r="A860" t="s">
        <v>105</v>
      </c>
      <c r="B860">
        <v>2006</v>
      </c>
      <c r="C860" t="s">
        <v>53</v>
      </c>
      <c r="D860">
        <v>3.6</v>
      </c>
      <c r="E860">
        <f>INT(Table2[[#This Row],[Transect]])</f>
        <v>3</v>
      </c>
      <c r="F860" t="s">
        <v>3</v>
      </c>
      <c r="G860">
        <v>21</v>
      </c>
      <c r="H860">
        <v>200</v>
      </c>
      <c r="J860">
        <f>Table2[[#This Row],[Hits]]/Table2[[#This Row],[Points]]*100</f>
        <v>10.5</v>
      </c>
      <c r="K860">
        <f>VLOOKUP(Table2[[#This Row],[Site]],'Site Info'!$A$1:$C$11,2, FALSE)</f>
        <v>17</v>
      </c>
      <c r="L860">
        <f>VLOOKUP(Table2[[#This Row],[Site]],'Site Info'!$A$1:$C$11,3, FALSE)</f>
        <v>4</v>
      </c>
      <c r="M860" t="str">
        <f>VLOOKUP(Table2[[#This Row],[Species]],'Species Table'!$A$1:$D$68,3, FALSE)</f>
        <v>Perennial</v>
      </c>
      <c r="O860" s="15">
        <f>IF(SUMPRODUCT(($A$2:$A860=A860)*($B$2:$B860=B860)*($F$2:$F860=F860))&gt;1,0,1)</f>
        <v>0</v>
      </c>
      <c r="P860" s="15">
        <f>IF(SUMPRODUCT(($A$2:$A860=A860)*($B$2:$B860=B860)*($D$2:$D860=D860))&gt;1,0,1)</f>
        <v>1</v>
      </c>
    </row>
    <row r="861" spans="1:16" x14ac:dyDescent="0.35">
      <c r="A861" t="s">
        <v>105</v>
      </c>
      <c r="B861">
        <v>2006</v>
      </c>
      <c r="C861" t="s">
        <v>54</v>
      </c>
      <c r="D861">
        <v>3.7</v>
      </c>
      <c r="E861">
        <f>INT(Table2[[#This Row],[Transect]])</f>
        <v>3</v>
      </c>
      <c r="F861" t="s">
        <v>3</v>
      </c>
      <c r="G861">
        <v>11</v>
      </c>
      <c r="H861">
        <v>47</v>
      </c>
      <c r="J861">
        <f>Table2[[#This Row],[Hits]]/Table2[[#This Row],[Points]]*100</f>
        <v>23.404255319148938</v>
      </c>
      <c r="K861">
        <f>VLOOKUP(Table2[[#This Row],[Site]],'Site Info'!$A$1:$C$11,2, FALSE)</f>
        <v>17</v>
      </c>
      <c r="L861">
        <f>VLOOKUP(Table2[[#This Row],[Site]],'Site Info'!$A$1:$C$11,3, FALSE)</f>
        <v>4</v>
      </c>
      <c r="M861" t="str">
        <f>VLOOKUP(Table2[[#This Row],[Species]],'Species Table'!$A$1:$D$68,3, FALSE)</f>
        <v>Perennial</v>
      </c>
      <c r="O861" s="15">
        <f>IF(SUMPRODUCT(($A$2:$A861=A861)*($B$2:$B861=B861)*($F$2:$F861=F861))&gt;1,0,1)</f>
        <v>0</v>
      </c>
      <c r="P861" s="15">
        <f>IF(SUMPRODUCT(($A$2:$A861=A861)*($B$2:$B861=B861)*($D$2:$D861=D861))&gt;1,0,1)</f>
        <v>1</v>
      </c>
    </row>
    <row r="862" spans="1:16" x14ac:dyDescent="0.35">
      <c r="A862" t="s">
        <v>105</v>
      </c>
      <c r="B862">
        <v>2006</v>
      </c>
      <c r="C862" t="s">
        <v>55</v>
      </c>
      <c r="D862">
        <v>4.0999999999999996</v>
      </c>
      <c r="E862">
        <f>INT(Table2[[#This Row],[Transect]])</f>
        <v>4</v>
      </c>
      <c r="F862" t="s">
        <v>11</v>
      </c>
      <c r="G862">
        <v>5</v>
      </c>
      <c r="H862">
        <v>200</v>
      </c>
      <c r="J862">
        <f>Table2[[#This Row],[Hits]]/Table2[[#This Row],[Points]]*100</f>
        <v>2.5</v>
      </c>
      <c r="K862">
        <f>VLOOKUP(Table2[[#This Row],[Site]],'Site Info'!$A$1:$C$11,2, FALSE)</f>
        <v>17</v>
      </c>
      <c r="L862">
        <f>VLOOKUP(Table2[[#This Row],[Site]],'Site Info'!$A$1:$C$11,3, FALSE)</f>
        <v>4</v>
      </c>
      <c r="M862" t="str">
        <f>VLOOKUP(Table2[[#This Row],[Species]],'Species Table'!$A$1:$D$68,3, FALSE)</f>
        <v>Perennial</v>
      </c>
      <c r="O862" s="15">
        <f>IF(SUMPRODUCT(($A$2:$A862=A862)*($B$2:$B862=B862)*($F$2:$F862=F862))&gt;1,0,1)</f>
        <v>0</v>
      </c>
      <c r="P862" s="15">
        <f>IF(SUMPRODUCT(($A$2:$A862=A862)*($B$2:$B862=B862)*($D$2:$D862=D862))&gt;1,0,1)</f>
        <v>1</v>
      </c>
    </row>
    <row r="863" spans="1:16" x14ac:dyDescent="0.35">
      <c r="A863" t="s">
        <v>105</v>
      </c>
      <c r="B863">
        <v>2006</v>
      </c>
      <c r="C863" t="s">
        <v>55</v>
      </c>
      <c r="D863">
        <v>4.0999999999999996</v>
      </c>
      <c r="E863">
        <f>INT(Table2[[#This Row],[Transect]])</f>
        <v>4</v>
      </c>
      <c r="F863" t="s">
        <v>31</v>
      </c>
      <c r="G863">
        <v>1</v>
      </c>
      <c r="H863">
        <v>200</v>
      </c>
      <c r="J863">
        <f>Table2[[#This Row],[Hits]]/Table2[[#This Row],[Points]]*100</f>
        <v>0.5</v>
      </c>
      <c r="K863">
        <f>VLOOKUP(Table2[[#This Row],[Site]],'Site Info'!$A$1:$C$11,2, FALSE)</f>
        <v>17</v>
      </c>
      <c r="L863">
        <f>VLOOKUP(Table2[[#This Row],[Site]],'Site Info'!$A$1:$C$11,3, FALSE)</f>
        <v>4</v>
      </c>
      <c r="M863" t="str">
        <f>VLOOKUP(Table2[[#This Row],[Species]],'Species Table'!$A$1:$D$68,3, FALSE)</f>
        <v>Perennial</v>
      </c>
      <c r="O863" s="15">
        <f>IF(SUMPRODUCT(($A$2:$A863=A863)*($B$2:$B863=B863)*($F$2:$F863=F863))&gt;1,0,1)</f>
        <v>0</v>
      </c>
      <c r="P863" s="15">
        <f>IF(SUMPRODUCT(($A$2:$A863=A863)*($B$2:$B863=B863)*($D$2:$D863=D863))&gt;1,0,1)</f>
        <v>0</v>
      </c>
    </row>
    <row r="864" spans="1:16" hidden="1" x14ac:dyDescent="0.35">
      <c r="A864" t="s">
        <v>105</v>
      </c>
      <c r="B864">
        <v>2006</v>
      </c>
      <c r="C864" t="s">
        <v>103</v>
      </c>
      <c r="D864">
        <v>4.2</v>
      </c>
      <c r="E864">
        <f>INT(Table2[[#This Row],[Transect]])</f>
        <v>4</v>
      </c>
      <c r="F864" t="s">
        <v>10</v>
      </c>
      <c r="G864">
        <v>1</v>
      </c>
      <c r="H864">
        <v>89</v>
      </c>
      <c r="J864">
        <f>Table2[[#This Row],[Hits]]/Table2[[#This Row],[Points]]*100</f>
        <v>1.1235955056179776</v>
      </c>
      <c r="K864">
        <f>VLOOKUP(Table2[[#This Row],[Site]],'Site Info'!$A$1:$C$11,2, FALSE)</f>
        <v>17</v>
      </c>
      <c r="L864">
        <f>VLOOKUP(Table2[[#This Row],[Site]],'Site Info'!$A$1:$C$11,3, FALSE)</f>
        <v>4</v>
      </c>
      <c r="M864" t="str">
        <f>VLOOKUP(Table2[[#This Row],[Species]],'Species Table'!$A$1:$D$68,3, FALSE)</f>
        <v>Annual</v>
      </c>
      <c r="O864" s="15">
        <f>IF(SUMPRODUCT(($A$2:$A864=A864)*($B$2:$B864=B864)*($F$2:$F864=F864))&gt;1,0,1)</f>
        <v>0</v>
      </c>
      <c r="P864" s="15">
        <f>IF(SUMPRODUCT(($A$2:$A864=A864)*($B$2:$B864=B864)*($D$2:$D864=D864))&gt;1,0,1)</f>
        <v>1</v>
      </c>
    </row>
    <row r="865" spans="1:16" x14ac:dyDescent="0.35">
      <c r="A865" t="s">
        <v>105</v>
      </c>
      <c r="B865">
        <v>2006</v>
      </c>
      <c r="C865" t="s">
        <v>103</v>
      </c>
      <c r="D865">
        <v>4.2</v>
      </c>
      <c r="E865">
        <f>INT(Table2[[#This Row],[Transect]])</f>
        <v>4</v>
      </c>
      <c r="F865" t="s">
        <v>3</v>
      </c>
      <c r="G865">
        <v>3</v>
      </c>
      <c r="H865">
        <v>89</v>
      </c>
      <c r="J865">
        <f>Table2[[#This Row],[Hits]]/Table2[[#This Row],[Points]]*100</f>
        <v>3.3707865168539324</v>
      </c>
      <c r="K865">
        <f>VLOOKUP(Table2[[#This Row],[Site]],'Site Info'!$A$1:$C$11,2, FALSE)</f>
        <v>17</v>
      </c>
      <c r="L865">
        <f>VLOOKUP(Table2[[#This Row],[Site]],'Site Info'!$A$1:$C$11,3, FALSE)</f>
        <v>4</v>
      </c>
      <c r="M865" t="str">
        <f>VLOOKUP(Table2[[#This Row],[Species]],'Species Table'!$A$1:$D$68,3, FALSE)</f>
        <v>Perennial</v>
      </c>
      <c r="O865" s="15">
        <f>IF(SUMPRODUCT(($A$2:$A865=A865)*($B$2:$B865=B865)*($F$2:$F865=F865))&gt;1,0,1)</f>
        <v>0</v>
      </c>
      <c r="P865" s="15">
        <f>IF(SUMPRODUCT(($A$2:$A865=A865)*($B$2:$B865=B865)*($D$2:$D865=D865))&gt;1,0,1)</f>
        <v>0</v>
      </c>
    </row>
    <row r="866" spans="1:16" x14ac:dyDescent="0.35">
      <c r="A866" t="s">
        <v>105</v>
      </c>
      <c r="B866">
        <v>2006</v>
      </c>
      <c r="C866" t="s">
        <v>104</v>
      </c>
      <c r="D866">
        <v>5.0999999999999996</v>
      </c>
      <c r="E866">
        <f>INT(Table2[[#This Row],[Transect]])</f>
        <v>5</v>
      </c>
      <c r="F866" t="s">
        <v>3</v>
      </c>
      <c r="G866">
        <v>62</v>
      </c>
      <c r="H866">
        <v>164</v>
      </c>
      <c r="J866">
        <f>Table2[[#This Row],[Hits]]/Table2[[#This Row],[Points]]*100</f>
        <v>37.804878048780488</v>
      </c>
      <c r="K866">
        <f>VLOOKUP(Table2[[#This Row],[Site]],'Site Info'!$A$1:$C$11,2, FALSE)</f>
        <v>17</v>
      </c>
      <c r="L866">
        <f>VLOOKUP(Table2[[#This Row],[Site]],'Site Info'!$A$1:$C$11,3, FALSE)</f>
        <v>4</v>
      </c>
      <c r="M866" t="str">
        <f>VLOOKUP(Table2[[#This Row],[Species]],'Species Table'!$A$1:$D$68,3, FALSE)</f>
        <v>Perennial</v>
      </c>
      <c r="O866" s="15">
        <f>IF(SUMPRODUCT(($A$2:$A866=A866)*($B$2:$B866=B866)*($F$2:$F866=F866))&gt;1,0,1)</f>
        <v>0</v>
      </c>
      <c r="P866" s="15">
        <f>IF(SUMPRODUCT(($A$2:$A866=A866)*($B$2:$B866=B866)*($D$2:$D866=D866))&gt;1,0,1)</f>
        <v>1</v>
      </c>
    </row>
    <row r="867" spans="1:16" x14ac:dyDescent="0.35">
      <c r="A867" t="s">
        <v>105</v>
      </c>
      <c r="B867">
        <v>2006</v>
      </c>
      <c r="C867" t="s">
        <v>104</v>
      </c>
      <c r="D867">
        <v>5.0999999999999996</v>
      </c>
      <c r="E867">
        <f>INT(Table2[[#This Row],[Transect]])</f>
        <v>5</v>
      </c>
      <c r="F867" t="s">
        <v>97</v>
      </c>
      <c r="G867">
        <v>4</v>
      </c>
      <c r="H867">
        <v>164</v>
      </c>
      <c r="J867">
        <f>Table2[[#This Row],[Hits]]/Table2[[#This Row],[Points]]*100</f>
        <v>2.4390243902439024</v>
      </c>
      <c r="K867">
        <f>VLOOKUP(Table2[[#This Row],[Site]],'Site Info'!$A$1:$C$11,2, FALSE)</f>
        <v>17</v>
      </c>
      <c r="L867">
        <f>VLOOKUP(Table2[[#This Row],[Site]],'Site Info'!$A$1:$C$11,3, FALSE)</f>
        <v>4</v>
      </c>
      <c r="M867" t="str">
        <f>VLOOKUP(Table2[[#This Row],[Species]],'Species Table'!$A$1:$D$68,3, FALSE)</f>
        <v>Perennial</v>
      </c>
      <c r="O867" s="15">
        <f>IF(SUMPRODUCT(($A$2:$A867=A867)*($B$2:$B867=B867)*($F$2:$F867=F867))&gt;1,0,1)</f>
        <v>1</v>
      </c>
      <c r="P867" s="15">
        <f>IF(SUMPRODUCT(($A$2:$A867=A867)*($B$2:$B867=B867)*($D$2:$D867=D867))&gt;1,0,1)</f>
        <v>0</v>
      </c>
    </row>
    <row r="868" spans="1:16" x14ac:dyDescent="0.35">
      <c r="A868" t="s">
        <v>105</v>
      </c>
      <c r="B868">
        <v>2012</v>
      </c>
      <c r="C868" t="s">
        <v>37</v>
      </c>
      <c r="D868">
        <v>1.1000000000000001</v>
      </c>
      <c r="E868">
        <f>INT(Table2[[#This Row],[Transect]])</f>
        <v>1</v>
      </c>
      <c r="F868" t="s">
        <v>6</v>
      </c>
      <c r="G868">
        <v>23</v>
      </c>
      <c r="H868">
        <v>198</v>
      </c>
      <c r="J868">
        <f>Table2[[#This Row],[Hits]]/Table2[[#This Row],[Points]]*100</f>
        <v>11.616161616161616</v>
      </c>
      <c r="K868">
        <f>VLOOKUP(Table2[[#This Row],[Site]],'Site Info'!$A$1:$C$11,2, FALSE)</f>
        <v>17</v>
      </c>
      <c r="L868">
        <f>VLOOKUP(Table2[[#This Row],[Site]],'Site Info'!$A$1:$C$11,3, FALSE)</f>
        <v>4</v>
      </c>
      <c r="M868" t="str">
        <f>VLOOKUP(Table2[[#This Row],[Species]],'Species Table'!$A$1:$D$68,3, FALSE)</f>
        <v>Perennial</v>
      </c>
      <c r="O868" s="15">
        <f>IF(SUMPRODUCT(($A$2:$A868=A868)*($B$2:$B868=B868)*($F$2:$F868=F868))&gt;1,0,1)</f>
        <v>1</v>
      </c>
      <c r="P868" s="15">
        <f>IF(SUMPRODUCT(($A$2:$A868=A868)*($B$2:$B868=B868)*($D$2:$D868=D868))&gt;1,0,1)</f>
        <v>1</v>
      </c>
    </row>
    <row r="869" spans="1:16" x14ac:dyDescent="0.35">
      <c r="A869" t="s">
        <v>105</v>
      </c>
      <c r="B869">
        <v>2012</v>
      </c>
      <c r="C869" t="s">
        <v>38</v>
      </c>
      <c r="D869">
        <v>1.2</v>
      </c>
      <c r="E869">
        <f>INT(Table2[[#This Row],[Transect]])</f>
        <v>1</v>
      </c>
      <c r="F869" t="s">
        <v>11</v>
      </c>
      <c r="G869">
        <v>2</v>
      </c>
      <c r="H869">
        <v>198</v>
      </c>
      <c r="J869">
        <f>Table2[[#This Row],[Hits]]/Table2[[#This Row],[Points]]*100</f>
        <v>1.0101010101010102</v>
      </c>
      <c r="K869">
        <f>VLOOKUP(Table2[[#This Row],[Site]],'Site Info'!$A$1:$C$11,2, FALSE)</f>
        <v>17</v>
      </c>
      <c r="L869">
        <f>VLOOKUP(Table2[[#This Row],[Site]],'Site Info'!$A$1:$C$11,3, FALSE)</f>
        <v>4</v>
      </c>
      <c r="M869" t="str">
        <f>VLOOKUP(Table2[[#This Row],[Species]],'Species Table'!$A$1:$D$68,3, FALSE)</f>
        <v>Perennial</v>
      </c>
      <c r="O869" s="15">
        <f>IF(SUMPRODUCT(($A$2:$A869=A869)*($B$2:$B869=B869)*($F$2:$F869=F869))&gt;1,0,1)</f>
        <v>1</v>
      </c>
      <c r="P869" s="15">
        <f>IF(SUMPRODUCT(($A$2:$A869=A869)*($B$2:$B869=B869)*($D$2:$D869=D869))&gt;1,0,1)</f>
        <v>1</v>
      </c>
    </row>
    <row r="870" spans="1:16" x14ac:dyDescent="0.35">
      <c r="A870" t="s">
        <v>105</v>
      </c>
      <c r="B870">
        <v>2012</v>
      </c>
      <c r="C870" t="s">
        <v>83</v>
      </c>
      <c r="D870">
        <v>1.3</v>
      </c>
      <c r="E870">
        <f>INT(Table2[[#This Row],[Transect]])</f>
        <v>1</v>
      </c>
      <c r="F870" t="s">
        <v>11</v>
      </c>
      <c r="G870">
        <v>6</v>
      </c>
      <c r="H870">
        <v>198</v>
      </c>
      <c r="J870">
        <f>Table2[[#This Row],[Hits]]/Table2[[#This Row],[Points]]*100</f>
        <v>3.0303030303030303</v>
      </c>
      <c r="K870">
        <f>VLOOKUP(Table2[[#This Row],[Site]],'Site Info'!$A$1:$C$11,2, FALSE)</f>
        <v>17</v>
      </c>
      <c r="L870">
        <f>VLOOKUP(Table2[[#This Row],[Site]],'Site Info'!$A$1:$C$11,3, FALSE)</f>
        <v>4</v>
      </c>
      <c r="M870" t="str">
        <f>VLOOKUP(Table2[[#This Row],[Species]],'Species Table'!$A$1:$D$68,3, FALSE)</f>
        <v>Perennial</v>
      </c>
      <c r="O870" s="15">
        <f>IF(SUMPRODUCT(($A$2:$A870=A870)*($B$2:$B870=B870)*($F$2:$F870=F870))&gt;1,0,1)</f>
        <v>0</v>
      </c>
      <c r="P870" s="15">
        <f>IF(SUMPRODUCT(($A$2:$A870=A870)*($B$2:$B870=B870)*($D$2:$D870=D870))&gt;1,0,1)</f>
        <v>1</v>
      </c>
    </row>
    <row r="871" spans="1:16" hidden="1" x14ac:dyDescent="0.35">
      <c r="A871" t="s">
        <v>105</v>
      </c>
      <c r="B871">
        <v>2012</v>
      </c>
      <c r="C871" t="s">
        <v>39</v>
      </c>
      <c r="D871">
        <v>1.4</v>
      </c>
      <c r="E871">
        <f>INT(Table2[[#This Row],[Transect]])</f>
        <v>1</v>
      </c>
      <c r="F871" t="s">
        <v>127</v>
      </c>
      <c r="G871">
        <v>0</v>
      </c>
      <c r="H871">
        <v>198</v>
      </c>
      <c r="J871">
        <f>Table2[[#This Row],[Hits]]/Table2[[#This Row],[Points]]*100</f>
        <v>0</v>
      </c>
      <c r="K871">
        <f>VLOOKUP(Table2[[#This Row],[Site]],'Site Info'!$A$1:$C$11,2, FALSE)</f>
        <v>17</v>
      </c>
      <c r="L871">
        <f>VLOOKUP(Table2[[#This Row],[Site]],'Site Info'!$A$1:$C$11,3, FALSE)</f>
        <v>4</v>
      </c>
      <c r="M871" t="str">
        <f>VLOOKUP(Table2[[#This Row],[Species]],'Species Table'!$A$1:$D$68,3, FALSE)</f>
        <v>NA</v>
      </c>
      <c r="O871" s="15">
        <f>IF(SUMPRODUCT(($A$2:$A871=A871)*($B$2:$B871=B871)*($F$2:$F871=F871))&gt;1,0,1)</f>
        <v>1</v>
      </c>
      <c r="P871" s="15">
        <f>IF(SUMPRODUCT(($A$2:$A871=A871)*($B$2:$B871=B871)*($D$2:$D871=D871))&gt;1,0,1)</f>
        <v>1</v>
      </c>
    </row>
    <row r="872" spans="1:16" x14ac:dyDescent="0.35">
      <c r="A872" t="s">
        <v>105</v>
      </c>
      <c r="B872">
        <v>2012</v>
      </c>
      <c r="C872" t="s">
        <v>40</v>
      </c>
      <c r="D872">
        <v>1.5</v>
      </c>
      <c r="E872">
        <f>INT(Table2[[#This Row],[Transect]])</f>
        <v>1</v>
      </c>
      <c r="F872" t="s">
        <v>11</v>
      </c>
      <c r="G872">
        <v>3</v>
      </c>
      <c r="H872">
        <v>198</v>
      </c>
      <c r="J872">
        <f>Table2[[#This Row],[Hits]]/Table2[[#This Row],[Points]]*100</f>
        <v>1.5151515151515151</v>
      </c>
      <c r="K872">
        <f>VLOOKUP(Table2[[#This Row],[Site]],'Site Info'!$A$1:$C$11,2, FALSE)</f>
        <v>17</v>
      </c>
      <c r="L872">
        <f>VLOOKUP(Table2[[#This Row],[Site]],'Site Info'!$A$1:$C$11,3, FALSE)</f>
        <v>4</v>
      </c>
      <c r="M872" t="str">
        <f>VLOOKUP(Table2[[#This Row],[Species]],'Species Table'!$A$1:$D$68,3, FALSE)</f>
        <v>Perennial</v>
      </c>
      <c r="O872" s="15">
        <f>IF(SUMPRODUCT(($A$2:$A872=A872)*($B$2:$B872=B872)*($F$2:$F872=F872))&gt;1,0,1)</f>
        <v>0</v>
      </c>
      <c r="P872" s="15">
        <f>IF(SUMPRODUCT(($A$2:$A872=A872)*($B$2:$B872=B872)*($D$2:$D872=D872))&gt;1,0,1)</f>
        <v>1</v>
      </c>
    </row>
    <row r="873" spans="1:16" x14ac:dyDescent="0.35">
      <c r="A873" t="s">
        <v>105</v>
      </c>
      <c r="B873">
        <v>2012</v>
      </c>
      <c r="C873" t="s">
        <v>100</v>
      </c>
      <c r="D873">
        <v>1.6</v>
      </c>
      <c r="E873">
        <f>INT(Table2[[#This Row],[Transect]])</f>
        <v>1</v>
      </c>
      <c r="F873" t="s">
        <v>6</v>
      </c>
      <c r="G873">
        <v>3</v>
      </c>
      <c r="H873">
        <v>171</v>
      </c>
      <c r="J873">
        <f>Table2[[#This Row],[Hits]]/Table2[[#This Row],[Points]]*100</f>
        <v>1.7543859649122806</v>
      </c>
      <c r="K873">
        <f>VLOOKUP(Table2[[#This Row],[Site]],'Site Info'!$A$1:$C$11,2, FALSE)</f>
        <v>17</v>
      </c>
      <c r="L873">
        <f>VLOOKUP(Table2[[#This Row],[Site]],'Site Info'!$A$1:$C$11,3, FALSE)</f>
        <v>4</v>
      </c>
      <c r="M873" t="str">
        <f>VLOOKUP(Table2[[#This Row],[Species]],'Species Table'!$A$1:$D$68,3, FALSE)</f>
        <v>Perennial</v>
      </c>
      <c r="O873" s="15">
        <f>IF(SUMPRODUCT(($A$2:$A873=A873)*($B$2:$B873=B873)*($F$2:$F873=F873))&gt;1,0,1)</f>
        <v>0</v>
      </c>
      <c r="P873" s="15">
        <f>IF(SUMPRODUCT(($A$2:$A873=A873)*($B$2:$B873=B873)*($D$2:$D873=D873))&gt;1,0,1)</f>
        <v>1</v>
      </c>
    </row>
    <row r="874" spans="1:16" x14ac:dyDescent="0.35">
      <c r="A874" t="s">
        <v>105</v>
      </c>
      <c r="B874">
        <v>2012</v>
      </c>
      <c r="C874" t="s">
        <v>100</v>
      </c>
      <c r="D874">
        <v>1.6</v>
      </c>
      <c r="E874">
        <f>INT(Table2[[#This Row],[Transect]])</f>
        <v>1</v>
      </c>
      <c r="F874" t="s">
        <v>11</v>
      </c>
      <c r="G874">
        <v>3</v>
      </c>
      <c r="H874">
        <v>171</v>
      </c>
      <c r="J874">
        <f>Table2[[#This Row],[Hits]]/Table2[[#This Row],[Points]]*100</f>
        <v>1.7543859649122806</v>
      </c>
      <c r="K874">
        <f>VLOOKUP(Table2[[#This Row],[Site]],'Site Info'!$A$1:$C$11,2, FALSE)</f>
        <v>17</v>
      </c>
      <c r="L874">
        <f>VLOOKUP(Table2[[#This Row],[Site]],'Site Info'!$A$1:$C$11,3, FALSE)</f>
        <v>4</v>
      </c>
      <c r="M874" t="str">
        <f>VLOOKUP(Table2[[#This Row],[Species]],'Species Table'!$A$1:$D$68,3, FALSE)</f>
        <v>Perennial</v>
      </c>
      <c r="O874" s="15">
        <f>IF(SUMPRODUCT(($A$2:$A874=A874)*($B$2:$B874=B874)*($F$2:$F874=F874))&gt;1,0,1)</f>
        <v>0</v>
      </c>
      <c r="P874" s="15">
        <f>IF(SUMPRODUCT(($A$2:$A874=A874)*($B$2:$B874=B874)*($D$2:$D874=D874))&gt;1,0,1)</f>
        <v>0</v>
      </c>
    </row>
    <row r="875" spans="1:16" x14ac:dyDescent="0.35">
      <c r="A875" t="s">
        <v>105</v>
      </c>
      <c r="B875">
        <v>2012</v>
      </c>
      <c r="C875" t="s">
        <v>43</v>
      </c>
      <c r="D875">
        <v>2.1</v>
      </c>
      <c r="E875">
        <f>INT(Table2[[#This Row],[Transect]])</f>
        <v>2</v>
      </c>
      <c r="F875" t="s">
        <v>6</v>
      </c>
      <c r="G875">
        <v>1</v>
      </c>
      <c r="H875">
        <v>198</v>
      </c>
      <c r="J875">
        <f>Table2[[#This Row],[Hits]]/Table2[[#This Row],[Points]]*100</f>
        <v>0.50505050505050508</v>
      </c>
      <c r="K875">
        <f>VLOOKUP(Table2[[#This Row],[Site]],'Site Info'!$A$1:$C$11,2, FALSE)</f>
        <v>17</v>
      </c>
      <c r="L875">
        <f>VLOOKUP(Table2[[#This Row],[Site]],'Site Info'!$A$1:$C$11,3, FALSE)</f>
        <v>4</v>
      </c>
      <c r="M875" t="str">
        <f>VLOOKUP(Table2[[#This Row],[Species]],'Species Table'!$A$1:$D$68,3, FALSE)</f>
        <v>Perennial</v>
      </c>
      <c r="O875" s="15">
        <f>IF(SUMPRODUCT(($A$2:$A875=A875)*($B$2:$B875=B875)*($F$2:$F875=F875))&gt;1,0,1)</f>
        <v>0</v>
      </c>
      <c r="P875" s="15">
        <f>IF(SUMPRODUCT(($A$2:$A875=A875)*($B$2:$B875=B875)*($D$2:$D875=D875))&gt;1,0,1)</f>
        <v>1</v>
      </c>
    </row>
    <row r="876" spans="1:16" x14ac:dyDescent="0.35">
      <c r="A876" t="s">
        <v>105</v>
      </c>
      <c r="B876">
        <v>2012</v>
      </c>
      <c r="C876" t="s">
        <v>43</v>
      </c>
      <c r="D876">
        <v>2.1</v>
      </c>
      <c r="E876">
        <f>INT(Table2[[#This Row],[Transect]])</f>
        <v>2</v>
      </c>
      <c r="F876" t="s">
        <v>11</v>
      </c>
      <c r="G876">
        <v>5</v>
      </c>
      <c r="H876">
        <v>198</v>
      </c>
      <c r="J876">
        <f>Table2[[#This Row],[Hits]]/Table2[[#This Row],[Points]]*100</f>
        <v>2.5252525252525251</v>
      </c>
      <c r="K876">
        <f>VLOOKUP(Table2[[#This Row],[Site]],'Site Info'!$A$1:$C$11,2, FALSE)</f>
        <v>17</v>
      </c>
      <c r="L876">
        <f>VLOOKUP(Table2[[#This Row],[Site]],'Site Info'!$A$1:$C$11,3, FALSE)</f>
        <v>4</v>
      </c>
      <c r="M876" t="str">
        <f>VLOOKUP(Table2[[#This Row],[Species]],'Species Table'!$A$1:$D$68,3, FALSE)</f>
        <v>Perennial</v>
      </c>
      <c r="O876" s="15">
        <f>IF(SUMPRODUCT(($A$2:$A876=A876)*($B$2:$B876=B876)*($F$2:$F876=F876))&gt;1,0,1)</f>
        <v>0</v>
      </c>
      <c r="P876" s="15">
        <f>IF(SUMPRODUCT(($A$2:$A876=A876)*($B$2:$B876=B876)*($D$2:$D876=D876))&gt;1,0,1)</f>
        <v>0</v>
      </c>
    </row>
    <row r="877" spans="1:16" x14ac:dyDescent="0.35">
      <c r="A877" t="s">
        <v>105</v>
      </c>
      <c r="B877">
        <v>2012</v>
      </c>
      <c r="C877" t="s">
        <v>43</v>
      </c>
      <c r="D877">
        <v>2.1</v>
      </c>
      <c r="E877">
        <f>INT(Table2[[#This Row],[Transect]])</f>
        <v>2</v>
      </c>
      <c r="F877" t="s">
        <v>12</v>
      </c>
      <c r="G877">
        <v>3</v>
      </c>
      <c r="H877">
        <v>198</v>
      </c>
      <c r="J877">
        <f>Table2[[#This Row],[Hits]]/Table2[[#This Row],[Points]]*100</f>
        <v>1.5151515151515151</v>
      </c>
      <c r="K877">
        <f>VLOOKUP(Table2[[#This Row],[Site]],'Site Info'!$A$1:$C$11,2, FALSE)</f>
        <v>17</v>
      </c>
      <c r="L877">
        <f>VLOOKUP(Table2[[#This Row],[Site]],'Site Info'!$A$1:$C$11,3, FALSE)</f>
        <v>4</v>
      </c>
      <c r="M877" t="str">
        <f>VLOOKUP(Table2[[#This Row],[Species]],'Species Table'!$A$1:$D$68,3, FALSE)</f>
        <v>Perennial</v>
      </c>
      <c r="O877" s="15">
        <f>IF(SUMPRODUCT(($A$2:$A877=A877)*($B$2:$B877=B877)*($F$2:$F877=F877))&gt;1,0,1)</f>
        <v>1</v>
      </c>
      <c r="P877" s="15">
        <f>IF(SUMPRODUCT(($A$2:$A877=A877)*($B$2:$B877=B877)*($D$2:$D877=D877))&gt;1,0,1)</f>
        <v>0</v>
      </c>
    </row>
    <row r="878" spans="1:16" x14ac:dyDescent="0.35">
      <c r="A878" t="s">
        <v>105</v>
      </c>
      <c r="B878">
        <v>2012</v>
      </c>
      <c r="C878" t="s">
        <v>43</v>
      </c>
      <c r="D878">
        <v>2.1</v>
      </c>
      <c r="E878">
        <f>INT(Table2[[#This Row],[Transect]])</f>
        <v>2</v>
      </c>
      <c r="F878" t="s">
        <v>98</v>
      </c>
      <c r="G878">
        <v>2</v>
      </c>
      <c r="H878">
        <v>198</v>
      </c>
      <c r="J878">
        <f>Table2[[#This Row],[Hits]]/Table2[[#This Row],[Points]]*100</f>
        <v>1.0101010101010102</v>
      </c>
      <c r="K878">
        <f>VLOOKUP(Table2[[#This Row],[Site]],'Site Info'!$A$1:$C$11,2, FALSE)</f>
        <v>17</v>
      </c>
      <c r="L878">
        <f>VLOOKUP(Table2[[#This Row],[Site]],'Site Info'!$A$1:$C$11,3, FALSE)</f>
        <v>4</v>
      </c>
      <c r="M878" t="str">
        <f>VLOOKUP(Table2[[#This Row],[Species]],'Species Table'!$A$1:$D$68,3, FALSE)</f>
        <v>Perennial</v>
      </c>
      <c r="O878" s="15">
        <f>IF(SUMPRODUCT(($A$2:$A878=A878)*($B$2:$B878=B878)*($F$2:$F878=F878))&gt;1,0,1)</f>
        <v>1</v>
      </c>
      <c r="P878" s="15">
        <f>IF(SUMPRODUCT(($A$2:$A878=A878)*($B$2:$B878=B878)*($D$2:$D878=D878))&gt;1,0,1)</f>
        <v>0</v>
      </c>
    </row>
    <row r="879" spans="1:16" x14ac:dyDescent="0.35">
      <c r="A879" t="s">
        <v>105</v>
      </c>
      <c r="B879">
        <v>2012</v>
      </c>
      <c r="C879" t="s">
        <v>44</v>
      </c>
      <c r="D879">
        <v>2.2000000000000002</v>
      </c>
      <c r="E879">
        <f>INT(Table2[[#This Row],[Transect]])</f>
        <v>2</v>
      </c>
      <c r="F879" t="s">
        <v>11</v>
      </c>
      <c r="G879">
        <v>4</v>
      </c>
      <c r="H879">
        <v>198</v>
      </c>
      <c r="J879">
        <f>Table2[[#This Row],[Hits]]/Table2[[#This Row],[Points]]*100</f>
        <v>2.0202020202020203</v>
      </c>
      <c r="K879">
        <f>VLOOKUP(Table2[[#This Row],[Site]],'Site Info'!$A$1:$C$11,2, FALSE)</f>
        <v>17</v>
      </c>
      <c r="L879">
        <f>VLOOKUP(Table2[[#This Row],[Site]],'Site Info'!$A$1:$C$11,3, FALSE)</f>
        <v>4</v>
      </c>
      <c r="M879" t="str">
        <f>VLOOKUP(Table2[[#This Row],[Species]],'Species Table'!$A$1:$D$68,3, FALSE)</f>
        <v>Perennial</v>
      </c>
      <c r="O879" s="15">
        <f>IF(SUMPRODUCT(($A$2:$A879=A879)*($B$2:$B879=B879)*($F$2:$F879=F879))&gt;1,0,1)</f>
        <v>0</v>
      </c>
      <c r="P879" s="15">
        <f>IF(SUMPRODUCT(($A$2:$A879=A879)*($B$2:$B879=B879)*($D$2:$D879=D879))&gt;1,0,1)</f>
        <v>1</v>
      </c>
    </row>
    <row r="880" spans="1:16" x14ac:dyDescent="0.35">
      <c r="A880" t="s">
        <v>105</v>
      </c>
      <c r="B880">
        <v>2012</v>
      </c>
      <c r="C880" t="s">
        <v>45</v>
      </c>
      <c r="D880">
        <v>2.2999999999999998</v>
      </c>
      <c r="E880">
        <f>INT(Table2[[#This Row],[Transect]])</f>
        <v>2</v>
      </c>
      <c r="F880" t="s">
        <v>12</v>
      </c>
      <c r="G880">
        <v>3</v>
      </c>
      <c r="H880">
        <v>200</v>
      </c>
      <c r="J880">
        <f>Table2[[#This Row],[Hits]]/Table2[[#This Row],[Points]]*100</f>
        <v>1.5</v>
      </c>
      <c r="K880">
        <f>VLOOKUP(Table2[[#This Row],[Site]],'Site Info'!$A$1:$C$11,2, FALSE)</f>
        <v>17</v>
      </c>
      <c r="L880">
        <f>VLOOKUP(Table2[[#This Row],[Site]],'Site Info'!$A$1:$C$11,3, FALSE)</f>
        <v>4</v>
      </c>
      <c r="M880" t="str">
        <f>VLOOKUP(Table2[[#This Row],[Species]],'Species Table'!$A$1:$D$68,3, FALSE)</f>
        <v>Perennial</v>
      </c>
      <c r="O880" s="15">
        <f>IF(SUMPRODUCT(($A$2:$A880=A880)*($B$2:$B880=B880)*($F$2:$F880=F880))&gt;1,0,1)</f>
        <v>0</v>
      </c>
      <c r="P880" s="15">
        <f>IF(SUMPRODUCT(($A$2:$A880=A880)*($B$2:$B880=B880)*($D$2:$D880=D880))&gt;1,0,1)</f>
        <v>1</v>
      </c>
    </row>
    <row r="881" spans="1:16" hidden="1" x14ac:dyDescent="0.35">
      <c r="A881" t="s">
        <v>105</v>
      </c>
      <c r="B881">
        <v>2012</v>
      </c>
      <c r="C881" t="s">
        <v>46</v>
      </c>
      <c r="D881">
        <v>2.4</v>
      </c>
      <c r="E881">
        <f>INT(Table2[[#This Row],[Transect]])</f>
        <v>2</v>
      </c>
      <c r="F881" t="s">
        <v>127</v>
      </c>
      <c r="G881">
        <v>0</v>
      </c>
      <c r="H881">
        <v>200</v>
      </c>
      <c r="J881">
        <f>Table2[[#This Row],[Hits]]/Table2[[#This Row],[Points]]*100</f>
        <v>0</v>
      </c>
      <c r="K881">
        <f>VLOOKUP(Table2[[#This Row],[Site]],'Site Info'!$A$1:$C$11,2, FALSE)</f>
        <v>17</v>
      </c>
      <c r="L881">
        <f>VLOOKUP(Table2[[#This Row],[Site]],'Site Info'!$A$1:$C$11,3, FALSE)</f>
        <v>4</v>
      </c>
      <c r="M881" t="str">
        <f>VLOOKUP(Table2[[#This Row],[Species]],'Species Table'!$A$1:$D$68,3, FALSE)</f>
        <v>NA</v>
      </c>
      <c r="O881" s="15">
        <f>IF(SUMPRODUCT(($A$2:$A881=A881)*($B$2:$B881=B881)*($F$2:$F881=F881))&gt;1,0,1)</f>
        <v>0</v>
      </c>
      <c r="P881" s="15">
        <f>IF(SUMPRODUCT(($A$2:$A881=A881)*($B$2:$B881=B881)*($D$2:$D881=D881))&gt;1,0,1)</f>
        <v>1</v>
      </c>
    </row>
    <row r="882" spans="1:16" x14ac:dyDescent="0.35">
      <c r="A882" t="s">
        <v>105</v>
      </c>
      <c r="B882">
        <v>2012</v>
      </c>
      <c r="C882" t="s">
        <v>47</v>
      </c>
      <c r="D882">
        <v>2.5</v>
      </c>
      <c r="E882">
        <f>INT(Table2[[#This Row],[Transect]])</f>
        <v>2</v>
      </c>
      <c r="F882" t="s">
        <v>11</v>
      </c>
      <c r="G882">
        <v>4</v>
      </c>
      <c r="H882">
        <v>198</v>
      </c>
      <c r="J882">
        <f>Table2[[#This Row],[Hits]]/Table2[[#This Row],[Points]]*100</f>
        <v>2.0202020202020203</v>
      </c>
      <c r="K882">
        <f>VLOOKUP(Table2[[#This Row],[Site]],'Site Info'!$A$1:$C$11,2, FALSE)</f>
        <v>17</v>
      </c>
      <c r="L882">
        <f>VLOOKUP(Table2[[#This Row],[Site]],'Site Info'!$A$1:$C$11,3, FALSE)</f>
        <v>4</v>
      </c>
      <c r="M882" t="str">
        <f>VLOOKUP(Table2[[#This Row],[Species]],'Species Table'!$A$1:$D$68,3, FALSE)</f>
        <v>Perennial</v>
      </c>
      <c r="O882" s="15">
        <f>IF(SUMPRODUCT(($A$2:$A882=A882)*($B$2:$B882=B882)*($F$2:$F882=F882))&gt;1,0,1)</f>
        <v>0</v>
      </c>
      <c r="P882" s="15">
        <f>IF(SUMPRODUCT(($A$2:$A882=A882)*($B$2:$B882=B882)*($D$2:$D882=D882))&gt;1,0,1)</f>
        <v>1</v>
      </c>
    </row>
    <row r="883" spans="1:16" x14ac:dyDescent="0.35">
      <c r="A883" t="s">
        <v>105</v>
      </c>
      <c r="B883">
        <v>2012</v>
      </c>
      <c r="C883" t="s">
        <v>48</v>
      </c>
      <c r="D883">
        <v>2.6</v>
      </c>
      <c r="E883">
        <f>INT(Table2[[#This Row],[Transect]])</f>
        <v>2</v>
      </c>
      <c r="F883" t="s">
        <v>11</v>
      </c>
      <c r="G883">
        <v>3</v>
      </c>
      <c r="H883">
        <v>198</v>
      </c>
      <c r="J883">
        <f>Table2[[#This Row],[Hits]]/Table2[[#This Row],[Points]]*100</f>
        <v>1.5151515151515151</v>
      </c>
      <c r="K883">
        <f>VLOOKUP(Table2[[#This Row],[Site]],'Site Info'!$A$1:$C$11,2, FALSE)</f>
        <v>17</v>
      </c>
      <c r="L883">
        <f>VLOOKUP(Table2[[#This Row],[Site]],'Site Info'!$A$1:$C$11,3, FALSE)</f>
        <v>4</v>
      </c>
      <c r="M883" t="str">
        <f>VLOOKUP(Table2[[#This Row],[Species]],'Species Table'!$A$1:$D$68,3, FALSE)</f>
        <v>Perennial</v>
      </c>
      <c r="O883" s="15">
        <f>IF(SUMPRODUCT(($A$2:$A883=A883)*($B$2:$B883=B883)*($F$2:$F883=F883))&gt;1,0,1)</f>
        <v>0</v>
      </c>
      <c r="P883" s="15">
        <f>IF(SUMPRODUCT(($A$2:$A883=A883)*($B$2:$B883=B883)*($D$2:$D883=D883))&gt;1,0,1)</f>
        <v>1</v>
      </c>
    </row>
    <row r="884" spans="1:16" x14ac:dyDescent="0.35">
      <c r="A884" t="s">
        <v>105</v>
      </c>
      <c r="B884">
        <v>2012</v>
      </c>
      <c r="C884" t="s">
        <v>48</v>
      </c>
      <c r="D884">
        <v>2.6</v>
      </c>
      <c r="E884">
        <f>INT(Table2[[#This Row],[Transect]])</f>
        <v>2</v>
      </c>
      <c r="F884" t="s">
        <v>31</v>
      </c>
      <c r="G884">
        <v>4</v>
      </c>
      <c r="H884">
        <v>198</v>
      </c>
      <c r="J884">
        <f>Table2[[#This Row],[Hits]]/Table2[[#This Row],[Points]]*100</f>
        <v>2.0202020202020203</v>
      </c>
      <c r="K884">
        <f>VLOOKUP(Table2[[#This Row],[Site]],'Site Info'!$A$1:$C$11,2, FALSE)</f>
        <v>17</v>
      </c>
      <c r="L884">
        <f>VLOOKUP(Table2[[#This Row],[Site]],'Site Info'!$A$1:$C$11,3, FALSE)</f>
        <v>4</v>
      </c>
      <c r="M884" t="str">
        <f>VLOOKUP(Table2[[#This Row],[Species]],'Species Table'!$A$1:$D$68,3, FALSE)</f>
        <v>Perennial</v>
      </c>
      <c r="O884" s="15">
        <f>IF(SUMPRODUCT(($A$2:$A884=A884)*($B$2:$B884=B884)*($F$2:$F884=F884))&gt;1,0,1)</f>
        <v>1</v>
      </c>
      <c r="P884" s="15">
        <f>IF(SUMPRODUCT(($A$2:$A884=A884)*($B$2:$B884=B884)*($D$2:$D884=D884))&gt;1,0,1)</f>
        <v>0</v>
      </c>
    </row>
    <row r="885" spans="1:16" x14ac:dyDescent="0.35">
      <c r="A885" t="s">
        <v>105</v>
      </c>
      <c r="B885">
        <v>2012</v>
      </c>
      <c r="C885" t="s">
        <v>49</v>
      </c>
      <c r="D885">
        <v>2.7</v>
      </c>
      <c r="E885">
        <f>INT(Table2[[#This Row],[Transect]])</f>
        <v>2</v>
      </c>
      <c r="F885" t="s">
        <v>3</v>
      </c>
      <c r="G885">
        <v>7</v>
      </c>
      <c r="H885">
        <v>77</v>
      </c>
      <c r="J885">
        <f>Table2[[#This Row],[Hits]]/Table2[[#This Row],[Points]]*100</f>
        <v>9.0909090909090917</v>
      </c>
      <c r="K885">
        <f>VLOOKUP(Table2[[#This Row],[Site]],'Site Info'!$A$1:$C$11,2, FALSE)</f>
        <v>17</v>
      </c>
      <c r="L885">
        <f>VLOOKUP(Table2[[#This Row],[Site]],'Site Info'!$A$1:$C$11,3, FALSE)</f>
        <v>4</v>
      </c>
      <c r="M885" t="str">
        <f>VLOOKUP(Table2[[#This Row],[Species]],'Species Table'!$A$1:$D$68,3, FALSE)</f>
        <v>Perennial</v>
      </c>
      <c r="O885" s="15">
        <f>IF(SUMPRODUCT(($A$2:$A885=A885)*($B$2:$B885=B885)*($F$2:$F885=F885))&gt;1,0,1)</f>
        <v>1</v>
      </c>
      <c r="P885" s="15">
        <f>IF(SUMPRODUCT(($A$2:$A885=A885)*($B$2:$B885=B885)*($D$2:$D885=D885))&gt;1,0,1)</f>
        <v>1</v>
      </c>
    </row>
    <row r="886" spans="1:16" x14ac:dyDescent="0.35">
      <c r="A886" t="s">
        <v>105</v>
      </c>
      <c r="B886">
        <v>2012</v>
      </c>
      <c r="C886" t="s">
        <v>50</v>
      </c>
      <c r="D886">
        <v>3.1</v>
      </c>
      <c r="E886">
        <f>INT(Table2[[#This Row],[Transect]])</f>
        <v>3</v>
      </c>
      <c r="F886" t="s">
        <v>6</v>
      </c>
      <c r="G886">
        <v>5</v>
      </c>
      <c r="H886">
        <v>200</v>
      </c>
      <c r="J886">
        <f>Table2[[#This Row],[Hits]]/Table2[[#This Row],[Points]]*100</f>
        <v>2.5</v>
      </c>
      <c r="K886">
        <f>VLOOKUP(Table2[[#This Row],[Site]],'Site Info'!$A$1:$C$11,2, FALSE)</f>
        <v>17</v>
      </c>
      <c r="L886">
        <f>VLOOKUP(Table2[[#This Row],[Site]],'Site Info'!$A$1:$C$11,3, FALSE)</f>
        <v>4</v>
      </c>
      <c r="M886" t="str">
        <f>VLOOKUP(Table2[[#This Row],[Species]],'Species Table'!$A$1:$D$68,3, FALSE)</f>
        <v>Perennial</v>
      </c>
      <c r="O886" s="15">
        <f>IF(SUMPRODUCT(($A$2:$A886=A886)*($B$2:$B886=B886)*($F$2:$F886=F886))&gt;1,0,1)</f>
        <v>0</v>
      </c>
      <c r="P886" s="15">
        <f>IF(SUMPRODUCT(($A$2:$A886=A886)*($B$2:$B886=B886)*($D$2:$D886=D886))&gt;1,0,1)</f>
        <v>1</v>
      </c>
    </row>
    <row r="887" spans="1:16" x14ac:dyDescent="0.35">
      <c r="A887" t="s">
        <v>105</v>
      </c>
      <c r="B887">
        <v>2012</v>
      </c>
      <c r="C887" t="s">
        <v>50</v>
      </c>
      <c r="D887">
        <v>3.1</v>
      </c>
      <c r="E887">
        <f>INT(Table2[[#This Row],[Transect]])</f>
        <v>3</v>
      </c>
      <c r="F887" t="s">
        <v>11</v>
      </c>
      <c r="G887">
        <v>1</v>
      </c>
      <c r="H887">
        <v>200</v>
      </c>
      <c r="J887">
        <f>Table2[[#This Row],[Hits]]/Table2[[#This Row],[Points]]*100</f>
        <v>0.5</v>
      </c>
      <c r="K887">
        <f>VLOOKUP(Table2[[#This Row],[Site]],'Site Info'!$A$1:$C$11,2, FALSE)</f>
        <v>17</v>
      </c>
      <c r="L887">
        <f>VLOOKUP(Table2[[#This Row],[Site]],'Site Info'!$A$1:$C$11,3, FALSE)</f>
        <v>4</v>
      </c>
      <c r="M887" t="str">
        <f>VLOOKUP(Table2[[#This Row],[Species]],'Species Table'!$A$1:$D$68,3, FALSE)</f>
        <v>Perennial</v>
      </c>
      <c r="O887" s="15">
        <f>IF(SUMPRODUCT(($A$2:$A887=A887)*($B$2:$B887=B887)*($F$2:$F887=F887))&gt;1,0,1)</f>
        <v>0</v>
      </c>
      <c r="P887" s="15">
        <f>IF(SUMPRODUCT(($A$2:$A887=A887)*($B$2:$B887=B887)*($D$2:$D887=D887))&gt;1,0,1)</f>
        <v>0</v>
      </c>
    </row>
    <row r="888" spans="1:16" x14ac:dyDescent="0.35">
      <c r="A888" t="s">
        <v>105</v>
      </c>
      <c r="B888">
        <v>2012</v>
      </c>
      <c r="C888" t="s">
        <v>50</v>
      </c>
      <c r="D888">
        <v>3.1</v>
      </c>
      <c r="E888">
        <f>INT(Table2[[#This Row],[Transect]])</f>
        <v>3</v>
      </c>
      <c r="F888" t="s">
        <v>12</v>
      </c>
      <c r="G888">
        <v>4</v>
      </c>
      <c r="H888">
        <v>200</v>
      </c>
      <c r="J888">
        <f>Table2[[#This Row],[Hits]]/Table2[[#This Row],[Points]]*100</f>
        <v>2</v>
      </c>
      <c r="K888">
        <f>VLOOKUP(Table2[[#This Row],[Site]],'Site Info'!$A$1:$C$11,2, FALSE)</f>
        <v>17</v>
      </c>
      <c r="L888">
        <f>VLOOKUP(Table2[[#This Row],[Site]],'Site Info'!$A$1:$C$11,3, FALSE)</f>
        <v>4</v>
      </c>
      <c r="M888" t="str">
        <f>VLOOKUP(Table2[[#This Row],[Species]],'Species Table'!$A$1:$D$68,3, FALSE)</f>
        <v>Perennial</v>
      </c>
      <c r="O888" s="15">
        <f>IF(SUMPRODUCT(($A$2:$A888=A888)*($B$2:$B888=B888)*($F$2:$F888=F888))&gt;1,0,1)</f>
        <v>0</v>
      </c>
      <c r="P888" s="15">
        <f>IF(SUMPRODUCT(($A$2:$A888=A888)*($B$2:$B888=B888)*($D$2:$D888=D888))&gt;1,0,1)</f>
        <v>0</v>
      </c>
    </row>
    <row r="889" spans="1:16" x14ac:dyDescent="0.35">
      <c r="A889" t="s">
        <v>105</v>
      </c>
      <c r="B889">
        <v>2012</v>
      </c>
      <c r="C889" t="s">
        <v>50</v>
      </c>
      <c r="D889">
        <v>3.1</v>
      </c>
      <c r="E889">
        <f>INT(Table2[[#This Row],[Transect]])</f>
        <v>3</v>
      </c>
      <c r="F889" t="s">
        <v>3</v>
      </c>
      <c r="G889">
        <v>2</v>
      </c>
      <c r="H889">
        <v>200</v>
      </c>
      <c r="J889">
        <f>Table2[[#This Row],[Hits]]/Table2[[#This Row],[Points]]*100</f>
        <v>1</v>
      </c>
      <c r="K889">
        <f>VLOOKUP(Table2[[#This Row],[Site]],'Site Info'!$A$1:$C$11,2, FALSE)</f>
        <v>17</v>
      </c>
      <c r="L889">
        <f>VLOOKUP(Table2[[#This Row],[Site]],'Site Info'!$A$1:$C$11,3, FALSE)</f>
        <v>4</v>
      </c>
      <c r="M889" t="str">
        <f>VLOOKUP(Table2[[#This Row],[Species]],'Species Table'!$A$1:$D$68,3, FALSE)</f>
        <v>Perennial</v>
      </c>
      <c r="O889" s="15">
        <f>IF(SUMPRODUCT(($A$2:$A889=A889)*($B$2:$B889=B889)*($F$2:$F889=F889))&gt;1,0,1)</f>
        <v>0</v>
      </c>
      <c r="P889" s="15">
        <f>IF(SUMPRODUCT(($A$2:$A889=A889)*($B$2:$B889=B889)*($D$2:$D889=D889))&gt;1,0,1)</f>
        <v>0</v>
      </c>
    </row>
    <row r="890" spans="1:16" x14ac:dyDescent="0.35">
      <c r="A890" t="s">
        <v>105</v>
      </c>
      <c r="B890">
        <v>2012</v>
      </c>
      <c r="C890" t="s">
        <v>51</v>
      </c>
      <c r="D890">
        <v>3.2</v>
      </c>
      <c r="E890">
        <f>INT(Table2[[#This Row],[Transect]])</f>
        <v>3</v>
      </c>
      <c r="F890" t="s">
        <v>11</v>
      </c>
      <c r="G890">
        <v>8</v>
      </c>
      <c r="H890">
        <v>200</v>
      </c>
      <c r="J890">
        <f>Table2[[#This Row],[Hits]]/Table2[[#This Row],[Points]]*100</f>
        <v>4</v>
      </c>
      <c r="K890">
        <f>VLOOKUP(Table2[[#This Row],[Site]],'Site Info'!$A$1:$C$11,2, FALSE)</f>
        <v>17</v>
      </c>
      <c r="L890">
        <f>VLOOKUP(Table2[[#This Row],[Site]],'Site Info'!$A$1:$C$11,3, FALSE)</f>
        <v>4</v>
      </c>
      <c r="M890" t="str">
        <f>VLOOKUP(Table2[[#This Row],[Species]],'Species Table'!$A$1:$D$68,3, FALSE)</f>
        <v>Perennial</v>
      </c>
      <c r="O890" s="15">
        <f>IF(SUMPRODUCT(($A$2:$A890=A890)*($B$2:$B890=B890)*($F$2:$F890=F890))&gt;1,0,1)</f>
        <v>0</v>
      </c>
      <c r="P890" s="15">
        <f>IF(SUMPRODUCT(($A$2:$A890=A890)*($B$2:$B890=B890)*($D$2:$D890=D890))&gt;1,0,1)</f>
        <v>1</v>
      </c>
    </row>
    <row r="891" spans="1:16" x14ac:dyDescent="0.35">
      <c r="A891" t="s">
        <v>105</v>
      </c>
      <c r="B891">
        <v>2012</v>
      </c>
      <c r="C891" t="s">
        <v>51</v>
      </c>
      <c r="D891">
        <v>3.2</v>
      </c>
      <c r="E891">
        <f>INT(Table2[[#This Row],[Transect]])</f>
        <v>3</v>
      </c>
      <c r="F891" t="s">
        <v>12</v>
      </c>
      <c r="G891">
        <v>6</v>
      </c>
      <c r="H891">
        <v>200</v>
      </c>
      <c r="J891">
        <f>Table2[[#This Row],[Hits]]/Table2[[#This Row],[Points]]*100</f>
        <v>3</v>
      </c>
      <c r="K891">
        <f>VLOOKUP(Table2[[#This Row],[Site]],'Site Info'!$A$1:$C$11,2, FALSE)</f>
        <v>17</v>
      </c>
      <c r="L891">
        <f>VLOOKUP(Table2[[#This Row],[Site]],'Site Info'!$A$1:$C$11,3, FALSE)</f>
        <v>4</v>
      </c>
      <c r="M891" t="str">
        <f>VLOOKUP(Table2[[#This Row],[Species]],'Species Table'!$A$1:$D$68,3, FALSE)</f>
        <v>Perennial</v>
      </c>
      <c r="O891" s="15">
        <f>IF(SUMPRODUCT(($A$2:$A891=A891)*($B$2:$B891=B891)*($F$2:$F891=F891))&gt;1,0,1)</f>
        <v>0</v>
      </c>
      <c r="P891" s="15">
        <f>IF(SUMPRODUCT(($A$2:$A891=A891)*($B$2:$B891=B891)*($D$2:$D891=D891))&gt;1,0,1)</f>
        <v>0</v>
      </c>
    </row>
    <row r="892" spans="1:16" x14ac:dyDescent="0.35">
      <c r="A892" t="s">
        <v>105</v>
      </c>
      <c r="B892">
        <v>2012</v>
      </c>
      <c r="C892" t="s">
        <v>51</v>
      </c>
      <c r="D892">
        <v>3.2</v>
      </c>
      <c r="E892">
        <f>INT(Table2[[#This Row],[Transect]])</f>
        <v>3</v>
      </c>
      <c r="F892" t="s">
        <v>31</v>
      </c>
      <c r="G892">
        <v>4</v>
      </c>
      <c r="H892">
        <v>200</v>
      </c>
      <c r="J892">
        <f>Table2[[#This Row],[Hits]]/Table2[[#This Row],[Points]]*100</f>
        <v>2</v>
      </c>
      <c r="K892">
        <f>VLOOKUP(Table2[[#This Row],[Site]],'Site Info'!$A$1:$C$11,2, FALSE)</f>
        <v>17</v>
      </c>
      <c r="L892">
        <f>VLOOKUP(Table2[[#This Row],[Site]],'Site Info'!$A$1:$C$11,3, FALSE)</f>
        <v>4</v>
      </c>
      <c r="M892" t="str">
        <f>VLOOKUP(Table2[[#This Row],[Species]],'Species Table'!$A$1:$D$68,3, FALSE)</f>
        <v>Perennial</v>
      </c>
      <c r="O892" s="15">
        <f>IF(SUMPRODUCT(($A$2:$A892=A892)*($B$2:$B892=B892)*($F$2:$F892=F892))&gt;1,0,1)</f>
        <v>0</v>
      </c>
      <c r="P892" s="15">
        <f>IF(SUMPRODUCT(($A$2:$A892=A892)*($B$2:$B892=B892)*($D$2:$D892=D892))&gt;1,0,1)</f>
        <v>0</v>
      </c>
    </row>
    <row r="893" spans="1:16" x14ac:dyDescent="0.35">
      <c r="A893" t="s">
        <v>105</v>
      </c>
      <c r="B893">
        <v>2012</v>
      </c>
      <c r="C893" t="s">
        <v>51</v>
      </c>
      <c r="D893">
        <v>3.2</v>
      </c>
      <c r="E893">
        <f>INT(Table2[[#This Row],[Transect]])</f>
        <v>3</v>
      </c>
      <c r="F893" t="s">
        <v>3</v>
      </c>
      <c r="G893">
        <v>2</v>
      </c>
      <c r="H893">
        <v>200</v>
      </c>
      <c r="J893">
        <f>Table2[[#This Row],[Hits]]/Table2[[#This Row],[Points]]*100</f>
        <v>1</v>
      </c>
      <c r="K893">
        <f>VLOOKUP(Table2[[#This Row],[Site]],'Site Info'!$A$1:$C$11,2, FALSE)</f>
        <v>17</v>
      </c>
      <c r="L893">
        <f>VLOOKUP(Table2[[#This Row],[Site]],'Site Info'!$A$1:$C$11,3, FALSE)</f>
        <v>4</v>
      </c>
      <c r="M893" t="str">
        <f>VLOOKUP(Table2[[#This Row],[Species]],'Species Table'!$A$1:$D$68,3, FALSE)</f>
        <v>Perennial</v>
      </c>
      <c r="O893" s="15">
        <f>IF(SUMPRODUCT(($A$2:$A893=A893)*($B$2:$B893=B893)*($F$2:$F893=F893))&gt;1,0,1)</f>
        <v>0</v>
      </c>
      <c r="P893" s="15">
        <f>IF(SUMPRODUCT(($A$2:$A893=A893)*($B$2:$B893=B893)*($D$2:$D893=D893))&gt;1,0,1)</f>
        <v>0</v>
      </c>
    </row>
    <row r="894" spans="1:16" x14ac:dyDescent="0.35">
      <c r="A894" t="s">
        <v>105</v>
      </c>
      <c r="B894">
        <v>2012</v>
      </c>
      <c r="C894" t="s">
        <v>52</v>
      </c>
      <c r="D894">
        <v>3.3</v>
      </c>
      <c r="E894">
        <f>INT(Table2[[#This Row],[Transect]])</f>
        <v>3</v>
      </c>
      <c r="F894" t="s">
        <v>11</v>
      </c>
      <c r="G894">
        <v>4</v>
      </c>
      <c r="H894">
        <v>200</v>
      </c>
      <c r="J894">
        <f>Table2[[#This Row],[Hits]]/Table2[[#This Row],[Points]]*100</f>
        <v>2</v>
      </c>
      <c r="K894">
        <f>VLOOKUP(Table2[[#This Row],[Site]],'Site Info'!$A$1:$C$11,2, FALSE)</f>
        <v>17</v>
      </c>
      <c r="L894">
        <f>VLOOKUP(Table2[[#This Row],[Site]],'Site Info'!$A$1:$C$11,3, FALSE)</f>
        <v>4</v>
      </c>
      <c r="M894" t="str">
        <f>VLOOKUP(Table2[[#This Row],[Species]],'Species Table'!$A$1:$D$68,3, FALSE)</f>
        <v>Perennial</v>
      </c>
      <c r="O894" s="15">
        <f>IF(SUMPRODUCT(($A$2:$A894=A894)*($B$2:$B894=B894)*($F$2:$F894=F894))&gt;1,0,1)</f>
        <v>0</v>
      </c>
      <c r="P894" s="15">
        <f>IF(SUMPRODUCT(($A$2:$A894=A894)*($B$2:$B894=B894)*($D$2:$D894=D894))&gt;1,0,1)</f>
        <v>1</v>
      </c>
    </row>
    <row r="895" spans="1:16" x14ac:dyDescent="0.35">
      <c r="A895" t="s">
        <v>105</v>
      </c>
      <c r="B895">
        <v>2012</v>
      </c>
      <c r="C895" t="s">
        <v>101</v>
      </c>
      <c r="D895">
        <v>3.4</v>
      </c>
      <c r="E895">
        <f>INT(Table2[[#This Row],[Transect]])</f>
        <v>3</v>
      </c>
      <c r="F895" t="s">
        <v>11</v>
      </c>
      <c r="G895">
        <v>20</v>
      </c>
      <c r="H895">
        <v>200</v>
      </c>
      <c r="J895">
        <f>Table2[[#This Row],[Hits]]/Table2[[#This Row],[Points]]*100</f>
        <v>10</v>
      </c>
      <c r="K895">
        <f>VLOOKUP(Table2[[#This Row],[Site]],'Site Info'!$A$1:$C$11,2, FALSE)</f>
        <v>17</v>
      </c>
      <c r="L895">
        <f>VLOOKUP(Table2[[#This Row],[Site]],'Site Info'!$A$1:$C$11,3, FALSE)</f>
        <v>4</v>
      </c>
      <c r="M895" t="str">
        <f>VLOOKUP(Table2[[#This Row],[Species]],'Species Table'!$A$1:$D$68,3, FALSE)</f>
        <v>Perennial</v>
      </c>
      <c r="O895" s="15">
        <f>IF(SUMPRODUCT(($A$2:$A895=A895)*($B$2:$B895=B895)*($F$2:$F895=F895))&gt;1,0,1)</f>
        <v>0</v>
      </c>
      <c r="P895" s="15">
        <f>IF(SUMPRODUCT(($A$2:$A895=A895)*($B$2:$B895=B895)*($D$2:$D895=D895))&gt;1,0,1)</f>
        <v>1</v>
      </c>
    </row>
    <row r="896" spans="1:16" x14ac:dyDescent="0.35">
      <c r="A896" t="s">
        <v>105</v>
      </c>
      <c r="B896">
        <v>2012</v>
      </c>
      <c r="C896" t="s">
        <v>102</v>
      </c>
      <c r="D896">
        <v>3.5</v>
      </c>
      <c r="E896">
        <f>INT(Table2[[#This Row],[Transect]])</f>
        <v>3</v>
      </c>
      <c r="F896" t="s">
        <v>11</v>
      </c>
      <c r="G896">
        <v>9</v>
      </c>
      <c r="H896">
        <v>200</v>
      </c>
      <c r="J896">
        <f>Table2[[#This Row],[Hits]]/Table2[[#This Row],[Points]]*100</f>
        <v>4.5</v>
      </c>
      <c r="K896">
        <f>VLOOKUP(Table2[[#This Row],[Site]],'Site Info'!$A$1:$C$11,2, FALSE)</f>
        <v>17</v>
      </c>
      <c r="L896">
        <f>VLOOKUP(Table2[[#This Row],[Site]],'Site Info'!$A$1:$C$11,3, FALSE)</f>
        <v>4</v>
      </c>
      <c r="M896" t="str">
        <f>VLOOKUP(Table2[[#This Row],[Species]],'Species Table'!$A$1:$D$68,3, FALSE)</f>
        <v>Perennial</v>
      </c>
      <c r="O896" s="15">
        <f>IF(SUMPRODUCT(($A$2:$A896=A896)*($B$2:$B896=B896)*($F$2:$F896=F896))&gt;1,0,1)</f>
        <v>0</v>
      </c>
      <c r="P896" s="15">
        <f>IF(SUMPRODUCT(($A$2:$A896=A896)*($B$2:$B896=B896)*($D$2:$D896=D896))&gt;1,0,1)</f>
        <v>1</v>
      </c>
    </row>
    <row r="897" spans="1:16" x14ac:dyDescent="0.35">
      <c r="A897" t="s">
        <v>105</v>
      </c>
      <c r="B897">
        <v>2012</v>
      </c>
      <c r="C897" t="s">
        <v>53</v>
      </c>
      <c r="D897">
        <v>3.6</v>
      </c>
      <c r="E897">
        <f>INT(Table2[[#This Row],[Transect]])</f>
        <v>3</v>
      </c>
      <c r="F897" t="s">
        <v>3</v>
      </c>
      <c r="G897">
        <v>14</v>
      </c>
      <c r="H897">
        <v>200</v>
      </c>
      <c r="J897">
        <f>Table2[[#This Row],[Hits]]/Table2[[#This Row],[Points]]*100</f>
        <v>7.0000000000000009</v>
      </c>
      <c r="K897">
        <f>VLOOKUP(Table2[[#This Row],[Site]],'Site Info'!$A$1:$C$11,2, FALSE)</f>
        <v>17</v>
      </c>
      <c r="L897">
        <f>VLOOKUP(Table2[[#This Row],[Site]],'Site Info'!$A$1:$C$11,3, FALSE)</f>
        <v>4</v>
      </c>
      <c r="M897" t="str">
        <f>VLOOKUP(Table2[[#This Row],[Species]],'Species Table'!$A$1:$D$68,3, FALSE)</f>
        <v>Perennial</v>
      </c>
      <c r="O897" s="15">
        <f>IF(SUMPRODUCT(($A$2:$A897=A897)*($B$2:$B897=B897)*($F$2:$F897=F897))&gt;1,0,1)</f>
        <v>0</v>
      </c>
      <c r="P897" s="15">
        <f>IF(SUMPRODUCT(($A$2:$A897=A897)*($B$2:$B897=B897)*($D$2:$D897=D897))&gt;1,0,1)</f>
        <v>1</v>
      </c>
    </row>
    <row r="898" spans="1:16" x14ac:dyDescent="0.35">
      <c r="A898" t="s">
        <v>105</v>
      </c>
      <c r="B898">
        <v>2012</v>
      </c>
      <c r="C898" t="s">
        <v>54</v>
      </c>
      <c r="D898">
        <v>3.7</v>
      </c>
      <c r="E898">
        <f>INT(Table2[[#This Row],[Transect]])</f>
        <v>3</v>
      </c>
      <c r="F898" t="s">
        <v>3</v>
      </c>
      <c r="G898">
        <v>11</v>
      </c>
      <c r="H898">
        <v>47</v>
      </c>
      <c r="J898">
        <f>Table2[[#This Row],[Hits]]/Table2[[#This Row],[Points]]*100</f>
        <v>23.404255319148938</v>
      </c>
      <c r="K898">
        <f>VLOOKUP(Table2[[#This Row],[Site]],'Site Info'!$A$1:$C$11,2, FALSE)</f>
        <v>17</v>
      </c>
      <c r="L898">
        <f>VLOOKUP(Table2[[#This Row],[Site]],'Site Info'!$A$1:$C$11,3, FALSE)</f>
        <v>4</v>
      </c>
      <c r="M898" t="str">
        <f>VLOOKUP(Table2[[#This Row],[Species]],'Species Table'!$A$1:$D$68,3, FALSE)</f>
        <v>Perennial</v>
      </c>
      <c r="O898" s="15">
        <f>IF(SUMPRODUCT(($A$2:$A898=A898)*($B$2:$B898=B898)*($F$2:$F898=F898))&gt;1,0,1)</f>
        <v>0</v>
      </c>
      <c r="P898" s="15">
        <f>IF(SUMPRODUCT(($A$2:$A898=A898)*($B$2:$B898=B898)*($D$2:$D898=D898))&gt;1,0,1)</f>
        <v>1</v>
      </c>
    </row>
    <row r="899" spans="1:16" x14ac:dyDescent="0.35">
      <c r="A899" t="s">
        <v>105</v>
      </c>
      <c r="B899">
        <v>2012</v>
      </c>
      <c r="C899" t="s">
        <v>55</v>
      </c>
      <c r="D899">
        <v>4.0999999999999996</v>
      </c>
      <c r="E899">
        <f>INT(Table2[[#This Row],[Transect]])</f>
        <v>4</v>
      </c>
      <c r="F899" t="s">
        <v>11</v>
      </c>
      <c r="G899">
        <v>6</v>
      </c>
      <c r="H899">
        <v>200</v>
      </c>
      <c r="J899">
        <f>Table2[[#This Row],[Hits]]/Table2[[#This Row],[Points]]*100</f>
        <v>3</v>
      </c>
      <c r="K899">
        <f>VLOOKUP(Table2[[#This Row],[Site]],'Site Info'!$A$1:$C$11,2, FALSE)</f>
        <v>17</v>
      </c>
      <c r="L899">
        <f>VLOOKUP(Table2[[#This Row],[Site]],'Site Info'!$A$1:$C$11,3, FALSE)</f>
        <v>4</v>
      </c>
      <c r="M899" t="str">
        <f>VLOOKUP(Table2[[#This Row],[Species]],'Species Table'!$A$1:$D$68,3, FALSE)</f>
        <v>Perennial</v>
      </c>
      <c r="O899" s="15">
        <f>IF(SUMPRODUCT(($A$2:$A899=A899)*($B$2:$B899=B899)*($F$2:$F899=F899))&gt;1,0,1)</f>
        <v>0</v>
      </c>
      <c r="P899" s="15">
        <f>IF(SUMPRODUCT(($A$2:$A899=A899)*($B$2:$B899=B899)*($D$2:$D899=D899))&gt;1,0,1)</f>
        <v>1</v>
      </c>
    </row>
    <row r="900" spans="1:16" x14ac:dyDescent="0.35">
      <c r="A900" t="s">
        <v>105</v>
      </c>
      <c r="B900">
        <v>2012</v>
      </c>
      <c r="C900" t="s">
        <v>103</v>
      </c>
      <c r="D900">
        <v>4.2</v>
      </c>
      <c r="E900">
        <f>INT(Table2[[#This Row],[Transect]])</f>
        <v>4</v>
      </c>
      <c r="F900" t="s">
        <v>3</v>
      </c>
      <c r="G900">
        <v>20</v>
      </c>
      <c r="H900">
        <v>88</v>
      </c>
      <c r="J900">
        <f>Table2[[#This Row],[Hits]]/Table2[[#This Row],[Points]]*100</f>
        <v>22.727272727272727</v>
      </c>
      <c r="K900">
        <f>VLOOKUP(Table2[[#This Row],[Site]],'Site Info'!$A$1:$C$11,2, FALSE)</f>
        <v>17</v>
      </c>
      <c r="L900">
        <f>VLOOKUP(Table2[[#This Row],[Site]],'Site Info'!$A$1:$C$11,3, FALSE)</f>
        <v>4</v>
      </c>
      <c r="M900" t="str">
        <f>VLOOKUP(Table2[[#This Row],[Species]],'Species Table'!$A$1:$D$68,3, FALSE)</f>
        <v>Perennial</v>
      </c>
      <c r="O900" s="15">
        <f>IF(SUMPRODUCT(($A$2:$A900=A900)*($B$2:$B900=B900)*($F$2:$F900=F900))&gt;1,0,1)</f>
        <v>0</v>
      </c>
      <c r="P900" s="15">
        <f>IF(SUMPRODUCT(($A$2:$A900=A900)*($B$2:$B900=B900)*($D$2:$D900=D900))&gt;1,0,1)</f>
        <v>1</v>
      </c>
    </row>
    <row r="901" spans="1:16" x14ac:dyDescent="0.35">
      <c r="A901" t="s">
        <v>105</v>
      </c>
      <c r="B901">
        <v>2012</v>
      </c>
      <c r="C901" t="s">
        <v>104</v>
      </c>
      <c r="D901">
        <v>5.0999999999999996</v>
      </c>
      <c r="E901">
        <f>INT(Table2[[#This Row],[Transect]])</f>
        <v>5</v>
      </c>
      <c r="F901" t="s">
        <v>11</v>
      </c>
      <c r="G901">
        <v>4</v>
      </c>
      <c r="H901">
        <v>164</v>
      </c>
      <c r="J901">
        <f>Table2[[#This Row],[Hits]]/Table2[[#This Row],[Points]]*100</f>
        <v>2.4390243902439024</v>
      </c>
      <c r="K901">
        <f>VLOOKUP(Table2[[#This Row],[Site]],'Site Info'!$A$1:$C$11,2, FALSE)</f>
        <v>17</v>
      </c>
      <c r="L901">
        <f>VLOOKUP(Table2[[#This Row],[Site]],'Site Info'!$A$1:$C$11,3, FALSE)</f>
        <v>4</v>
      </c>
      <c r="M901" t="str">
        <f>VLOOKUP(Table2[[#This Row],[Species]],'Species Table'!$A$1:$D$68,3, FALSE)</f>
        <v>Perennial</v>
      </c>
      <c r="O901" s="15">
        <f>IF(SUMPRODUCT(($A$2:$A901=A901)*($B$2:$B901=B901)*($F$2:$F901=F901))&gt;1,0,1)</f>
        <v>0</v>
      </c>
      <c r="P901" s="15">
        <f>IF(SUMPRODUCT(($A$2:$A901=A901)*($B$2:$B901=B901)*($D$2:$D901=D901))&gt;1,0,1)</f>
        <v>1</v>
      </c>
    </row>
    <row r="902" spans="1:16" x14ac:dyDescent="0.35">
      <c r="A902" t="s">
        <v>105</v>
      </c>
      <c r="B902">
        <v>2012</v>
      </c>
      <c r="C902" t="s">
        <v>104</v>
      </c>
      <c r="D902">
        <v>5.0999999999999996</v>
      </c>
      <c r="E902">
        <f>INT(Table2[[#This Row],[Transect]])</f>
        <v>5</v>
      </c>
      <c r="F902" t="s">
        <v>3</v>
      </c>
      <c r="G902">
        <v>56</v>
      </c>
      <c r="H902">
        <v>164</v>
      </c>
      <c r="J902">
        <f>Table2[[#This Row],[Hits]]/Table2[[#This Row],[Points]]*100</f>
        <v>34.146341463414636</v>
      </c>
      <c r="K902">
        <f>VLOOKUP(Table2[[#This Row],[Site]],'Site Info'!$A$1:$C$11,2, FALSE)</f>
        <v>17</v>
      </c>
      <c r="L902">
        <f>VLOOKUP(Table2[[#This Row],[Site]],'Site Info'!$A$1:$C$11,3, FALSE)</f>
        <v>4</v>
      </c>
      <c r="M902" t="str">
        <f>VLOOKUP(Table2[[#This Row],[Species]],'Species Table'!$A$1:$D$68,3, FALSE)</f>
        <v>Perennial</v>
      </c>
      <c r="O902" s="15">
        <f>IF(SUMPRODUCT(($A$2:$A902=A902)*($B$2:$B902=B902)*($F$2:$F902=F902))&gt;1,0,1)</f>
        <v>0</v>
      </c>
      <c r="P902" s="15">
        <f>IF(SUMPRODUCT(($A$2:$A902=A902)*($B$2:$B902=B902)*($D$2:$D902=D902))&gt;1,0,1)</f>
        <v>0</v>
      </c>
    </row>
    <row r="903" spans="1:16" x14ac:dyDescent="0.35">
      <c r="A903" t="s">
        <v>105</v>
      </c>
      <c r="B903">
        <v>2012</v>
      </c>
      <c r="C903" t="s">
        <v>104</v>
      </c>
      <c r="D903">
        <v>5.0999999999999996</v>
      </c>
      <c r="E903">
        <f>INT(Table2[[#This Row],[Transect]])</f>
        <v>5</v>
      </c>
      <c r="F903" t="s">
        <v>97</v>
      </c>
      <c r="G903">
        <v>2</v>
      </c>
      <c r="H903">
        <v>164</v>
      </c>
      <c r="J903">
        <f>Table2[[#This Row],[Hits]]/Table2[[#This Row],[Points]]*100</f>
        <v>1.2195121951219512</v>
      </c>
      <c r="K903">
        <f>VLOOKUP(Table2[[#This Row],[Site]],'Site Info'!$A$1:$C$11,2, FALSE)</f>
        <v>17</v>
      </c>
      <c r="L903">
        <f>VLOOKUP(Table2[[#This Row],[Site]],'Site Info'!$A$1:$C$11,3, FALSE)</f>
        <v>4</v>
      </c>
      <c r="M903" t="str">
        <f>VLOOKUP(Table2[[#This Row],[Species]],'Species Table'!$A$1:$D$68,3, FALSE)</f>
        <v>Perennial</v>
      </c>
      <c r="O903" s="15">
        <f>IF(SUMPRODUCT(($A$2:$A903=A903)*($B$2:$B903=B903)*($F$2:$F903=F903))&gt;1,0,1)</f>
        <v>1</v>
      </c>
      <c r="P903" s="15">
        <f>IF(SUMPRODUCT(($A$2:$A903=A903)*($B$2:$B903=B903)*($D$2:$D903=D903))&gt;1,0,1)</f>
        <v>0</v>
      </c>
    </row>
    <row r="904" spans="1:16" hidden="1" x14ac:dyDescent="0.35">
      <c r="A904" t="s">
        <v>138</v>
      </c>
      <c r="B904">
        <v>1999</v>
      </c>
      <c r="D904">
        <v>1.2</v>
      </c>
      <c r="E904">
        <f>INT(Table2[[#This Row],[Transect]])</f>
        <v>1</v>
      </c>
      <c r="F904" t="s">
        <v>20</v>
      </c>
      <c r="G904">
        <v>2</v>
      </c>
      <c r="H904">
        <v>200</v>
      </c>
      <c r="J904">
        <f>Table2[[#This Row],[Hits]]/Table2[[#This Row],[Points]]*100</f>
        <v>1</v>
      </c>
      <c r="K904">
        <f>VLOOKUP(Table2[[#This Row],[Site]],'Site Info'!$A$1:$C$11,2, FALSE)</f>
        <v>11.5</v>
      </c>
      <c r="L904">
        <f>VLOOKUP(Table2[[#This Row],[Site]],'Site Info'!$A$1:$C$11,3, FALSE)</f>
        <v>11</v>
      </c>
      <c r="M904" t="str">
        <f>VLOOKUP(Table2[[#This Row],[Species]],'Species Table'!$A$1:$D$68,3, FALSE)</f>
        <v>Annual</v>
      </c>
      <c r="O904" s="15">
        <f>IF(SUMPRODUCT(($A$2:$A904=A904)*($B$2:$B904=B904)*($F$2:$F904=F904))&gt;1,0,1)</f>
        <v>1</v>
      </c>
      <c r="P904" s="15">
        <f>IF(SUMPRODUCT(($A$2:$A904=A904)*($B$2:$B904=B904)*($D$2:$D904=D904))&gt;1,0,1)</f>
        <v>1</v>
      </c>
    </row>
    <row r="905" spans="1:16" hidden="1" x14ac:dyDescent="0.35">
      <c r="A905" t="s">
        <v>138</v>
      </c>
      <c r="B905">
        <v>1999</v>
      </c>
      <c r="D905">
        <v>1.2</v>
      </c>
      <c r="E905">
        <f>INT(Table2[[#This Row],[Transect]])</f>
        <v>1</v>
      </c>
      <c r="F905" t="s">
        <v>10</v>
      </c>
      <c r="G905">
        <v>10</v>
      </c>
      <c r="H905">
        <v>119</v>
      </c>
      <c r="J905">
        <f>Table2[[#This Row],[Hits]]/Table2[[#This Row],[Points]]*100</f>
        <v>8.4033613445378155</v>
      </c>
      <c r="K905">
        <f>VLOOKUP(Table2[[#This Row],[Site]],'Site Info'!$A$1:$C$11,2, FALSE)</f>
        <v>11.5</v>
      </c>
      <c r="L905">
        <f>VLOOKUP(Table2[[#This Row],[Site]],'Site Info'!$A$1:$C$11,3, FALSE)</f>
        <v>11</v>
      </c>
      <c r="M905" t="str">
        <f>VLOOKUP(Table2[[#This Row],[Species]],'Species Table'!$A$1:$D$68,3, FALSE)</f>
        <v>Annual</v>
      </c>
      <c r="O905" s="15">
        <f>IF(SUMPRODUCT(($A$2:$A905=A905)*($B$2:$B905=B905)*($F$2:$F905=F905))&gt;1,0,1)</f>
        <v>1</v>
      </c>
      <c r="P905" s="15">
        <f>IF(SUMPRODUCT(($A$2:$A905=A905)*($B$2:$B905=B905)*($D$2:$D905=D905))&gt;1,0,1)</f>
        <v>0</v>
      </c>
    </row>
    <row r="906" spans="1:16" hidden="1" x14ac:dyDescent="0.35">
      <c r="A906" t="s">
        <v>138</v>
      </c>
      <c r="B906">
        <v>1999</v>
      </c>
      <c r="D906">
        <v>1.2</v>
      </c>
      <c r="E906">
        <f>INT(Table2[[#This Row],[Transect]])</f>
        <v>1</v>
      </c>
      <c r="F906" t="s">
        <v>10</v>
      </c>
      <c r="G906">
        <v>51</v>
      </c>
      <c r="H906">
        <v>200</v>
      </c>
      <c r="J906">
        <f>Table2[[#This Row],[Hits]]/Table2[[#This Row],[Points]]*100</f>
        <v>25.5</v>
      </c>
      <c r="K906">
        <f>VLOOKUP(Table2[[#This Row],[Site]],'Site Info'!$A$1:$C$11,2, FALSE)</f>
        <v>11.5</v>
      </c>
      <c r="L906">
        <f>VLOOKUP(Table2[[#This Row],[Site]],'Site Info'!$A$1:$C$11,3, FALSE)</f>
        <v>11</v>
      </c>
      <c r="M906" t="str">
        <f>VLOOKUP(Table2[[#This Row],[Species]],'Species Table'!$A$1:$D$68,3, FALSE)</f>
        <v>Annual</v>
      </c>
      <c r="O906" s="15">
        <f>IF(SUMPRODUCT(($A$2:$A906=A906)*($B$2:$B906=B906)*($F$2:$F906=F906))&gt;1,0,1)</f>
        <v>0</v>
      </c>
      <c r="P906" s="15">
        <f>IF(SUMPRODUCT(($A$2:$A906=A906)*($B$2:$B906=B906)*($D$2:$D906=D906))&gt;1,0,1)</f>
        <v>0</v>
      </c>
    </row>
    <row r="907" spans="1:16" x14ac:dyDescent="0.35">
      <c r="A907" t="s">
        <v>138</v>
      </c>
      <c r="B907">
        <v>1999</v>
      </c>
      <c r="D907">
        <v>1.2</v>
      </c>
      <c r="E907">
        <f>INT(Table2[[#This Row],[Transect]])</f>
        <v>1</v>
      </c>
      <c r="F907" t="s">
        <v>29</v>
      </c>
      <c r="G907">
        <v>2</v>
      </c>
      <c r="H907">
        <v>119</v>
      </c>
      <c r="J907">
        <f>Table2[[#This Row],[Hits]]/Table2[[#This Row],[Points]]*100</f>
        <v>1.680672268907563</v>
      </c>
      <c r="K907">
        <f>VLOOKUP(Table2[[#This Row],[Site]],'Site Info'!$A$1:$C$11,2, FALSE)</f>
        <v>11.5</v>
      </c>
      <c r="L907">
        <f>VLOOKUP(Table2[[#This Row],[Site]],'Site Info'!$A$1:$C$11,3, FALSE)</f>
        <v>11</v>
      </c>
      <c r="M907" t="str">
        <f>VLOOKUP(Table2[[#This Row],[Species]],'Species Table'!$A$1:$D$68,3, FALSE)</f>
        <v>Perennial</v>
      </c>
      <c r="O907" s="15">
        <f>IF(SUMPRODUCT(($A$2:$A907=A907)*($B$2:$B907=B907)*($F$2:$F907=F907))&gt;1,0,1)</f>
        <v>1</v>
      </c>
      <c r="P907" s="15">
        <f>IF(SUMPRODUCT(($A$2:$A907=A907)*($B$2:$B907=B907)*($D$2:$D907=D907))&gt;1,0,1)</f>
        <v>0</v>
      </c>
    </row>
    <row r="908" spans="1:16" hidden="1" x14ac:dyDescent="0.35">
      <c r="A908" t="s">
        <v>138</v>
      </c>
      <c r="B908">
        <v>1999</v>
      </c>
      <c r="D908">
        <v>2.1</v>
      </c>
      <c r="E908">
        <f>INT(Table2[[#This Row],[Transect]])</f>
        <v>2</v>
      </c>
      <c r="F908" t="s">
        <v>10</v>
      </c>
      <c r="G908">
        <v>12</v>
      </c>
      <c r="H908">
        <v>150</v>
      </c>
      <c r="J908">
        <f>Table2[[#This Row],[Hits]]/Table2[[#This Row],[Points]]*100</f>
        <v>8</v>
      </c>
      <c r="K908">
        <f>VLOOKUP(Table2[[#This Row],[Site]],'Site Info'!$A$1:$C$11,2, FALSE)</f>
        <v>11.5</v>
      </c>
      <c r="L908">
        <f>VLOOKUP(Table2[[#This Row],[Site]],'Site Info'!$A$1:$C$11,3, FALSE)</f>
        <v>11</v>
      </c>
      <c r="M908" t="str">
        <f>VLOOKUP(Table2[[#This Row],[Species]],'Species Table'!$A$1:$D$68,3, FALSE)</f>
        <v>Annual</v>
      </c>
      <c r="O908" s="15">
        <f>IF(SUMPRODUCT(($A$2:$A908=A908)*($B$2:$B908=B908)*($F$2:$F908=F908))&gt;1,0,1)</f>
        <v>0</v>
      </c>
      <c r="P908" s="15">
        <f>IF(SUMPRODUCT(($A$2:$A908=A908)*($B$2:$B908=B908)*($D$2:$D908=D908))&gt;1,0,1)</f>
        <v>1</v>
      </c>
    </row>
    <row r="909" spans="1:16" x14ac:dyDescent="0.35">
      <c r="A909" t="s">
        <v>138</v>
      </c>
      <c r="B909">
        <v>1999</v>
      </c>
      <c r="D909">
        <v>2.1</v>
      </c>
      <c r="E909">
        <f>INT(Table2[[#This Row],[Transect]])</f>
        <v>2</v>
      </c>
      <c r="F909" t="s">
        <v>29</v>
      </c>
      <c r="G909">
        <v>1</v>
      </c>
      <c r="H909">
        <v>150</v>
      </c>
      <c r="J909">
        <f>Table2[[#This Row],[Hits]]/Table2[[#This Row],[Points]]*100</f>
        <v>0.66666666666666674</v>
      </c>
      <c r="K909">
        <f>VLOOKUP(Table2[[#This Row],[Site]],'Site Info'!$A$1:$C$11,2, FALSE)</f>
        <v>11.5</v>
      </c>
      <c r="L909">
        <f>VLOOKUP(Table2[[#This Row],[Site]],'Site Info'!$A$1:$C$11,3, FALSE)</f>
        <v>11</v>
      </c>
      <c r="M909" t="str">
        <f>VLOOKUP(Table2[[#This Row],[Species]],'Species Table'!$A$1:$D$68,3, FALSE)</f>
        <v>Perennial</v>
      </c>
      <c r="O909" s="15">
        <f>IF(SUMPRODUCT(($A$2:$A909=A909)*($B$2:$B909=B909)*($F$2:$F909=F909))&gt;1,0,1)</f>
        <v>0</v>
      </c>
      <c r="P909" s="15">
        <f>IF(SUMPRODUCT(($A$2:$A909=A909)*($B$2:$B909=B909)*($D$2:$D909=D909))&gt;1,0,1)</f>
        <v>0</v>
      </c>
    </row>
    <row r="910" spans="1:16" x14ac:dyDescent="0.35">
      <c r="A910" t="s">
        <v>138</v>
      </c>
      <c r="B910">
        <v>1999</v>
      </c>
      <c r="D910">
        <v>2.1</v>
      </c>
      <c r="E910">
        <f>INT(Table2[[#This Row],[Transect]])</f>
        <v>2</v>
      </c>
      <c r="F910" t="s">
        <v>11</v>
      </c>
      <c r="G910">
        <v>3</v>
      </c>
      <c r="H910">
        <v>150</v>
      </c>
      <c r="J910">
        <f>Table2[[#This Row],[Hits]]/Table2[[#This Row],[Points]]*100</f>
        <v>2</v>
      </c>
      <c r="K910">
        <f>VLOOKUP(Table2[[#This Row],[Site]],'Site Info'!$A$1:$C$11,2, FALSE)</f>
        <v>11.5</v>
      </c>
      <c r="L910">
        <f>VLOOKUP(Table2[[#This Row],[Site]],'Site Info'!$A$1:$C$11,3, FALSE)</f>
        <v>11</v>
      </c>
      <c r="M910" t="str">
        <f>VLOOKUP(Table2[[#This Row],[Species]],'Species Table'!$A$1:$D$68,3, FALSE)</f>
        <v>Perennial</v>
      </c>
      <c r="O910" s="15">
        <f>IF(SUMPRODUCT(($A$2:$A910=A910)*($B$2:$B910=B910)*($F$2:$F910=F910))&gt;1,0,1)</f>
        <v>1</v>
      </c>
      <c r="P910" s="15">
        <f>IF(SUMPRODUCT(($A$2:$A910=A910)*($B$2:$B910=B910)*($D$2:$D910=D910))&gt;1,0,1)</f>
        <v>0</v>
      </c>
    </row>
    <row r="911" spans="1:16" hidden="1" x14ac:dyDescent="0.35">
      <c r="A911" t="s">
        <v>138</v>
      </c>
      <c r="B911">
        <v>1999</v>
      </c>
      <c r="D911">
        <v>2.2000000000000002</v>
      </c>
      <c r="E911">
        <f>INT(Table2[[#This Row],[Transect]])</f>
        <v>2</v>
      </c>
      <c r="F911" t="s">
        <v>10</v>
      </c>
      <c r="G911">
        <v>10</v>
      </c>
      <c r="H911">
        <v>200</v>
      </c>
      <c r="J911">
        <f>Table2[[#This Row],[Hits]]/Table2[[#This Row],[Points]]*100</f>
        <v>5</v>
      </c>
      <c r="K911">
        <f>VLOOKUP(Table2[[#This Row],[Site]],'Site Info'!$A$1:$C$11,2, FALSE)</f>
        <v>11.5</v>
      </c>
      <c r="L911">
        <f>VLOOKUP(Table2[[#This Row],[Site]],'Site Info'!$A$1:$C$11,3, FALSE)</f>
        <v>11</v>
      </c>
      <c r="M911" t="str">
        <f>VLOOKUP(Table2[[#This Row],[Species]],'Species Table'!$A$1:$D$68,3, FALSE)</f>
        <v>Annual</v>
      </c>
      <c r="O911" s="15">
        <f>IF(SUMPRODUCT(($A$2:$A911=A911)*($B$2:$B911=B911)*($F$2:$F911=F911))&gt;1,0,1)</f>
        <v>0</v>
      </c>
      <c r="P911" s="15">
        <f>IF(SUMPRODUCT(($A$2:$A911=A911)*($B$2:$B911=B911)*($D$2:$D911=D911))&gt;1,0,1)</f>
        <v>1</v>
      </c>
    </row>
    <row r="912" spans="1:16" x14ac:dyDescent="0.35">
      <c r="A912" t="s">
        <v>138</v>
      </c>
      <c r="B912">
        <v>1999</v>
      </c>
      <c r="D912">
        <v>2.2000000000000002</v>
      </c>
      <c r="E912">
        <f>INT(Table2[[#This Row],[Transect]])</f>
        <v>2</v>
      </c>
      <c r="F912" t="s">
        <v>2</v>
      </c>
      <c r="G912">
        <v>1</v>
      </c>
      <c r="H912">
        <v>200</v>
      </c>
      <c r="J912">
        <f>Table2[[#This Row],[Hits]]/Table2[[#This Row],[Points]]*100</f>
        <v>0.5</v>
      </c>
      <c r="K912">
        <f>VLOOKUP(Table2[[#This Row],[Site]],'Site Info'!$A$1:$C$11,2, FALSE)</f>
        <v>11.5</v>
      </c>
      <c r="L912">
        <f>VLOOKUP(Table2[[#This Row],[Site]],'Site Info'!$A$1:$C$11,3, FALSE)</f>
        <v>11</v>
      </c>
      <c r="M912" t="str">
        <f>VLOOKUP(Table2[[#This Row],[Species]],'Species Table'!$A$1:$D$68,3, FALSE)</f>
        <v>Perennial</v>
      </c>
      <c r="O912" s="15">
        <f>IF(SUMPRODUCT(($A$2:$A912=A912)*($B$2:$B912=B912)*($F$2:$F912=F912))&gt;1,0,1)</f>
        <v>1</v>
      </c>
      <c r="P912" s="15">
        <f>IF(SUMPRODUCT(($A$2:$A912=A912)*($B$2:$B912=B912)*($D$2:$D912=D912))&gt;1,0,1)</f>
        <v>0</v>
      </c>
    </row>
    <row r="913" spans="1:16" hidden="1" x14ac:dyDescent="0.35">
      <c r="A913" t="s">
        <v>138</v>
      </c>
      <c r="B913">
        <v>1999</v>
      </c>
      <c r="D913">
        <v>3.1</v>
      </c>
      <c r="E913">
        <f>INT(Table2[[#This Row],[Transect]])</f>
        <v>3</v>
      </c>
      <c r="F913" t="s">
        <v>10</v>
      </c>
      <c r="G913">
        <v>23</v>
      </c>
      <c r="H913">
        <v>200</v>
      </c>
      <c r="J913">
        <f>Table2[[#This Row],[Hits]]/Table2[[#This Row],[Points]]*100</f>
        <v>11.5</v>
      </c>
      <c r="K913">
        <f>VLOOKUP(Table2[[#This Row],[Site]],'Site Info'!$A$1:$C$11,2, FALSE)</f>
        <v>11.5</v>
      </c>
      <c r="L913">
        <f>VLOOKUP(Table2[[#This Row],[Site]],'Site Info'!$A$1:$C$11,3, FALSE)</f>
        <v>11</v>
      </c>
      <c r="M913" t="str">
        <f>VLOOKUP(Table2[[#This Row],[Species]],'Species Table'!$A$1:$D$68,3, FALSE)</f>
        <v>Annual</v>
      </c>
      <c r="O913" s="15">
        <f>IF(SUMPRODUCT(($A$2:$A913=A913)*($B$2:$B913=B913)*($F$2:$F913=F913))&gt;1,0,1)</f>
        <v>0</v>
      </c>
      <c r="P913" s="15">
        <f>IF(SUMPRODUCT(($A$2:$A913=A913)*($B$2:$B913=B913)*($D$2:$D913=D913))&gt;1,0,1)</f>
        <v>1</v>
      </c>
    </row>
    <row r="914" spans="1:16" x14ac:dyDescent="0.35">
      <c r="A914" t="s">
        <v>138</v>
      </c>
      <c r="B914">
        <v>1999</v>
      </c>
      <c r="D914">
        <v>3.1</v>
      </c>
      <c r="E914">
        <f>INT(Table2[[#This Row],[Transect]])</f>
        <v>3</v>
      </c>
      <c r="F914" t="s">
        <v>11</v>
      </c>
      <c r="G914">
        <v>3</v>
      </c>
      <c r="H914">
        <v>200</v>
      </c>
      <c r="J914">
        <f>Table2[[#This Row],[Hits]]/Table2[[#This Row],[Points]]*100</f>
        <v>1.5</v>
      </c>
      <c r="K914">
        <f>VLOOKUP(Table2[[#This Row],[Site]],'Site Info'!$A$1:$C$11,2, FALSE)</f>
        <v>11.5</v>
      </c>
      <c r="L914">
        <f>VLOOKUP(Table2[[#This Row],[Site]],'Site Info'!$A$1:$C$11,3, FALSE)</f>
        <v>11</v>
      </c>
      <c r="M914" t="str">
        <f>VLOOKUP(Table2[[#This Row],[Species]],'Species Table'!$A$1:$D$68,3, FALSE)</f>
        <v>Perennial</v>
      </c>
      <c r="O914" s="15">
        <f>IF(SUMPRODUCT(($A$2:$A914=A914)*($B$2:$B914=B914)*($F$2:$F914=F914))&gt;1,0,1)</f>
        <v>0</v>
      </c>
      <c r="P914" s="15">
        <f>IF(SUMPRODUCT(($A$2:$A914=A914)*($B$2:$B914=B914)*($D$2:$D914=D914))&gt;1,0,1)</f>
        <v>0</v>
      </c>
    </row>
    <row r="915" spans="1:16" hidden="1" x14ac:dyDescent="0.35">
      <c r="A915" t="s">
        <v>138</v>
      </c>
      <c r="B915">
        <v>1999</v>
      </c>
      <c r="D915">
        <v>3.2</v>
      </c>
      <c r="E915">
        <f>INT(Table2[[#This Row],[Transect]])</f>
        <v>3</v>
      </c>
      <c r="F915" t="s">
        <v>10</v>
      </c>
      <c r="G915">
        <v>47</v>
      </c>
      <c r="H915">
        <v>200</v>
      </c>
      <c r="J915">
        <f>Table2[[#This Row],[Hits]]/Table2[[#This Row],[Points]]*100</f>
        <v>23.5</v>
      </c>
      <c r="K915">
        <f>VLOOKUP(Table2[[#This Row],[Site]],'Site Info'!$A$1:$C$11,2, FALSE)</f>
        <v>11.5</v>
      </c>
      <c r="L915">
        <f>VLOOKUP(Table2[[#This Row],[Site]],'Site Info'!$A$1:$C$11,3, FALSE)</f>
        <v>11</v>
      </c>
      <c r="M915" t="str">
        <f>VLOOKUP(Table2[[#This Row],[Species]],'Species Table'!$A$1:$D$68,3, FALSE)</f>
        <v>Annual</v>
      </c>
      <c r="O915" s="15">
        <f>IF(SUMPRODUCT(($A$2:$A915=A915)*($B$2:$B915=B915)*($F$2:$F915=F915))&gt;1,0,1)</f>
        <v>0</v>
      </c>
      <c r="P915" s="15">
        <f>IF(SUMPRODUCT(($A$2:$A915=A915)*($B$2:$B915=B915)*($D$2:$D915=D915))&gt;1,0,1)</f>
        <v>1</v>
      </c>
    </row>
    <row r="916" spans="1:16" hidden="1" x14ac:dyDescent="0.35">
      <c r="A916" t="s">
        <v>138</v>
      </c>
      <c r="B916">
        <v>1999</v>
      </c>
      <c r="D916">
        <v>4.0999999999999996</v>
      </c>
      <c r="E916">
        <f>INT(Table2[[#This Row],[Transect]])</f>
        <v>4</v>
      </c>
      <c r="F916" t="s">
        <v>10</v>
      </c>
      <c r="G916">
        <v>24</v>
      </c>
      <c r="H916">
        <v>200</v>
      </c>
      <c r="J916">
        <f>Table2[[#This Row],[Hits]]/Table2[[#This Row],[Points]]*100</f>
        <v>12</v>
      </c>
      <c r="K916">
        <f>VLOOKUP(Table2[[#This Row],[Site]],'Site Info'!$A$1:$C$11,2, FALSE)</f>
        <v>11.5</v>
      </c>
      <c r="L916">
        <f>VLOOKUP(Table2[[#This Row],[Site]],'Site Info'!$A$1:$C$11,3, FALSE)</f>
        <v>11</v>
      </c>
      <c r="M916" t="str">
        <f>VLOOKUP(Table2[[#This Row],[Species]],'Species Table'!$A$1:$D$68,3, FALSE)</f>
        <v>Annual</v>
      </c>
      <c r="O916" s="15">
        <f>IF(SUMPRODUCT(($A$2:$A916=A916)*($B$2:$B916=B916)*($F$2:$F916=F916))&gt;1,0,1)</f>
        <v>0</v>
      </c>
      <c r="P916" s="15">
        <f>IF(SUMPRODUCT(($A$2:$A916=A916)*($B$2:$B916=B916)*($D$2:$D916=D916))&gt;1,0,1)</f>
        <v>1</v>
      </c>
    </row>
    <row r="917" spans="1:16" x14ac:dyDescent="0.35">
      <c r="A917" t="s">
        <v>138</v>
      </c>
      <c r="B917">
        <v>1999</v>
      </c>
      <c r="D917">
        <v>4.0999999999999996</v>
      </c>
      <c r="E917">
        <f>INT(Table2[[#This Row],[Transect]])</f>
        <v>4</v>
      </c>
      <c r="F917" t="s">
        <v>29</v>
      </c>
      <c r="G917">
        <v>1</v>
      </c>
      <c r="H917">
        <v>200</v>
      </c>
      <c r="J917">
        <f>Table2[[#This Row],[Hits]]/Table2[[#This Row],[Points]]*100</f>
        <v>0.5</v>
      </c>
      <c r="K917">
        <f>VLOOKUP(Table2[[#This Row],[Site]],'Site Info'!$A$1:$C$11,2, FALSE)</f>
        <v>11.5</v>
      </c>
      <c r="L917">
        <f>VLOOKUP(Table2[[#This Row],[Site]],'Site Info'!$A$1:$C$11,3, FALSE)</f>
        <v>11</v>
      </c>
      <c r="M917" t="str">
        <f>VLOOKUP(Table2[[#This Row],[Species]],'Species Table'!$A$1:$D$68,3, FALSE)</f>
        <v>Perennial</v>
      </c>
      <c r="O917" s="15">
        <f>IF(SUMPRODUCT(($A$2:$A917=A917)*($B$2:$B917=B917)*($F$2:$F917=F917))&gt;1,0,1)</f>
        <v>0</v>
      </c>
      <c r="P917" s="15">
        <f>IF(SUMPRODUCT(($A$2:$A917=A917)*($B$2:$B917=B917)*($D$2:$D917=D917))&gt;1,0,1)</f>
        <v>0</v>
      </c>
    </row>
    <row r="918" spans="1:16" hidden="1" x14ac:dyDescent="0.35">
      <c r="A918" t="s">
        <v>138</v>
      </c>
      <c r="B918">
        <v>1999</v>
      </c>
      <c r="D918">
        <v>5.0999999999999996</v>
      </c>
      <c r="E918">
        <f>INT(Table2[[#This Row],[Transect]])</f>
        <v>5</v>
      </c>
      <c r="F918" t="s">
        <v>10</v>
      </c>
      <c r="G918">
        <v>38</v>
      </c>
      <c r="H918">
        <v>200</v>
      </c>
      <c r="J918">
        <f>Table2[[#This Row],[Hits]]/Table2[[#This Row],[Points]]*100</f>
        <v>19</v>
      </c>
      <c r="K918">
        <f>VLOOKUP(Table2[[#This Row],[Site]],'Site Info'!$A$1:$C$11,2, FALSE)</f>
        <v>11.5</v>
      </c>
      <c r="L918">
        <f>VLOOKUP(Table2[[#This Row],[Site]],'Site Info'!$A$1:$C$11,3, FALSE)</f>
        <v>11</v>
      </c>
      <c r="M918" t="str">
        <f>VLOOKUP(Table2[[#This Row],[Species]],'Species Table'!$A$1:$D$68,3, FALSE)</f>
        <v>Annual</v>
      </c>
      <c r="O918" s="15">
        <f>IF(SUMPRODUCT(($A$2:$A918=A918)*($B$2:$B918=B918)*($F$2:$F918=F918))&gt;1,0,1)</f>
        <v>0</v>
      </c>
      <c r="P918" s="15">
        <f>IF(SUMPRODUCT(($A$2:$A918=A918)*($B$2:$B918=B918)*($D$2:$D918=D918))&gt;1,0,1)</f>
        <v>1</v>
      </c>
    </row>
    <row r="919" spans="1:16" x14ac:dyDescent="0.35">
      <c r="A919" t="s">
        <v>138</v>
      </c>
      <c r="B919">
        <v>1999</v>
      </c>
      <c r="D919">
        <v>5.0999999999999996</v>
      </c>
      <c r="E919">
        <f>INT(Table2[[#This Row],[Transect]])</f>
        <v>5</v>
      </c>
      <c r="F919" t="s">
        <v>29</v>
      </c>
      <c r="G919">
        <v>1</v>
      </c>
      <c r="H919">
        <v>200</v>
      </c>
      <c r="J919">
        <f>Table2[[#This Row],[Hits]]/Table2[[#This Row],[Points]]*100</f>
        <v>0.5</v>
      </c>
      <c r="K919">
        <f>VLOOKUP(Table2[[#This Row],[Site]],'Site Info'!$A$1:$C$11,2, FALSE)</f>
        <v>11.5</v>
      </c>
      <c r="L919">
        <f>VLOOKUP(Table2[[#This Row],[Site]],'Site Info'!$A$1:$C$11,3, FALSE)</f>
        <v>11</v>
      </c>
      <c r="M919" t="str">
        <f>VLOOKUP(Table2[[#This Row],[Species]],'Species Table'!$A$1:$D$68,3, FALSE)</f>
        <v>Perennial</v>
      </c>
      <c r="O919" s="15">
        <f>IF(SUMPRODUCT(($A$2:$A919=A919)*($B$2:$B919=B919)*($F$2:$F919=F919))&gt;1,0,1)</f>
        <v>0</v>
      </c>
      <c r="P919" s="15">
        <f>IF(SUMPRODUCT(($A$2:$A919=A919)*($B$2:$B919=B919)*($D$2:$D919=D919))&gt;1,0,1)</f>
        <v>0</v>
      </c>
    </row>
    <row r="920" spans="1:16" hidden="1" x14ac:dyDescent="0.35">
      <c r="A920" t="s">
        <v>138</v>
      </c>
      <c r="B920">
        <v>1999</v>
      </c>
      <c r="D920">
        <v>5.2</v>
      </c>
      <c r="E920">
        <f>INT(Table2[[#This Row],[Transect]])</f>
        <v>5</v>
      </c>
      <c r="F920" t="s">
        <v>10</v>
      </c>
      <c r="G920">
        <v>63</v>
      </c>
      <c r="H920">
        <v>200</v>
      </c>
      <c r="J920">
        <f>Table2[[#This Row],[Hits]]/Table2[[#This Row],[Points]]*100</f>
        <v>31.5</v>
      </c>
      <c r="K920">
        <f>VLOOKUP(Table2[[#This Row],[Site]],'Site Info'!$A$1:$C$11,2, FALSE)</f>
        <v>11.5</v>
      </c>
      <c r="L920">
        <f>VLOOKUP(Table2[[#This Row],[Site]],'Site Info'!$A$1:$C$11,3, FALSE)</f>
        <v>11</v>
      </c>
      <c r="M920" t="str">
        <f>VLOOKUP(Table2[[#This Row],[Species]],'Species Table'!$A$1:$D$68,3, FALSE)</f>
        <v>Annual</v>
      </c>
      <c r="O920" s="15">
        <f>IF(SUMPRODUCT(($A$2:$A920=A920)*($B$2:$B920=B920)*($F$2:$F920=F920))&gt;1,0,1)</f>
        <v>0</v>
      </c>
      <c r="P920" s="15">
        <f>IF(SUMPRODUCT(($A$2:$A920=A920)*($B$2:$B920=B920)*($D$2:$D920=D920))&gt;1,0,1)</f>
        <v>1</v>
      </c>
    </row>
    <row r="921" spans="1:16" x14ac:dyDescent="0.35">
      <c r="A921" t="s">
        <v>138</v>
      </c>
      <c r="B921">
        <v>1999</v>
      </c>
      <c r="D921">
        <v>5.2</v>
      </c>
      <c r="E921">
        <f>INT(Table2[[#This Row],[Transect]])</f>
        <v>5</v>
      </c>
      <c r="F921" t="s">
        <v>29</v>
      </c>
      <c r="G921">
        <v>2</v>
      </c>
      <c r="H921">
        <v>200</v>
      </c>
      <c r="J921">
        <f>Table2[[#This Row],[Hits]]/Table2[[#This Row],[Points]]*100</f>
        <v>1</v>
      </c>
      <c r="K921">
        <f>VLOOKUP(Table2[[#This Row],[Site]],'Site Info'!$A$1:$C$11,2, FALSE)</f>
        <v>11.5</v>
      </c>
      <c r="L921">
        <f>VLOOKUP(Table2[[#This Row],[Site]],'Site Info'!$A$1:$C$11,3, FALSE)</f>
        <v>11</v>
      </c>
      <c r="M921" t="str">
        <f>VLOOKUP(Table2[[#This Row],[Species]],'Species Table'!$A$1:$D$68,3, FALSE)</f>
        <v>Perennial</v>
      </c>
      <c r="O921" s="15">
        <f>IF(SUMPRODUCT(($A$2:$A921=A921)*($B$2:$B921=B921)*($F$2:$F921=F921))&gt;1,0,1)</f>
        <v>0</v>
      </c>
      <c r="P921" s="15">
        <f>IF(SUMPRODUCT(($A$2:$A921=A921)*($B$2:$B921=B921)*($D$2:$D921=D921))&gt;1,0,1)</f>
        <v>0</v>
      </c>
    </row>
    <row r="922" spans="1:16" hidden="1" x14ac:dyDescent="0.35">
      <c r="A922" t="s">
        <v>138</v>
      </c>
      <c r="B922">
        <v>1999</v>
      </c>
      <c r="D922">
        <v>6.1</v>
      </c>
      <c r="E922">
        <f>INT(Table2[[#This Row],[Transect]])</f>
        <v>6</v>
      </c>
      <c r="F922" t="s">
        <v>10</v>
      </c>
      <c r="G922">
        <v>14</v>
      </c>
      <c r="H922">
        <v>200</v>
      </c>
      <c r="J922">
        <f>Table2[[#This Row],[Hits]]/Table2[[#This Row],[Points]]*100</f>
        <v>7.0000000000000009</v>
      </c>
      <c r="K922">
        <f>VLOOKUP(Table2[[#This Row],[Site]],'Site Info'!$A$1:$C$11,2, FALSE)</f>
        <v>11.5</v>
      </c>
      <c r="L922">
        <f>VLOOKUP(Table2[[#This Row],[Site]],'Site Info'!$A$1:$C$11,3, FALSE)</f>
        <v>11</v>
      </c>
      <c r="M922" t="str">
        <f>VLOOKUP(Table2[[#This Row],[Species]],'Species Table'!$A$1:$D$68,3, FALSE)</f>
        <v>Annual</v>
      </c>
      <c r="O922" s="15">
        <f>IF(SUMPRODUCT(($A$2:$A922=A922)*($B$2:$B922=B922)*($F$2:$F922=F922))&gt;1,0,1)</f>
        <v>0</v>
      </c>
      <c r="P922" s="15">
        <f>IF(SUMPRODUCT(($A$2:$A922=A922)*($B$2:$B922=B922)*($D$2:$D922=D922))&gt;1,0,1)</f>
        <v>1</v>
      </c>
    </row>
    <row r="923" spans="1:16" hidden="1" x14ac:dyDescent="0.35">
      <c r="A923" t="s">
        <v>138</v>
      </c>
      <c r="B923">
        <v>1999</v>
      </c>
      <c r="D923">
        <v>6.2</v>
      </c>
      <c r="E923">
        <f>INT(Table2[[#This Row],[Transect]])</f>
        <v>6</v>
      </c>
      <c r="F923" t="s">
        <v>10</v>
      </c>
      <c r="G923">
        <v>10</v>
      </c>
      <c r="H923">
        <v>200</v>
      </c>
      <c r="J923">
        <f>Table2[[#This Row],[Hits]]/Table2[[#This Row],[Points]]*100</f>
        <v>5</v>
      </c>
      <c r="K923">
        <f>VLOOKUP(Table2[[#This Row],[Site]],'Site Info'!$A$1:$C$11,2, FALSE)</f>
        <v>11.5</v>
      </c>
      <c r="L923">
        <f>VLOOKUP(Table2[[#This Row],[Site]],'Site Info'!$A$1:$C$11,3, FALSE)</f>
        <v>11</v>
      </c>
      <c r="M923" t="str">
        <f>VLOOKUP(Table2[[#This Row],[Species]],'Species Table'!$A$1:$D$68,3, FALSE)</f>
        <v>Annual</v>
      </c>
      <c r="O923" s="15">
        <f>IF(SUMPRODUCT(($A$2:$A923=A923)*($B$2:$B923=B923)*($F$2:$F923=F923))&gt;1,0,1)</f>
        <v>0</v>
      </c>
      <c r="P923" s="15">
        <f>IF(SUMPRODUCT(($A$2:$A923=A923)*($B$2:$B923=B923)*($D$2:$D923=D923))&gt;1,0,1)</f>
        <v>1</v>
      </c>
    </row>
    <row r="924" spans="1:16" hidden="1" x14ac:dyDescent="0.35">
      <c r="A924" t="s">
        <v>138</v>
      </c>
      <c r="B924">
        <v>1999</v>
      </c>
      <c r="D924">
        <v>7.1</v>
      </c>
      <c r="E924">
        <f>INT(Table2[[#This Row],[Transect]])</f>
        <v>7</v>
      </c>
      <c r="F924" t="s">
        <v>10</v>
      </c>
      <c r="G924">
        <v>21</v>
      </c>
      <c r="H924">
        <v>200</v>
      </c>
      <c r="J924">
        <f>Table2[[#This Row],[Hits]]/Table2[[#This Row],[Points]]*100</f>
        <v>10.5</v>
      </c>
      <c r="K924">
        <f>VLOOKUP(Table2[[#This Row],[Site]],'Site Info'!$A$1:$C$11,2, FALSE)</f>
        <v>11.5</v>
      </c>
      <c r="L924">
        <f>VLOOKUP(Table2[[#This Row],[Site]],'Site Info'!$A$1:$C$11,3, FALSE)</f>
        <v>11</v>
      </c>
      <c r="M924" t="str">
        <f>VLOOKUP(Table2[[#This Row],[Species]],'Species Table'!$A$1:$D$68,3, FALSE)</f>
        <v>Annual</v>
      </c>
      <c r="O924" s="15">
        <f>IF(SUMPRODUCT(($A$2:$A924=A924)*($B$2:$B924=B924)*($F$2:$F924=F924))&gt;1,0,1)</f>
        <v>0</v>
      </c>
      <c r="P924" s="15">
        <f>IF(SUMPRODUCT(($A$2:$A924=A924)*($B$2:$B924=B924)*($D$2:$D924=D924))&gt;1,0,1)</f>
        <v>1</v>
      </c>
    </row>
    <row r="925" spans="1:16" hidden="1" x14ac:dyDescent="0.35">
      <c r="A925" t="s">
        <v>138</v>
      </c>
      <c r="B925">
        <v>1999</v>
      </c>
      <c r="D925">
        <v>7.2</v>
      </c>
      <c r="E925">
        <f>INT(Table2[[#This Row],[Transect]])</f>
        <v>7</v>
      </c>
      <c r="F925" t="s">
        <v>10</v>
      </c>
      <c r="G925">
        <v>9</v>
      </c>
      <c r="H925">
        <v>200</v>
      </c>
      <c r="J925">
        <f>Table2[[#This Row],[Hits]]/Table2[[#This Row],[Points]]*100</f>
        <v>4.5</v>
      </c>
      <c r="K925">
        <f>VLOOKUP(Table2[[#This Row],[Site]],'Site Info'!$A$1:$C$11,2, FALSE)</f>
        <v>11.5</v>
      </c>
      <c r="L925">
        <f>VLOOKUP(Table2[[#This Row],[Site]],'Site Info'!$A$1:$C$11,3, FALSE)</f>
        <v>11</v>
      </c>
      <c r="M925" t="str">
        <f>VLOOKUP(Table2[[#This Row],[Species]],'Species Table'!$A$1:$D$68,3, FALSE)</f>
        <v>Annual</v>
      </c>
      <c r="O925" s="15">
        <f>IF(SUMPRODUCT(($A$2:$A925=A925)*($B$2:$B925=B925)*($F$2:$F925=F925))&gt;1,0,1)</f>
        <v>0</v>
      </c>
      <c r="P925" s="15">
        <f>IF(SUMPRODUCT(($A$2:$A925=A925)*($B$2:$B925=B925)*($D$2:$D925=D925))&gt;1,0,1)</f>
        <v>1</v>
      </c>
    </row>
    <row r="926" spans="1:16" hidden="1" x14ac:dyDescent="0.35">
      <c r="A926" t="s">
        <v>138</v>
      </c>
      <c r="B926">
        <v>1999</v>
      </c>
      <c r="D926">
        <v>8.1</v>
      </c>
      <c r="E926">
        <f>INT(Table2[[#This Row],[Transect]])</f>
        <v>8</v>
      </c>
      <c r="F926" t="s">
        <v>10</v>
      </c>
      <c r="G926">
        <v>6</v>
      </c>
      <c r="H926">
        <v>200</v>
      </c>
      <c r="J926">
        <f>Table2[[#This Row],[Hits]]/Table2[[#This Row],[Points]]*100</f>
        <v>3</v>
      </c>
      <c r="K926">
        <f>VLOOKUP(Table2[[#This Row],[Site]],'Site Info'!$A$1:$C$11,2, FALSE)</f>
        <v>11.5</v>
      </c>
      <c r="L926">
        <f>VLOOKUP(Table2[[#This Row],[Site]],'Site Info'!$A$1:$C$11,3, FALSE)</f>
        <v>11</v>
      </c>
      <c r="M926" t="str">
        <f>VLOOKUP(Table2[[#This Row],[Species]],'Species Table'!$A$1:$D$68,3, FALSE)</f>
        <v>Annual</v>
      </c>
      <c r="O926" s="15">
        <f>IF(SUMPRODUCT(($A$2:$A926=A926)*($B$2:$B926=B926)*($F$2:$F926=F926))&gt;1,0,1)</f>
        <v>0</v>
      </c>
      <c r="P926" s="15">
        <f>IF(SUMPRODUCT(($A$2:$A926=A926)*($B$2:$B926=B926)*($D$2:$D926=D926))&gt;1,0,1)</f>
        <v>1</v>
      </c>
    </row>
    <row r="927" spans="1:16" x14ac:dyDescent="0.35">
      <c r="A927" t="s">
        <v>138</v>
      </c>
      <c r="B927">
        <v>1999</v>
      </c>
      <c r="D927">
        <v>8.1</v>
      </c>
      <c r="E927">
        <f>INT(Table2[[#This Row],[Transect]])</f>
        <v>8</v>
      </c>
      <c r="F927" t="s">
        <v>29</v>
      </c>
      <c r="G927">
        <v>1</v>
      </c>
      <c r="H927">
        <v>200</v>
      </c>
      <c r="J927">
        <f>Table2[[#This Row],[Hits]]/Table2[[#This Row],[Points]]*100</f>
        <v>0.5</v>
      </c>
      <c r="K927">
        <f>VLOOKUP(Table2[[#This Row],[Site]],'Site Info'!$A$1:$C$11,2, FALSE)</f>
        <v>11.5</v>
      </c>
      <c r="L927">
        <f>VLOOKUP(Table2[[#This Row],[Site]],'Site Info'!$A$1:$C$11,3, FALSE)</f>
        <v>11</v>
      </c>
      <c r="M927" t="str">
        <f>VLOOKUP(Table2[[#This Row],[Species]],'Species Table'!$A$1:$D$68,3, FALSE)</f>
        <v>Perennial</v>
      </c>
      <c r="O927" s="15">
        <f>IF(SUMPRODUCT(($A$2:$A927=A927)*($B$2:$B927=B927)*($F$2:$F927=F927))&gt;1,0,1)</f>
        <v>0</v>
      </c>
      <c r="P927" s="15">
        <f>IF(SUMPRODUCT(($A$2:$A927=A927)*($B$2:$B927=B927)*($D$2:$D927=D927))&gt;1,0,1)</f>
        <v>0</v>
      </c>
    </row>
    <row r="928" spans="1:16" x14ac:dyDescent="0.35">
      <c r="A928" t="s">
        <v>138</v>
      </c>
      <c r="B928">
        <v>1999</v>
      </c>
      <c r="D928">
        <v>8.1</v>
      </c>
      <c r="E928">
        <f>INT(Table2[[#This Row],[Transect]])</f>
        <v>8</v>
      </c>
      <c r="F928" t="s">
        <v>11</v>
      </c>
      <c r="G928">
        <v>1</v>
      </c>
      <c r="H928">
        <v>200</v>
      </c>
      <c r="J928">
        <f>Table2[[#This Row],[Hits]]/Table2[[#This Row],[Points]]*100</f>
        <v>0.5</v>
      </c>
      <c r="K928">
        <f>VLOOKUP(Table2[[#This Row],[Site]],'Site Info'!$A$1:$C$11,2, FALSE)</f>
        <v>11.5</v>
      </c>
      <c r="L928">
        <f>VLOOKUP(Table2[[#This Row],[Site]],'Site Info'!$A$1:$C$11,3, FALSE)</f>
        <v>11</v>
      </c>
      <c r="M928" t="str">
        <f>VLOOKUP(Table2[[#This Row],[Species]],'Species Table'!$A$1:$D$68,3, FALSE)</f>
        <v>Perennial</v>
      </c>
      <c r="O928" s="15">
        <f>IF(SUMPRODUCT(($A$2:$A928=A928)*($B$2:$B928=B928)*($F$2:$F928=F928))&gt;1,0,1)</f>
        <v>0</v>
      </c>
      <c r="P928" s="15">
        <f>IF(SUMPRODUCT(($A$2:$A928=A928)*($B$2:$B928=B928)*($D$2:$D928=D928))&gt;1,0,1)</f>
        <v>0</v>
      </c>
    </row>
    <row r="929" spans="1:16" x14ac:dyDescent="0.35">
      <c r="A929" t="s">
        <v>138</v>
      </c>
      <c r="B929">
        <v>1999</v>
      </c>
      <c r="D929">
        <v>8.1</v>
      </c>
      <c r="E929">
        <f>INT(Table2[[#This Row],[Transect]])</f>
        <v>8</v>
      </c>
      <c r="F929" t="s">
        <v>14</v>
      </c>
      <c r="G929">
        <v>1</v>
      </c>
      <c r="H929">
        <v>200</v>
      </c>
      <c r="J929">
        <f>Table2[[#This Row],[Hits]]/Table2[[#This Row],[Points]]*100</f>
        <v>0.5</v>
      </c>
      <c r="K929">
        <f>VLOOKUP(Table2[[#This Row],[Site]],'Site Info'!$A$1:$C$11,2, FALSE)</f>
        <v>11.5</v>
      </c>
      <c r="L929">
        <f>VLOOKUP(Table2[[#This Row],[Site]],'Site Info'!$A$1:$C$11,3, FALSE)</f>
        <v>11</v>
      </c>
      <c r="M929" t="str">
        <f>VLOOKUP(Table2[[#This Row],[Species]],'Species Table'!$A$1:$D$68,3, FALSE)</f>
        <v>Perennial</v>
      </c>
      <c r="O929" s="15">
        <f>IF(SUMPRODUCT(($A$2:$A929=A929)*($B$2:$B929=B929)*($F$2:$F929=F929))&gt;1,0,1)</f>
        <v>1</v>
      </c>
      <c r="P929" s="15">
        <f>IF(SUMPRODUCT(($A$2:$A929=A929)*($B$2:$B929=B929)*($D$2:$D929=D929))&gt;1,0,1)</f>
        <v>0</v>
      </c>
    </row>
    <row r="930" spans="1:16" x14ac:dyDescent="0.35">
      <c r="A930" t="s">
        <v>138</v>
      </c>
      <c r="B930">
        <v>1999</v>
      </c>
      <c r="D930">
        <v>8.1</v>
      </c>
      <c r="E930">
        <f>INT(Table2[[#This Row],[Transect]])</f>
        <v>8</v>
      </c>
      <c r="F930" t="s">
        <v>2</v>
      </c>
      <c r="G930">
        <v>2</v>
      </c>
      <c r="H930">
        <v>200</v>
      </c>
      <c r="J930">
        <f>Table2[[#This Row],[Hits]]/Table2[[#This Row],[Points]]*100</f>
        <v>1</v>
      </c>
      <c r="K930">
        <f>VLOOKUP(Table2[[#This Row],[Site]],'Site Info'!$A$1:$C$11,2, FALSE)</f>
        <v>11.5</v>
      </c>
      <c r="L930">
        <f>VLOOKUP(Table2[[#This Row],[Site]],'Site Info'!$A$1:$C$11,3, FALSE)</f>
        <v>11</v>
      </c>
      <c r="M930" t="str">
        <f>VLOOKUP(Table2[[#This Row],[Species]],'Species Table'!$A$1:$D$68,3, FALSE)</f>
        <v>Perennial</v>
      </c>
      <c r="O930" s="15">
        <f>IF(SUMPRODUCT(($A$2:$A930=A930)*($B$2:$B930=B930)*($F$2:$F930=F930))&gt;1,0,1)</f>
        <v>0</v>
      </c>
      <c r="P930" s="15">
        <f>IF(SUMPRODUCT(($A$2:$A930=A930)*($B$2:$B930=B930)*($D$2:$D930=D930))&gt;1,0,1)</f>
        <v>0</v>
      </c>
    </row>
    <row r="931" spans="1:16" hidden="1" x14ac:dyDescent="0.35">
      <c r="A931" t="s">
        <v>138</v>
      </c>
      <c r="B931">
        <v>1999</v>
      </c>
      <c r="D931">
        <v>8.1999999999999993</v>
      </c>
      <c r="E931">
        <f>INT(Table2[[#This Row],[Transect]])</f>
        <v>8</v>
      </c>
      <c r="F931" t="s">
        <v>10</v>
      </c>
      <c r="G931">
        <v>10</v>
      </c>
      <c r="H931">
        <v>200</v>
      </c>
      <c r="J931">
        <f>Table2[[#This Row],[Hits]]/Table2[[#This Row],[Points]]*100</f>
        <v>5</v>
      </c>
      <c r="K931">
        <f>VLOOKUP(Table2[[#This Row],[Site]],'Site Info'!$A$1:$C$11,2, FALSE)</f>
        <v>11.5</v>
      </c>
      <c r="L931">
        <f>VLOOKUP(Table2[[#This Row],[Site]],'Site Info'!$A$1:$C$11,3, FALSE)</f>
        <v>11</v>
      </c>
      <c r="M931" t="str">
        <f>VLOOKUP(Table2[[#This Row],[Species]],'Species Table'!$A$1:$D$68,3, FALSE)</f>
        <v>Annual</v>
      </c>
      <c r="O931" s="15">
        <f>IF(SUMPRODUCT(($A$2:$A931=A931)*($B$2:$B931=B931)*($F$2:$F931=F931))&gt;1,0,1)</f>
        <v>0</v>
      </c>
      <c r="P931" s="15">
        <f>IF(SUMPRODUCT(($A$2:$A931=A931)*($B$2:$B931=B931)*($D$2:$D931=D931))&gt;1,0,1)</f>
        <v>1</v>
      </c>
    </row>
    <row r="932" spans="1:16" hidden="1" x14ac:dyDescent="0.35">
      <c r="A932" t="s">
        <v>138</v>
      </c>
      <c r="B932">
        <v>1999</v>
      </c>
      <c r="D932">
        <v>9.1</v>
      </c>
      <c r="E932">
        <f>INT(Table2[[#This Row],[Transect]])</f>
        <v>9</v>
      </c>
      <c r="F932" t="s">
        <v>10</v>
      </c>
      <c r="G932">
        <v>39</v>
      </c>
      <c r="H932">
        <v>200</v>
      </c>
      <c r="J932">
        <f>Table2[[#This Row],[Hits]]/Table2[[#This Row],[Points]]*100</f>
        <v>19.5</v>
      </c>
      <c r="K932">
        <f>VLOOKUP(Table2[[#This Row],[Site]],'Site Info'!$A$1:$C$11,2, FALSE)</f>
        <v>11.5</v>
      </c>
      <c r="L932">
        <f>VLOOKUP(Table2[[#This Row],[Site]],'Site Info'!$A$1:$C$11,3, FALSE)</f>
        <v>11</v>
      </c>
      <c r="M932" t="str">
        <f>VLOOKUP(Table2[[#This Row],[Species]],'Species Table'!$A$1:$D$68,3, FALSE)</f>
        <v>Annual</v>
      </c>
      <c r="O932" s="15">
        <f>IF(SUMPRODUCT(($A$2:$A932=A932)*($B$2:$B932=B932)*($F$2:$F932=F932))&gt;1,0,1)</f>
        <v>0</v>
      </c>
      <c r="P932" s="15">
        <f>IF(SUMPRODUCT(($A$2:$A932=A932)*($B$2:$B932=B932)*($D$2:$D932=D932))&gt;1,0,1)</f>
        <v>1</v>
      </c>
    </row>
    <row r="933" spans="1:16" x14ac:dyDescent="0.35">
      <c r="A933" t="s">
        <v>138</v>
      </c>
      <c r="B933">
        <v>1999</v>
      </c>
      <c r="D933">
        <v>9.1</v>
      </c>
      <c r="E933">
        <f>INT(Table2[[#This Row],[Transect]])</f>
        <v>9</v>
      </c>
      <c r="F933" t="s">
        <v>11</v>
      </c>
      <c r="G933">
        <v>13</v>
      </c>
      <c r="H933">
        <v>200</v>
      </c>
      <c r="J933">
        <f>Table2[[#This Row],[Hits]]/Table2[[#This Row],[Points]]*100</f>
        <v>6.5</v>
      </c>
      <c r="K933">
        <f>VLOOKUP(Table2[[#This Row],[Site]],'Site Info'!$A$1:$C$11,2, FALSE)</f>
        <v>11.5</v>
      </c>
      <c r="L933">
        <f>VLOOKUP(Table2[[#This Row],[Site]],'Site Info'!$A$1:$C$11,3, FALSE)</f>
        <v>11</v>
      </c>
      <c r="M933" t="str">
        <f>VLOOKUP(Table2[[#This Row],[Species]],'Species Table'!$A$1:$D$68,3, FALSE)</f>
        <v>Perennial</v>
      </c>
      <c r="O933" s="15">
        <f>IF(SUMPRODUCT(($A$2:$A933=A933)*($B$2:$B933=B933)*($F$2:$F933=F933))&gt;1,0,1)</f>
        <v>0</v>
      </c>
      <c r="P933" s="15">
        <f>IF(SUMPRODUCT(($A$2:$A933=A933)*($B$2:$B933=B933)*($D$2:$D933=D933))&gt;1,0,1)</f>
        <v>0</v>
      </c>
    </row>
    <row r="934" spans="1:16" hidden="1" x14ac:dyDescent="0.35">
      <c r="A934" t="s">
        <v>138</v>
      </c>
      <c r="B934">
        <v>1999</v>
      </c>
      <c r="D934">
        <v>9.1999999999999993</v>
      </c>
      <c r="E934">
        <f>INT(Table2[[#This Row],[Transect]])</f>
        <v>9</v>
      </c>
      <c r="F934" t="s">
        <v>10</v>
      </c>
      <c r="G934">
        <v>36</v>
      </c>
      <c r="H934">
        <v>200</v>
      </c>
      <c r="J934">
        <f>Table2[[#This Row],[Hits]]/Table2[[#This Row],[Points]]*100</f>
        <v>18</v>
      </c>
      <c r="K934">
        <f>VLOOKUP(Table2[[#This Row],[Site]],'Site Info'!$A$1:$C$11,2, FALSE)</f>
        <v>11.5</v>
      </c>
      <c r="L934">
        <f>VLOOKUP(Table2[[#This Row],[Site]],'Site Info'!$A$1:$C$11,3, FALSE)</f>
        <v>11</v>
      </c>
      <c r="M934" t="str">
        <f>VLOOKUP(Table2[[#This Row],[Species]],'Species Table'!$A$1:$D$68,3, FALSE)</f>
        <v>Annual</v>
      </c>
      <c r="O934" s="15">
        <f>IF(SUMPRODUCT(($A$2:$A934=A934)*($B$2:$B934=B934)*($F$2:$F934=F934))&gt;1,0,1)</f>
        <v>0</v>
      </c>
      <c r="P934" s="15">
        <f>IF(SUMPRODUCT(($A$2:$A934=A934)*($B$2:$B934=B934)*($D$2:$D934=D934))&gt;1,0,1)</f>
        <v>1</v>
      </c>
    </row>
    <row r="935" spans="1:16" hidden="1" x14ac:dyDescent="0.35">
      <c r="A935" t="s">
        <v>138</v>
      </c>
      <c r="B935">
        <v>1999</v>
      </c>
      <c r="D935">
        <v>10.1</v>
      </c>
      <c r="E935">
        <f>INT(Table2[[#This Row],[Transect]])</f>
        <v>10</v>
      </c>
      <c r="F935" t="s">
        <v>10</v>
      </c>
      <c r="G935">
        <v>5</v>
      </c>
      <c r="H935">
        <v>200</v>
      </c>
      <c r="J935">
        <f>Table2[[#This Row],[Hits]]/Table2[[#This Row],[Points]]*100</f>
        <v>2.5</v>
      </c>
      <c r="K935">
        <f>VLOOKUP(Table2[[#This Row],[Site]],'Site Info'!$A$1:$C$11,2, FALSE)</f>
        <v>11.5</v>
      </c>
      <c r="L935">
        <f>VLOOKUP(Table2[[#This Row],[Site]],'Site Info'!$A$1:$C$11,3, FALSE)</f>
        <v>11</v>
      </c>
      <c r="M935" t="str">
        <f>VLOOKUP(Table2[[#This Row],[Species]],'Species Table'!$A$1:$D$68,3, FALSE)</f>
        <v>Annual</v>
      </c>
      <c r="O935" s="15">
        <f>IF(SUMPRODUCT(($A$2:$A935=A935)*($B$2:$B935=B935)*($F$2:$F935=F935))&gt;1,0,1)</f>
        <v>0</v>
      </c>
      <c r="P935" s="15">
        <f>IF(SUMPRODUCT(($A$2:$A935=A935)*($B$2:$B935=B935)*($D$2:$D935=D935))&gt;1,0,1)</f>
        <v>1</v>
      </c>
    </row>
    <row r="936" spans="1:16" hidden="1" x14ac:dyDescent="0.35">
      <c r="A936" t="s">
        <v>138</v>
      </c>
      <c r="B936">
        <v>1999</v>
      </c>
      <c r="D936">
        <v>10.199999999999999</v>
      </c>
      <c r="E936">
        <f>INT(Table2[[#This Row],[Transect]])</f>
        <v>10</v>
      </c>
      <c r="F936" t="s">
        <v>10</v>
      </c>
      <c r="G936">
        <v>4</v>
      </c>
      <c r="H936">
        <v>200</v>
      </c>
      <c r="J936">
        <f>Table2[[#This Row],[Hits]]/Table2[[#This Row],[Points]]*100</f>
        <v>2</v>
      </c>
      <c r="K936">
        <f>VLOOKUP(Table2[[#This Row],[Site]],'Site Info'!$A$1:$C$11,2, FALSE)</f>
        <v>11.5</v>
      </c>
      <c r="L936">
        <f>VLOOKUP(Table2[[#This Row],[Site]],'Site Info'!$A$1:$C$11,3, FALSE)</f>
        <v>11</v>
      </c>
      <c r="M936" t="str">
        <f>VLOOKUP(Table2[[#This Row],[Species]],'Species Table'!$A$1:$D$68,3, FALSE)</f>
        <v>Annual</v>
      </c>
      <c r="O936" s="15">
        <f>IF(SUMPRODUCT(($A$2:$A936=A936)*($B$2:$B936=B936)*($F$2:$F936=F936))&gt;1,0,1)</f>
        <v>0</v>
      </c>
      <c r="P936" s="15">
        <f>IF(SUMPRODUCT(($A$2:$A936=A936)*($B$2:$B936=B936)*($D$2:$D936=D936))&gt;1,0,1)</f>
        <v>1</v>
      </c>
    </row>
    <row r="937" spans="1:16" hidden="1" x14ac:dyDescent="0.35">
      <c r="A937" t="s">
        <v>138</v>
      </c>
      <c r="B937">
        <v>2006</v>
      </c>
      <c r="C937" t="s">
        <v>82</v>
      </c>
      <c r="D937">
        <v>1.1000000000000001</v>
      </c>
      <c r="E937">
        <f>INT(Table2[[#This Row],[Transect]])</f>
        <v>1</v>
      </c>
      <c r="F937" t="s">
        <v>10</v>
      </c>
      <c r="G937">
        <v>6</v>
      </c>
      <c r="H937">
        <v>120</v>
      </c>
      <c r="J937">
        <f>Table2[[#This Row],[Hits]]/Table2[[#This Row],[Points]]*100</f>
        <v>5</v>
      </c>
      <c r="K937">
        <f>VLOOKUP(Table2[[#This Row],[Site]],'Site Info'!$A$1:$C$11,2, FALSE)</f>
        <v>11.5</v>
      </c>
      <c r="L937">
        <f>VLOOKUP(Table2[[#This Row],[Site]],'Site Info'!$A$1:$C$11,3, FALSE)</f>
        <v>11</v>
      </c>
      <c r="M937" t="str">
        <f>VLOOKUP(Table2[[#This Row],[Species]],'Species Table'!$A$1:$D$68,3, FALSE)</f>
        <v>Annual</v>
      </c>
      <c r="O937" s="15">
        <f>IF(SUMPRODUCT(($A$2:$A937=A937)*($B$2:$B937=B937)*($F$2:$F937=F937))&gt;1,0,1)</f>
        <v>1</v>
      </c>
      <c r="P937" s="15">
        <f>IF(SUMPRODUCT(($A$2:$A937=A937)*($B$2:$B937=B937)*($D$2:$D937=D937))&gt;1,0,1)</f>
        <v>1</v>
      </c>
    </row>
    <row r="938" spans="1:16" x14ac:dyDescent="0.35">
      <c r="A938" t="s">
        <v>138</v>
      </c>
      <c r="B938">
        <v>2006</v>
      </c>
      <c r="C938" t="s">
        <v>82</v>
      </c>
      <c r="D938">
        <v>1.1000000000000001</v>
      </c>
      <c r="E938">
        <f>INT(Table2[[#This Row],[Transect]])</f>
        <v>1</v>
      </c>
      <c r="F938" t="s">
        <v>29</v>
      </c>
      <c r="G938">
        <v>4</v>
      </c>
      <c r="H938">
        <v>120</v>
      </c>
      <c r="J938">
        <f>Table2[[#This Row],[Hits]]/Table2[[#This Row],[Points]]*100</f>
        <v>3.3333333333333335</v>
      </c>
      <c r="K938">
        <f>VLOOKUP(Table2[[#This Row],[Site]],'Site Info'!$A$1:$C$11,2, FALSE)</f>
        <v>11.5</v>
      </c>
      <c r="L938">
        <f>VLOOKUP(Table2[[#This Row],[Site]],'Site Info'!$A$1:$C$11,3, FALSE)</f>
        <v>11</v>
      </c>
      <c r="M938" t="str">
        <f>VLOOKUP(Table2[[#This Row],[Species]],'Species Table'!$A$1:$D$68,3, FALSE)</f>
        <v>Perennial</v>
      </c>
      <c r="O938" s="15">
        <f>IF(SUMPRODUCT(($A$2:$A938=A938)*($B$2:$B938=B938)*($F$2:$F938=F938))&gt;1,0,1)</f>
        <v>1</v>
      </c>
      <c r="P938" s="15">
        <f>IF(SUMPRODUCT(($A$2:$A938=A938)*($B$2:$B938=B938)*($D$2:$D938=D938))&gt;1,0,1)</f>
        <v>0</v>
      </c>
    </row>
    <row r="939" spans="1:16" hidden="1" x14ac:dyDescent="0.35">
      <c r="A939" t="s">
        <v>138</v>
      </c>
      <c r="B939">
        <v>2006</v>
      </c>
      <c r="C939" t="s">
        <v>108</v>
      </c>
      <c r="D939">
        <v>1.2</v>
      </c>
      <c r="E939">
        <f>INT(Table2[[#This Row],[Transect]])</f>
        <v>1</v>
      </c>
      <c r="F939" t="s">
        <v>10</v>
      </c>
      <c r="G939">
        <v>61</v>
      </c>
      <c r="H939">
        <v>200</v>
      </c>
      <c r="J939">
        <f>Table2[[#This Row],[Hits]]/Table2[[#This Row],[Points]]*100</f>
        <v>30.5</v>
      </c>
      <c r="K939">
        <f>VLOOKUP(Table2[[#This Row],[Site]],'Site Info'!$A$1:$C$11,2, FALSE)</f>
        <v>11.5</v>
      </c>
      <c r="L939">
        <f>VLOOKUP(Table2[[#This Row],[Site]],'Site Info'!$A$1:$C$11,3, FALSE)</f>
        <v>11</v>
      </c>
      <c r="M939" t="str">
        <f>VLOOKUP(Table2[[#This Row],[Species]],'Species Table'!$A$1:$D$68,3, FALSE)</f>
        <v>Annual</v>
      </c>
      <c r="O939" s="15">
        <f>IF(SUMPRODUCT(($A$2:$A939=A939)*($B$2:$B939=B939)*($F$2:$F939=F939))&gt;1,0,1)</f>
        <v>0</v>
      </c>
      <c r="P939" s="15">
        <f>IF(SUMPRODUCT(($A$2:$A939=A939)*($B$2:$B939=B939)*($D$2:$D939=D939))&gt;1,0,1)</f>
        <v>1</v>
      </c>
    </row>
    <row r="940" spans="1:16" x14ac:dyDescent="0.35">
      <c r="A940" t="s">
        <v>138</v>
      </c>
      <c r="B940">
        <v>2006</v>
      </c>
      <c r="C940" t="s">
        <v>109</v>
      </c>
      <c r="D940">
        <v>2.1</v>
      </c>
      <c r="E940">
        <f>INT(Table2[[#This Row],[Transect]])</f>
        <v>2</v>
      </c>
      <c r="F940" t="s">
        <v>11</v>
      </c>
      <c r="G940">
        <v>3</v>
      </c>
      <c r="H940">
        <v>149</v>
      </c>
      <c r="J940">
        <f>Table2[[#This Row],[Hits]]/Table2[[#This Row],[Points]]*100</f>
        <v>2.0134228187919461</v>
      </c>
      <c r="K940">
        <f>VLOOKUP(Table2[[#This Row],[Site]],'Site Info'!$A$1:$C$11,2, FALSE)</f>
        <v>11.5</v>
      </c>
      <c r="L940">
        <f>VLOOKUP(Table2[[#This Row],[Site]],'Site Info'!$A$1:$C$11,3, FALSE)</f>
        <v>11</v>
      </c>
      <c r="M940" t="str">
        <f>VLOOKUP(Table2[[#This Row],[Species]],'Species Table'!$A$1:$D$68,3, FALSE)</f>
        <v>Perennial</v>
      </c>
      <c r="O940" s="15">
        <f>IF(SUMPRODUCT(($A$2:$A940=A940)*($B$2:$B940=B940)*($F$2:$F940=F940))&gt;1,0,1)</f>
        <v>1</v>
      </c>
      <c r="P940" s="15">
        <f>IF(SUMPRODUCT(($A$2:$A940=A940)*($B$2:$B940=B940)*($D$2:$D940=D940))&gt;1,0,1)</f>
        <v>1</v>
      </c>
    </row>
    <row r="941" spans="1:16" hidden="1" x14ac:dyDescent="0.35">
      <c r="A941" t="s">
        <v>138</v>
      </c>
      <c r="B941">
        <v>2006</v>
      </c>
      <c r="C941" t="s">
        <v>109</v>
      </c>
      <c r="D941">
        <v>2.1</v>
      </c>
      <c r="E941">
        <f>INT(Table2[[#This Row],[Transect]])</f>
        <v>2</v>
      </c>
      <c r="F941" t="s">
        <v>10</v>
      </c>
      <c r="G941">
        <v>38</v>
      </c>
      <c r="H941">
        <v>149</v>
      </c>
      <c r="J941">
        <f>Table2[[#This Row],[Hits]]/Table2[[#This Row],[Points]]*100</f>
        <v>25.503355704697988</v>
      </c>
      <c r="K941">
        <f>VLOOKUP(Table2[[#This Row],[Site]],'Site Info'!$A$1:$C$11,2, FALSE)</f>
        <v>11.5</v>
      </c>
      <c r="L941">
        <f>VLOOKUP(Table2[[#This Row],[Site]],'Site Info'!$A$1:$C$11,3, FALSE)</f>
        <v>11</v>
      </c>
      <c r="M941" t="str">
        <f>VLOOKUP(Table2[[#This Row],[Species]],'Species Table'!$A$1:$D$68,3, FALSE)</f>
        <v>Annual</v>
      </c>
      <c r="O941" s="15">
        <f>IF(SUMPRODUCT(($A$2:$A941=A941)*($B$2:$B941=B941)*($F$2:$F941=F941))&gt;1,0,1)</f>
        <v>0</v>
      </c>
      <c r="P941" s="15">
        <f>IF(SUMPRODUCT(($A$2:$A941=A941)*($B$2:$B941=B941)*($D$2:$D941=D941))&gt;1,0,1)</f>
        <v>0</v>
      </c>
    </row>
    <row r="942" spans="1:16" x14ac:dyDescent="0.35">
      <c r="A942" t="s">
        <v>138</v>
      </c>
      <c r="B942">
        <v>2006</v>
      </c>
      <c r="C942" t="s">
        <v>109</v>
      </c>
      <c r="D942">
        <v>2.1</v>
      </c>
      <c r="E942">
        <f>INT(Table2[[#This Row],[Transect]])</f>
        <v>2</v>
      </c>
      <c r="F942" t="s">
        <v>29</v>
      </c>
      <c r="G942">
        <v>3</v>
      </c>
      <c r="H942">
        <v>149</v>
      </c>
      <c r="J942">
        <f>Table2[[#This Row],[Hits]]/Table2[[#This Row],[Points]]*100</f>
        <v>2.0134228187919461</v>
      </c>
      <c r="K942">
        <f>VLOOKUP(Table2[[#This Row],[Site]],'Site Info'!$A$1:$C$11,2, FALSE)</f>
        <v>11.5</v>
      </c>
      <c r="L942">
        <f>VLOOKUP(Table2[[#This Row],[Site]],'Site Info'!$A$1:$C$11,3, FALSE)</f>
        <v>11</v>
      </c>
      <c r="M942" t="str">
        <f>VLOOKUP(Table2[[#This Row],[Species]],'Species Table'!$A$1:$D$68,3, FALSE)</f>
        <v>Perennial</v>
      </c>
      <c r="O942" s="15">
        <f>IF(SUMPRODUCT(($A$2:$A942=A942)*($B$2:$B942=B942)*($F$2:$F942=F942))&gt;1,0,1)</f>
        <v>0</v>
      </c>
      <c r="P942" s="15">
        <f>IF(SUMPRODUCT(($A$2:$A942=A942)*($B$2:$B942=B942)*($D$2:$D942=D942))&gt;1,0,1)</f>
        <v>0</v>
      </c>
    </row>
    <row r="943" spans="1:16" hidden="1" x14ac:dyDescent="0.35">
      <c r="A943" t="s">
        <v>138</v>
      </c>
      <c r="B943">
        <v>2006</v>
      </c>
      <c r="C943" t="s">
        <v>110</v>
      </c>
      <c r="D943">
        <v>2.2000000000000002</v>
      </c>
      <c r="E943">
        <f>INT(Table2[[#This Row],[Transect]])</f>
        <v>2</v>
      </c>
      <c r="F943" t="s">
        <v>10</v>
      </c>
      <c r="G943">
        <v>27</v>
      </c>
      <c r="H943">
        <v>200</v>
      </c>
      <c r="J943">
        <f>Table2[[#This Row],[Hits]]/Table2[[#This Row],[Points]]*100</f>
        <v>13.5</v>
      </c>
      <c r="K943">
        <f>VLOOKUP(Table2[[#This Row],[Site]],'Site Info'!$A$1:$C$11,2, FALSE)</f>
        <v>11.5</v>
      </c>
      <c r="L943">
        <f>VLOOKUP(Table2[[#This Row],[Site]],'Site Info'!$A$1:$C$11,3, FALSE)</f>
        <v>11</v>
      </c>
      <c r="M943" t="str">
        <f>VLOOKUP(Table2[[#This Row],[Species]],'Species Table'!$A$1:$D$68,3, FALSE)</f>
        <v>Annual</v>
      </c>
      <c r="O943" s="15">
        <f>IF(SUMPRODUCT(($A$2:$A943=A943)*($B$2:$B943=B943)*($F$2:$F943=F943))&gt;1,0,1)</f>
        <v>0</v>
      </c>
      <c r="P943" s="15">
        <f>IF(SUMPRODUCT(($A$2:$A943=A943)*($B$2:$B943=B943)*($D$2:$D943=D943))&gt;1,0,1)</f>
        <v>1</v>
      </c>
    </row>
    <row r="944" spans="1:16" hidden="1" x14ac:dyDescent="0.35">
      <c r="A944" t="s">
        <v>138</v>
      </c>
      <c r="B944">
        <v>2006</v>
      </c>
      <c r="C944" t="s">
        <v>111</v>
      </c>
      <c r="D944">
        <v>3.1</v>
      </c>
      <c r="E944">
        <f>INT(Table2[[#This Row],[Transect]])</f>
        <v>3</v>
      </c>
      <c r="F944" t="s">
        <v>10</v>
      </c>
      <c r="G944">
        <v>40</v>
      </c>
      <c r="H944">
        <v>200</v>
      </c>
      <c r="J944">
        <f>Table2[[#This Row],[Hits]]/Table2[[#This Row],[Points]]*100</f>
        <v>20</v>
      </c>
      <c r="K944">
        <f>VLOOKUP(Table2[[#This Row],[Site]],'Site Info'!$A$1:$C$11,2, FALSE)</f>
        <v>11.5</v>
      </c>
      <c r="L944">
        <f>VLOOKUP(Table2[[#This Row],[Site]],'Site Info'!$A$1:$C$11,3, FALSE)</f>
        <v>11</v>
      </c>
      <c r="M944" t="str">
        <f>VLOOKUP(Table2[[#This Row],[Species]],'Species Table'!$A$1:$D$68,3, FALSE)</f>
        <v>Annual</v>
      </c>
      <c r="O944" s="15">
        <f>IF(SUMPRODUCT(($A$2:$A944=A944)*($B$2:$B944=B944)*($F$2:$F944=F944))&gt;1,0,1)</f>
        <v>0</v>
      </c>
      <c r="P944" s="15">
        <f>IF(SUMPRODUCT(($A$2:$A944=A944)*($B$2:$B944=B944)*($D$2:$D944=D944))&gt;1,0,1)</f>
        <v>1</v>
      </c>
    </row>
    <row r="945" spans="1:16" hidden="1" x14ac:dyDescent="0.35">
      <c r="A945" t="s">
        <v>138</v>
      </c>
      <c r="B945">
        <v>2006</v>
      </c>
      <c r="C945" t="s">
        <v>112</v>
      </c>
      <c r="D945">
        <v>3.2</v>
      </c>
      <c r="E945">
        <f>INT(Table2[[#This Row],[Transect]])</f>
        <v>3</v>
      </c>
      <c r="F945" t="s">
        <v>10</v>
      </c>
      <c r="G945">
        <v>60</v>
      </c>
      <c r="H945">
        <v>200</v>
      </c>
      <c r="J945">
        <f>Table2[[#This Row],[Hits]]/Table2[[#This Row],[Points]]*100</f>
        <v>30</v>
      </c>
      <c r="K945">
        <f>VLOOKUP(Table2[[#This Row],[Site]],'Site Info'!$A$1:$C$11,2, FALSE)</f>
        <v>11.5</v>
      </c>
      <c r="L945">
        <f>VLOOKUP(Table2[[#This Row],[Site]],'Site Info'!$A$1:$C$11,3, FALSE)</f>
        <v>11</v>
      </c>
      <c r="M945" t="str">
        <f>VLOOKUP(Table2[[#This Row],[Species]],'Species Table'!$A$1:$D$68,3, FALSE)</f>
        <v>Annual</v>
      </c>
      <c r="O945" s="15">
        <f>IF(SUMPRODUCT(($A$2:$A945=A945)*($B$2:$B945=B945)*($F$2:$F945=F945))&gt;1,0,1)</f>
        <v>0</v>
      </c>
      <c r="P945" s="15">
        <f>IF(SUMPRODUCT(($A$2:$A945=A945)*($B$2:$B945=B945)*($D$2:$D945=D945))&gt;1,0,1)</f>
        <v>1</v>
      </c>
    </row>
    <row r="946" spans="1:16" x14ac:dyDescent="0.35">
      <c r="A946" t="s">
        <v>138</v>
      </c>
      <c r="B946">
        <v>2006</v>
      </c>
      <c r="C946" t="s">
        <v>112</v>
      </c>
      <c r="D946">
        <v>3.2</v>
      </c>
      <c r="E946">
        <f>INT(Table2[[#This Row],[Transect]])</f>
        <v>3</v>
      </c>
      <c r="F946" t="s">
        <v>2</v>
      </c>
      <c r="G946">
        <v>1</v>
      </c>
      <c r="H946">
        <v>200</v>
      </c>
      <c r="J946">
        <f>Table2[[#This Row],[Hits]]/Table2[[#This Row],[Points]]*100</f>
        <v>0.5</v>
      </c>
      <c r="K946">
        <f>VLOOKUP(Table2[[#This Row],[Site]],'Site Info'!$A$1:$C$11,2, FALSE)</f>
        <v>11.5</v>
      </c>
      <c r="L946">
        <f>VLOOKUP(Table2[[#This Row],[Site]],'Site Info'!$A$1:$C$11,3, FALSE)</f>
        <v>11</v>
      </c>
      <c r="M946" t="str">
        <f>VLOOKUP(Table2[[#This Row],[Species]],'Species Table'!$A$1:$D$68,3, FALSE)</f>
        <v>Perennial</v>
      </c>
      <c r="O946" s="15">
        <f>IF(SUMPRODUCT(($A$2:$A946=A946)*($B$2:$B946=B946)*($F$2:$F946=F946))&gt;1,0,1)</f>
        <v>1</v>
      </c>
      <c r="P946" s="15">
        <f>IF(SUMPRODUCT(($A$2:$A946=A946)*($B$2:$B946=B946)*($D$2:$D946=D946))&gt;1,0,1)</f>
        <v>0</v>
      </c>
    </row>
    <row r="947" spans="1:16" x14ac:dyDescent="0.35">
      <c r="A947" t="s">
        <v>138</v>
      </c>
      <c r="B947">
        <v>2006</v>
      </c>
      <c r="C947" t="s">
        <v>113</v>
      </c>
      <c r="D947">
        <v>4.0999999999999996</v>
      </c>
      <c r="E947">
        <f>INT(Table2[[#This Row],[Transect]])</f>
        <v>4</v>
      </c>
      <c r="F947" t="s">
        <v>11</v>
      </c>
      <c r="G947">
        <v>1</v>
      </c>
      <c r="H947">
        <v>200</v>
      </c>
      <c r="J947">
        <f>Table2[[#This Row],[Hits]]/Table2[[#This Row],[Points]]*100</f>
        <v>0.5</v>
      </c>
      <c r="K947">
        <f>VLOOKUP(Table2[[#This Row],[Site]],'Site Info'!$A$1:$C$11,2, FALSE)</f>
        <v>11.5</v>
      </c>
      <c r="L947">
        <f>VLOOKUP(Table2[[#This Row],[Site]],'Site Info'!$A$1:$C$11,3, FALSE)</f>
        <v>11</v>
      </c>
      <c r="M947" t="str">
        <f>VLOOKUP(Table2[[#This Row],[Species]],'Species Table'!$A$1:$D$68,3, FALSE)</f>
        <v>Perennial</v>
      </c>
      <c r="O947" s="15">
        <f>IF(SUMPRODUCT(($A$2:$A947=A947)*($B$2:$B947=B947)*($F$2:$F947=F947))&gt;1,0,1)</f>
        <v>0</v>
      </c>
      <c r="P947" s="15">
        <f>IF(SUMPRODUCT(($A$2:$A947=A947)*($B$2:$B947=B947)*($D$2:$D947=D947))&gt;1,0,1)</f>
        <v>1</v>
      </c>
    </row>
    <row r="948" spans="1:16" hidden="1" x14ac:dyDescent="0.35">
      <c r="A948" t="s">
        <v>138</v>
      </c>
      <c r="B948">
        <v>2006</v>
      </c>
      <c r="C948" t="s">
        <v>113</v>
      </c>
      <c r="D948">
        <v>4.0999999999999996</v>
      </c>
      <c r="E948">
        <f>INT(Table2[[#This Row],[Transect]])</f>
        <v>4</v>
      </c>
      <c r="F948" t="s">
        <v>10</v>
      </c>
      <c r="G948">
        <v>81</v>
      </c>
      <c r="H948">
        <v>200</v>
      </c>
      <c r="J948">
        <f>Table2[[#This Row],[Hits]]/Table2[[#This Row],[Points]]*100</f>
        <v>40.5</v>
      </c>
      <c r="K948">
        <f>VLOOKUP(Table2[[#This Row],[Site]],'Site Info'!$A$1:$C$11,2, FALSE)</f>
        <v>11.5</v>
      </c>
      <c r="L948">
        <f>VLOOKUP(Table2[[#This Row],[Site]],'Site Info'!$A$1:$C$11,3, FALSE)</f>
        <v>11</v>
      </c>
      <c r="M948" t="str">
        <f>VLOOKUP(Table2[[#This Row],[Species]],'Species Table'!$A$1:$D$68,3, FALSE)</f>
        <v>Annual</v>
      </c>
      <c r="O948" s="15">
        <f>IF(SUMPRODUCT(($A$2:$A948=A948)*($B$2:$B948=B948)*($F$2:$F948=F948))&gt;1,0,1)</f>
        <v>0</v>
      </c>
      <c r="P948" s="15">
        <f>IF(SUMPRODUCT(($A$2:$A948=A948)*($B$2:$B948=B948)*($D$2:$D948=D948))&gt;1,0,1)</f>
        <v>0</v>
      </c>
    </row>
    <row r="949" spans="1:16" x14ac:dyDescent="0.35">
      <c r="A949" t="s">
        <v>138</v>
      </c>
      <c r="B949">
        <v>2006</v>
      </c>
      <c r="C949" t="s">
        <v>113</v>
      </c>
      <c r="D949">
        <v>4.0999999999999996</v>
      </c>
      <c r="E949">
        <f>INT(Table2[[#This Row],[Transect]])</f>
        <v>4</v>
      </c>
      <c r="F949" t="s">
        <v>12</v>
      </c>
      <c r="G949">
        <v>1</v>
      </c>
      <c r="H949">
        <v>200</v>
      </c>
      <c r="J949">
        <f>Table2[[#This Row],[Hits]]/Table2[[#This Row],[Points]]*100</f>
        <v>0.5</v>
      </c>
      <c r="K949">
        <f>VLOOKUP(Table2[[#This Row],[Site]],'Site Info'!$A$1:$C$11,2, FALSE)</f>
        <v>11.5</v>
      </c>
      <c r="L949">
        <f>VLOOKUP(Table2[[#This Row],[Site]],'Site Info'!$A$1:$C$11,3, FALSE)</f>
        <v>11</v>
      </c>
      <c r="M949" t="str">
        <f>VLOOKUP(Table2[[#This Row],[Species]],'Species Table'!$A$1:$D$68,3, FALSE)</f>
        <v>Perennial</v>
      </c>
      <c r="O949" s="15">
        <f>IF(SUMPRODUCT(($A$2:$A949=A949)*($B$2:$B949=B949)*($F$2:$F949=F949))&gt;1,0,1)</f>
        <v>1</v>
      </c>
      <c r="P949" s="15">
        <f>IF(SUMPRODUCT(($A$2:$A949=A949)*($B$2:$B949=B949)*($D$2:$D949=D949))&gt;1,0,1)</f>
        <v>0</v>
      </c>
    </row>
    <row r="950" spans="1:16" x14ac:dyDescent="0.35">
      <c r="A950" t="s">
        <v>138</v>
      </c>
      <c r="B950">
        <v>2006</v>
      </c>
      <c r="C950" t="s">
        <v>113</v>
      </c>
      <c r="D950">
        <v>4.0999999999999996</v>
      </c>
      <c r="E950">
        <f>INT(Table2[[#This Row],[Transect]])</f>
        <v>4</v>
      </c>
      <c r="F950" t="s">
        <v>29</v>
      </c>
      <c r="G950">
        <v>6</v>
      </c>
      <c r="H950">
        <v>200</v>
      </c>
      <c r="J950">
        <f>Table2[[#This Row],[Hits]]/Table2[[#This Row],[Points]]*100</f>
        <v>3</v>
      </c>
      <c r="K950">
        <f>VLOOKUP(Table2[[#This Row],[Site]],'Site Info'!$A$1:$C$11,2, FALSE)</f>
        <v>11.5</v>
      </c>
      <c r="L950">
        <f>VLOOKUP(Table2[[#This Row],[Site]],'Site Info'!$A$1:$C$11,3, FALSE)</f>
        <v>11</v>
      </c>
      <c r="M950" t="str">
        <f>VLOOKUP(Table2[[#This Row],[Species]],'Species Table'!$A$1:$D$68,3, FALSE)</f>
        <v>Perennial</v>
      </c>
      <c r="O950" s="15">
        <f>IF(SUMPRODUCT(($A$2:$A950=A950)*($B$2:$B950=B950)*($F$2:$F950=F950))&gt;1,0,1)</f>
        <v>0</v>
      </c>
      <c r="P950" s="15">
        <f>IF(SUMPRODUCT(($A$2:$A950=A950)*($B$2:$B950=B950)*($D$2:$D950=D950))&gt;1,0,1)</f>
        <v>0</v>
      </c>
    </row>
    <row r="951" spans="1:16" hidden="1" x14ac:dyDescent="0.35">
      <c r="A951" t="s">
        <v>138</v>
      </c>
      <c r="B951">
        <v>2006</v>
      </c>
      <c r="C951" t="s">
        <v>62</v>
      </c>
      <c r="D951">
        <v>5.0999999999999996</v>
      </c>
      <c r="E951">
        <f>INT(Table2[[#This Row],[Transect]])</f>
        <v>5</v>
      </c>
      <c r="F951" t="s">
        <v>10</v>
      </c>
      <c r="G951">
        <v>19</v>
      </c>
      <c r="H951">
        <v>200</v>
      </c>
      <c r="J951">
        <f>Table2[[#This Row],[Hits]]/Table2[[#This Row],[Points]]*100</f>
        <v>9.5</v>
      </c>
      <c r="K951">
        <f>VLOOKUP(Table2[[#This Row],[Site]],'Site Info'!$A$1:$C$11,2, FALSE)</f>
        <v>11.5</v>
      </c>
      <c r="L951">
        <f>VLOOKUP(Table2[[#This Row],[Site]],'Site Info'!$A$1:$C$11,3, FALSE)</f>
        <v>11</v>
      </c>
      <c r="M951" t="str">
        <f>VLOOKUP(Table2[[#This Row],[Species]],'Species Table'!$A$1:$D$68,3, FALSE)</f>
        <v>Annual</v>
      </c>
      <c r="O951" s="15">
        <f>IF(SUMPRODUCT(($A$2:$A951=A951)*($B$2:$B951=B951)*($F$2:$F951=F951))&gt;1,0,1)</f>
        <v>0</v>
      </c>
      <c r="P951" s="15">
        <f>IF(SUMPRODUCT(($A$2:$A951=A951)*($B$2:$B951=B951)*($D$2:$D951=D951))&gt;1,0,1)</f>
        <v>1</v>
      </c>
    </row>
    <row r="952" spans="1:16" hidden="1" x14ac:dyDescent="0.35">
      <c r="A952" t="s">
        <v>138</v>
      </c>
      <c r="B952">
        <v>2006</v>
      </c>
      <c r="C952" t="s">
        <v>114</v>
      </c>
      <c r="D952">
        <v>5.2</v>
      </c>
      <c r="E952">
        <f>INT(Table2[[#This Row],[Transect]])</f>
        <v>5</v>
      </c>
      <c r="F952" t="s">
        <v>10</v>
      </c>
      <c r="G952">
        <v>32</v>
      </c>
      <c r="H952">
        <v>200</v>
      </c>
      <c r="J952">
        <f>Table2[[#This Row],[Hits]]/Table2[[#This Row],[Points]]*100</f>
        <v>16</v>
      </c>
      <c r="K952">
        <f>VLOOKUP(Table2[[#This Row],[Site]],'Site Info'!$A$1:$C$11,2, FALSE)</f>
        <v>11.5</v>
      </c>
      <c r="L952">
        <f>VLOOKUP(Table2[[#This Row],[Site]],'Site Info'!$A$1:$C$11,3, FALSE)</f>
        <v>11</v>
      </c>
      <c r="M952" t="str">
        <f>VLOOKUP(Table2[[#This Row],[Species]],'Species Table'!$A$1:$D$68,3, FALSE)</f>
        <v>Annual</v>
      </c>
      <c r="O952" s="15">
        <f>IF(SUMPRODUCT(($A$2:$A952=A952)*($B$2:$B952=B952)*($F$2:$F952=F952))&gt;1,0,1)</f>
        <v>0</v>
      </c>
      <c r="P952" s="15">
        <f>IF(SUMPRODUCT(($A$2:$A952=A952)*($B$2:$B952=B952)*($D$2:$D952=D952))&gt;1,0,1)</f>
        <v>1</v>
      </c>
    </row>
    <row r="953" spans="1:16" x14ac:dyDescent="0.35">
      <c r="A953" t="s">
        <v>138</v>
      </c>
      <c r="B953">
        <v>2006</v>
      </c>
      <c r="C953" t="s">
        <v>114</v>
      </c>
      <c r="D953">
        <v>5.2</v>
      </c>
      <c r="E953">
        <f>INT(Table2[[#This Row],[Transect]])</f>
        <v>5</v>
      </c>
      <c r="F953" t="s">
        <v>12</v>
      </c>
      <c r="G953">
        <v>3</v>
      </c>
      <c r="H953">
        <v>200</v>
      </c>
      <c r="J953">
        <f>Table2[[#This Row],[Hits]]/Table2[[#This Row],[Points]]*100</f>
        <v>1.5</v>
      </c>
      <c r="K953">
        <f>VLOOKUP(Table2[[#This Row],[Site]],'Site Info'!$A$1:$C$11,2, FALSE)</f>
        <v>11.5</v>
      </c>
      <c r="L953">
        <f>VLOOKUP(Table2[[#This Row],[Site]],'Site Info'!$A$1:$C$11,3, FALSE)</f>
        <v>11</v>
      </c>
      <c r="M953" t="str">
        <f>VLOOKUP(Table2[[#This Row],[Species]],'Species Table'!$A$1:$D$68,3, FALSE)</f>
        <v>Perennial</v>
      </c>
      <c r="O953" s="15">
        <f>IF(SUMPRODUCT(($A$2:$A953=A953)*($B$2:$B953=B953)*($F$2:$F953=F953))&gt;1,0,1)</f>
        <v>0</v>
      </c>
      <c r="P953" s="15">
        <f>IF(SUMPRODUCT(($A$2:$A953=A953)*($B$2:$B953=B953)*($D$2:$D953=D953))&gt;1,0,1)</f>
        <v>0</v>
      </c>
    </row>
    <row r="954" spans="1:16" x14ac:dyDescent="0.35">
      <c r="A954" t="s">
        <v>138</v>
      </c>
      <c r="B954">
        <v>2006</v>
      </c>
      <c r="C954" t="s">
        <v>114</v>
      </c>
      <c r="D954">
        <v>5.2</v>
      </c>
      <c r="E954">
        <f>INT(Table2[[#This Row],[Transect]])</f>
        <v>5</v>
      </c>
      <c r="F954" t="s">
        <v>6</v>
      </c>
      <c r="G954">
        <v>2</v>
      </c>
      <c r="H954">
        <v>200</v>
      </c>
      <c r="J954">
        <f>Table2[[#This Row],[Hits]]/Table2[[#This Row],[Points]]*100</f>
        <v>1</v>
      </c>
      <c r="K954">
        <f>VLOOKUP(Table2[[#This Row],[Site]],'Site Info'!$A$1:$C$11,2, FALSE)</f>
        <v>11.5</v>
      </c>
      <c r="L954">
        <f>VLOOKUP(Table2[[#This Row],[Site]],'Site Info'!$A$1:$C$11,3, FALSE)</f>
        <v>11</v>
      </c>
      <c r="M954" t="str">
        <f>VLOOKUP(Table2[[#This Row],[Species]],'Species Table'!$A$1:$D$68,3, FALSE)</f>
        <v>Perennial</v>
      </c>
      <c r="O954" s="15">
        <f>IF(SUMPRODUCT(($A$2:$A954=A954)*($B$2:$B954=B954)*($F$2:$F954=F954))&gt;1,0,1)</f>
        <v>1</v>
      </c>
      <c r="P954" s="15">
        <f>IF(SUMPRODUCT(($A$2:$A954=A954)*($B$2:$B954=B954)*($D$2:$D954=D954))&gt;1,0,1)</f>
        <v>0</v>
      </c>
    </row>
    <row r="955" spans="1:16" hidden="1" x14ac:dyDescent="0.35">
      <c r="A955" t="s">
        <v>138</v>
      </c>
      <c r="B955">
        <v>2006</v>
      </c>
      <c r="C955" t="s">
        <v>67</v>
      </c>
      <c r="D955">
        <v>6.1</v>
      </c>
      <c r="E955">
        <f>INT(Table2[[#This Row],[Transect]])</f>
        <v>6</v>
      </c>
      <c r="F955" t="s">
        <v>10</v>
      </c>
      <c r="G955">
        <v>82</v>
      </c>
      <c r="H955">
        <v>200</v>
      </c>
      <c r="J955">
        <f>Table2[[#This Row],[Hits]]/Table2[[#This Row],[Points]]*100</f>
        <v>41</v>
      </c>
      <c r="K955">
        <f>VLOOKUP(Table2[[#This Row],[Site]],'Site Info'!$A$1:$C$11,2, FALSE)</f>
        <v>11.5</v>
      </c>
      <c r="L955">
        <f>VLOOKUP(Table2[[#This Row],[Site]],'Site Info'!$A$1:$C$11,3, FALSE)</f>
        <v>11</v>
      </c>
      <c r="M955" t="str">
        <f>VLOOKUP(Table2[[#This Row],[Species]],'Species Table'!$A$1:$D$68,3, FALSE)</f>
        <v>Annual</v>
      </c>
      <c r="O955" s="15">
        <f>IF(SUMPRODUCT(($A$2:$A955=A955)*($B$2:$B955=B955)*($F$2:$F955=F955))&gt;1,0,1)</f>
        <v>0</v>
      </c>
      <c r="P955" s="15">
        <f>IF(SUMPRODUCT(($A$2:$A955=A955)*($B$2:$B955=B955)*($D$2:$D955=D955))&gt;1,0,1)</f>
        <v>1</v>
      </c>
    </row>
    <row r="956" spans="1:16" hidden="1" x14ac:dyDescent="0.35">
      <c r="A956" t="s">
        <v>138</v>
      </c>
      <c r="B956">
        <v>2006</v>
      </c>
      <c r="C956" t="s">
        <v>115</v>
      </c>
      <c r="D956">
        <v>6.2</v>
      </c>
      <c r="E956">
        <f>INT(Table2[[#This Row],[Transect]])</f>
        <v>6</v>
      </c>
      <c r="F956" t="s">
        <v>10</v>
      </c>
      <c r="G956">
        <v>85</v>
      </c>
      <c r="H956">
        <v>200</v>
      </c>
      <c r="J956">
        <f>Table2[[#This Row],[Hits]]/Table2[[#This Row],[Points]]*100</f>
        <v>42.5</v>
      </c>
      <c r="K956">
        <f>VLOOKUP(Table2[[#This Row],[Site]],'Site Info'!$A$1:$C$11,2, FALSE)</f>
        <v>11.5</v>
      </c>
      <c r="L956">
        <f>VLOOKUP(Table2[[#This Row],[Site]],'Site Info'!$A$1:$C$11,3, FALSE)</f>
        <v>11</v>
      </c>
      <c r="M956" t="str">
        <f>VLOOKUP(Table2[[#This Row],[Species]],'Species Table'!$A$1:$D$68,3, FALSE)</f>
        <v>Annual</v>
      </c>
      <c r="O956" s="15">
        <f>IF(SUMPRODUCT(($A$2:$A956=A956)*($B$2:$B956=B956)*($F$2:$F956=F956))&gt;1,0,1)</f>
        <v>0</v>
      </c>
      <c r="P956" s="15">
        <f>IF(SUMPRODUCT(($A$2:$A956=A956)*($B$2:$B956=B956)*($D$2:$D956=D956))&gt;1,0,1)</f>
        <v>1</v>
      </c>
    </row>
    <row r="957" spans="1:16" x14ac:dyDescent="0.35">
      <c r="A957" t="s">
        <v>138</v>
      </c>
      <c r="B957">
        <v>2006</v>
      </c>
      <c r="C957" t="s">
        <v>115</v>
      </c>
      <c r="D957">
        <v>6.2</v>
      </c>
      <c r="E957">
        <f>INT(Table2[[#This Row],[Transect]])</f>
        <v>6</v>
      </c>
      <c r="F957" t="s">
        <v>116</v>
      </c>
      <c r="G957">
        <v>1</v>
      </c>
      <c r="H957">
        <v>200</v>
      </c>
      <c r="J957">
        <f>Table2[[#This Row],[Hits]]/Table2[[#This Row],[Points]]*100</f>
        <v>0.5</v>
      </c>
      <c r="K957">
        <f>VLOOKUP(Table2[[#This Row],[Site]],'Site Info'!$A$1:$C$11,2, FALSE)</f>
        <v>11.5</v>
      </c>
      <c r="L957">
        <f>VLOOKUP(Table2[[#This Row],[Site]],'Site Info'!$A$1:$C$11,3, FALSE)</f>
        <v>11</v>
      </c>
      <c r="M957" t="str">
        <f>VLOOKUP(Table2[[#This Row],[Species]],'Species Table'!$A$1:$D$68,3, FALSE)</f>
        <v>Perennial</v>
      </c>
      <c r="O957" s="15">
        <f>IF(SUMPRODUCT(($A$2:$A957=A957)*($B$2:$B957=B957)*($F$2:$F957=F957))&gt;1,0,1)</f>
        <v>1</v>
      </c>
      <c r="P957" s="15">
        <f>IF(SUMPRODUCT(($A$2:$A957=A957)*($B$2:$B957=B957)*($D$2:$D957=D957))&gt;1,0,1)</f>
        <v>0</v>
      </c>
    </row>
    <row r="958" spans="1:16" hidden="1" x14ac:dyDescent="0.35">
      <c r="A958" t="s">
        <v>138</v>
      </c>
      <c r="B958">
        <v>2006</v>
      </c>
      <c r="C958" t="s">
        <v>71</v>
      </c>
      <c r="D958">
        <v>7.1</v>
      </c>
      <c r="E958">
        <f>INT(Table2[[#This Row],[Transect]])</f>
        <v>7</v>
      </c>
      <c r="F958" t="s">
        <v>10</v>
      </c>
      <c r="G958">
        <v>39</v>
      </c>
      <c r="H958">
        <v>200</v>
      </c>
      <c r="J958">
        <f>Table2[[#This Row],[Hits]]/Table2[[#This Row],[Points]]*100</f>
        <v>19.5</v>
      </c>
      <c r="K958">
        <f>VLOOKUP(Table2[[#This Row],[Site]],'Site Info'!$A$1:$C$11,2, FALSE)</f>
        <v>11.5</v>
      </c>
      <c r="L958">
        <f>VLOOKUP(Table2[[#This Row],[Site]],'Site Info'!$A$1:$C$11,3, FALSE)</f>
        <v>11</v>
      </c>
      <c r="M958" t="str">
        <f>VLOOKUP(Table2[[#This Row],[Species]],'Species Table'!$A$1:$D$68,3, FALSE)</f>
        <v>Annual</v>
      </c>
      <c r="O958" s="15">
        <f>IF(SUMPRODUCT(($A$2:$A958=A958)*($B$2:$B958=B958)*($F$2:$F958=F958))&gt;1,0,1)</f>
        <v>0</v>
      </c>
      <c r="P958" s="15">
        <f>IF(SUMPRODUCT(($A$2:$A958=A958)*($B$2:$B958=B958)*($D$2:$D958=D958))&gt;1,0,1)</f>
        <v>1</v>
      </c>
    </row>
    <row r="959" spans="1:16" hidden="1" x14ac:dyDescent="0.35">
      <c r="A959" t="s">
        <v>138</v>
      </c>
      <c r="B959">
        <v>2006</v>
      </c>
      <c r="C959" t="s">
        <v>117</v>
      </c>
      <c r="D959">
        <v>7.2</v>
      </c>
      <c r="E959">
        <f>INT(Table2[[#This Row],[Transect]])</f>
        <v>7</v>
      </c>
      <c r="F959" t="s">
        <v>10</v>
      </c>
      <c r="G959">
        <v>29</v>
      </c>
      <c r="H959">
        <v>200</v>
      </c>
      <c r="J959">
        <f>Table2[[#This Row],[Hits]]/Table2[[#This Row],[Points]]*100</f>
        <v>14.499999999999998</v>
      </c>
      <c r="K959">
        <f>VLOOKUP(Table2[[#This Row],[Site]],'Site Info'!$A$1:$C$11,2, FALSE)</f>
        <v>11.5</v>
      </c>
      <c r="L959">
        <f>VLOOKUP(Table2[[#This Row],[Site]],'Site Info'!$A$1:$C$11,3, FALSE)</f>
        <v>11</v>
      </c>
      <c r="M959" t="str">
        <f>VLOOKUP(Table2[[#This Row],[Species]],'Species Table'!$A$1:$D$68,3, FALSE)</f>
        <v>Annual</v>
      </c>
      <c r="O959" s="15">
        <f>IF(SUMPRODUCT(($A$2:$A959=A959)*($B$2:$B959=B959)*($F$2:$F959=F959))&gt;1,0,1)</f>
        <v>0</v>
      </c>
      <c r="P959" s="15">
        <f>IF(SUMPRODUCT(($A$2:$A959=A959)*($B$2:$B959=B959)*($D$2:$D959=D959))&gt;1,0,1)</f>
        <v>1</v>
      </c>
    </row>
    <row r="960" spans="1:16" x14ac:dyDescent="0.35">
      <c r="A960" t="s">
        <v>138</v>
      </c>
      <c r="B960">
        <v>2006</v>
      </c>
      <c r="C960" t="s">
        <v>77</v>
      </c>
      <c r="D960">
        <v>8.1</v>
      </c>
      <c r="E960">
        <f>INT(Table2[[#This Row],[Transect]])</f>
        <v>8</v>
      </c>
      <c r="F960" t="s">
        <v>11</v>
      </c>
      <c r="G960">
        <v>3</v>
      </c>
      <c r="H960">
        <v>200</v>
      </c>
      <c r="J960">
        <f>Table2[[#This Row],[Hits]]/Table2[[#This Row],[Points]]*100</f>
        <v>1.5</v>
      </c>
      <c r="K960">
        <f>VLOOKUP(Table2[[#This Row],[Site]],'Site Info'!$A$1:$C$11,2, FALSE)</f>
        <v>11.5</v>
      </c>
      <c r="L960">
        <f>VLOOKUP(Table2[[#This Row],[Site]],'Site Info'!$A$1:$C$11,3, FALSE)</f>
        <v>11</v>
      </c>
      <c r="M960" t="str">
        <f>VLOOKUP(Table2[[#This Row],[Species]],'Species Table'!$A$1:$D$68,3, FALSE)</f>
        <v>Perennial</v>
      </c>
      <c r="O960" s="15">
        <f>IF(SUMPRODUCT(($A$2:$A960=A960)*($B$2:$B960=B960)*($F$2:$F960=F960))&gt;1,0,1)</f>
        <v>0</v>
      </c>
      <c r="P960" s="15">
        <f>IF(SUMPRODUCT(($A$2:$A960=A960)*($B$2:$B960=B960)*($D$2:$D960=D960))&gt;1,0,1)</f>
        <v>1</v>
      </c>
    </row>
    <row r="961" spans="1:16" hidden="1" x14ac:dyDescent="0.35">
      <c r="A961" t="s">
        <v>138</v>
      </c>
      <c r="B961">
        <v>2006</v>
      </c>
      <c r="C961" t="s">
        <v>77</v>
      </c>
      <c r="D961">
        <v>8.1</v>
      </c>
      <c r="E961">
        <f>INT(Table2[[#This Row],[Transect]])</f>
        <v>8</v>
      </c>
      <c r="F961" t="s">
        <v>10</v>
      </c>
      <c r="G961">
        <v>21</v>
      </c>
      <c r="H961">
        <v>200</v>
      </c>
      <c r="J961">
        <f>Table2[[#This Row],[Hits]]/Table2[[#This Row],[Points]]*100</f>
        <v>10.5</v>
      </c>
      <c r="K961">
        <f>VLOOKUP(Table2[[#This Row],[Site]],'Site Info'!$A$1:$C$11,2, FALSE)</f>
        <v>11.5</v>
      </c>
      <c r="L961">
        <f>VLOOKUP(Table2[[#This Row],[Site]],'Site Info'!$A$1:$C$11,3, FALSE)</f>
        <v>11</v>
      </c>
      <c r="M961" t="str">
        <f>VLOOKUP(Table2[[#This Row],[Species]],'Species Table'!$A$1:$D$68,3, FALSE)</f>
        <v>Annual</v>
      </c>
      <c r="O961" s="15">
        <f>IF(SUMPRODUCT(($A$2:$A961=A961)*($B$2:$B961=B961)*($F$2:$F961=F961))&gt;1,0,1)</f>
        <v>0</v>
      </c>
      <c r="P961" s="15">
        <f>IF(SUMPRODUCT(($A$2:$A961=A961)*($B$2:$B961=B961)*($D$2:$D961=D961))&gt;1,0,1)</f>
        <v>0</v>
      </c>
    </row>
    <row r="962" spans="1:16" hidden="1" x14ac:dyDescent="0.35">
      <c r="A962" t="s">
        <v>138</v>
      </c>
      <c r="B962">
        <v>2006</v>
      </c>
      <c r="C962" t="s">
        <v>77</v>
      </c>
      <c r="D962">
        <v>8.1</v>
      </c>
      <c r="E962">
        <f>INT(Table2[[#This Row],[Transect]])</f>
        <v>8</v>
      </c>
      <c r="F962" t="s">
        <v>20</v>
      </c>
      <c r="G962">
        <v>1</v>
      </c>
      <c r="H962">
        <v>200</v>
      </c>
      <c r="J962">
        <f>Table2[[#This Row],[Hits]]/Table2[[#This Row],[Points]]*100</f>
        <v>0.5</v>
      </c>
      <c r="K962">
        <f>VLOOKUP(Table2[[#This Row],[Site]],'Site Info'!$A$1:$C$11,2, FALSE)</f>
        <v>11.5</v>
      </c>
      <c r="L962">
        <f>VLOOKUP(Table2[[#This Row],[Site]],'Site Info'!$A$1:$C$11,3, FALSE)</f>
        <v>11</v>
      </c>
      <c r="M962" t="str">
        <f>VLOOKUP(Table2[[#This Row],[Species]],'Species Table'!$A$1:$D$68,3, FALSE)</f>
        <v>Annual</v>
      </c>
      <c r="O962" s="15">
        <f>IF(SUMPRODUCT(($A$2:$A962=A962)*($B$2:$B962=B962)*($F$2:$F962=F962))&gt;1,0,1)</f>
        <v>1</v>
      </c>
      <c r="P962" s="15">
        <f>IF(SUMPRODUCT(($A$2:$A962=A962)*($B$2:$B962=B962)*($D$2:$D962=D962))&gt;1,0,1)</f>
        <v>0</v>
      </c>
    </row>
    <row r="963" spans="1:16" x14ac:dyDescent="0.35">
      <c r="A963" t="s">
        <v>138</v>
      </c>
      <c r="B963">
        <v>2006</v>
      </c>
      <c r="C963" t="s">
        <v>77</v>
      </c>
      <c r="D963">
        <v>8.1</v>
      </c>
      <c r="E963">
        <f>INT(Table2[[#This Row],[Transect]])</f>
        <v>8</v>
      </c>
      <c r="F963" t="s">
        <v>29</v>
      </c>
      <c r="G963">
        <v>4</v>
      </c>
      <c r="H963">
        <v>200</v>
      </c>
      <c r="J963">
        <f>Table2[[#This Row],[Hits]]/Table2[[#This Row],[Points]]*100</f>
        <v>2</v>
      </c>
      <c r="K963">
        <f>VLOOKUP(Table2[[#This Row],[Site]],'Site Info'!$A$1:$C$11,2, FALSE)</f>
        <v>11.5</v>
      </c>
      <c r="L963">
        <f>VLOOKUP(Table2[[#This Row],[Site]],'Site Info'!$A$1:$C$11,3, FALSE)</f>
        <v>11</v>
      </c>
      <c r="M963" t="str">
        <f>VLOOKUP(Table2[[#This Row],[Species]],'Species Table'!$A$1:$D$68,3, FALSE)</f>
        <v>Perennial</v>
      </c>
      <c r="O963" s="15">
        <f>IF(SUMPRODUCT(($A$2:$A963=A963)*($B$2:$B963=B963)*($F$2:$F963=F963))&gt;1,0,1)</f>
        <v>0</v>
      </c>
      <c r="P963" s="15">
        <f>IF(SUMPRODUCT(($A$2:$A963=A963)*($B$2:$B963=B963)*($D$2:$D963=D963))&gt;1,0,1)</f>
        <v>0</v>
      </c>
    </row>
    <row r="964" spans="1:16" x14ac:dyDescent="0.35">
      <c r="A964" t="s">
        <v>138</v>
      </c>
      <c r="B964">
        <v>2006</v>
      </c>
      <c r="C964" t="s">
        <v>77</v>
      </c>
      <c r="D964">
        <v>8.1</v>
      </c>
      <c r="E964">
        <f>INT(Table2[[#This Row],[Transect]])</f>
        <v>8</v>
      </c>
      <c r="F964" t="s">
        <v>14</v>
      </c>
      <c r="G964">
        <v>3</v>
      </c>
      <c r="H964">
        <v>200</v>
      </c>
      <c r="J964">
        <f>Table2[[#This Row],[Hits]]/Table2[[#This Row],[Points]]*100</f>
        <v>1.5</v>
      </c>
      <c r="K964">
        <f>VLOOKUP(Table2[[#This Row],[Site]],'Site Info'!$A$1:$C$11,2, FALSE)</f>
        <v>11.5</v>
      </c>
      <c r="L964">
        <f>VLOOKUP(Table2[[#This Row],[Site]],'Site Info'!$A$1:$C$11,3, FALSE)</f>
        <v>11</v>
      </c>
      <c r="M964" t="str">
        <f>VLOOKUP(Table2[[#This Row],[Species]],'Species Table'!$A$1:$D$68,3, FALSE)</f>
        <v>Perennial</v>
      </c>
      <c r="O964" s="15">
        <f>IF(SUMPRODUCT(($A$2:$A964=A964)*($B$2:$B964=B964)*($F$2:$F964=F964))&gt;1,0,1)</f>
        <v>1</v>
      </c>
      <c r="P964" s="15">
        <f>IF(SUMPRODUCT(($A$2:$A964=A964)*($B$2:$B964=B964)*($D$2:$D964=D964))&gt;1,0,1)</f>
        <v>0</v>
      </c>
    </row>
    <row r="965" spans="1:16" hidden="1" x14ac:dyDescent="0.35">
      <c r="A965" t="s">
        <v>138</v>
      </c>
      <c r="B965">
        <v>2006</v>
      </c>
      <c r="C965" t="s">
        <v>118</v>
      </c>
      <c r="D965">
        <v>8.1999999999999993</v>
      </c>
      <c r="E965">
        <f>INT(Table2[[#This Row],[Transect]])</f>
        <v>8</v>
      </c>
      <c r="F965" t="s">
        <v>10</v>
      </c>
      <c r="G965">
        <v>13</v>
      </c>
      <c r="H965">
        <v>200</v>
      </c>
      <c r="J965">
        <f>Table2[[#This Row],[Hits]]/Table2[[#This Row],[Points]]*100</f>
        <v>6.5</v>
      </c>
      <c r="K965">
        <f>VLOOKUP(Table2[[#This Row],[Site]],'Site Info'!$A$1:$C$11,2, FALSE)</f>
        <v>11.5</v>
      </c>
      <c r="L965">
        <f>VLOOKUP(Table2[[#This Row],[Site]],'Site Info'!$A$1:$C$11,3, FALSE)</f>
        <v>11</v>
      </c>
      <c r="M965" t="str">
        <f>VLOOKUP(Table2[[#This Row],[Species]],'Species Table'!$A$1:$D$68,3, FALSE)</f>
        <v>Annual</v>
      </c>
      <c r="O965" s="15">
        <f>IF(SUMPRODUCT(($A$2:$A965=A965)*($B$2:$B965=B965)*($F$2:$F965=F965))&gt;1,0,1)</f>
        <v>0</v>
      </c>
      <c r="P965" s="15">
        <f>IF(SUMPRODUCT(($A$2:$A965=A965)*($B$2:$B965=B965)*($D$2:$D965=D965))&gt;1,0,1)</f>
        <v>1</v>
      </c>
    </row>
    <row r="966" spans="1:16" x14ac:dyDescent="0.35">
      <c r="A966" t="s">
        <v>138</v>
      </c>
      <c r="B966">
        <v>2006</v>
      </c>
      <c r="C966" t="s">
        <v>119</v>
      </c>
      <c r="D966">
        <v>9.1</v>
      </c>
      <c r="E966">
        <f>INT(Table2[[#This Row],[Transect]])</f>
        <v>9</v>
      </c>
      <c r="F966" t="s">
        <v>11</v>
      </c>
      <c r="G966">
        <v>12</v>
      </c>
      <c r="H966">
        <v>200</v>
      </c>
      <c r="J966">
        <f>Table2[[#This Row],[Hits]]/Table2[[#This Row],[Points]]*100</f>
        <v>6</v>
      </c>
      <c r="K966">
        <f>VLOOKUP(Table2[[#This Row],[Site]],'Site Info'!$A$1:$C$11,2, FALSE)</f>
        <v>11.5</v>
      </c>
      <c r="L966">
        <f>VLOOKUP(Table2[[#This Row],[Site]],'Site Info'!$A$1:$C$11,3, FALSE)</f>
        <v>11</v>
      </c>
      <c r="M966" t="str">
        <f>VLOOKUP(Table2[[#This Row],[Species]],'Species Table'!$A$1:$D$68,3, FALSE)</f>
        <v>Perennial</v>
      </c>
      <c r="O966" s="15">
        <f>IF(SUMPRODUCT(($A$2:$A966=A966)*($B$2:$B966=B966)*($F$2:$F966=F966))&gt;1,0,1)</f>
        <v>0</v>
      </c>
      <c r="P966" s="15">
        <f>IF(SUMPRODUCT(($A$2:$A966=A966)*($B$2:$B966=B966)*($D$2:$D966=D966))&gt;1,0,1)</f>
        <v>1</v>
      </c>
    </row>
    <row r="967" spans="1:16" hidden="1" x14ac:dyDescent="0.35">
      <c r="A967" t="s">
        <v>138</v>
      </c>
      <c r="B967">
        <v>2006</v>
      </c>
      <c r="C967" t="s">
        <v>119</v>
      </c>
      <c r="D967">
        <v>9.1</v>
      </c>
      <c r="E967">
        <f>INT(Table2[[#This Row],[Transect]])</f>
        <v>9</v>
      </c>
      <c r="F967" t="s">
        <v>10</v>
      </c>
      <c r="G967">
        <v>44</v>
      </c>
      <c r="H967">
        <v>200</v>
      </c>
      <c r="J967">
        <f>Table2[[#This Row],[Hits]]/Table2[[#This Row],[Points]]*100</f>
        <v>22</v>
      </c>
      <c r="K967">
        <f>VLOOKUP(Table2[[#This Row],[Site]],'Site Info'!$A$1:$C$11,2, FALSE)</f>
        <v>11.5</v>
      </c>
      <c r="L967">
        <f>VLOOKUP(Table2[[#This Row],[Site]],'Site Info'!$A$1:$C$11,3, FALSE)</f>
        <v>11</v>
      </c>
      <c r="M967" t="str">
        <f>VLOOKUP(Table2[[#This Row],[Species]],'Species Table'!$A$1:$D$68,3, FALSE)</f>
        <v>Annual</v>
      </c>
      <c r="O967" s="15">
        <f>IF(SUMPRODUCT(($A$2:$A967=A967)*($B$2:$B967=B967)*($F$2:$F967=F967))&gt;1,0,1)</f>
        <v>0</v>
      </c>
      <c r="P967" s="15">
        <f>IF(SUMPRODUCT(($A$2:$A967=A967)*($B$2:$B967=B967)*($D$2:$D967=D967))&gt;1,0,1)</f>
        <v>0</v>
      </c>
    </row>
    <row r="968" spans="1:16" hidden="1" x14ac:dyDescent="0.35">
      <c r="A968" t="s">
        <v>138</v>
      </c>
      <c r="B968">
        <v>2006</v>
      </c>
      <c r="C968" t="s">
        <v>120</v>
      </c>
      <c r="D968">
        <v>9.1999999999999993</v>
      </c>
      <c r="E968">
        <f>INT(Table2[[#This Row],[Transect]])</f>
        <v>9</v>
      </c>
      <c r="F968" t="s">
        <v>10</v>
      </c>
      <c r="G968">
        <v>66</v>
      </c>
      <c r="H968">
        <v>200</v>
      </c>
      <c r="J968">
        <f>Table2[[#This Row],[Hits]]/Table2[[#This Row],[Points]]*100</f>
        <v>33</v>
      </c>
      <c r="K968">
        <f>VLOOKUP(Table2[[#This Row],[Site]],'Site Info'!$A$1:$C$11,2, FALSE)</f>
        <v>11.5</v>
      </c>
      <c r="L968">
        <f>VLOOKUP(Table2[[#This Row],[Site]],'Site Info'!$A$1:$C$11,3, FALSE)</f>
        <v>11</v>
      </c>
      <c r="M968" t="str">
        <f>VLOOKUP(Table2[[#This Row],[Species]],'Species Table'!$A$1:$D$68,3, FALSE)</f>
        <v>Annual</v>
      </c>
      <c r="O968" s="15">
        <f>IF(SUMPRODUCT(($A$2:$A968=A968)*($B$2:$B968=B968)*($F$2:$F968=F968))&gt;1,0,1)</f>
        <v>0</v>
      </c>
      <c r="P968" s="15">
        <f>IF(SUMPRODUCT(($A$2:$A968=A968)*($B$2:$B968=B968)*($D$2:$D968=D968))&gt;1,0,1)</f>
        <v>1</v>
      </c>
    </row>
    <row r="969" spans="1:16" x14ac:dyDescent="0.35">
      <c r="A969" t="s">
        <v>138</v>
      </c>
      <c r="B969">
        <v>2006</v>
      </c>
      <c r="C969" t="s">
        <v>120</v>
      </c>
      <c r="D969">
        <v>9.1999999999999993</v>
      </c>
      <c r="E969">
        <f>INT(Table2[[#This Row],[Transect]])</f>
        <v>9</v>
      </c>
      <c r="F969" t="s">
        <v>29</v>
      </c>
      <c r="G969">
        <v>4</v>
      </c>
      <c r="H969">
        <v>200</v>
      </c>
      <c r="J969">
        <f>Table2[[#This Row],[Hits]]/Table2[[#This Row],[Points]]*100</f>
        <v>2</v>
      </c>
      <c r="K969">
        <f>VLOOKUP(Table2[[#This Row],[Site]],'Site Info'!$A$1:$C$11,2, FALSE)</f>
        <v>11.5</v>
      </c>
      <c r="L969">
        <f>VLOOKUP(Table2[[#This Row],[Site]],'Site Info'!$A$1:$C$11,3, FALSE)</f>
        <v>11</v>
      </c>
      <c r="M969" t="str">
        <f>VLOOKUP(Table2[[#This Row],[Species]],'Species Table'!$A$1:$D$68,3, FALSE)</f>
        <v>Perennial</v>
      </c>
      <c r="O969" s="15">
        <f>IF(SUMPRODUCT(($A$2:$A969=A969)*($B$2:$B969=B969)*($F$2:$F969=F969))&gt;1,0,1)</f>
        <v>0</v>
      </c>
      <c r="P969" s="15">
        <f>IF(SUMPRODUCT(($A$2:$A969=A969)*($B$2:$B969=B969)*($D$2:$D969=D969))&gt;1,0,1)</f>
        <v>0</v>
      </c>
    </row>
    <row r="970" spans="1:16" hidden="1" x14ac:dyDescent="0.35">
      <c r="A970" t="s">
        <v>138</v>
      </c>
      <c r="B970">
        <v>2006</v>
      </c>
      <c r="C970" t="s">
        <v>121</v>
      </c>
      <c r="D970">
        <v>10.1</v>
      </c>
      <c r="E970">
        <f>INT(Table2[[#This Row],[Transect]])</f>
        <v>10</v>
      </c>
      <c r="F970" t="s">
        <v>10</v>
      </c>
      <c r="G970">
        <v>83</v>
      </c>
      <c r="H970">
        <v>200</v>
      </c>
      <c r="J970">
        <f>Table2[[#This Row],[Hits]]/Table2[[#This Row],[Points]]*100</f>
        <v>41.5</v>
      </c>
      <c r="K970">
        <f>VLOOKUP(Table2[[#This Row],[Site]],'Site Info'!$A$1:$C$11,2, FALSE)</f>
        <v>11.5</v>
      </c>
      <c r="L970">
        <f>VLOOKUP(Table2[[#This Row],[Site]],'Site Info'!$A$1:$C$11,3, FALSE)</f>
        <v>11</v>
      </c>
      <c r="M970" t="str">
        <f>VLOOKUP(Table2[[#This Row],[Species]],'Species Table'!$A$1:$D$68,3, FALSE)</f>
        <v>Annual</v>
      </c>
      <c r="O970" s="15">
        <f>IF(SUMPRODUCT(($A$2:$A970=A970)*($B$2:$B970=B970)*($F$2:$F970=F970))&gt;1,0,1)</f>
        <v>0</v>
      </c>
      <c r="P970" s="15">
        <f>IF(SUMPRODUCT(($A$2:$A970=A970)*($B$2:$B970=B970)*($D$2:$D970=D970))&gt;1,0,1)</f>
        <v>1</v>
      </c>
    </row>
    <row r="971" spans="1:16" hidden="1" x14ac:dyDescent="0.35">
      <c r="A971" t="s">
        <v>138</v>
      </c>
      <c r="B971">
        <v>2006</v>
      </c>
      <c r="C971" t="s">
        <v>122</v>
      </c>
      <c r="D971">
        <v>10.199999999999999</v>
      </c>
      <c r="E971">
        <f>INT(Table2[[#This Row],[Transect]])</f>
        <v>10</v>
      </c>
      <c r="F971" t="s">
        <v>10</v>
      </c>
      <c r="G971">
        <v>68</v>
      </c>
      <c r="H971">
        <v>200</v>
      </c>
      <c r="J971">
        <f>Table2[[#This Row],[Hits]]/Table2[[#This Row],[Points]]*100</f>
        <v>34</v>
      </c>
      <c r="K971">
        <f>VLOOKUP(Table2[[#This Row],[Site]],'Site Info'!$A$1:$C$11,2, FALSE)</f>
        <v>11.5</v>
      </c>
      <c r="L971">
        <f>VLOOKUP(Table2[[#This Row],[Site]],'Site Info'!$A$1:$C$11,3, FALSE)</f>
        <v>11</v>
      </c>
      <c r="M971" t="str">
        <f>VLOOKUP(Table2[[#This Row],[Species]],'Species Table'!$A$1:$D$68,3, FALSE)</f>
        <v>Annual</v>
      </c>
      <c r="O971" s="15">
        <f>IF(SUMPRODUCT(($A$2:$A971=A971)*($B$2:$B971=B971)*($F$2:$F971=F971))&gt;1,0,1)</f>
        <v>0</v>
      </c>
      <c r="P971" s="15">
        <f>IF(SUMPRODUCT(($A$2:$A971=A971)*($B$2:$B971=B971)*($D$2:$D971=D971))&gt;1,0,1)</f>
        <v>1</v>
      </c>
    </row>
    <row r="972" spans="1:16" x14ac:dyDescent="0.35">
      <c r="A972" t="s">
        <v>138</v>
      </c>
      <c r="B972">
        <v>2006</v>
      </c>
      <c r="C972" t="s">
        <v>123</v>
      </c>
      <c r="D972" t="s">
        <v>141</v>
      </c>
      <c r="E972">
        <v>11</v>
      </c>
      <c r="F972" t="s">
        <v>11</v>
      </c>
      <c r="G972">
        <v>11</v>
      </c>
      <c r="H972">
        <v>200</v>
      </c>
      <c r="J972">
        <f>Table2[[#This Row],[Hits]]/Table2[[#This Row],[Points]]*100</f>
        <v>5.5</v>
      </c>
      <c r="K972">
        <f>VLOOKUP(Table2[[#This Row],[Site]],'Site Info'!$A$1:$C$11,2, FALSE)</f>
        <v>11.5</v>
      </c>
      <c r="L972">
        <f>VLOOKUP(Table2[[#This Row],[Site]],'Site Info'!$A$1:$C$11,3, FALSE)</f>
        <v>11</v>
      </c>
      <c r="M972" t="str">
        <f>VLOOKUP(Table2[[#This Row],[Species]],'Species Table'!$A$1:$D$68,3, FALSE)</f>
        <v>Perennial</v>
      </c>
      <c r="O972" s="15">
        <f>IF(SUMPRODUCT(($A$2:$A972=A972)*($B$2:$B972=B972)*($F$2:$F972=F972))&gt;1,0,1)</f>
        <v>0</v>
      </c>
      <c r="P972" s="15">
        <f>IF(SUMPRODUCT(($A$2:$A972=A972)*($B$2:$B972=B972)*($D$2:$D972=D972))&gt;1,0,1)</f>
        <v>1</v>
      </c>
    </row>
    <row r="973" spans="1:16" hidden="1" x14ac:dyDescent="0.35">
      <c r="A973" t="s">
        <v>138</v>
      </c>
      <c r="B973">
        <v>2006</v>
      </c>
      <c r="C973" t="s">
        <v>123</v>
      </c>
      <c r="D973" t="s">
        <v>141</v>
      </c>
      <c r="E973">
        <v>11</v>
      </c>
      <c r="F973" t="s">
        <v>10</v>
      </c>
      <c r="G973">
        <v>26</v>
      </c>
      <c r="H973">
        <v>200</v>
      </c>
      <c r="J973">
        <f>Table2[[#This Row],[Hits]]/Table2[[#This Row],[Points]]*100</f>
        <v>13</v>
      </c>
      <c r="K973">
        <f>VLOOKUP(Table2[[#This Row],[Site]],'Site Info'!$A$1:$C$11,2, FALSE)</f>
        <v>11.5</v>
      </c>
      <c r="L973">
        <f>VLOOKUP(Table2[[#This Row],[Site]],'Site Info'!$A$1:$C$11,3, FALSE)</f>
        <v>11</v>
      </c>
      <c r="M973" t="str">
        <f>VLOOKUP(Table2[[#This Row],[Species]],'Species Table'!$A$1:$D$68,3, FALSE)</f>
        <v>Annual</v>
      </c>
      <c r="O973" s="15">
        <f>IF(SUMPRODUCT(($A$2:$A973=A973)*($B$2:$B973=B973)*($F$2:$F973=F973))&gt;1,0,1)</f>
        <v>0</v>
      </c>
      <c r="P973" s="15">
        <f>IF(SUMPRODUCT(($A$2:$A973=A973)*($B$2:$B973=B973)*($D$2:$D973=D973))&gt;1,0,1)</f>
        <v>0</v>
      </c>
    </row>
    <row r="974" spans="1:16" x14ac:dyDescent="0.35">
      <c r="A974" t="s">
        <v>138</v>
      </c>
      <c r="B974">
        <v>2006</v>
      </c>
      <c r="C974" t="s">
        <v>123</v>
      </c>
      <c r="D974" t="s">
        <v>141</v>
      </c>
      <c r="E974">
        <v>11</v>
      </c>
      <c r="F974" t="s">
        <v>3</v>
      </c>
      <c r="G974">
        <v>3</v>
      </c>
      <c r="H974">
        <v>200</v>
      </c>
      <c r="J974">
        <f>Table2[[#This Row],[Hits]]/Table2[[#This Row],[Points]]*100</f>
        <v>1.5</v>
      </c>
      <c r="K974">
        <f>VLOOKUP(Table2[[#This Row],[Site]],'Site Info'!$A$1:$C$11,2, FALSE)</f>
        <v>11.5</v>
      </c>
      <c r="L974">
        <f>VLOOKUP(Table2[[#This Row],[Site]],'Site Info'!$A$1:$C$11,3, FALSE)</f>
        <v>11</v>
      </c>
      <c r="M974" t="str">
        <f>VLOOKUP(Table2[[#This Row],[Species]],'Species Table'!$A$1:$D$68,3, FALSE)</f>
        <v>Perennial</v>
      </c>
      <c r="O974" s="15">
        <f>IF(SUMPRODUCT(($A$2:$A974=A974)*($B$2:$B974=B974)*($F$2:$F974=F974))&gt;1,0,1)</f>
        <v>1</v>
      </c>
      <c r="P974" s="15">
        <f>IF(SUMPRODUCT(($A$2:$A974=A974)*($B$2:$B974=B974)*($D$2:$D974=D974))&gt;1,0,1)</f>
        <v>0</v>
      </c>
    </row>
    <row r="975" spans="1:16" x14ac:dyDescent="0.35">
      <c r="A975" t="s">
        <v>138</v>
      </c>
      <c r="B975">
        <v>2006</v>
      </c>
      <c r="C975" t="s">
        <v>123</v>
      </c>
      <c r="D975" t="s">
        <v>141</v>
      </c>
      <c r="E975">
        <v>11</v>
      </c>
      <c r="F975" t="s">
        <v>29</v>
      </c>
      <c r="G975">
        <v>3</v>
      </c>
      <c r="H975">
        <v>200</v>
      </c>
      <c r="J975">
        <f>Table2[[#This Row],[Hits]]/Table2[[#This Row],[Points]]*100</f>
        <v>1.5</v>
      </c>
      <c r="K975">
        <f>VLOOKUP(Table2[[#This Row],[Site]],'Site Info'!$A$1:$C$11,2, FALSE)</f>
        <v>11.5</v>
      </c>
      <c r="L975">
        <f>VLOOKUP(Table2[[#This Row],[Site]],'Site Info'!$A$1:$C$11,3, FALSE)</f>
        <v>11</v>
      </c>
      <c r="M975" t="str">
        <f>VLOOKUP(Table2[[#This Row],[Species]],'Species Table'!$A$1:$D$68,3, FALSE)</f>
        <v>Perennial</v>
      </c>
      <c r="O975" s="15">
        <f>IF(SUMPRODUCT(($A$2:$A975=A975)*($B$2:$B975=B975)*($F$2:$F975=F975))&gt;1,0,1)</f>
        <v>0</v>
      </c>
      <c r="P975" s="15">
        <f>IF(SUMPRODUCT(($A$2:$A975=A975)*($B$2:$B975=B975)*($D$2:$D975=D975))&gt;1,0,1)</f>
        <v>0</v>
      </c>
    </row>
    <row r="976" spans="1:16" x14ac:dyDescent="0.35">
      <c r="A976" t="s">
        <v>138</v>
      </c>
      <c r="B976">
        <v>2006</v>
      </c>
      <c r="C976" t="s">
        <v>123</v>
      </c>
      <c r="D976" t="s">
        <v>141</v>
      </c>
      <c r="E976">
        <v>11</v>
      </c>
      <c r="F976" t="s">
        <v>23</v>
      </c>
      <c r="G976">
        <v>2</v>
      </c>
      <c r="H976">
        <v>200</v>
      </c>
      <c r="J976">
        <f>Table2[[#This Row],[Hits]]/Table2[[#This Row],[Points]]*100</f>
        <v>1</v>
      </c>
      <c r="K976">
        <f>VLOOKUP(Table2[[#This Row],[Site]],'Site Info'!$A$1:$C$11,2, FALSE)</f>
        <v>11.5</v>
      </c>
      <c r="L976">
        <f>VLOOKUP(Table2[[#This Row],[Site]],'Site Info'!$A$1:$C$11,3, FALSE)</f>
        <v>11</v>
      </c>
      <c r="M976" t="str">
        <f>VLOOKUP(Table2[[#This Row],[Species]],'Species Table'!$A$1:$D$68,3, FALSE)</f>
        <v>Perennial</v>
      </c>
      <c r="O976" s="15">
        <f>IF(SUMPRODUCT(($A$2:$A976=A976)*($B$2:$B976=B976)*($F$2:$F976=F976))&gt;1,0,1)</f>
        <v>1</v>
      </c>
      <c r="P976" s="15">
        <f>IF(SUMPRODUCT(($A$2:$A976=A976)*($B$2:$B976=B976)*($D$2:$D976=D976))&gt;1,0,1)</f>
        <v>0</v>
      </c>
    </row>
    <row r="977" spans="1:16" hidden="1" x14ac:dyDescent="0.35">
      <c r="A977" t="s">
        <v>138</v>
      </c>
      <c r="B977">
        <v>2006</v>
      </c>
      <c r="C977" t="s">
        <v>124</v>
      </c>
      <c r="D977" t="s">
        <v>145</v>
      </c>
      <c r="E977">
        <v>12</v>
      </c>
      <c r="F977" t="s">
        <v>10</v>
      </c>
      <c r="G977">
        <v>15</v>
      </c>
      <c r="H977">
        <v>200</v>
      </c>
      <c r="J977">
        <f>Table2[[#This Row],[Hits]]/Table2[[#This Row],[Points]]*100</f>
        <v>7.5</v>
      </c>
      <c r="K977">
        <f>VLOOKUP(Table2[[#This Row],[Site]],'Site Info'!$A$1:$C$11,2, FALSE)</f>
        <v>11.5</v>
      </c>
      <c r="L977">
        <f>VLOOKUP(Table2[[#This Row],[Site]],'Site Info'!$A$1:$C$11,3, FALSE)</f>
        <v>11</v>
      </c>
      <c r="M977" t="str">
        <f>VLOOKUP(Table2[[#This Row],[Species]],'Species Table'!$A$1:$D$68,3, FALSE)</f>
        <v>Annual</v>
      </c>
      <c r="O977" s="15">
        <f>IF(SUMPRODUCT(($A$2:$A977=A977)*($B$2:$B977=B977)*($F$2:$F977=F977))&gt;1,0,1)</f>
        <v>0</v>
      </c>
      <c r="P977" s="15">
        <f>IF(SUMPRODUCT(($A$2:$A977=A977)*($B$2:$B977=B977)*($D$2:$D977=D977))&gt;1,0,1)</f>
        <v>1</v>
      </c>
    </row>
    <row r="978" spans="1:16" hidden="1" x14ac:dyDescent="0.35">
      <c r="A978" t="s">
        <v>138</v>
      </c>
      <c r="B978">
        <v>2012</v>
      </c>
      <c r="C978" t="s">
        <v>82</v>
      </c>
      <c r="D978">
        <v>1.1000000000000001</v>
      </c>
      <c r="E978">
        <f>INT(Table2[[#This Row],[Transect]])</f>
        <v>1</v>
      </c>
      <c r="F978" t="s">
        <v>10</v>
      </c>
      <c r="G978">
        <v>5</v>
      </c>
      <c r="H978">
        <v>117</v>
      </c>
      <c r="J978">
        <f>Table2[[#This Row],[Hits]]/Table2[[#This Row],[Points]]*100</f>
        <v>4.2735042735042734</v>
      </c>
      <c r="K978">
        <f>VLOOKUP(Table2[[#This Row],[Site]],'Site Info'!$A$1:$C$11,2, FALSE)</f>
        <v>11.5</v>
      </c>
      <c r="L978">
        <f>VLOOKUP(Table2[[#This Row],[Site]],'Site Info'!$A$1:$C$11,3, FALSE)</f>
        <v>11</v>
      </c>
      <c r="M978" t="str">
        <f>VLOOKUP(Table2[[#This Row],[Species]],'Species Table'!$A$1:$D$68,3, FALSE)</f>
        <v>Annual</v>
      </c>
      <c r="O978" s="15">
        <f>IF(SUMPRODUCT(($A$2:$A978=A978)*($B$2:$B978=B978)*($F$2:$F978=F978))&gt;1,0,1)</f>
        <v>1</v>
      </c>
      <c r="P978" s="15">
        <f>IF(SUMPRODUCT(($A$2:$A978=A978)*($B$2:$B978=B978)*($D$2:$D978=D978))&gt;1,0,1)</f>
        <v>1</v>
      </c>
    </row>
    <row r="979" spans="1:16" x14ac:dyDescent="0.35">
      <c r="A979" t="s">
        <v>138</v>
      </c>
      <c r="B979">
        <v>2012</v>
      </c>
      <c r="C979" t="s">
        <v>109</v>
      </c>
      <c r="D979">
        <v>2.1</v>
      </c>
      <c r="E979">
        <f>INT(Table2[[#This Row],[Transect]])</f>
        <v>2</v>
      </c>
      <c r="F979" t="s">
        <v>11</v>
      </c>
      <c r="G979">
        <v>3</v>
      </c>
      <c r="H979">
        <v>149</v>
      </c>
      <c r="J979">
        <f>Table2[[#This Row],[Hits]]/Table2[[#This Row],[Points]]*100</f>
        <v>2.0134228187919461</v>
      </c>
      <c r="K979">
        <f>VLOOKUP(Table2[[#This Row],[Site]],'Site Info'!$A$1:$C$11,2, FALSE)</f>
        <v>11.5</v>
      </c>
      <c r="L979">
        <f>VLOOKUP(Table2[[#This Row],[Site]],'Site Info'!$A$1:$C$11,3, FALSE)</f>
        <v>11</v>
      </c>
      <c r="M979" t="str">
        <f>VLOOKUP(Table2[[#This Row],[Species]],'Species Table'!$A$1:$D$68,3, FALSE)</f>
        <v>Perennial</v>
      </c>
      <c r="O979" s="15">
        <f>IF(SUMPRODUCT(($A$2:$A979=A979)*($B$2:$B979=B979)*($F$2:$F979=F979))&gt;1,0,1)</f>
        <v>1</v>
      </c>
      <c r="P979" s="15">
        <f>IF(SUMPRODUCT(($A$2:$A979=A979)*($B$2:$B979=B979)*($D$2:$D979=D979))&gt;1,0,1)</f>
        <v>1</v>
      </c>
    </row>
    <row r="980" spans="1:16" x14ac:dyDescent="0.35">
      <c r="A980" t="s">
        <v>138</v>
      </c>
      <c r="B980">
        <v>2012</v>
      </c>
      <c r="C980" t="s">
        <v>109</v>
      </c>
      <c r="D980">
        <v>2.1</v>
      </c>
      <c r="E980">
        <f>INT(Table2[[#This Row],[Transect]])</f>
        <v>2</v>
      </c>
      <c r="F980" t="s">
        <v>29</v>
      </c>
      <c r="G980">
        <v>1</v>
      </c>
      <c r="H980">
        <v>149</v>
      </c>
      <c r="J980">
        <f>Table2[[#This Row],[Hits]]/Table2[[#This Row],[Points]]*100</f>
        <v>0.67114093959731547</v>
      </c>
      <c r="K980">
        <f>VLOOKUP(Table2[[#This Row],[Site]],'Site Info'!$A$1:$C$11,2, FALSE)</f>
        <v>11.5</v>
      </c>
      <c r="L980">
        <f>VLOOKUP(Table2[[#This Row],[Site]],'Site Info'!$A$1:$C$11,3, FALSE)</f>
        <v>11</v>
      </c>
      <c r="M980" t="str">
        <f>VLOOKUP(Table2[[#This Row],[Species]],'Species Table'!$A$1:$D$68,3, FALSE)</f>
        <v>Perennial</v>
      </c>
      <c r="O980" s="15">
        <f>IF(SUMPRODUCT(($A$2:$A980=A980)*($B$2:$B980=B980)*($F$2:$F980=F980))&gt;1,0,1)</f>
        <v>1</v>
      </c>
      <c r="P980" s="15">
        <f>IF(SUMPRODUCT(($A$2:$A980=A980)*($B$2:$B980=B980)*($D$2:$D980=D980))&gt;1,0,1)</f>
        <v>0</v>
      </c>
    </row>
    <row r="981" spans="1:16" x14ac:dyDescent="0.35">
      <c r="A981" t="s">
        <v>138</v>
      </c>
      <c r="B981">
        <v>2012</v>
      </c>
      <c r="C981" t="s">
        <v>111</v>
      </c>
      <c r="D981">
        <v>3.1</v>
      </c>
      <c r="E981">
        <f>INT(Table2[[#This Row],[Transect]])</f>
        <v>3</v>
      </c>
      <c r="F981" t="s">
        <v>11</v>
      </c>
      <c r="G981">
        <v>4</v>
      </c>
      <c r="H981">
        <v>200</v>
      </c>
      <c r="J981">
        <f>Table2[[#This Row],[Hits]]/Table2[[#This Row],[Points]]*100</f>
        <v>2</v>
      </c>
      <c r="K981">
        <f>VLOOKUP(Table2[[#This Row],[Site]],'Site Info'!$A$1:$C$11,2, FALSE)</f>
        <v>11.5</v>
      </c>
      <c r="L981">
        <f>VLOOKUP(Table2[[#This Row],[Site]],'Site Info'!$A$1:$C$11,3, FALSE)</f>
        <v>11</v>
      </c>
      <c r="M981" t="str">
        <f>VLOOKUP(Table2[[#This Row],[Species]],'Species Table'!$A$1:$D$68,3, FALSE)</f>
        <v>Perennial</v>
      </c>
      <c r="O981" s="15">
        <f>IF(SUMPRODUCT(($A$2:$A981=A981)*($B$2:$B981=B981)*($F$2:$F981=F981))&gt;1,0,1)</f>
        <v>0</v>
      </c>
      <c r="P981" s="15">
        <f>IF(SUMPRODUCT(($A$2:$A981=A981)*($B$2:$B981=B981)*($D$2:$D981=D981))&gt;1,0,1)</f>
        <v>1</v>
      </c>
    </row>
    <row r="982" spans="1:16" hidden="1" x14ac:dyDescent="0.35">
      <c r="A982" t="s">
        <v>138</v>
      </c>
      <c r="B982">
        <v>2012</v>
      </c>
      <c r="C982" t="s">
        <v>111</v>
      </c>
      <c r="D982">
        <v>3.1</v>
      </c>
      <c r="E982">
        <f>INT(Table2[[#This Row],[Transect]])</f>
        <v>3</v>
      </c>
      <c r="F982" t="s">
        <v>10</v>
      </c>
      <c r="G982">
        <v>3</v>
      </c>
      <c r="H982">
        <v>200</v>
      </c>
      <c r="J982">
        <f>Table2[[#This Row],[Hits]]/Table2[[#This Row],[Points]]*100</f>
        <v>1.5</v>
      </c>
      <c r="K982">
        <f>VLOOKUP(Table2[[#This Row],[Site]],'Site Info'!$A$1:$C$11,2, FALSE)</f>
        <v>11.5</v>
      </c>
      <c r="L982">
        <f>VLOOKUP(Table2[[#This Row],[Site]],'Site Info'!$A$1:$C$11,3, FALSE)</f>
        <v>11</v>
      </c>
      <c r="M982" t="str">
        <f>VLOOKUP(Table2[[#This Row],[Species]],'Species Table'!$A$1:$D$68,3, FALSE)</f>
        <v>Annual</v>
      </c>
      <c r="O982" s="15">
        <f>IF(SUMPRODUCT(($A$2:$A982=A982)*($B$2:$B982=B982)*($F$2:$F982=F982))&gt;1,0,1)</f>
        <v>0</v>
      </c>
      <c r="P982" s="15">
        <f>IF(SUMPRODUCT(($A$2:$A982=A982)*($B$2:$B982=B982)*($D$2:$D982=D982))&gt;1,0,1)</f>
        <v>0</v>
      </c>
    </row>
    <row r="983" spans="1:16" x14ac:dyDescent="0.35">
      <c r="A983" t="s">
        <v>138</v>
      </c>
      <c r="B983">
        <v>2012</v>
      </c>
      <c r="C983" t="s">
        <v>113</v>
      </c>
      <c r="D983">
        <v>4.0999999999999996</v>
      </c>
      <c r="E983">
        <f>INT(Table2[[#This Row],[Transect]])</f>
        <v>4</v>
      </c>
      <c r="F983" t="s">
        <v>12</v>
      </c>
      <c r="G983">
        <v>2</v>
      </c>
      <c r="H983">
        <v>200</v>
      </c>
      <c r="J983">
        <f>Table2[[#This Row],[Hits]]/Table2[[#This Row],[Points]]*100</f>
        <v>1</v>
      </c>
      <c r="K983">
        <f>VLOOKUP(Table2[[#This Row],[Site]],'Site Info'!$A$1:$C$11,2, FALSE)</f>
        <v>11.5</v>
      </c>
      <c r="L983">
        <f>VLOOKUP(Table2[[#This Row],[Site]],'Site Info'!$A$1:$C$11,3, FALSE)</f>
        <v>11</v>
      </c>
      <c r="M983" t="str">
        <f>VLOOKUP(Table2[[#This Row],[Species]],'Species Table'!$A$1:$D$68,3, FALSE)</f>
        <v>Perennial</v>
      </c>
      <c r="O983" s="15">
        <f>IF(SUMPRODUCT(($A$2:$A983=A983)*($B$2:$B983=B983)*($F$2:$F983=F983))&gt;1,0,1)</f>
        <v>1</v>
      </c>
      <c r="P983" s="15">
        <f>IF(SUMPRODUCT(($A$2:$A983=A983)*($B$2:$B983=B983)*($D$2:$D983=D983))&gt;1,0,1)</f>
        <v>1</v>
      </c>
    </row>
    <row r="984" spans="1:16" hidden="1" x14ac:dyDescent="0.35">
      <c r="A984" t="s">
        <v>138</v>
      </c>
      <c r="B984">
        <v>2012</v>
      </c>
      <c r="C984" t="s">
        <v>113</v>
      </c>
      <c r="D984">
        <v>4.0999999999999996</v>
      </c>
      <c r="E984">
        <f>INT(Table2[[#This Row],[Transect]])</f>
        <v>4</v>
      </c>
      <c r="F984" t="s">
        <v>10</v>
      </c>
      <c r="G984">
        <v>14</v>
      </c>
      <c r="H984">
        <v>200</v>
      </c>
      <c r="J984">
        <f>Table2[[#This Row],[Hits]]/Table2[[#This Row],[Points]]*100</f>
        <v>7.0000000000000009</v>
      </c>
      <c r="K984">
        <f>VLOOKUP(Table2[[#This Row],[Site]],'Site Info'!$A$1:$C$11,2, FALSE)</f>
        <v>11.5</v>
      </c>
      <c r="L984">
        <f>VLOOKUP(Table2[[#This Row],[Site]],'Site Info'!$A$1:$C$11,3, FALSE)</f>
        <v>11</v>
      </c>
      <c r="M984" t="str">
        <f>VLOOKUP(Table2[[#This Row],[Species]],'Species Table'!$A$1:$D$68,3, FALSE)</f>
        <v>Annual</v>
      </c>
      <c r="O984" s="15">
        <f>IF(SUMPRODUCT(($A$2:$A984=A984)*($B$2:$B984=B984)*($F$2:$F984=F984))&gt;1,0,1)</f>
        <v>0</v>
      </c>
      <c r="P984" s="15">
        <f>IF(SUMPRODUCT(($A$2:$A984=A984)*($B$2:$B984=B984)*($D$2:$D984=D984))&gt;1,0,1)</f>
        <v>0</v>
      </c>
    </row>
    <row r="985" spans="1:16" x14ac:dyDescent="0.35">
      <c r="A985" t="s">
        <v>138</v>
      </c>
      <c r="B985">
        <v>2012</v>
      </c>
      <c r="C985" t="s">
        <v>62</v>
      </c>
      <c r="D985">
        <v>5.0999999999999996</v>
      </c>
      <c r="E985">
        <f>INT(Table2[[#This Row],[Transect]])</f>
        <v>5</v>
      </c>
      <c r="F985" t="s">
        <v>11</v>
      </c>
      <c r="G985">
        <v>3</v>
      </c>
      <c r="H985">
        <v>200</v>
      </c>
      <c r="J985">
        <f>Table2[[#This Row],[Hits]]/Table2[[#This Row],[Points]]*100</f>
        <v>1.5</v>
      </c>
      <c r="K985">
        <f>VLOOKUP(Table2[[#This Row],[Site]],'Site Info'!$A$1:$C$11,2, FALSE)</f>
        <v>11.5</v>
      </c>
      <c r="L985">
        <f>VLOOKUP(Table2[[#This Row],[Site]],'Site Info'!$A$1:$C$11,3, FALSE)</f>
        <v>11</v>
      </c>
      <c r="M985" t="str">
        <f>VLOOKUP(Table2[[#This Row],[Species]],'Species Table'!$A$1:$D$68,3, FALSE)</f>
        <v>Perennial</v>
      </c>
      <c r="O985" s="15">
        <f>IF(SUMPRODUCT(($A$2:$A985=A985)*($B$2:$B985=B985)*($F$2:$F985=F985))&gt;1,0,1)</f>
        <v>0</v>
      </c>
      <c r="P985" s="15">
        <f>IF(SUMPRODUCT(($A$2:$A985=A985)*($B$2:$B985=B985)*($D$2:$D985=D985))&gt;1,0,1)</f>
        <v>1</v>
      </c>
    </row>
    <row r="986" spans="1:16" hidden="1" x14ac:dyDescent="0.35">
      <c r="A986" t="s">
        <v>138</v>
      </c>
      <c r="B986">
        <v>2012</v>
      </c>
      <c r="C986" t="s">
        <v>62</v>
      </c>
      <c r="D986">
        <v>5.0999999999999996</v>
      </c>
      <c r="E986">
        <f>INT(Table2[[#This Row],[Transect]])</f>
        <v>5</v>
      </c>
      <c r="F986" t="s">
        <v>10</v>
      </c>
      <c r="G986">
        <v>11</v>
      </c>
      <c r="H986">
        <v>200</v>
      </c>
      <c r="J986">
        <f>Table2[[#This Row],[Hits]]/Table2[[#This Row],[Points]]*100</f>
        <v>5.5</v>
      </c>
      <c r="K986">
        <f>VLOOKUP(Table2[[#This Row],[Site]],'Site Info'!$A$1:$C$11,2, FALSE)</f>
        <v>11.5</v>
      </c>
      <c r="L986">
        <f>VLOOKUP(Table2[[#This Row],[Site]],'Site Info'!$A$1:$C$11,3, FALSE)</f>
        <v>11</v>
      </c>
      <c r="M986" t="str">
        <f>VLOOKUP(Table2[[#This Row],[Species]],'Species Table'!$A$1:$D$68,3, FALSE)</f>
        <v>Annual</v>
      </c>
      <c r="O986" s="15">
        <f>IF(SUMPRODUCT(($A$2:$A986=A986)*($B$2:$B986=B986)*($F$2:$F986=F986))&gt;1,0,1)</f>
        <v>0</v>
      </c>
      <c r="P986" s="15">
        <f>IF(SUMPRODUCT(($A$2:$A986=A986)*($B$2:$B986=B986)*($D$2:$D986=D986))&gt;1,0,1)</f>
        <v>0</v>
      </c>
    </row>
    <row r="987" spans="1:16" x14ac:dyDescent="0.35">
      <c r="A987" t="s">
        <v>138</v>
      </c>
      <c r="B987">
        <v>2012</v>
      </c>
      <c r="C987" t="s">
        <v>62</v>
      </c>
      <c r="D987">
        <v>5.0999999999999996</v>
      </c>
      <c r="E987">
        <f>INT(Table2[[#This Row],[Transect]])</f>
        <v>5</v>
      </c>
      <c r="F987" t="s">
        <v>29</v>
      </c>
      <c r="G987">
        <v>1</v>
      </c>
      <c r="H987">
        <v>200</v>
      </c>
      <c r="J987">
        <f>Table2[[#This Row],[Hits]]/Table2[[#This Row],[Points]]*100</f>
        <v>0.5</v>
      </c>
      <c r="K987">
        <f>VLOOKUP(Table2[[#This Row],[Site]],'Site Info'!$A$1:$C$11,2, FALSE)</f>
        <v>11.5</v>
      </c>
      <c r="L987">
        <f>VLOOKUP(Table2[[#This Row],[Site]],'Site Info'!$A$1:$C$11,3, FALSE)</f>
        <v>11</v>
      </c>
      <c r="M987" t="str">
        <f>VLOOKUP(Table2[[#This Row],[Species]],'Species Table'!$A$1:$D$68,3, FALSE)</f>
        <v>Perennial</v>
      </c>
      <c r="O987" s="15">
        <f>IF(SUMPRODUCT(($A$2:$A987=A987)*($B$2:$B987=B987)*($F$2:$F987=F987))&gt;1,0,1)</f>
        <v>0</v>
      </c>
      <c r="P987" s="15">
        <f>IF(SUMPRODUCT(($A$2:$A987=A987)*($B$2:$B987=B987)*($D$2:$D987=D987))&gt;1,0,1)</f>
        <v>0</v>
      </c>
    </row>
    <row r="988" spans="1:16" x14ac:dyDescent="0.35">
      <c r="A988" t="s">
        <v>138</v>
      </c>
      <c r="B988">
        <v>2012</v>
      </c>
      <c r="C988" t="s">
        <v>114</v>
      </c>
      <c r="D988">
        <v>5.2</v>
      </c>
      <c r="E988">
        <f>INT(Table2[[#This Row],[Transect]])</f>
        <v>5</v>
      </c>
      <c r="F988" t="s">
        <v>12</v>
      </c>
      <c r="G988">
        <v>7</v>
      </c>
      <c r="H988">
        <v>200</v>
      </c>
      <c r="J988">
        <f>Table2[[#This Row],[Hits]]/Table2[[#This Row],[Points]]*100</f>
        <v>3.5000000000000004</v>
      </c>
      <c r="K988">
        <f>VLOOKUP(Table2[[#This Row],[Site]],'Site Info'!$A$1:$C$11,2, FALSE)</f>
        <v>11.5</v>
      </c>
      <c r="L988">
        <f>VLOOKUP(Table2[[#This Row],[Site]],'Site Info'!$A$1:$C$11,3, FALSE)</f>
        <v>11</v>
      </c>
      <c r="M988" t="str">
        <f>VLOOKUP(Table2[[#This Row],[Species]],'Species Table'!$A$1:$D$68,3, FALSE)</f>
        <v>Perennial</v>
      </c>
      <c r="O988" s="15">
        <f>IF(SUMPRODUCT(($A$2:$A988=A988)*($B$2:$B988=B988)*($F$2:$F988=F988))&gt;1,0,1)</f>
        <v>0</v>
      </c>
      <c r="P988" s="15">
        <f>IF(SUMPRODUCT(($A$2:$A988=A988)*($B$2:$B988=B988)*($D$2:$D988=D988))&gt;1,0,1)</f>
        <v>1</v>
      </c>
    </row>
    <row r="989" spans="1:16" x14ac:dyDescent="0.35">
      <c r="A989" t="s">
        <v>138</v>
      </c>
      <c r="B989">
        <v>2012</v>
      </c>
      <c r="C989" t="s">
        <v>114</v>
      </c>
      <c r="D989">
        <v>5.2</v>
      </c>
      <c r="E989">
        <f>INT(Table2[[#This Row],[Transect]])</f>
        <v>5</v>
      </c>
      <c r="F989" t="s">
        <v>6</v>
      </c>
      <c r="G989">
        <v>2</v>
      </c>
      <c r="H989">
        <v>200</v>
      </c>
      <c r="J989">
        <f>Table2[[#This Row],[Hits]]/Table2[[#This Row],[Points]]*100</f>
        <v>1</v>
      </c>
      <c r="K989">
        <f>VLOOKUP(Table2[[#This Row],[Site]],'Site Info'!$A$1:$C$11,2, FALSE)</f>
        <v>11.5</v>
      </c>
      <c r="L989">
        <f>VLOOKUP(Table2[[#This Row],[Site]],'Site Info'!$A$1:$C$11,3, FALSE)</f>
        <v>11</v>
      </c>
      <c r="M989" t="str">
        <f>VLOOKUP(Table2[[#This Row],[Species]],'Species Table'!$A$1:$D$68,3, FALSE)</f>
        <v>Perennial</v>
      </c>
      <c r="O989" s="15">
        <f>IF(SUMPRODUCT(($A$2:$A989=A989)*($B$2:$B989=B989)*($F$2:$F989=F989))&gt;1,0,1)</f>
        <v>1</v>
      </c>
      <c r="P989" s="15">
        <f>IF(SUMPRODUCT(($A$2:$A989=A989)*($B$2:$B989=B989)*($D$2:$D989=D989))&gt;1,0,1)</f>
        <v>0</v>
      </c>
    </row>
    <row r="990" spans="1:16" hidden="1" x14ac:dyDescent="0.35">
      <c r="A990" t="s">
        <v>138</v>
      </c>
      <c r="B990">
        <v>2012</v>
      </c>
      <c r="C990" t="s">
        <v>114</v>
      </c>
      <c r="D990">
        <v>5.2</v>
      </c>
      <c r="E990">
        <f>INT(Table2[[#This Row],[Transect]])</f>
        <v>5</v>
      </c>
      <c r="F990" t="s">
        <v>10</v>
      </c>
      <c r="G990">
        <v>17</v>
      </c>
      <c r="H990">
        <v>200</v>
      </c>
      <c r="J990">
        <f>Table2[[#This Row],[Hits]]/Table2[[#This Row],[Points]]*100</f>
        <v>8.5</v>
      </c>
      <c r="K990">
        <f>VLOOKUP(Table2[[#This Row],[Site]],'Site Info'!$A$1:$C$11,2, FALSE)</f>
        <v>11.5</v>
      </c>
      <c r="L990">
        <f>VLOOKUP(Table2[[#This Row],[Site]],'Site Info'!$A$1:$C$11,3, FALSE)</f>
        <v>11</v>
      </c>
      <c r="M990" t="str">
        <f>VLOOKUP(Table2[[#This Row],[Species]],'Species Table'!$A$1:$D$68,3, FALSE)</f>
        <v>Annual</v>
      </c>
      <c r="O990" s="15">
        <f>IF(SUMPRODUCT(($A$2:$A990=A990)*($B$2:$B990=B990)*($F$2:$F990=F990))&gt;1,0,1)</f>
        <v>0</v>
      </c>
      <c r="P990" s="15">
        <f>IF(SUMPRODUCT(($A$2:$A990=A990)*($B$2:$B990=B990)*($D$2:$D990=D990))&gt;1,0,1)</f>
        <v>0</v>
      </c>
    </row>
    <row r="991" spans="1:16" hidden="1" x14ac:dyDescent="0.35">
      <c r="A991" t="s">
        <v>138</v>
      </c>
      <c r="B991">
        <v>2012</v>
      </c>
      <c r="C991" t="s">
        <v>67</v>
      </c>
      <c r="D991">
        <v>6.1</v>
      </c>
      <c r="E991">
        <f>INT(Table2[[#This Row],[Transect]])</f>
        <v>6</v>
      </c>
      <c r="F991" t="s">
        <v>10</v>
      </c>
      <c r="G991">
        <v>12</v>
      </c>
      <c r="H991">
        <v>200</v>
      </c>
      <c r="J991">
        <f>Table2[[#This Row],[Hits]]/Table2[[#This Row],[Points]]*100</f>
        <v>6</v>
      </c>
      <c r="K991">
        <f>VLOOKUP(Table2[[#This Row],[Site]],'Site Info'!$A$1:$C$11,2, FALSE)</f>
        <v>11.5</v>
      </c>
      <c r="L991">
        <f>VLOOKUP(Table2[[#This Row],[Site]],'Site Info'!$A$1:$C$11,3, FALSE)</f>
        <v>11</v>
      </c>
      <c r="M991" t="str">
        <f>VLOOKUP(Table2[[#This Row],[Species]],'Species Table'!$A$1:$D$68,3, FALSE)</f>
        <v>Annual</v>
      </c>
      <c r="O991" s="15">
        <f>IF(SUMPRODUCT(($A$2:$A991=A991)*($B$2:$B991=B991)*($F$2:$F991=F991))&gt;1,0,1)</f>
        <v>0</v>
      </c>
      <c r="P991" s="15">
        <f>IF(SUMPRODUCT(($A$2:$A991=A991)*($B$2:$B991=B991)*($D$2:$D991=D991))&gt;1,0,1)</f>
        <v>1</v>
      </c>
    </row>
    <row r="992" spans="1:16" hidden="1" x14ac:dyDescent="0.35">
      <c r="A992" t="s">
        <v>138</v>
      </c>
      <c r="B992">
        <v>2012</v>
      </c>
      <c r="C992" t="s">
        <v>115</v>
      </c>
      <c r="D992">
        <v>6.2</v>
      </c>
      <c r="E992">
        <f>INT(Table2[[#This Row],[Transect]])</f>
        <v>6</v>
      </c>
      <c r="F992" t="s">
        <v>10</v>
      </c>
      <c r="G992">
        <v>18</v>
      </c>
      <c r="H992">
        <v>200</v>
      </c>
      <c r="J992">
        <f>Table2[[#This Row],[Hits]]/Table2[[#This Row],[Points]]*100</f>
        <v>9</v>
      </c>
      <c r="K992">
        <f>VLOOKUP(Table2[[#This Row],[Site]],'Site Info'!$A$1:$C$11,2, FALSE)</f>
        <v>11.5</v>
      </c>
      <c r="L992">
        <f>VLOOKUP(Table2[[#This Row],[Site]],'Site Info'!$A$1:$C$11,3, FALSE)</f>
        <v>11</v>
      </c>
      <c r="M992" t="str">
        <f>VLOOKUP(Table2[[#This Row],[Species]],'Species Table'!$A$1:$D$68,3, FALSE)</f>
        <v>Annual</v>
      </c>
      <c r="O992" s="15">
        <f>IF(SUMPRODUCT(($A$2:$A992=A992)*($B$2:$B992=B992)*($F$2:$F992=F992))&gt;1,0,1)</f>
        <v>0</v>
      </c>
      <c r="P992" s="15">
        <f>IF(SUMPRODUCT(($A$2:$A992=A992)*($B$2:$B992=B992)*($D$2:$D992=D992))&gt;1,0,1)</f>
        <v>1</v>
      </c>
    </row>
    <row r="993" spans="1:16" x14ac:dyDescent="0.35">
      <c r="A993" t="s">
        <v>138</v>
      </c>
      <c r="B993">
        <v>2012</v>
      </c>
      <c r="C993" t="s">
        <v>71</v>
      </c>
      <c r="D993">
        <v>7.1</v>
      </c>
      <c r="E993">
        <f>INT(Table2[[#This Row],[Transect]])</f>
        <v>7</v>
      </c>
      <c r="F993" t="s">
        <v>139</v>
      </c>
      <c r="G993">
        <v>2</v>
      </c>
      <c r="H993">
        <v>200</v>
      </c>
      <c r="J993">
        <f>Table2[[#This Row],[Hits]]/Table2[[#This Row],[Points]]*100</f>
        <v>1</v>
      </c>
      <c r="K993">
        <f>VLOOKUP(Table2[[#This Row],[Site]],'Site Info'!$A$1:$C$11,2, FALSE)</f>
        <v>11.5</v>
      </c>
      <c r="L993">
        <f>VLOOKUP(Table2[[#This Row],[Site]],'Site Info'!$A$1:$C$11,3, FALSE)</f>
        <v>11</v>
      </c>
      <c r="M993" t="str">
        <f>VLOOKUP(Table2[[#This Row],[Species]],'Species Table'!$A$1:$D$68,3, FALSE)</f>
        <v>Perennial</v>
      </c>
      <c r="O993" s="15">
        <f>IF(SUMPRODUCT(($A$2:$A993=A993)*($B$2:$B993=B993)*($F$2:$F993=F993))&gt;1,0,1)</f>
        <v>1</v>
      </c>
      <c r="P993" s="15">
        <f>IF(SUMPRODUCT(($A$2:$A993=A993)*($B$2:$B993=B993)*($D$2:$D993=D993))&gt;1,0,1)</f>
        <v>1</v>
      </c>
    </row>
    <row r="994" spans="1:16" hidden="1" x14ac:dyDescent="0.35">
      <c r="A994" t="s">
        <v>138</v>
      </c>
      <c r="B994">
        <v>2012</v>
      </c>
      <c r="C994" t="s">
        <v>71</v>
      </c>
      <c r="D994">
        <v>7.1</v>
      </c>
      <c r="E994">
        <f>INT(Table2[[#This Row],[Transect]])</f>
        <v>7</v>
      </c>
      <c r="F994" t="s">
        <v>10</v>
      </c>
      <c r="G994">
        <v>19</v>
      </c>
      <c r="H994">
        <v>200</v>
      </c>
      <c r="J994">
        <f>Table2[[#This Row],[Hits]]/Table2[[#This Row],[Points]]*100</f>
        <v>9.5</v>
      </c>
      <c r="K994">
        <f>VLOOKUP(Table2[[#This Row],[Site]],'Site Info'!$A$1:$C$11,2, FALSE)</f>
        <v>11.5</v>
      </c>
      <c r="L994">
        <f>VLOOKUP(Table2[[#This Row],[Site]],'Site Info'!$A$1:$C$11,3, FALSE)</f>
        <v>11</v>
      </c>
      <c r="M994" t="str">
        <f>VLOOKUP(Table2[[#This Row],[Species]],'Species Table'!$A$1:$D$68,3, FALSE)</f>
        <v>Annual</v>
      </c>
      <c r="O994" s="15">
        <f>IF(SUMPRODUCT(($A$2:$A994=A994)*($B$2:$B994=B994)*($F$2:$F994=F994))&gt;1,0,1)</f>
        <v>0</v>
      </c>
      <c r="P994" s="15">
        <f>IF(SUMPRODUCT(($A$2:$A994=A994)*($B$2:$B994=B994)*($D$2:$D994=D994))&gt;1,0,1)</f>
        <v>0</v>
      </c>
    </row>
    <row r="995" spans="1:16" x14ac:dyDescent="0.35">
      <c r="A995" t="s">
        <v>138</v>
      </c>
      <c r="B995">
        <v>2012</v>
      </c>
      <c r="C995" t="s">
        <v>117</v>
      </c>
      <c r="D995">
        <v>7.2</v>
      </c>
      <c r="E995">
        <f>INT(Table2[[#This Row],[Transect]])</f>
        <v>7</v>
      </c>
      <c r="F995" t="s">
        <v>11</v>
      </c>
      <c r="G995">
        <v>4</v>
      </c>
      <c r="H995">
        <v>200</v>
      </c>
      <c r="J995">
        <f>Table2[[#This Row],[Hits]]/Table2[[#This Row],[Points]]*100</f>
        <v>2</v>
      </c>
      <c r="K995">
        <f>VLOOKUP(Table2[[#This Row],[Site]],'Site Info'!$A$1:$C$11,2, FALSE)</f>
        <v>11.5</v>
      </c>
      <c r="L995">
        <f>VLOOKUP(Table2[[#This Row],[Site]],'Site Info'!$A$1:$C$11,3, FALSE)</f>
        <v>11</v>
      </c>
      <c r="M995" t="str">
        <f>VLOOKUP(Table2[[#This Row],[Species]],'Species Table'!$A$1:$D$68,3, FALSE)</f>
        <v>Perennial</v>
      </c>
      <c r="O995" s="15">
        <f>IF(SUMPRODUCT(($A$2:$A995=A995)*($B$2:$B995=B995)*($F$2:$F995=F995))&gt;1,0,1)</f>
        <v>0</v>
      </c>
      <c r="P995" s="15">
        <f>IF(SUMPRODUCT(($A$2:$A995=A995)*($B$2:$B995=B995)*($D$2:$D995=D995))&gt;1,0,1)</f>
        <v>1</v>
      </c>
    </row>
    <row r="996" spans="1:16" hidden="1" x14ac:dyDescent="0.35">
      <c r="A996" t="s">
        <v>138</v>
      </c>
      <c r="B996">
        <v>2012</v>
      </c>
      <c r="C996" t="s">
        <v>117</v>
      </c>
      <c r="D996">
        <v>7.2</v>
      </c>
      <c r="E996">
        <f>INT(Table2[[#This Row],[Transect]])</f>
        <v>7</v>
      </c>
      <c r="F996" t="s">
        <v>10</v>
      </c>
      <c r="G996">
        <v>1</v>
      </c>
      <c r="H996">
        <v>200</v>
      </c>
      <c r="J996">
        <f>Table2[[#This Row],[Hits]]/Table2[[#This Row],[Points]]*100</f>
        <v>0.5</v>
      </c>
      <c r="K996">
        <f>VLOOKUP(Table2[[#This Row],[Site]],'Site Info'!$A$1:$C$11,2, FALSE)</f>
        <v>11.5</v>
      </c>
      <c r="L996">
        <f>VLOOKUP(Table2[[#This Row],[Site]],'Site Info'!$A$1:$C$11,3, FALSE)</f>
        <v>11</v>
      </c>
      <c r="M996" t="str">
        <f>VLOOKUP(Table2[[#This Row],[Species]],'Species Table'!$A$1:$D$68,3, FALSE)</f>
        <v>Annual</v>
      </c>
      <c r="O996" s="15">
        <f>IF(SUMPRODUCT(($A$2:$A996=A996)*($B$2:$B996=B996)*($F$2:$F996=F996))&gt;1,0,1)</f>
        <v>0</v>
      </c>
      <c r="P996" s="15">
        <f>IF(SUMPRODUCT(($A$2:$A996=A996)*($B$2:$B996=B996)*($D$2:$D996=D996))&gt;1,0,1)</f>
        <v>0</v>
      </c>
    </row>
    <row r="997" spans="1:16" x14ac:dyDescent="0.35">
      <c r="A997" t="s">
        <v>138</v>
      </c>
      <c r="B997">
        <v>2012</v>
      </c>
      <c r="C997" t="s">
        <v>77</v>
      </c>
      <c r="D997">
        <v>8.1</v>
      </c>
      <c r="E997">
        <f>INT(Table2[[#This Row],[Transect]])</f>
        <v>8</v>
      </c>
      <c r="F997" t="s">
        <v>11</v>
      </c>
      <c r="G997">
        <v>9</v>
      </c>
      <c r="H997">
        <v>200</v>
      </c>
      <c r="J997">
        <f>Table2[[#This Row],[Hits]]/Table2[[#This Row],[Points]]*100</f>
        <v>4.5</v>
      </c>
      <c r="K997">
        <f>VLOOKUP(Table2[[#This Row],[Site]],'Site Info'!$A$1:$C$11,2, FALSE)</f>
        <v>11.5</v>
      </c>
      <c r="L997">
        <f>VLOOKUP(Table2[[#This Row],[Site]],'Site Info'!$A$1:$C$11,3, FALSE)</f>
        <v>11</v>
      </c>
      <c r="M997" t="str">
        <f>VLOOKUP(Table2[[#This Row],[Species]],'Species Table'!$A$1:$D$68,3, FALSE)</f>
        <v>Perennial</v>
      </c>
      <c r="O997" s="15">
        <f>IF(SUMPRODUCT(($A$2:$A997=A997)*($B$2:$B997=B997)*($F$2:$F997=F997))&gt;1,0,1)</f>
        <v>0</v>
      </c>
      <c r="P997" s="15">
        <f>IF(SUMPRODUCT(($A$2:$A997=A997)*($B$2:$B997=B997)*($D$2:$D997=D997))&gt;1,0,1)</f>
        <v>1</v>
      </c>
    </row>
    <row r="998" spans="1:16" x14ac:dyDescent="0.35">
      <c r="A998" t="s">
        <v>138</v>
      </c>
      <c r="B998">
        <v>2012</v>
      </c>
      <c r="C998" t="s">
        <v>77</v>
      </c>
      <c r="D998">
        <v>8.1</v>
      </c>
      <c r="E998">
        <f>INT(Table2[[#This Row],[Transect]])</f>
        <v>8</v>
      </c>
      <c r="F998" t="s">
        <v>14</v>
      </c>
      <c r="G998">
        <v>3</v>
      </c>
      <c r="H998">
        <v>200</v>
      </c>
      <c r="J998">
        <f>Table2[[#This Row],[Hits]]/Table2[[#This Row],[Points]]*100</f>
        <v>1.5</v>
      </c>
      <c r="K998">
        <f>VLOOKUP(Table2[[#This Row],[Site]],'Site Info'!$A$1:$C$11,2, FALSE)</f>
        <v>11.5</v>
      </c>
      <c r="L998">
        <f>VLOOKUP(Table2[[#This Row],[Site]],'Site Info'!$A$1:$C$11,3, FALSE)</f>
        <v>11</v>
      </c>
      <c r="M998" t="str">
        <f>VLOOKUP(Table2[[#This Row],[Species]],'Species Table'!$A$1:$D$68,3, FALSE)</f>
        <v>Perennial</v>
      </c>
      <c r="O998" s="15">
        <f>IF(SUMPRODUCT(($A$2:$A998=A998)*($B$2:$B998=B998)*($F$2:$F998=F998))&gt;1,0,1)</f>
        <v>1</v>
      </c>
      <c r="P998" s="15">
        <f>IF(SUMPRODUCT(($A$2:$A998=A998)*($B$2:$B998=B998)*($D$2:$D998=D998))&gt;1,0,1)</f>
        <v>0</v>
      </c>
    </row>
    <row r="999" spans="1:16" hidden="1" x14ac:dyDescent="0.35">
      <c r="A999" t="s">
        <v>138</v>
      </c>
      <c r="B999">
        <v>2012</v>
      </c>
      <c r="C999" t="s">
        <v>77</v>
      </c>
      <c r="D999">
        <v>8.1</v>
      </c>
      <c r="E999">
        <f>INT(Table2[[#This Row],[Transect]])</f>
        <v>8</v>
      </c>
      <c r="F999" t="s">
        <v>10</v>
      </c>
      <c r="G999">
        <v>6</v>
      </c>
      <c r="H999">
        <v>200</v>
      </c>
      <c r="J999">
        <f>Table2[[#This Row],[Hits]]/Table2[[#This Row],[Points]]*100</f>
        <v>3</v>
      </c>
      <c r="K999">
        <f>VLOOKUP(Table2[[#This Row],[Site]],'Site Info'!$A$1:$C$11,2, FALSE)</f>
        <v>11.5</v>
      </c>
      <c r="L999">
        <f>VLOOKUP(Table2[[#This Row],[Site]],'Site Info'!$A$1:$C$11,3, FALSE)</f>
        <v>11</v>
      </c>
      <c r="M999" t="str">
        <f>VLOOKUP(Table2[[#This Row],[Species]],'Species Table'!$A$1:$D$68,3, FALSE)</f>
        <v>Annual</v>
      </c>
      <c r="O999" s="15">
        <f>IF(SUMPRODUCT(($A$2:$A999=A999)*($B$2:$B999=B999)*($F$2:$F999=F999))&gt;1,0,1)</f>
        <v>0</v>
      </c>
      <c r="P999" s="15">
        <f>IF(SUMPRODUCT(($A$2:$A999=A999)*($B$2:$B999=B999)*($D$2:$D999=D999))&gt;1,0,1)</f>
        <v>0</v>
      </c>
    </row>
    <row r="1000" spans="1:16" x14ac:dyDescent="0.35">
      <c r="A1000" t="s">
        <v>138</v>
      </c>
      <c r="B1000">
        <v>2012</v>
      </c>
      <c r="C1000" t="s">
        <v>77</v>
      </c>
      <c r="D1000">
        <v>8.1</v>
      </c>
      <c r="E1000">
        <f>INT(Table2[[#This Row],[Transect]])</f>
        <v>8</v>
      </c>
      <c r="F1000" t="s">
        <v>29</v>
      </c>
      <c r="G1000">
        <v>1</v>
      </c>
      <c r="H1000">
        <v>200</v>
      </c>
      <c r="J1000">
        <f>Table2[[#This Row],[Hits]]/Table2[[#This Row],[Points]]*100</f>
        <v>0.5</v>
      </c>
      <c r="K1000">
        <f>VLOOKUP(Table2[[#This Row],[Site]],'Site Info'!$A$1:$C$11,2, FALSE)</f>
        <v>11.5</v>
      </c>
      <c r="L1000">
        <f>VLOOKUP(Table2[[#This Row],[Site]],'Site Info'!$A$1:$C$11,3, FALSE)</f>
        <v>11</v>
      </c>
      <c r="M1000" t="str">
        <f>VLOOKUP(Table2[[#This Row],[Species]],'Species Table'!$A$1:$D$68,3, FALSE)</f>
        <v>Perennial</v>
      </c>
      <c r="O1000" s="15">
        <f>IF(SUMPRODUCT(($A$2:$A1000=A1000)*($B$2:$B1000=B1000)*($F$2:$F1000=F1000))&gt;1,0,1)</f>
        <v>0</v>
      </c>
      <c r="P1000" s="15">
        <f>IF(SUMPRODUCT(($A$2:$A1000=A1000)*($B$2:$B1000=B1000)*($D$2:$D1000=D1000))&gt;1,0,1)</f>
        <v>0</v>
      </c>
    </row>
    <row r="1001" spans="1:16" x14ac:dyDescent="0.35">
      <c r="A1001" t="s">
        <v>138</v>
      </c>
      <c r="B1001">
        <v>2012</v>
      </c>
      <c r="C1001" t="s">
        <v>118</v>
      </c>
      <c r="D1001">
        <v>8.1999999999999993</v>
      </c>
      <c r="E1001">
        <f>INT(Table2[[#This Row],[Transect]])</f>
        <v>8</v>
      </c>
      <c r="F1001" t="s">
        <v>13</v>
      </c>
      <c r="G1001">
        <v>2</v>
      </c>
      <c r="H1001">
        <v>200</v>
      </c>
      <c r="J1001">
        <f>Table2[[#This Row],[Hits]]/Table2[[#This Row],[Points]]*100</f>
        <v>1</v>
      </c>
      <c r="K1001">
        <f>VLOOKUP(Table2[[#This Row],[Site]],'Site Info'!$A$1:$C$11,2, FALSE)</f>
        <v>11.5</v>
      </c>
      <c r="L1001">
        <f>VLOOKUP(Table2[[#This Row],[Site]],'Site Info'!$A$1:$C$11,3, FALSE)</f>
        <v>11</v>
      </c>
      <c r="M1001" t="str">
        <f>VLOOKUP(Table2[[#This Row],[Species]],'Species Table'!$A$1:$D$68,3, FALSE)</f>
        <v>Perennial</v>
      </c>
      <c r="O1001" s="15">
        <f>IF(SUMPRODUCT(($A$2:$A1001=A1001)*($B$2:$B1001=B1001)*($F$2:$F1001=F1001))&gt;1,0,1)</f>
        <v>1</v>
      </c>
      <c r="P1001" s="15">
        <f>IF(SUMPRODUCT(($A$2:$A1001=A1001)*($B$2:$B1001=B1001)*($D$2:$D1001=D1001))&gt;1,0,1)</f>
        <v>1</v>
      </c>
    </row>
    <row r="1002" spans="1:16" hidden="1" x14ac:dyDescent="0.35">
      <c r="A1002" t="s">
        <v>138</v>
      </c>
      <c r="B1002">
        <v>2012</v>
      </c>
      <c r="C1002" t="s">
        <v>118</v>
      </c>
      <c r="D1002">
        <v>8.1999999999999993</v>
      </c>
      <c r="E1002">
        <f>INT(Table2[[#This Row],[Transect]])</f>
        <v>8</v>
      </c>
      <c r="F1002" t="s">
        <v>10</v>
      </c>
      <c r="G1002">
        <v>4</v>
      </c>
      <c r="H1002">
        <v>200</v>
      </c>
      <c r="J1002">
        <f>Table2[[#This Row],[Hits]]/Table2[[#This Row],[Points]]*100</f>
        <v>2</v>
      </c>
      <c r="K1002">
        <f>VLOOKUP(Table2[[#This Row],[Site]],'Site Info'!$A$1:$C$11,2, FALSE)</f>
        <v>11.5</v>
      </c>
      <c r="L1002">
        <f>VLOOKUP(Table2[[#This Row],[Site]],'Site Info'!$A$1:$C$11,3, FALSE)</f>
        <v>11</v>
      </c>
      <c r="M1002" t="str">
        <f>VLOOKUP(Table2[[#This Row],[Species]],'Species Table'!$A$1:$D$68,3, FALSE)</f>
        <v>Annual</v>
      </c>
      <c r="O1002" s="15">
        <f>IF(SUMPRODUCT(($A$2:$A1002=A1002)*($B$2:$B1002=B1002)*($F$2:$F1002=F1002))&gt;1,0,1)</f>
        <v>0</v>
      </c>
      <c r="P1002" s="15">
        <f>IF(SUMPRODUCT(($A$2:$A1002=A1002)*($B$2:$B1002=B1002)*($D$2:$D1002=D1002))&gt;1,0,1)</f>
        <v>0</v>
      </c>
    </row>
    <row r="1003" spans="1:16" hidden="1" x14ac:dyDescent="0.35">
      <c r="A1003" t="s">
        <v>138</v>
      </c>
      <c r="B1003">
        <v>2012</v>
      </c>
      <c r="C1003" t="s">
        <v>119</v>
      </c>
      <c r="D1003">
        <v>9.1</v>
      </c>
      <c r="E1003">
        <f>INT(Table2[[#This Row],[Transect]])</f>
        <v>9</v>
      </c>
      <c r="F1003" t="s">
        <v>127</v>
      </c>
      <c r="G1003">
        <v>0</v>
      </c>
      <c r="H1003">
        <v>200</v>
      </c>
      <c r="J1003">
        <f>Table2[[#This Row],[Hits]]/Table2[[#This Row],[Points]]*100</f>
        <v>0</v>
      </c>
      <c r="K1003">
        <f>VLOOKUP(Table2[[#This Row],[Site]],'Site Info'!$A$1:$C$11,2, FALSE)</f>
        <v>11.5</v>
      </c>
      <c r="L1003">
        <f>VLOOKUP(Table2[[#This Row],[Site]],'Site Info'!$A$1:$C$11,3, FALSE)</f>
        <v>11</v>
      </c>
      <c r="M1003" t="str">
        <f>VLOOKUP(Table2[[#This Row],[Species]],'Species Table'!$A$1:$D$68,3, FALSE)</f>
        <v>NA</v>
      </c>
      <c r="O1003" s="15">
        <f>IF(SUMPRODUCT(($A$2:$A1003=A1003)*($B$2:$B1003=B1003)*($F$2:$F1003=F1003))&gt;1,0,1)</f>
        <v>1</v>
      </c>
      <c r="P1003" s="15">
        <f>IF(SUMPRODUCT(($A$2:$A1003=A1003)*($B$2:$B1003=B1003)*($D$2:$D1003=D1003))&gt;1,0,1)</f>
        <v>1</v>
      </c>
    </row>
    <row r="1004" spans="1:16" hidden="1" x14ac:dyDescent="0.35">
      <c r="A1004" t="s">
        <v>138</v>
      </c>
      <c r="B1004">
        <v>2012</v>
      </c>
      <c r="C1004" t="s">
        <v>120</v>
      </c>
      <c r="D1004">
        <v>9.1999999999999993</v>
      </c>
      <c r="E1004">
        <f>INT(Table2[[#This Row],[Transect]])</f>
        <v>9</v>
      </c>
      <c r="F1004" t="s">
        <v>10</v>
      </c>
      <c r="G1004">
        <v>1</v>
      </c>
      <c r="H1004">
        <v>200</v>
      </c>
      <c r="J1004">
        <f>Table2[[#This Row],[Hits]]/Table2[[#This Row],[Points]]*100</f>
        <v>0.5</v>
      </c>
      <c r="K1004">
        <f>VLOOKUP(Table2[[#This Row],[Site]],'Site Info'!$A$1:$C$11,2, FALSE)</f>
        <v>11.5</v>
      </c>
      <c r="L1004">
        <f>VLOOKUP(Table2[[#This Row],[Site]],'Site Info'!$A$1:$C$11,3, FALSE)</f>
        <v>11</v>
      </c>
      <c r="M1004" t="str">
        <f>VLOOKUP(Table2[[#This Row],[Species]],'Species Table'!$A$1:$D$68,3, FALSE)</f>
        <v>Annual</v>
      </c>
      <c r="O1004" s="15">
        <f>IF(SUMPRODUCT(($A$2:$A1004=A1004)*($B$2:$B1004=B1004)*($F$2:$F1004=F1004))&gt;1,0,1)</f>
        <v>0</v>
      </c>
      <c r="P1004" s="15">
        <f>IF(SUMPRODUCT(($A$2:$A1004=A1004)*($B$2:$B1004=B1004)*($D$2:$D1004=D1004))&gt;1,0,1)</f>
        <v>1</v>
      </c>
    </row>
    <row r="1005" spans="1:16" x14ac:dyDescent="0.35">
      <c r="A1005" t="s">
        <v>138</v>
      </c>
      <c r="B1005">
        <v>2012</v>
      </c>
      <c r="C1005" t="s">
        <v>120</v>
      </c>
      <c r="D1005">
        <v>9.1999999999999993</v>
      </c>
      <c r="E1005">
        <f>INT(Table2[[#This Row],[Transect]])</f>
        <v>9</v>
      </c>
      <c r="F1005" t="s">
        <v>29</v>
      </c>
      <c r="G1005">
        <v>1</v>
      </c>
      <c r="H1005">
        <v>200</v>
      </c>
      <c r="J1005">
        <f>Table2[[#This Row],[Hits]]/Table2[[#This Row],[Points]]*100</f>
        <v>0.5</v>
      </c>
      <c r="K1005">
        <f>VLOOKUP(Table2[[#This Row],[Site]],'Site Info'!$A$1:$C$11,2, FALSE)</f>
        <v>11.5</v>
      </c>
      <c r="L1005">
        <f>VLOOKUP(Table2[[#This Row],[Site]],'Site Info'!$A$1:$C$11,3, FALSE)</f>
        <v>11</v>
      </c>
      <c r="M1005" t="str">
        <f>VLOOKUP(Table2[[#This Row],[Species]],'Species Table'!$A$1:$D$68,3, FALSE)</f>
        <v>Perennial</v>
      </c>
      <c r="O1005" s="15">
        <f>IF(SUMPRODUCT(($A$2:$A1005=A1005)*($B$2:$B1005=B1005)*($F$2:$F1005=F1005))&gt;1,0,1)</f>
        <v>0</v>
      </c>
      <c r="P1005" s="15">
        <f>IF(SUMPRODUCT(($A$2:$A1005=A1005)*($B$2:$B1005=B1005)*($D$2:$D1005=D1005))&gt;1,0,1)</f>
        <v>0</v>
      </c>
    </row>
    <row r="1006" spans="1:16" hidden="1" x14ac:dyDescent="0.35">
      <c r="A1006" t="s">
        <v>138</v>
      </c>
      <c r="B1006">
        <v>2012</v>
      </c>
      <c r="C1006" t="s">
        <v>121</v>
      </c>
      <c r="D1006">
        <v>10.1</v>
      </c>
      <c r="E1006">
        <f>INT(Table2[[#This Row],[Transect]])</f>
        <v>10</v>
      </c>
      <c r="F1006" t="s">
        <v>10</v>
      </c>
      <c r="G1006">
        <v>3</v>
      </c>
      <c r="H1006">
        <v>200</v>
      </c>
      <c r="J1006">
        <f>Table2[[#This Row],[Hits]]/Table2[[#This Row],[Points]]*100</f>
        <v>1.5</v>
      </c>
      <c r="K1006">
        <f>VLOOKUP(Table2[[#This Row],[Site]],'Site Info'!$A$1:$C$11,2, FALSE)</f>
        <v>11.5</v>
      </c>
      <c r="L1006">
        <f>VLOOKUP(Table2[[#This Row],[Site]],'Site Info'!$A$1:$C$11,3, FALSE)</f>
        <v>11</v>
      </c>
      <c r="M1006" t="str">
        <f>VLOOKUP(Table2[[#This Row],[Species]],'Species Table'!$A$1:$D$68,3, FALSE)</f>
        <v>Annual</v>
      </c>
      <c r="O1006" s="15">
        <f>IF(SUMPRODUCT(($A$2:$A1006=A1006)*($B$2:$B1006=B1006)*($F$2:$F1006=F1006))&gt;1,0,1)</f>
        <v>0</v>
      </c>
      <c r="P1006" s="15">
        <f>IF(SUMPRODUCT(($A$2:$A1006=A1006)*($B$2:$B1006=B1006)*($D$2:$D1006=D1006))&gt;1,0,1)</f>
        <v>1</v>
      </c>
    </row>
    <row r="1007" spans="1:16" hidden="1" x14ac:dyDescent="0.35">
      <c r="A1007" t="s">
        <v>138</v>
      </c>
      <c r="B1007">
        <v>2012</v>
      </c>
      <c r="C1007" t="s">
        <v>122</v>
      </c>
      <c r="D1007">
        <v>10.199999999999999</v>
      </c>
      <c r="E1007">
        <f>INT(Table2[[#This Row],[Transect]])</f>
        <v>10</v>
      </c>
      <c r="F1007" t="s">
        <v>10</v>
      </c>
      <c r="G1007">
        <v>12</v>
      </c>
      <c r="H1007">
        <v>200</v>
      </c>
      <c r="J1007">
        <f>Table2[[#This Row],[Hits]]/Table2[[#This Row],[Points]]*100</f>
        <v>6</v>
      </c>
      <c r="K1007">
        <f>VLOOKUP(Table2[[#This Row],[Site]],'Site Info'!$A$1:$C$11,2, FALSE)</f>
        <v>11.5</v>
      </c>
      <c r="L1007">
        <f>VLOOKUP(Table2[[#This Row],[Site]],'Site Info'!$A$1:$C$11,3, FALSE)</f>
        <v>11</v>
      </c>
      <c r="M1007" t="str">
        <f>VLOOKUP(Table2[[#This Row],[Species]],'Species Table'!$A$1:$D$68,3, FALSE)</f>
        <v>Annual</v>
      </c>
      <c r="O1007" s="15">
        <f>IF(SUMPRODUCT(($A$2:$A1007=A1007)*($B$2:$B1007=B1007)*($F$2:$F1007=F1007))&gt;1,0,1)</f>
        <v>0</v>
      </c>
      <c r="P1007" s="15">
        <f>IF(SUMPRODUCT(($A$2:$A1007=A1007)*($B$2:$B1007=B1007)*($D$2:$D1007=D1007))&gt;1,0,1)</f>
        <v>1</v>
      </c>
    </row>
    <row r="1008" spans="1:16" x14ac:dyDescent="0.35">
      <c r="A1008" t="s">
        <v>138</v>
      </c>
      <c r="B1008">
        <v>2012</v>
      </c>
      <c r="C1008" t="s">
        <v>140</v>
      </c>
      <c r="D1008" t="s">
        <v>141</v>
      </c>
      <c r="E1008">
        <v>11</v>
      </c>
      <c r="F1008" t="s">
        <v>11</v>
      </c>
      <c r="G1008">
        <v>22</v>
      </c>
      <c r="H1008">
        <v>200</v>
      </c>
      <c r="J1008">
        <f>Table2[[#This Row],[Hits]]/Table2[[#This Row],[Points]]*100</f>
        <v>11</v>
      </c>
      <c r="K1008">
        <f>VLOOKUP(Table2[[#This Row],[Site]],'Site Info'!$A$1:$C$11,2, FALSE)</f>
        <v>11.5</v>
      </c>
      <c r="L1008">
        <f>VLOOKUP(Table2[[#This Row],[Site]],'Site Info'!$A$1:$C$11,3, FALSE)</f>
        <v>11</v>
      </c>
      <c r="M1008" t="str">
        <f>VLOOKUP(Table2[[#This Row],[Species]],'Species Table'!$A$1:$D$68,3, FALSE)</f>
        <v>Perennial</v>
      </c>
      <c r="O1008" s="15">
        <f>IF(SUMPRODUCT(($A$2:$A1008=A1008)*($B$2:$B1008=B1008)*($F$2:$F1008=F1008))&gt;1,0,1)</f>
        <v>0</v>
      </c>
      <c r="P1008" s="15">
        <f>IF(SUMPRODUCT(($A$2:$A1008=A1008)*($B$2:$B1008=B1008)*($D$2:$D1008=D1008))&gt;1,0,1)</f>
        <v>1</v>
      </c>
    </row>
    <row r="1009" spans="1:16" x14ac:dyDescent="0.35">
      <c r="A1009" t="s">
        <v>138</v>
      </c>
      <c r="B1009">
        <v>2012</v>
      </c>
      <c r="C1009" t="s">
        <v>140</v>
      </c>
      <c r="D1009" t="s">
        <v>141</v>
      </c>
      <c r="E1009">
        <v>11</v>
      </c>
      <c r="F1009" t="s">
        <v>3</v>
      </c>
      <c r="G1009">
        <v>3</v>
      </c>
      <c r="H1009">
        <v>200</v>
      </c>
      <c r="J1009">
        <f>Table2[[#This Row],[Hits]]/Table2[[#This Row],[Points]]*100</f>
        <v>1.5</v>
      </c>
      <c r="K1009">
        <f>VLOOKUP(Table2[[#This Row],[Site]],'Site Info'!$A$1:$C$11,2, FALSE)</f>
        <v>11.5</v>
      </c>
      <c r="L1009">
        <f>VLOOKUP(Table2[[#This Row],[Site]],'Site Info'!$A$1:$C$11,3, FALSE)</f>
        <v>11</v>
      </c>
      <c r="M1009" t="str">
        <f>VLOOKUP(Table2[[#This Row],[Species]],'Species Table'!$A$1:$D$68,3, FALSE)</f>
        <v>Perennial</v>
      </c>
      <c r="O1009" s="15">
        <f>IF(SUMPRODUCT(($A$2:$A1009=A1009)*($B$2:$B1009=B1009)*($F$2:$F1009=F1009))&gt;1,0,1)</f>
        <v>1</v>
      </c>
      <c r="P1009" s="15">
        <f>IF(SUMPRODUCT(($A$2:$A1009=A1009)*($B$2:$B1009=B1009)*($D$2:$D1009=D1009))&gt;1,0,1)</f>
        <v>0</v>
      </c>
    </row>
    <row r="1010" spans="1:16" x14ac:dyDescent="0.35">
      <c r="A1010" t="s">
        <v>138</v>
      </c>
      <c r="B1010">
        <v>2012</v>
      </c>
      <c r="C1010" t="s">
        <v>140</v>
      </c>
      <c r="D1010" t="s">
        <v>141</v>
      </c>
      <c r="E1010">
        <v>11</v>
      </c>
      <c r="F1010" t="s">
        <v>23</v>
      </c>
      <c r="G1010">
        <v>2</v>
      </c>
      <c r="H1010">
        <v>200</v>
      </c>
      <c r="J1010">
        <f>Table2[[#This Row],[Hits]]/Table2[[#This Row],[Points]]*100</f>
        <v>1</v>
      </c>
      <c r="K1010">
        <f>VLOOKUP(Table2[[#This Row],[Site]],'Site Info'!$A$1:$C$11,2, FALSE)</f>
        <v>11.5</v>
      </c>
      <c r="L1010">
        <f>VLOOKUP(Table2[[#This Row],[Site]],'Site Info'!$A$1:$C$11,3, FALSE)</f>
        <v>11</v>
      </c>
      <c r="M1010" t="str">
        <f>VLOOKUP(Table2[[#This Row],[Species]],'Species Table'!$A$1:$D$68,3, FALSE)</f>
        <v>Perennial</v>
      </c>
      <c r="O1010" s="15">
        <f>IF(SUMPRODUCT(($A$2:$A1010=A1010)*($B$2:$B1010=B1010)*($F$2:$F1010=F1010))&gt;1,0,1)</f>
        <v>1</v>
      </c>
      <c r="P1010" s="15">
        <f>IF(SUMPRODUCT(($A$2:$A1010=A1010)*($B$2:$B1010=B1010)*($D$2:$D1010=D1010))&gt;1,0,1)</f>
        <v>0</v>
      </c>
    </row>
    <row r="1011" spans="1:16" hidden="1" x14ac:dyDescent="0.35">
      <c r="A1011" t="s">
        <v>138</v>
      </c>
      <c r="B1011">
        <v>2012</v>
      </c>
      <c r="C1011" t="s">
        <v>140</v>
      </c>
      <c r="D1011" t="s">
        <v>141</v>
      </c>
      <c r="E1011">
        <v>11</v>
      </c>
      <c r="F1011" t="s">
        <v>10</v>
      </c>
      <c r="G1011">
        <v>28</v>
      </c>
      <c r="H1011">
        <v>200</v>
      </c>
      <c r="J1011">
        <f>Table2[[#This Row],[Hits]]/Table2[[#This Row],[Points]]*100</f>
        <v>14.000000000000002</v>
      </c>
      <c r="K1011">
        <f>VLOOKUP(Table2[[#This Row],[Site]],'Site Info'!$A$1:$C$11,2, FALSE)</f>
        <v>11.5</v>
      </c>
      <c r="L1011">
        <f>VLOOKUP(Table2[[#This Row],[Site]],'Site Info'!$A$1:$C$11,3, FALSE)</f>
        <v>11</v>
      </c>
      <c r="M1011" t="str">
        <f>VLOOKUP(Table2[[#This Row],[Species]],'Species Table'!$A$1:$D$68,3, FALSE)</f>
        <v>Annual</v>
      </c>
      <c r="O1011" s="15">
        <f>IF(SUMPRODUCT(($A$2:$A1011=A1011)*($B$2:$B1011=B1011)*($F$2:$F1011=F1011))&gt;1,0,1)</f>
        <v>0</v>
      </c>
      <c r="P1011" s="15">
        <f>IF(SUMPRODUCT(($A$2:$A1011=A1011)*($B$2:$B1011=B1011)*($D$2:$D1011=D1011))&gt;1,0,1)</f>
        <v>0</v>
      </c>
    </row>
    <row r="1012" spans="1:16" x14ac:dyDescent="0.35">
      <c r="A1012" t="s">
        <v>138</v>
      </c>
      <c r="B1012">
        <v>2012</v>
      </c>
      <c r="C1012" t="s">
        <v>140</v>
      </c>
      <c r="D1012" t="s">
        <v>141</v>
      </c>
      <c r="E1012">
        <v>11</v>
      </c>
      <c r="F1012" t="s">
        <v>29</v>
      </c>
      <c r="G1012">
        <v>1</v>
      </c>
      <c r="H1012">
        <v>200</v>
      </c>
      <c r="J1012">
        <f>Table2[[#This Row],[Hits]]/Table2[[#This Row],[Points]]*100</f>
        <v>0.5</v>
      </c>
      <c r="K1012">
        <f>VLOOKUP(Table2[[#This Row],[Site]],'Site Info'!$A$1:$C$11,2, FALSE)</f>
        <v>11.5</v>
      </c>
      <c r="L1012">
        <f>VLOOKUP(Table2[[#This Row],[Site]],'Site Info'!$A$1:$C$11,3, FALSE)</f>
        <v>11</v>
      </c>
      <c r="M1012" t="str">
        <f>VLOOKUP(Table2[[#This Row],[Species]],'Species Table'!$A$1:$D$68,3, FALSE)</f>
        <v>Perennial</v>
      </c>
      <c r="O1012" s="15">
        <f>IF(SUMPRODUCT(($A$2:$A1012=A1012)*($B$2:$B1012=B1012)*($F$2:$F1012=F1012))&gt;1,0,1)</f>
        <v>0</v>
      </c>
      <c r="P1012" s="15">
        <f>IF(SUMPRODUCT(($A$2:$A1012=A1012)*($B$2:$B1012=B1012)*($D$2:$D1012=D1012))&gt;1,0,1)</f>
        <v>0</v>
      </c>
    </row>
    <row r="1013" spans="1:16" hidden="1" x14ac:dyDescent="0.35">
      <c r="A1013" t="s">
        <v>138</v>
      </c>
      <c r="B1013">
        <v>2012</v>
      </c>
      <c r="C1013" t="s">
        <v>142</v>
      </c>
      <c r="D1013" t="s">
        <v>143</v>
      </c>
      <c r="E1013">
        <v>12</v>
      </c>
      <c r="F1013" t="s">
        <v>10</v>
      </c>
      <c r="G1013">
        <v>15</v>
      </c>
      <c r="H1013">
        <v>200</v>
      </c>
      <c r="J1013">
        <f>Table2[[#This Row],[Hits]]/Table2[[#This Row],[Points]]*100</f>
        <v>7.5</v>
      </c>
      <c r="K1013">
        <f>VLOOKUP(Table2[[#This Row],[Site]],'Site Info'!$A$1:$C$11,2, FALSE)</f>
        <v>11.5</v>
      </c>
      <c r="L1013">
        <f>VLOOKUP(Table2[[#This Row],[Site]],'Site Info'!$A$1:$C$11,3, FALSE)</f>
        <v>11</v>
      </c>
      <c r="M1013" t="str">
        <f>VLOOKUP(Table2[[#This Row],[Species]],'Species Table'!$A$1:$D$68,3, FALSE)</f>
        <v>Annual</v>
      </c>
      <c r="O1013" s="15">
        <f>IF(SUMPRODUCT(($A$2:$A1013=A1013)*($B$2:$B1013=B1013)*($F$2:$F1013=F1013))&gt;1,0,1)</f>
        <v>0</v>
      </c>
      <c r="P1013" s="15">
        <f>IF(SUMPRODUCT(($A$2:$A1013=A1013)*($B$2:$B1013=B1013)*($D$2:$D1013=D1013))&gt;1,0,1)</f>
        <v>1</v>
      </c>
    </row>
    <row r="1014" spans="1:16" x14ac:dyDescent="0.35">
      <c r="A1014" t="s">
        <v>138</v>
      </c>
      <c r="B1014">
        <v>2012</v>
      </c>
      <c r="C1014" t="s">
        <v>142</v>
      </c>
      <c r="D1014" t="s">
        <v>143</v>
      </c>
      <c r="E1014">
        <v>12</v>
      </c>
      <c r="F1014" t="s">
        <v>4</v>
      </c>
      <c r="G1014">
        <v>8</v>
      </c>
      <c r="H1014">
        <v>200</v>
      </c>
      <c r="J1014">
        <f>Table2[[#This Row],[Hits]]/Table2[[#This Row],[Points]]*100</f>
        <v>4</v>
      </c>
      <c r="K1014">
        <f>VLOOKUP(Table2[[#This Row],[Site]],'Site Info'!$A$1:$C$11,2, FALSE)</f>
        <v>11.5</v>
      </c>
      <c r="L1014">
        <f>VLOOKUP(Table2[[#This Row],[Site]],'Site Info'!$A$1:$C$11,3, FALSE)</f>
        <v>11</v>
      </c>
      <c r="M1014" t="str">
        <f>VLOOKUP(Table2[[#This Row],[Species]],'Species Table'!$A$1:$D$68,3, FALSE)</f>
        <v>Perennial</v>
      </c>
      <c r="O1014" s="15">
        <f>IF(SUMPRODUCT(($A$2:$A1014=A1014)*($B$2:$B1014=B1014)*($F$2:$F1014=F1014))&gt;1,0,1)</f>
        <v>1</v>
      </c>
      <c r="P1014" s="15">
        <f>IF(SUMPRODUCT(($A$2:$A1014=A1014)*($B$2:$B1014=B1014)*($D$2:$D1014=D1014))&gt;1,0,1)</f>
        <v>0</v>
      </c>
    </row>
    <row r="1015" spans="1:16" hidden="1" x14ac:dyDescent="0.35">
      <c r="A1015" t="s">
        <v>138</v>
      </c>
      <c r="B1015">
        <v>2012</v>
      </c>
      <c r="C1015" t="s">
        <v>144</v>
      </c>
      <c r="D1015" t="s">
        <v>145</v>
      </c>
      <c r="E1015">
        <v>12</v>
      </c>
      <c r="F1015" t="s">
        <v>10</v>
      </c>
      <c r="G1015">
        <v>13</v>
      </c>
      <c r="H1015">
        <v>200</v>
      </c>
      <c r="J1015">
        <f>Table2[[#This Row],[Hits]]/Table2[[#This Row],[Points]]*100</f>
        <v>6.5</v>
      </c>
      <c r="K1015">
        <f>VLOOKUP(Table2[[#This Row],[Site]],'Site Info'!$A$1:$C$11,2, FALSE)</f>
        <v>11.5</v>
      </c>
      <c r="L1015">
        <f>VLOOKUP(Table2[[#This Row],[Site]],'Site Info'!$A$1:$C$11,3, FALSE)</f>
        <v>11</v>
      </c>
      <c r="M1015" t="str">
        <f>VLOOKUP(Table2[[#This Row],[Species]],'Species Table'!$A$1:$D$68,3, FALSE)</f>
        <v>Annual</v>
      </c>
      <c r="O1015" s="15">
        <f>IF(SUMPRODUCT(($A$2:$A1015=A1015)*($B$2:$B1015=B1015)*($F$2:$F1015=F1015))&gt;1,0,1)</f>
        <v>0</v>
      </c>
      <c r="P1015" s="15">
        <f>IF(SUMPRODUCT(($A$2:$A1015=A1015)*($B$2:$B1015=B1015)*($D$2:$D1015=D1015))&gt;1,0,1)</f>
        <v>1</v>
      </c>
    </row>
    <row r="1016" spans="1:16" hidden="1" x14ac:dyDescent="0.35">
      <c r="A1016" t="s">
        <v>138</v>
      </c>
      <c r="B1016">
        <v>2012</v>
      </c>
      <c r="C1016" t="s">
        <v>146</v>
      </c>
      <c r="D1016" t="s">
        <v>147</v>
      </c>
      <c r="E1016">
        <v>12</v>
      </c>
      <c r="F1016" t="s">
        <v>10</v>
      </c>
      <c r="G1016">
        <v>42</v>
      </c>
      <c r="H1016">
        <v>200</v>
      </c>
      <c r="J1016">
        <f>Table2[[#This Row],[Hits]]/Table2[[#This Row],[Points]]*100</f>
        <v>21</v>
      </c>
      <c r="K1016">
        <f>VLOOKUP(Table2[[#This Row],[Site]],'Site Info'!$A$1:$C$11,2, FALSE)</f>
        <v>11.5</v>
      </c>
      <c r="L1016">
        <f>VLOOKUP(Table2[[#This Row],[Site]],'Site Info'!$A$1:$C$11,3, FALSE)</f>
        <v>11</v>
      </c>
      <c r="M1016" t="str">
        <f>VLOOKUP(Table2[[#This Row],[Species]],'Species Table'!$A$1:$D$68,3, FALSE)</f>
        <v>Annual</v>
      </c>
      <c r="O1016" s="15">
        <f>IF(SUMPRODUCT(($A$2:$A1016=A1016)*($B$2:$B1016=B1016)*($F$2:$F1016=F1016))&gt;1,0,1)</f>
        <v>0</v>
      </c>
      <c r="P1016" s="15">
        <f>IF(SUMPRODUCT(($A$2:$A1016=A1016)*($B$2:$B1016=B1016)*($D$2:$D1016=D1016))&gt;1,0,1)</f>
        <v>1</v>
      </c>
    </row>
    <row r="1017" spans="1:16" hidden="1" x14ac:dyDescent="0.35">
      <c r="A1017" t="s">
        <v>138</v>
      </c>
      <c r="B1017">
        <v>2012</v>
      </c>
      <c r="C1017" t="s">
        <v>148</v>
      </c>
      <c r="D1017" t="s">
        <v>149</v>
      </c>
      <c r="E1017">
        <v>13</v>
      </c>
      <c r="F1017" t="s">
        <v>10</v>
      </c>
      <c r="G1017">
        <v>9</v>
      </c>
      <c r="H1017">
        <v>200</v>
      </c>
      <c r="J1017">
        <f>Table2[[#This Row],[Hits]]/Table2[[#This Row],[Points]]*100</f>
        <v>4.5</v>
      </c>
      <c r="K1017">
        <f>VLOOKUP(Table2[[#This Row],[Site]],'Site Info'!$A$1:$C$11,2, FALSE)</f>
        <v>11.5</v>
      </c>
      <c r="L1017">
        <f>VLOOKUP(Table2[[#This Row],[Site]],'Site Info'!$A$1:$C$11,3, FALSE)</f>
        <v>11</v>
      </c>
      <c r="M1017" t="str">
        <f>VLOOKUP(Table2[[#This Row],[Species]],'Species Table'!$A$1:$D$68,3, FALSE)</f>
        <v>Annual</v>
      </c>
      <c r="O1017" s="15">
        <f>IF(SUMPRODUCT(($A$2:$A1017=A1017)*($B$2:$B1017=B1017)*($F$2:$F1017=F1017))&gt;1,0,1)</f>
        <v>0</v>
      </c>
      <c r="P1017" s="15">
        <f>IF(SUMPRODUCT(($A$2:$A1017=A1017)*($B$2:$B1017=B1017)*($D$2:$D1017=D1017))&gt;1,0,1)</f>
        <v>1</v>
      </c>
    </row>
    <row r="1018" spans="1:16" hidden="1" x14ac:dyDescent="0.35">
      <c r="A1018" t="s">
        <v>21</v>
      </c>
      <c r="B1018">
        <v>1999</v>
      </c>
      <c r="D1018">
        <v>1.1000000000000001</v>
      </c>
      <c r="E1018">
        <f>INT(Table2[[#This Row],[Transect]])</f>
        <v>1</v>
      </c>
      <c r="F1018" t="s">
        <v>127</v>
      </c>
      <c r="G1018">
        <v>0</v>
      </c>
      <c r="H1018">
        <v>29</v>
      </c>
      <c r="J1018">
        <f>Table2[[#This Row],[Hits]]/Table2[[#This Row],[Points]]*100</f>
        <v>0</v>
      </c>
      <c r="K1018">
        <f>VLOOKUP(Table2[[#This Row],[Site]],'Site Info'!$A$1:$C$11,2, FALSE)</f>
        <v>33</v>
      </c>
      <c r="L1018">
        <f>VLOOKUP(Table2[[#This Row],[Site]],'Site Info'!$A$1:$C$11,3, FALSE)</f>
        <v>3</v>
      </c>
      <c r="M1018" t="str">
        <f>VLOOKUP(Table2[[#This Row],[Species]],'Species Table'!$A$1:$D$68,3, FALSE)</f>
        <v>NA</v>
      </c>
      <c r="O1018" s="15">
        <f>IF(SUMPRODUCT(($A$2:$A1018=A1018)*($B$2:$B1018=B1018)*($F$2:$F1018=F1018))&gt;1,0,1)</f>
        <v>1</v>
      </c>
      <c r="P1018" s="15">
        <f>IF(SUMPRODUCT(($A$2:$A1018=A1018)*($B$2:$B1018=B1018)*($D$2:$D1018=D1018))&gt;1,0,1)</f>
        <v>1</v>
      </c>
    </row>
    <row r="1019" spans="1:16" x14ac:dyDescent="0.35">
      <c r="A1019" t="s">
        <v>21</v>
      </c>
      <c r="B1019">
        <v>1999</v>
      </c>
      <c r="D1019">
        <v>2.1</v>
      </c>
      <c r="E1019">
        <f>INT(Table2[[#This Row],[Transect]])</f>
        <v>2</v>
      </c>
      <c r="F1019" t="s">
        <v>2</v>
      </c>
      <c r="G1019">
        <v>2</v>
      </c>
      <c r="H1019">
        <v>32</v>
      </c>
      <c r="J1019">
        <f>Table2[[#This Row],[Hits]]/Table2[[#This Row],[Points]]*100</f>
        <v>6.25</v>
      </c>
      <c r="K1019">
        <f>VLOOKUP(Table2[[#This Row],[Site]],'Site Info'!$A$1:$C$11,2, FALSE)</f>
        <v>33</v>
      </c>
      <c r="L1019">
        <f>VLOOKUP(Table2[[#This Row],[Site]],'Site Info'!$A$1:$C$11,3, FALSE)</f>
        <v>3</v>
      </c>
      <c r="M1019" t="str">
        <f>VLOOKUP(Table2[[#This Row],[Species]],'Species Table'!$A$1:$D$68,3, FALSE)</f>
        <v>Perennial</v>
      </c>
      <c r="O1019" s="15">
        <f>IF(SUMPRODUCT(($A$2:$A1019=A1019)*($B$2:$B1019=B1019)*($F$2:$F1019=F1019))&gt;1,0,1)</f>
        <v>1</v>
      </c>
      <c r="P1019" s="15">
        <f>IF(SUMPRODUCT(($A$2:$A1019=A1019)*($B$2:$B1019=B1019)*($D$2:$D1019=D1019))&gt;1,0,1)</f>
        <v>1</v>
      </c>
    </row>
    <row r="1020" spans="1:16" x14ac:dyDescent="0.35">
      <c r="A1020" t="s">
        <v>21</v>
      </c>
      <c r="B1020">
        <v>1999</v>
      </c>
      <c r="D1020">
        <v>2.1</v>
      </c>
      <c r="E1020">
        <f>INT(Table2[[#This Row],[Transect]])</f>
        <v>2</v>
      </c>
      <c r="F1020" t="s">
        <v>3</v>
      </c>
      <c r="G1020">
        <v>3</v>
      </c>
      <c r="H1020">
        <v>32</v>
      </c>
      <c r="J1020">
        <f>Table2[[#This Row],[Hits]]/Table2[[#This Row],[Points]]*100</f>
        <v>9.375</v>
      </c>
      <c r="K1020">
        <f>VLOOKUP(Table2[[#This Row],[Site]],'Site Info'!$A$1:$C$11,2, FALSE)</f>
        <v>33</v>
      </c>
      <c r="L1020">
        <f>VLOOKUP(Table2[[#This Row],[Site]],'Site Info'!$A$1:$C$11,3, FALSE)</f>
        <v>3</v>
      </c>
      <c r="M1020" t="str">
        <f>VLOOKUP(Table2[[#This Row],[Species]],'Species Table'!$A$1:$D$68,3, FALSE)</f>
        <v>Perennial</v>
      </c>
      <c r="O1020" s="15">
        <f>IF(SUMPRODUCT(($A$2:$A1020=A1020)*($B$2:$B1020=B1020)*($F$2:$F1020=F1020))&gt;1,0,1)</f>
        <v>1</v>
      </c>
      <c r="P1020" s="15">
        <f>IF(SUMPRODUCT(($A$2:$A1020=A1020)*($B$2:$B1020=B1020)*($D$2:$D1020=D1020))&gt;1,0,1)</f>
        <v>0</v>
      </c>
    </row>
    <row r="1021" spans="1:16" x14ac:dyDescent="0.35">
      <c r="A1021" t="s">
        <v>21</v>
      </c>
      <c r="B1021">
        <v>1999</v>
      </c>
      <c r="D1021">
        <v>2.1</v>
      </c>
      <c r="E1021">
        <f>INT(Table2[[#This Row],[Transect]])</f>
        <v>2</v>
      </c>
      <c r="F1021" t="s">
        <v>14</v>
      </c>
      <c r="G1021">
        <v>1</v>
      </c>
      <c r="H1021">
        <v>32</v>
      </c>
      <c r="J1021">
        <f>Table2[[#This Row],[Hits]]/Table2[[#This Row],[Points]]*100</f>
        <v>3.125</v>
      </c>
      <c r="K1021">
        <f>VLOOKUP(Table2[[#This Row],[Site]],'Site Info'!$A$1:$C$11,2, FALSE)</f>
        <v>33</v>
      </c>
      <c r="L1021">
        <f>VLOOKUP(Table2[[#This Row],[Site]],'Site Info'!$A$1:$C$11,3, FALSE)</f>
        <v>3</v>
      </c>
      <c r="M1021" t="str">
        <f>VLOOKUP(Table2[[#This Row],[Species]],'Species Table'!$A$1:$D$68,3, FALSE)</f>
        <v>Perennial</v>
      </c>
      <c r="O1021" s="15">
        <f>IF(SUMPRODUCT(($A$2:$A1021=A1021)*($B$2:$B1021=B1021)*($F$2:$F1021=F1021))&gt;1,0,1)</f>
        <v>1</v>
      </c>
      <c r="P1021" s="15">
        <f>IF(SUMPRODUCT(($A$2:$A1021=A1021)*($B$2:$B1021=B1021)*($D$2:$D1021=D1021))&gt;1,0,1)</f>
        <v>0</v>
      </c>
    </row>
    <row r="1022" spans="1:16" x14ac:dyDescent="0.35">
      <c r="A1022" t="s">
        <v>21</v>
      </c>
      <c r="B1022">
        <v>1999</v>
      </c>
      <c r="D1022">
        <v>3.1</v>
      </c>
      <c r="E1022">
        <f>INT(Table2[[#This Row],[Transect]])</f>
        <v>3</v>
      </c>
      <c r="F1022" t="s">
        <v>3</v>
      </c>
      <c r="G1022">
        <v>2</v>
      </c>
      <c r="H1022">
        <v>36</v>
      </c>
      <c r="J1022">
        <f>Table2[[#This Row],[Hits]]/Table2[[#This Row],[Points]]*100</f>
        <v>5.5555555555555554</v>
      </c>
      <c r="K1022">
        <f>VLOOKUP(Table2[[#This Row],[Site]],'Site Info'!$A$1:$C$11,2, FALSE)</f>
        <v>33</v>
      </c>
      <c r="L1022">
        <f>VLOOKUP(Table2[[#This Row],[Site]],'Site Info'!$A$1:$C$11,3, FALSE)</f>
        <v>3</v>
      </c>
      <c r="M1022" t="str">
        <f>VLOOKUP(Table2[[#This Row],[Species]],'Species Table'!$A$1:$D$68,3, FALSE)</f>
        <v>Perennial</v>
      </c>
      <c r="O1022" s="15">
        <f>IF(SUMPRODUCT(($A$2:$A1022=A1022)*($B$2:$B1022=B1022)*($F$2:$F1022=F1022))&gt;1,0,1)</f>
        <v>0</v>
      </c>
      <c r="P1022" s="15">
        <f>IF(SUMPRODUCT(($A$2:$A1022=A1022)*($B$2:$B1022=B1022)*($D$2:$D1022=D1022))&gt;1,0,1)</f>
        <v>1</v>
      </c>
    </row>
    <row r="1023" spans="1:16" x14ac:dyDescent="0.35">
      <c r="A1023" t="s">
        <v>21</v>
      </c>
      <c r="B1023">
        <v>1999</v>
      </c>
      <c r="D1023">
        <v>4.0999999999999996</v>
      </c>
      <c r="E1023">
        <f>INT(Table2[[#This Row],[Transect]])</f>
        <v>4</v>
      </c>
      <c r="F1023" t="s">
        <v>3</v>
      </c>
      <c r="G1023">
        <v>1</v>
      </c>
      <c r="H1023">
        <v>40</v>
      </c>
      <c r="J1023">
        <f>Table2[[#This Row],[Hits]]/Table2[[#This Row],[Points]]*100</f>
        <v>2.5</v>
      </c>
      <c r="K1023">
        <f>VLOOKUP(Table2[[#This Row],[Site]],'Site Info'!$A$1:$C$11,2, FALSE)</f>
        <v>33</v>
      </c>
      <c r="L1023">
        <f>VLOOKUP(Table2[[#This Row],[Site]],'Site Info'!$A$1:$C$11,3, FALSE)</f>
        <v>3</v>
      </c>
      <c r="M1023" t="str">
        <f>VLOOKUP(Table2[[#This Row],[Species]],'Species Table'!$A$1:$D$68,3, FALSE)</f>
        <v>Perennial</v>
      </c>
      <c r="O1023" s="15">
        <f>IF(SUMPRODUCT(($A$2:$A1023=A1023)*($B$2:$B1023=B1023)*($F$2:$F1023=F1023))&gt;1,0,1)</f>
        <v>0</v>
      </c>
      <c r="P1023" s="15">
        <f>IF(SUMPRODUCT(($A$2:$A1023=A1023)*($B$2:$B1023=B1023)*($D$2:$D1023=D1023))&gt;1,0,1)</f>
        <v>1</v>
      </c>
    </row>
    <row r="1024" spans="1:16" hidden="1" x14ac:dyDescent="0.35">
      <c r="A1024" t="s">
        <v>21</v>
      </c>
      <c r="B1024">
        <v>1999</v>
      </c>
      <c r="D1024">
        <v>4.0999999999999996</v>
      </c>
      <c r="E1024">
        <f>INT(Table2[[#This Row],[Transect]])</f>
        <v>4</v>
      </c>
      <c r="F1024" t="s">
        <v>10</v>
      </c>
      <c r="G1024">
        <v>1</v>
      </c>
      <c r="H1024">
        <v>40</v>
      </c>
      <c r="J1024">
        <f>Table2[[#This Row],[Hits]]/Table2[[#This Row],[Points]]*100</f>
        <v>2.5</v>
      </c>
      <c r="K1024">
        <f>VLOOKUP(Table2[[#This Row],[Site]],'Site Info'!$A$1:$C$11,2, FALSE)</f>
        <v>33</v>
      </c>
      <c r="L1024">
        <f>VLOOKUP(Table2[[#This Row],[Site]],'Site Info'!$A$1:$C$11,3, FALSE)</f>
        <v>3</v>
      </c>
      <c r="M1024" t="str">
        <f>VLOOKUP(Table2[[#This Row],[Species]],'Species Table'!$A$1:$D$68,3, FALSE)</f>
        <v>Annual</v>
      </c>
      <c r="O1024" s="15">
        <f>IF(SUMPRODUCT(($A$2:$A1024=A1024)*($B$2:$B1024=B1024)*($F$2:$F1024=F1024))&gt;1,0,1)</f>
        <v>1</v>
      </c>
      <c r="P1024" s="15">
        <f>IF(SUMPRODUCT(($A$2:$A1024=A1024)*($B$2:$B1024=B1024)*($D$2:$D1024=D1024))&gt;1,0,1)</f>
        <v>0</v>
      </c>
    </row>
    <row r="1025" spans="1:16" x14ac:dyDescent="0.35">
      <c r="A1025" t="s">
        <v>21</v>
      </c>
      <c r="B1025">
        <v>1999</v>
      </c>
      <c r="D1025">
        <v>5.0999999999999996</v>
      </c>
      <c r="E1025">
        <f>INT(Table2[[#This Row],[Transect]])</f>
        <v>5</v>
      </c>
      <c r="F1025" t="s">
        <v>3</v>
      </c>
      <c r="G1025">
        <v>1</v>
      </c>
      <c r="H1025">
        <v>44</v>
      </c>
      <c r="J1025">
        <f>Table2[[#This Row],[Hits]]/Table2[[#This Row],[Points]]*100</f>
        <v>2.2727272727272729</v>
      </c>
      <c r="K1025">
        <f>VLOOKUP(Table2[[#This Row],[Site]],'Site Info'!$A$1:$C$11,2, FALSE)</f>
        <v>33</v>
      </c>
      <c r="L1025">
        <f>VLOOKUP(Table2[[#This Row],[Site]],'Site Info'!$A$1:$C$11,3, FALSE)</f>
        <v>3</v>
      </c>
      <c r="M1025" t="str">
        <f>VLOOKUP(Table2[[#This Row],[Species]],'Species Table'!$A$1:$D$68,3, FALSE)</f>
        <v>Perennial</v>
      </c>
      <c r="O1025" s="15">
        <f>IF(SUMPRODUCT(($A$2:$A1025=A1025)*($B$2:$B1025=B1025)*($F$2:$F1025=F1025))&gt;1,0,1)</f>
        <v>0</v>
      </c>
      <c r="P1025" s="15">
        <f>IF(SUMPRODUCT(($A$2:$A1025=A1025)*($B$2:$B1025=B1025)*($D$2:$D1025=D1025))&gt;1,0,1)</f>
        <v>1</v>
      </c>
    </row>
    <row r="1026" spans="1:16" hidden="1" x14ac:dyDescent="0.35">
      <c r="A1026" t="s">
        <v>21</v>
      </c>
      <c r="B1026">
        <v>1999</v>
      </c>
      <c r="D1026">
        <v>5.0999999999999996</v>
      </c>
      <c r="E1026">
        <f>INT(Table2[[#This Row],[Transect]])</f>
        <v>5</v>
      </c>
      <c r="F1026" t="s">
        <v>10</v>
      </c>
      <c r="G1026">
        <v>1</v>
      </c>
      <c r="H1026">
        <v>44</v>
      </c>
      <c r="J1026">
        <f>Table2[[#This Row],[Hits]]/Table2[[#This Row],[Points]]*100</f>
        <v>2.2727272727272729</v>
      </c>
      <c r="K1026">
        <f>VLOOKUP(Table2[[#This Row],[Site]],'Site Info'!$A$1:$C$11,2, FALSE)</f>
        <v>33</v>
      </c>
      <c r="L1026">
        <f>VLOOKUP(Table2[[#This Row],[Site]],'Site Info'!$A$1:$C$11,3, FALSE)</f>
        <v>3</v>
      </c>
      <c r="M1026" t="str">
        <f>VLOOKUP(Table2[[#This Row],[Species]],'Species Table'!$A$1:$D$68,3, FALSE)</f>
        <v>Annual</v>
      </c>
      <c r="O1026" s="15">
        <f>IF(SUMPRODUCT(($A$2:$A1026=A1026)*($B$2:$B1026=B1026)*($F$2:$F1026=F1026))&gt;1,0,1)</f>
        <v>0</v>
      </c>
      <c r="P1026" s="15">
        <f>IF(SUMPRODUCT(($A$2:$A1026=A1026)*($B$2:$B1026=B1026)*($D$2:$D1026=D1026))&gt;1,0,1)</f>
        <v>0</v>
      </c>
    </row>
    <row r="1027" spans="1:16" x14ac:dyDescent="0.35">
      <c r="A1027" t="s">
        <v>21</v>
      </c>
      <c r="B1027">
        <v>1999</v>
      </c>
      <c r="D1027">
        <v>6.1</v>
      </c>
      <c r="E1027">
        <f>INT(Table2[[#This Row],[Transect]])</f>
        <v>6</v>
      </c>
      <c r="F1027" t="s">
        <v>3</v>
      </c>
      <c r="G1027">
        <v>5</v>
      </c>
      <c r="H1027">
        <v>48</v>
      </c>
      <c r="J1027">
        <f>Table2[[#This Row],[Hits]]/Table2[[#This Row],[Points]]*100</f>
        <v>10.416666666666668</v>
      </c>
      <c r="K1027">
        <f>VLOOKUP(Table2[[#This Row],[Site]],'Site Info'!$A$1:$C$11,2, FALSE)</f>
        <v>33</v>
      </c>
      <c r="L1027">
        <f>VLOOKUP(Table2[[#This Row],[Site]],'Site Info'!$A$1:$C$11,3, FALSE)</f>
        <v>3</v>
      </c>
      <c r="M1027" t="str">
        <f>VLOOKUP(Table2[[#This Row],[Species]],'Species Table'!$A$1:$D$68,3, FALSE)</f>
        <v>Perennial</v>
      </c>
      <c r="O1027" s="15">
        <f>IF(SUMPRODUCT(($A$2:$A1027=A1027)*($B$2:$B1027=B1027)*($F$2:$F1027=F1027))&gt;1,0,1)</f>
        <v>0</v>
      </c>
      <c r="P1027" s="15">
        <f>IF(SUMPRODUCT(($A$2:$A1027=A1027)*($B$2:$B1027=B1027)*($D$2:$D1027=D1027))&gt;1,0,1)</f>
        <v>1</v>
      </c>
    </row>
    <row r="1028" spans="1:16" hidden="1" x14ac:dyDescent="0.35">
      <c r="A1028" t="s">
        <v>21</v>
      </c>
      <c r="B1028">
        <v>1999</v>
      </c>
      <c r="D1028">
        <v>6.1</v>
      </c>
      <c r="E1028">
        <f>INT(Table2[[#This Row],[Transect]])</f>
        <v>6</v>
      </c>
      <c r="F1028" t="s">
        <v>10</v>
      </c>
      <c r="G1028">
        <v>1</v>
      </c>
      <c r="H1028">
        <v>48</v>
      </c>
      <c r="J1028">
        <f>Table2[[#This Row],[Hits]]/Table2[[#This Row],[Points]]*100</f>
        <v>2.083333333333333</v>
      </c>
      <c r="K1028">
        <f>VLOOKUP(Table2[[#This Row],[Site]],'Site Info'!$A$1:$C$11,2, FALSE)</f>
        <v>33</v>
      </c>
      <c r="L1028">
        <f>VLOOKUP(Table2[[#This Row],[Site]],'Site Info'!$A$1:$C$11,3, FALSE)</f>
        <v>3</v>
      </c>
      <c r="M1028" t="str">
        <f>VLOOKUP(Table2[[#This Row],[Species]],'Species Table'!$A$1:$D$68,3, FALSE)</f>
        <v>Annual</v>
      </c>
      <c r="O1028" s="15">
        <f>IF(SUMPRODUCT(($A$2:$A1028=A1028)*($B$2:$B1028=B1028)*($F$2:$F1028=F1028))&gt;1,0,1)</f>
        <v>0</v>
      </c>
      <c r="P1028" s="15">
        <f>IF(SUMPRODUCT(($A$2:$A1028=A1028)*($B$2:$B1028=B1028)*($D$2:$D1028=D1028))&gt;1,0,1)</f>
        <v>0</v>
      </c>
    </row>
    <row r="1029" spans="1:16" hidden="1" x14ac:dyDescent="0.35">
      <c r="A1029" t="s">
        <v>21</v>
      </c>
      <c r="B1029">
        <v>1999</v>
      </c>
      <c r="D1029">
        <v>6.1</v>
      </c>
      <c r="E1029">
        <f>INT(Table2[[#This Row],[Transect]])</f>
        <v>6</v>
      </c>
      <c r="F1029" t="s">
        <v>22</v>
      </c>
      <c r="G1029">
        <v>1</v>
      </c>
      <c r="H1029">
        <v>48</v>
      </c>
      <c r="J1029">
        <f>Table2[[#This Row],[Hits]]/Table2[[#This Row],[Points]]*100</f>
        <v>2.083333333333333</v>
      </c>
      <c r="K1029">
        <f>VLOOKUP(Table2[[#This Row],[Site]],'Site Info'!$A$1:$C$11,2, FALSE)</f>
        <v>33</v>
      </c>
      <c r="L1029">
        <f>VLOOKUP(Table2[[#This Row],[Site]],'Site Info'!$A$1:$C$11,3, FALSE)</f>
        <v>3</v>
      </c>
      <c r="M1029" t="str">
        <f>VLOOKUP(Table2[[#This Row],[Species]],'Species Table'!$A$1:$D$68,3, FALSE)</f>
        <v>Annual/Biennial/Perennial</v>
      </c>
      <c r="O1029" s="15">
        <f>IF(SUMPRODUCT(($A$2:$A1029=A1029)*($B$2:$B1029=B1029)*($F$2:$F1029=F1029))&gt;1,0,1)</f>
        <v>1</v>
      </c>
      <c r="P1029" s="15">
        <f>IF(SUMPRODUCT(($A$2:$A1029=A1029)*($B$2:$B1029=B1029)*($D$2:$D1029=D1029))&gt;1,0,1)</f>
        <v>0</v>
      </c>
    </row>
    <row r="1030" spans="1:16" x14ac:dyDescent="0.35">
      <c r="A1030" t="s">
        <v>21</v>
      </c>
      <c r="B1030">
        <v>1999</v>
      </c>
      <c r="D1030">
        <v>7.1</v>
      </c>
      <c r="E1030">
        <f>INT(Table2[[#This Row],[Transect]])</f>
        <v>7</v>
      </c>
      <c r="F1030" t="s">
        <v>5</v>
      </c>
      <c r="G1030">
        <v>2</v>
      </c>
      <c r="H1030">
        <v>51</v>
      </c>
      <c r="J1030">
        <f>Table2[[#This Row],[Hits]]/Table2[[#This Row],[Points]]*100</f>
        <v>3.9215686274509802</v>
      </c>
      <c r="K1030">
        <f>VLOOKUP(Table2[[#This Row],[Site]],'Site Info'!$A$1:$C$11,2, FALSE)</f>
        <v>33</v>
      </c>
      <c r="L1030">
        <f>VLOOKUP(Table2[[#This Row],[Site]],'Site Info'!$A$1:$C$11,3, FALSE)</f>
        <v>3</v>
      </c>
      <c r="M1030" t="str">
        <f>VLOOKUP(Table2[[#This Row],[Species]],'Species Table'!$A$1:$D$68,3, FALSE)</f>
        <v>Perennial</v>
      </c>
      <c r="O1030" s="15">
        <f>IF(SUMPRODUCT(($A$2:$A1030=A1030)*($B$2:$B1030=B1030)*($F$2:$F1030=F1030))&gt;1,0,1)</f>
        <v>1</v>
      </c>
      <c r="P1030" s="15">
        <f>IF(SUMPRODUCT(($A$2:$A1030=A1030)*($B$2:$B1030=B1030)*($D$2:$D1030=D1030))&gt;1,0,1)</f>
        <v>1</v>
      </c>
    </row>
    <row r="1031" spans="1:16" hidden="1" x14ac:dyDescent="0.35">
      <c r="A1031" t="s">
        <v>21</v>
      </c>
      <c r="B1031">
        <v>1999</v>
      </c>
      <c r="D1031">
        <v>8.1</v>
      </c>
      <c r="E1031">
        <f>INT(Table2[[#This Row],[Transect]])</f>
        <v>8</v>
      </c>
      <c r="F1031" t="s">
        <v>10</v>
      </c>
      <c r="G1031">
        <v>2</v>
      </c>
      <c r="H1031">
        <v>48</v>
      </c>
      <c r="J1031">
        <f>Table2[[#This Row],[Hits]]/Table2[[#This Row],[Points]]*100</f>
        <v>4.1666666666666661</v>
      </c>
      <c r="K1031">
        <f>VLOOKUP(Table2[[#This Row],[Site]],'Site Info'!$A$1:$C$11,2, FALSE)</f>
        <v>33</v>
      </c>
      <c r="L1031">
        <f>VLOOKUP(Table2[[#This Row],[Site]],'Site Info'!$A$1:$C$11,3, FALSE)</f>
        <v>3</v>
      </c>
      <c r="M1031" t="str">
        <f>VLOOKUP(Table2[[#This Row],[Species]],'Species Table'!$A$1:$D$68,3, FALSE)</f>
        <v>Annual</v>
      </c>
      <c r="O1031" s="15">
        <f>IF(SUMPRODUCT(($A$2:$A1031=A1031)*($B$2:$B1031=B1031)*($F$2:$F1031=F1031))&gt;1,0,1)</f>
        <v>0</v>
      </c>
      <c r="P1031" s="15">
        <f>IF(SUMPRODUCT(($A$2:$A1031=A1031)*($B$2:$B1031=B1031)*($D$2:$D1031=D1031))&gt;1,0,1)</f>
        <v>1</v>
      </c>
    </row>
    <row r="1032" spans="1:16" x14ac:dyDescent="0.35">
      <c r="A1032" t="s">
        <v>21</v>
      </c>
      <c r="B1032">
        <v>1999</v>
      </c>
      <c r="D1032">
        <v>9.1</v>
      </c>
      <c r="E1032">
        <f>INT(Table2[[#This Row],[Transect]])</f>
        <v>9</v>
      </c>
      <c r="F1032" t="s">
        <v>3</v>
      </c>
      <c r="G1032">
        <v>4</v>
      </c>
      <c r="H1032">
        <v>42</v>
      </c>
      <c r="J1032">
        <f>Table2[[#This Row],[Hits]]/Table2[[#This Row],[Points]]*100</f>
        <v>9.5238095238095237</v>
      </c>
      <c r="K1032">
        <f>VLOOKUP(Table2[[#This Row],[Site]],'Site Info'!$A$1:$C$11,2, FALSE)</f>
        <v>33</v>
      </c>
      <c r="L1032">
        <f>VLOOKUP(Table2[[#This Row],[Site]],'Site Info'!$A$1:$C$11,3, FALSE)</f>
        <v>3</v>
      </c>
      <c r="M1032" t="str">
        <f>VLOOKUP(Table2[[#This Row],[Species]],'Species Table'!$A$1:$D$68,3, FALSE)</f>
        <v>Perennial</v>
      </c>
      <c r="O1032" s="15">
        <f>IF(SUMPRODUCT(($A$2:$A1032=A1032)*($B$2:$B1032=B1032)*($F$2:$F1032=F1032))&gt;1,0,1)</f>
        <v>0</v>
      </c>
      <c r="P1032" s="15">
        <f>IF(SUMPRODUCT(($A$2:$A1032=A1032)*($B$2:$B1032=B1032)*($D$2:$D1032=D1032))&gt;1,0,1)</f>
        <v>1</v>
      </c>
    </row>
    <row r="1033" spans="1:16" hidden="1" x14ac:dyDescent="0.35">
      <c r="A1033" t="s">
        <v>21</v>
      </c>
      <c r="B1033">
        <v>1999</v>
      </c>
      <c r="D1033">
        <v>9.1</v>
      </c>
      <c r="E1033">
        <f>INT(Table2[[#This Row],[Transect]])</f>
        <v>9</v>
      </c>
      <c r="F1033" t="s">
        <v>10</v>
      </c>
      <c r="G1033">
        <v>2</v>
      </c>
      <c r="H1033">
        <v>42</v>
      </c>
      <c r="J1033">
        <f>Table2[[#This Row],[Hits]]/Table2[[#This Row],[Points]]*100</f>
        <v>4.7619047619047619</v>
      </c>
      <c r="K1033">
        <f>VLOOKUP(Table2[[#This Row],[Site]],'Site Info'!$A$1:$C$11,2, FALSE)</f>
        <v>33</v>
      </c>
      <c r="L1033">
        <f>VLOOKUP(Table2[[#This Row],[Site]],'Site Info'!$A$1:$C$11,3, FALSE)</f>
        <v>3</v>
      </c>
      <c r="M1033" t="str">
        <f>VLOOKUP(Table2[[#This Row],[Species]],'Species Table'!$A$1:$D$68,3, FALSE)</f>
        <v>Annual</v>
      </c>
      <c r="O1033" s="15">
        <f>IF(SUMPRODUCT(($A$2:$A1033=A1033)*($B$2:$B1033=B1033)*($F$2:$F1033=F1033))&gt;1,0,1)</f>
        <v>0</v>
      </c>
      <c r="P1033" s="15">
        <f>IF(SUMPRODUCT(($A$2:$A1033=A1033)*($B$2:$B1033=B1033)*($D$2:$D1033=D1033))&gt;1,0,1)</f>
        <v>0</v>
      </c>
    </row>
    <row r="1034" spans="1:16" x14ac:dyDescent="0.35">
      <c r="A1034" t="s">
        <v>21</v>
      </c>
      <c r="B1034">
        <v>1999</v>
      </c>
      <c r="D1034">
        <v>10.1</v>
      </c>
      <c r="E1034">
        <f>INT(Table2[[#This Row],[Transect]])</f>
        <v>10</v>
      </c>
      <c r="F1034" t="s">
        <v>3</v>
      </c>
      <c r="G1034">
        <v>2</v>
      </c>
      <c r="H1034">
        <v>37</v>
      </c>
      <c r="J1034">
        <f>Table2[[#This Row],[Hits]]/Table2[[#This Row],[Points]]*100</f>
        <v>5.4054054054054053</v>
      </c>
      <c r="K1034">
        <f>VLOOKUP(Table2[[#This Row],[Site]],'Site Info'!$A$1:$C$11,2, FALSE)</f>
        <v>33</v>
      </c>
      <c r="L1034">
        <f>VLOOKUP(Table2[[#This Row],[Site]],'Site Info'!$A$1:$C$11,3, FALSE)</f>
        <v>3</v>
      </c>
      <c r="M1034" t="str">
        <f>VLOOKUP(Table2[[#This Row],[Species]],'Species Table'!$A$1:$D$68,3, FALSE)</f>
        <v>Perennial</v>
      </c>
      <c r="O1034" s="15">
        <f>IF(SUMPRODUCT(($A$2:$A1034=A1034)*($B$2:$B1034=B1034)*($F$2:$F1034=F1034))&gt;1,0,1)</f>
        <v>0</v>
      </c>
      <c r="P1034" s="15">
        <f>IF(SUMPRODUCT(($A$2:$A1034=A1034)*($B$2:$B1034=B1034)*($D$2:$D1034=D1034))&gt;1,0,1)</f>
        <v>1</v>
      </c>
    </row>
    <row r="1035" spans="1:16" hidden="1" x14ac:dyDescent="0.35">
      <c r="A1035" t="s">
        <v>21</v>
      </c>
      <c r="B1035">
        <v>1999</v>
      </c>
      <c r="D1035">
        <v>10.1</v>
      </c>
      <c r="E1035">
        <f>INT(Table2[[#This Row],[Transect]])</f>
        <v>10</v>
      </c>
      <c r="F1035" t="s">
        <v>10</v>
      </c>
      <c r="G1035">
        <v>2</v>
      </c>
      <c r="H1035">
        <v>37</v>
      </c>
      <c r="J1035">
        <f>Table2[[#This Row],[Hits]]/Table2[[#This Row],[Points]]*100</f>
        <v>5.4054054054054053</v>
      </c>
      <c r="K1035">
        <f>VLOOKUP(Table2[[#This Row],[Site]],'Site Info'!$A$1:$C$11,2, FALSE)</f>
        <v>33</v>
      </c>
      <c r="L1035">
        <f>VLOOKUP(Table2[[#This Row],[Site]],'Site Info'!$A$1:$C$11,3, FALSE)</f>
        <v>3</v>
      </c>
      <c r="M1035" t="str">
        <f>VLOOKUP(Table2[[#This Row],[Species]],'Species Table'!$A$1:$D$68,3, FALSE)</f>
        <v>Annual</v>
      </c>
      <c r="O1035" s="15">
        <f>IF(SUMPRODUCT(($A$2:$A1035=A1035)*($B$2:$B1035=B1035)*($F$2:$F1035=F1035))&gt;1,0,1)</f>
        <v>0</v>
      </c>
      <c r="P1035" s="15">
        <f>IF(SUMPRODUCT(($A$2:$A1035=A1035)*($B$2:$B1035=B1035)*($D$2:$D1035=D1035))&gt;1,0,1)</f>
        <v>0</v>
      </c>
    </row>
    <row r="1036" spans="1:16" hidden="1" x14ac:dyDescent="0.35">
      <c r="A1036" t="s">
        <v>21</v>
      </c>
      <c r="B1036">
        <v>1999</v>
      </c>
      <c r="D1036">
        <v>10.1</v>
      </c>
      <c r="E1036">
        <f>INT(Table2[[#This Row],[Transect]])</f>
        <v>10</v>
      </c>
      <c r="F1036" t="s">
        <v>22</v>
      </c>
      <c r="G1036">
        <v>1</v>
      </c>
      <c r="H1036">
        <v>37</v>
      </c>
      <c r="J1036">
        <f>Table2[[#This Row],[Hits]]/Table2[[#This Row],[Points]]*100</f>
        <v>2.7027027027027026</v>
      </c>
      <c r="K1036">
        <f>VLOOKUP(Table2[[#This Row],[Site]],'Site Info'!$A$1:$C$11,2, FALSE)</f>
        <v>33</v>
      </c>
      <c r="L1036">
        <f>VLOOKUP(Table2[[#This Row],[Site]],'Site Info'!$A$1:$C$11,3, FALSE)</f>
        <v>3</v>
      </c>
      <c r="M1036" t="str">
        <f>VLOOKUP(Table2[[#This Row],[Species]],'Species Table'!$A$1:$D$68,3, FALSE)</f>
        <v>Annual/Biennial/Perennial</v>
      </c>
      <c r="O1036" s="15">
        <f>IF(SUMPRODUCT(($A$2:$A1036=A1036)*($B$2:$B1036=B1036)*($F$2:$F1036=F1036))&gt;1,0,1)</f>
        <v>0</v>
      </c>
      <c r="P1036" s="15">
        <f>IF(SUMPRODUCT(($A$2:$A1036=A1036)*($B$2:$B1036=B1036)*($D$2:$D1036=D1036))&gt;1,0,1)</f>
        <v>0</v>
      </c>
    </row>
    <row r="1037" spans="1:16" hidden="1" x14ac:dyDescent="0.35">
      <c r="A1037" t="s">
        <v>21</v>
      </c>
      <c r="B1037">
        <v>1999</v>
      </c>
      <c r="D1037">
        <v>11.1</v>
      </c>
      <c r="E1037">
        <f>INT(Table2[[#This Row],[Transect]])</f>
        <v>11</v>
      </c>
      <c r="F1037" t="s">
        <v>10</v>
      </c>
      <c r="G1037">
        <v>1</v>
      </c>
      <c r="H1037">
        <v>32</v>
      </c>
      <c r="J1037">
        <f>Table2[[#This Row],[Hits]]/Table2[[#This Row],[Points]]*100</f>
        <v>3.125</v>
      </c>
      <c r="K1037">
        <f>VLOOKUP(Table2[[#This Row],[Site]],'Site Info'!$A$1:$C$11,2, FALSE)</f>
        <v>33</v>
      </c>
      <c r="L1037">
        <f>VLOOKUP(Table2[[#This Row],[Site]],'Site Info'!$A$1:$C$11,3, FALSE)</f>
        <v>3</v>
      </c>
      <c r="M1037" t="str">
        <f>VLOOKUP(Table2[[#This Row],[Species]],'Species Table'!$A$1:$D$68,3, FALSE)</f>
        <v>Annual</v>
      </c>
      <c r="O1037" s="15">
        <f>IF(SUMPRODUCT(($A$2:$A1037=A1037)*($B$2:$B1037=B1037)*($F$2:$F1037=F1037))&gt;1,0,1)</f>
        <v>0</v>
      </c>
      <c r="P1037" s="15">
        <f>IF(SUMPRODUCT(($A$2:$A1037=A1037)*($B$2:$B1037=B1037)*($D$2:$D1037=D1037))&gt;1,0,1)</f>
        <v>1</v>
      </c>
    </row>
    <row r="1038" spans="1:16" hidden="1" x14ac:dyDescent="0.35">
      <c r="A1038" t="s">
        <v>21</v>
      </c>
      <c r="B1038">
        <v>1999</v>
      </c>
      <c r="D1038">
        <v>12.1</v>
      </c>
      <c r="E1038">
        <f>INT(Table2[[#This Row],[Transect]])</f>
        <v>12</v>
      </c>
      <c r="F1038" t="s">
        <v>10</v>
      </c>
      <c r="G1038">
        <v>1</v>
      </c>
      <c r="H1038">
        <v>28</v>
      </c>
      <c r="J1038">
        <f>Table2[[#This Row],[Hits]]/Table2[[#This Row],[Points]]*100</f>
        <v>3.5714285714285712</v>
      </c>
      <c r="K1038">
        <f>VLOOKUP(Table2[[#This Row],[Site]],'Site Info'!$A$1:$C$11,2, FALSE)</f>
        <v>33</v>
      </c>
      <c r="L1038">
        <f>VLOOKUP(Table2[[#This Row],[Site]],'Site Info'!$A$1:$C$11,3, FALSE)</f>
        <v>3</v>
      </c>
      <c r="M1038" t="str">
        <f>VLOOKUP(Table2[[#This Row],[Species]],'Species Table'!$A$1:$D$68,3, FALSE)</f>
        <v>Annual</v>
      </c>
      <c r="O1038" s="15">
        <f>IF(SUMPRODUCT(($A$2:$A1038=A1038)*($B$2:$B1038=B1038)*($F$2:$F1038=F1038))&gt;1,0,1)</f>
        <v>0</v>
      </c>
      <c r="P1038" s="15">
        <f>IF(SUMPRODUCT(($A$2:$A1038=A1038)*($B$2:$B1038=B1038)*($D$2:$D1038=D1038))&gt;1,0,1)</f>
        <v>1</v>
      </c>
    </row>
    <row r="1039" spans="1:16" hidden="1" x14ac:dyDescent="0.35">
      <c r="A1039" t="s">
        <v>21</v>
      </c>
      <c r="B1039">
        <v>1999</v>
      </c>
      <c r="D1039">
        <v>13.1</v>
      </c>
      <c r="E1039">
        <f>INT(Table2[[#This Row],[Transect]])</f>
        <v>13</v>
      </c>
      <c r="F1039" t="s">
        <v>127</v>
      </c>
      <c r="G1039">
        <v>0</v>
      </c>
      <c r="H1039">
        <v>29</v>
      </c>
      <c r="J1039">
        <f>Table2[[#This Row],[Hits]]/Table2[[#This Row],[Points]]*100</f>
        <v>0</v>
      </c>
      <c r="K1039">
        <f>VLOOKUP(Table2[[#This Row],[Site]],'Site Info'!$A$1:$C$11,2, FALSE)</f>
        <v>33</v>
      </c>
      <c r="L1039">
        <f>VLOOKUP(Table2[[#This Row],[Site]],'Site Info'!$A$1:$C$11,3, FALSE)</f>
        <v>3</v>
      </c>
      <c r="M1039" t="str">
        <f>VLOOKUP(Table2[[#This Row],[Species]],'Species Table'!$A$1:$D$68,3, FALSE)</f>
        <v>NA</v>
      </c>
      <c r="O1039" s="15">
        <f>IF(SUMPRODUCT(($A$2:$A1039=A1039)*($B$2:$B1039=B1039)*($F$2:$F1039=F1039))&gt;1,0,1)</f>
        <v>0</v>
      </c>
      <c r="P1039" s="15">
        <f>IF(SUMPRODUCT(($A$2:$A1039=A1039)*($B$2:$B1039=B1039)*($D$2:$D1039=D1039))&gt;1,0,1)</f>
        <v>1</v>
      </c>
    </row>
    <row r="1040" spans="1:16" hidden="1" x14ac:dyDescent="0.35">
      <c r="A1040" t="s">
        <v>21</v>
      </c>
      <c r="B1040">
        <v>1999</v>
      </c>
      <c r="D1040">
        <v>14.1</v>
      </c>
      <c r="E1040">
        <f>INT(Table2[[#This Row],[Transect]])</f>
        <v>14</v>
      </c>
      <c r="F1040" t="s">
        <v>10</v>
      </c>
      <c r="G1040">
        <v>2</v>
      </c>
      <c r="H1040">
        <v>23</v>
      </c>
      <c r="J1040">
        <f>Table2[[#This Row],[Hits]]/Table2[[#This Row],[Points]]*100</f>
        <v>8.695652173913043</v>
      </c>
      <c r="K1040">
        <f>VLOOKUP(Table2[[#This Row],[Site]],'Site Info'!$A$1:$C$11,2, FALSE)</f>
        <v>33</v>
      </c>
      <c r="L1040">
        <f>VLOOKUP(Table2[[#This Row],[Site]],'Site Info'!$A$1:$C$11,3, FALSE)</f>
        <v>3</v>
      </c>
      <c r="M1040" t="str">
        <f>VLOOKUP(Table2[[#This Row],[Species]],'Species Table'!$A$1:$D$68,3, FALSE)</f>
        <v>Annual</v>
      </c>
      <c r="O1040" s="15">
        <f>IF(SUMPRODUCT(($A$2:$A1040=A1040)*($B$2:$B1040=B1040)*($F$2:$F1040=F1040))&gt;1,0,1)</f>
        <v>0</v>
      </c>
      <c r="P1040" s="15">
        <f>IF(SUMPRODUCT(($A$2:$A1040=A1040)*($B$2:$B1040=B1040)*($D$2:$D1040=D1040))&gt;1,0,1)</f>
        <v>1</v>
      </c>
    </row>
    <row r="1041" spans="1:16" hidden="1" x14ac:dyDescent="0.35">
      <c r="A1041" t="s">
        <v>21</v>
      </c>
      <c r="B1041">
        <v>1999</v>
      </c>
      <c r="D1041">
        <v>15.1</v>
      </c>
      <c r="E1041">
        <f>INT(Table2[[#This Row],[Transect]])</f>
        <v>15</v>
      </c>
      <c r="F1041" t="s">
        <v>127</v>
      </c>
      <c r="G1041">
        <v>0</v>
      </c>
      <c r="H1041">
        <v>18</v>
      </c>
      <c r="J1041">
        <f>Table2[[#This Row],[Hits]]/Table2[[#This Row],[Points]]*100</f>
        <v>0</v>
      </c>
      <c r="K1041">
        <f>VLOOKUP(Table2[[#This Row],[Site]],'Site Info'!$A$1:$C$11,2, FALSE)</f>
        <v>33</v>
      </c>
      <c r="L1041">
        <f>VLOOKUP(Table2[[#This Row],[Site]],'Site Info'!$A$1:$C$11,3, FALSE)</f>
        <v>3</v>
      </c>
      <c r="M1041" t="str">
        <f>VLOOKUP(Table2[[#This Row],[Species]],'Species Table'!$A$1:$D$68,3, FALSE)</f>
        <v>NA</v>
      </c>
      <c r="O1041" s="15">
        <f>IF(SUMPRODUCT(($A$2:$A1041=A1041)*($B$2:$B1041=B1041)*($F$2:$F1041=F1041))&gt;1,0,1)</f>
        <v>0</v>
      </c>
      <c r="P1041" s="15">
        <f>IF(SUMPRODUCT(($A$2:$A1041=A1041)*($B$2:$B1041=B1041)*($D$2:$D1041=D1041))&gt;1,0,1)</f>
        <v>1</v>
      </c>
    </row>
    <row r="1042" spans="1:16" hidden="1" x14ac:dyDescent="0.35">
      <c r="A1042" t="s">
        <v>21</v>
      </c>
      <c r="B1042">
        <v>1999</v>
      </c>
      <c r="D1042">
        <v>16.100000000000001</v>
      </c>
      <c r="E1042">
        <f>INT(Table2[[#This Row],[Transect]])</f>
        <v>16</v>
      </c>
      <c r="F1042" t="s">
        <v>20</v>
      </c>
      <c r="G1042">
        <v>2</v>
      </c>
      <c r="H1042">
        <v>13</v>
      </c>
      <c r="J1042">
        <f>Table2[[#This Row],[Hits]]/Table2[[#This Row],[Points]]*100</f>
        <v>15.384615384615385</v>
      </c>
      <c r="K1042">
        <f>VLOOKUP(Table2[[#This Row],[Site]],'Site Info'!$A$1:$C$11,2, FALSE)</f>
        <v>33</v>
      </c>
      <c r="L1042">
        <f>VLOOKUP(Table2[[#This Row],[Site]],'Site Info'!$A$1:$C$11,3, FALSE)</f>
        <v>3</v>
      </c>
      <c r="M1042" t="str">
        <f>VLOOKUP(Table2[[#This Row],[Species]],'Species Table'!$A$1:$D$68,3, FALSE)</f>
        <v>Annual</v>
      </c>
      <c r="O1042" s="15">
        <f>IF(SUMPRODUCT(($A$2:$A1042=A1042)*($B$2:$B1042=B1042)*($F$2:$F1042=F1042))&gt;1,0,1)</f>
        <v>1</v>
      </c>
      <c r="P1042" s="15">
        <f>IF(SUMPRODUCT(($A$2:$A1042=A1042)*($B$2:$B1042=B1042)*($D$2:$D1042=D1042))&gt;1,0,1)</f>
        <v>1</v>
      </c>
    </row>
    <row r="1043" spans="1:16" hidden="1" x14ac:dyDescent="0.35">
      <c r="A1043" t="s">
        <v>21</v>
      </c>
      <c r="B1043">
        <v>1999</v>
      </c>
      <c r="D1043">
        <v>16.100000000000001</v>
      </c>
      <c r="E1043">
        <f>INT(Table2[[#This Row],[Transect]])</f>
        <v>16</v>
      </c>
      <c r="F1043" t="s">
        <v>10</v>
      </c>
      <c r="G1043">
        <v>2</v>
      </c>
      <c r="H1043">
        <v>13</v>
      </c>
      <c r="J1043">
        <f>Table2[[#This Row],[Hits]]/Table2[[#This Row],[Points]]*100</f>
        <v>15.384615384615385</v>
      </c>
      <c r="K1043">
        <f>VLOOKUP(Table2[[#This Row],[Site]],'Site Info'!$A$1:$C$11,2, FALSE)</f>
        <v>33</v>
      </c>
      <c r="L1043">
        <f>VLOOKUP(Table2[[#This Row],[Site]],'Site Info'!$A$1:$C$11,3, FALSE)</f>
        <v>3</v>
      </c>
      <c r="M1043" t="str">
        <f>VLOOKUP(Table2[[#This Row],[Species]],'Species Table'!$A$1:$D$68,3, FALSE)</f>
        <v>Annual</v>
      </c>
      <c r="O1043" s="15">
        <f>IF(SUMPRODUCT(($A$2:$A1043=A1043)*($B$2:$B1043=B1043)*($F$2:$F1043=F1043))&gt;1,0,1)</f>
        <v>0</v>
      </c>
      <c r="P1043" s="15">
        <f>IF(SUMPRODUCT(($A$2:$A1043=A1043)*($B$2:$B1043=B1043)*($D$2:$D1043=D1043))&gt;1,0,1)</f>
        <v>0</v>
      </c>
    </row>
    <row r="1044" spans="1:16" x14ac:dyDescent="0.35">
      <c r="A1044" t="s">
        <v>21</v>
      </c>
      <c r="B1044">
        <v>2004</v>
      </c>
      <c r="D1044">
        <v>1.1000000000000001</v>
      </c>
      <c r="E1044">
        <f>INT(Table2[[#This Row],[Transect]])</f>
        <v>1</v>
      </c>
      <c r="F1044" t="s">
        <v>3</v>
      </c>
      <c r="G1044">
        <v>1</v>
      </c>
      <c r="H1044">
        <v>29</v>
      </c>
      <c r="J1044">
        <f>Table2[[#This Row],[Hits]]/Table2[[#This Row],[Points]]*100</f>
        <v>3.4482758620689653</v>
      </c>
      <c r="K1044">
        <f>VLOOKUP(Table2[[#This Row],[Site]],'Site Info'!$A$1:$C$11,2, FALSE)</f>
        <v>33</v>
      </c>
      <c r="L1044">
        <f>VLOOKUP(Table2[[#This Row],[Site]],'Site Info'!$A$1:$C$11,3, FALSE)</f>
        <v>3</v>
      </c>
      <c r="M1044" t="str">
        <f>VLOOKUP(Table2[[#This Row],[Species]],'Species Table'!$A$1:$D$68,3, FALSE)</f>
        <v>Perennial</v>
      </c>
      <c r="O1044" s="15">
        <f>IF(SUMPRODUCT(($A$2:$A1044=A1044)*($B$2:$B1044=B1044)*($F$2:$F1044=F1044))&gt;1,0,1)</f>
        <v>1</v>
      </c>
      <c r="P1044" s="15">
        <f>IF(SUMPRODUCT(($A$2:$A1044=A1044)*($B$2:$B1044=B1044)*($D$2:$D1044=D1044))&gt;1,0,1)</f>
        <v>1</v>
      </c>
    </row>
    <row r="1045" spans="1:16" hidden="1" x14ac:dyDescent="0.35">
      <c r="A1045" t="s">
        <v>21</v>
      </c>
      <c r="B1045">
        <v>2004</v>
      </c>
      <c r="D1045">
        <v>2.1</v>
      </c>
      <c r="E1045">
        <f>INT(Table2[[#This Row],[Transect]])</f>
        <v>2</v>
      </c>
      <c r="F1045" t="s">
        <v>10</v>
      </c>
      <c r="G1045">
        <v>3</v>
      </c>
      <c r="H1045">
        <v>32</v>
      </c>
      <c r="J1045">
        <f>Table2[[#This Row],[Hits]]/Table2[[#This Row],[Points]]*100</f>
        <v>9.375</v>
      </c>
      <c r="K1045">
        <f>VLOOKUP(Table2[[#This Row],[Site]],'Site Info'!$A$1:$C$11,2, FALSE)</f>
        <v>33</v>
      </c>
      <c r="L1045">
        <f>VLOOKUP(Table2[[#This Row],[Site]],'Site Info'!$A$1:$C$11,3, FALSE)</f>
        <v>3</v>
      </c>
      <c r="M1045" t="str">
        <f>VLOOKUP(Table2[[#This Row],[Species]],'Species Table'!$A$1:$D$68,3, FALSE)</f>
        <v>Annual</v>
      </c>
      <c r="O1045" s="15">
        <f>IF(SUMPRODUCT(($A$2:$A1045=A1045)*($B$2:$B1045=B1045)*($F$2:$F1045=F1045))&gt;1,0,1)</f>
        <v>1</v>
      </c>
      <c r="P1045" s="15">
        <f>IF(SUMPRODUCT(($A$2:$A1045=A1045)*($B$2:$B1045=B1045)*($D$2:$D1045=D1045))&gt;1,0,1)</f>
        <v>1</v>
      </c>
    </row>
    <row r="1046" spans="1:16" x14ac:dyDescent="0.35">
      <c r="A1046" t="s">
        <v>21</v>
      </c>
      <c r="B1046">
        <v>2004</v>
      </c>
      <c r="D1046">
        <v>2.1</v>
      </c>
      <c r="E1046">
        <f>INT(Table2[[#This Row],[Transect]])</f>
        <v>2</v>
      </c>
      <c r="F1046" t="s">
        <v>14</v>
      </c>
      <c r="G1046">
        <v>1</v>
      </c>
      <c r="H1046">
        <v>32</v>
      </c>
      <c r="J1046">
        <f>Table2[[#This Row],[Hits]]/Table2[[#This Row],[Points]]*100</f>
        <v>3.125</v>
      </c>
      <c r="K1046">
        <f>VLOOKUP(Table2[[#This Row],[Site]],'Site Info'!$A$1:$C$11,2, FALSE)</f>
        <v>33</v>
      </c>
      <c r="L1046">
        <f>VLOOKUP(Table2[[#This Row],[Site]],'Site Info'!$A$1:$C$11,3, FALSE)</f>
        <v>3</v>
      </c>
      <c r="M1046" t="str">
        <f>VLOOKUP(Table2[[#This Row],[Species]],'Species Table'!$A$1:$D$68,3, FALSE)</f>
        <v>Perennial</v>
      </c>
      <c r="O1046" s="15">
        <f>IF(SUMPRODUCT(($A$2:$A1046=A1046)*($B$2:$B1046=B1046)*($F$2:$F1046=F1046))&gt;1,0,1)</f>
        <v>1</v>
      </c>
      <c r="P1046" s="15">
        <f>IF(SUMPRODUCT(($A$2:$A1046=A1046)*($B$2:$B1046=B1046)*($D$2:$D1046=D1046))&gt;1,0,1)</f>
        <v>0</v>
      </c>
    </row>
    <row r="1047" spans="1:16" x14ac:dyDescent="0.35">
      <c r="A1047" t="s">
        <v>21</v>
      </c>
      <c r="B1047">
        <v>2004</v>
      </c>
      <c r="D1047">
        <v>2.1</v>
      </c>
      <c r="E1047">
        <f>INT(Table2[[#This Row],[Transect]])</f>
        <v>2</v>
      </c>
      <c r="F1047" t="s">
        <v>2</v>
      </c>
      <c r="G1047">
        <v>2</v>
      </c>
      <c r="H1047">
        <v>32</v>
      </c>
      <c r="J1047">
        <f>Table2[[#This Row],[Hits]]/Table2[[#This Row],[Points]]*100</f>
        <v>6.25</v>
      </c>
      <c r="K1047">
        <f>VLOOKUP(Table2[[#This Row],[Site]],'Site Info'!$A$1:$C$11,2, FALSE)</f>
        <v>33</v>
      </c>
      <c r="L1047">
        <f>VLOOKUP(Table2[[#This Row],[Site]],'Site Info'!$A$1:$C$11,3, FALSE)</f>
        <v>3</v>
      </c>
      <c r="M1047" t="str">
        <f>VLOOKUP(Table2[[#This Row],[Species]],'Species Table'!$A$1:$D$68,3, FALSE)</f>
        <v>Perennial</v>
      </c>
      <c r="O1047" s="15">
        <f>IF(SUMPRODUCT(($A$2:$A1047=A1047)*($B$2:$B1047=B1047)*($F$2:$F1047=F1047))&gt;1,0,1)</f>
        <v>1</v>
      </c>
      <c r="P1047" s="15">
        <f>IF(SUMPRODUCT(($A$2:$A1047=A1047)*($B$2:$B1047=B1047)*($D$2:$D1047=D1047))&gt;1,0,1)</f>
        <v>0</v>
      </c>
    </row>
    <row r="1048" spans="1:16" hidden="1" x14ac:dyDescent="0.35">
      <c r="A1048" t="s">
        <v>21</v>
      </c>
      <c r="B1048">
        <v>2004</v>
      </c>
      <c r="D1048">
        <v>3.1</v>
      </c>
      <c r="E1048">
        <f>INT(Table2[[#This Row],[Transect]])</f>
        <v>3</v>
      </c>
      <c r="F1048" t="s">
        <v>10</v>
      </c>
      <c r="G1048">
        <v>3</v>
      </c>
      <c r="H1048">
        <v>36</v>
      </c>
      <c r="J1048">
        <f>Table2[[#This Row],[Hits]]/Table2[[#This Row],[Points]]*100</f>
        <v>8.3333333333333321</v>
      </c>
      <c r="K1048">
        <f>VLOOKUP(Table2[[#This Row],[Site]],'Site Info'!$A$1:$C$11,2, FALSE)</f>
        <v>33</v>
      </c>
      <c r="L1048">
        <f>VLOOKUP(Table2[[#This Row],[Site]],'Site Info'!$A$1:$C$11,3, FALSE)</f>
        <v>3</v>
      </c>
      <c r="M1048" t="str">
        <f>VLOOKUP(Table2[[#This Row],[Species]],'Species Table'!$A$1:$D$68,3, FALSE)</f>
        <v>Annual</v>
      </c>
      <c r="O1048" s="15">
        <f>IF(SUMPRODUCT(($A$2:$A1048=A1048)*($B$2:$B1048=B1048)*($F$2:$F1048=F1048))&gt;1,0,1)</f>
        <v>0</v>
      </c>
      <c r="P1048" s="15">
        <f>IF(SUMPRODUCT(($A$2:$A1048=A1048)*($B$2:$B1048=B1048)*($D$2:$D1048=D1048))&gt;1,0,1)</f>
        <v>1</v>
      </c>
    </row>
    <row r="1049" spans="1:16" hidden="1" x14ac:dyDescent="0.35">
      <c r="A1049" t="s">
        <v>21</v>
      </c>
      <c r="B1049">
        <v>2004</v>
      </c>
      <c r="D1049">
        <v>4.0999999999999996</v>
      </c>
      <c r="E1049">
        <f>INT(Table2[[#This Row],[Transect]])</f>
        <v>4</v>
      </c>
      <c r="F1049" t="s">
        <v>10</v>
      </c>
      <c r="G1049">
        <v>1</v>
      </c>
      <c r="H1049">
        <v>40</v>
      </c>
      <c r="J1049">
        <f>Table2[[#This Row],[Hits]]/Table2[[#This Row],[Points]]*100</f>
        <v>2.5</v>
      </c>
      <c r="K1049">
        <f>VLOOKUP(Table2[[#This Row],[Site]],'Site Info'!$A$1:$C$11,2, FALSE)</f>
        <v>33</v>
      </c>
      <c r="L1049">
        <f>VLOOKUP(Table2[[#This Row],[Site]],'Site Info'!$A$1:$C$11,3, FALSE)</f>
        <v>3</v>
      </c>
      <c r="M1049" t="str">
        <f>VLOOKUP(Table2[[#This Row],[Species]],'Species Table'!$A$1:$D$68,3, FALSE)</f>
        <v>Annual</v>
      </c>
      <c r="O1049" s="15">
        <f>IF(SUMPRODUCT(($A$2:$A1049=A1049)*($B$2:$B1049=B1049)*($F$2:$F1049=F1049))&gt;1,0,1)</f>
        <v>0</v>
      </c>
      <c r="P1049" s="15">
        <f>IF(SUMPRODUCT(($A$2:$A1049=A1049)*($B$2:$B1049=B1049)*($D$2:$D1049=D1049))&gt;1,0,1)</f>
        <v>1</v>
      </c>
    </row>
    <row r="1050" spans="1:16" x14ac:dyDescent="0.35">
      <c r="A1050" t="s">
        <v>21</v>
      </c>
      <c r="B1050">
        <v>2004</v>
      </c>
      <c r="D1050">
        <v>4.0999999999999996</v>
      </c>
      <c r="E1050">
        <f>INT(Table2[[#This Row],[Transect]])</f>
        <v>4</v>
      </c>
      <c r="F1050" t="s">
        <v>3</v>
      </c>
      <c r="G1050">
        <v>1</v>
      </c>
      <c r="H1050">
        <v>40</v>
      </c>
      <c r="J1050">
        <f>Table2[[#This Row],[Hits]]/Table2[[#This Row],[Points]]*100</f>
        <v>2.5</v>
      </c>
      <c r="K1050">
        <f>VLOOKUP(Table2[[#This Row],[Site]],'Site Info'!$A$1:$C$11,2, FALSE)</f>
        <v>33</v>
      </c>
      <c r="L1050">
        <f>VLOOKUP(Table2[[#This Row],[Site]],'Site Info'!$A$1:$C$11,3, FALSE)</f>
        <v>3</v>
      </c>
      <c r="M1050" t="str">
        <f>VLOOKUP(Table2[[#This Row],[Species]],'Species Table'!$A$1:$D$68,3, FALSE)</f>
        <v>Perennial</v>
      </c>
      <c r="O1050" s="15">
        <f>IF(SUMPRODUCT(($A$2:$A1050=A1050)*($B$2:$B1050=B1050)*($F$2:$F1050=F1050))&gt;1,0,1)</f>
        <v>0</v>
      </c>
      <c r="P1050" s="15">
        <f>IF(SUMPRODUCT(($A$2:$A1050=A1050)*($B$2:$B1050=B1050)*($D$2:$D1050=D1050))&gt;1,0,1)</f>
        <v>0</v>
      </c>
    </row>
    <row r="1051" spans="1:16" x14ac:dyDescent="0.35">
      <c r="A1051" t="s">
        <v>21</v>
      </c>
      <c r="B1051">
        <v>2004</v>
      </c>
      <c r="D1051">
        <v>4.0999999999999996</v>
      </c>
      <c r="E1051">
        <f>INT(Table2[[#This Row],[Transect]])</f>
        <v>4</v>
      </c>
      <c r="F1051" t="s">
        <v>2</v>
      </c>
      <c r="G1051">
        <v>1</v>
      </c>
      <c r="H1051">
        <v>40</v>
      </c>
      <c r="J1051">
        <f>Table2[[#This Row],[Hits]]/Table2[[#This Row],[Points]]*100</f>
        <v>2.5</v>
      </c>
      <c r="K1051">
        <f>VLOOKUP(Table2[[#This Row],[Site]],'Site Info'!$A$1:$C$11,2, FALSE)</f>
        <v>33</v>
      </c>
      <c r="L1051">
        <f>VLOOKUP(Table2[[#This Row],[Site]],'Site Info'!$A$1:$C$11,3, FALSE)</f>
        <v>3</v>
      </c>
      <c r="M1051" t="str">
        <f>VLOOKUP(Table2[[#This Row],[Species]],'Species Table'!$A$1:$D$68,3, FALSE)</f>
        <v>Perennial</v>
      </c>
      <c r="O1051" s="15">
        <f>IF(SUMPRODUCT(($A$2:$A1051=A1051)*($B$2:$B1051=B1051)*($F$2:$F1051=F1051))&gt;1,0,1)</f>
        <v>0</v>
      </c>
      <c r="P1051" s="15">
        <f>IF(SUMPRODUCT(($A$2:$A1051=A1051)*($B$2:$B1051=B1051)*($D$2:$D1051=D1051))&gt;1,0,1)</f>
        <v>0</v>
      </c>
    </row>
    <row r="1052" spans="1:16" hidden="1" x14ac:dyDescent="0.35">
      <c r="A1052" t="s">
        <v>21</v>
      </c>
      <c r="B1052">
        <v>2004</v>
      </c>
      <c r="D1052">
        <v>5.0999999999999996</v>
      </c>
      <c r="E1052">
        <f>INT(Table2[[#This Row],[Transect]])</f>
        <v>5</v>
      </c>
      <c r="F1052" t="s">
        <v>10</v>
      </c>
      <c r="G1052">
        <v>4</v>
      </c>
      <c r="H1052">
        <v>44</v>
      </c>
      <c r="J1052">
        <f>Table2[[#This Row],[Hits]]/Table2[[#This Row],[Points]]*100</f>
        <v>9.0909090909090917</v>
      </c>
      <c r="K1052">
        <f>VLOOKUP(Table2[[#This Row],[Site]],'Site Info'!$A$1:$C$11,2, FALSE)</f>
        <v>33</v>
      </c>
      <c r="L1052">
        <f>VLOOKUP(Table2[[#This Row],[Site]],'Site Info'!$A$1:$C$11,3, FALSE)</f>
        <v>3</v>
      </c>
      <c r="M1052" t="str">
        <f>VLOOKUP(Table2[[#This Row],[Species]],'Species Table'!$A$1:$D$68,3, FALSE)</f>
        <v>Annual</v>
      </c>
      <c r="O1052" s="15">
        <f>IF(SUMPRODUCT(($A$2:$A1052=A1052)*($B$2:$B1052=B1052)*($F$2:$F1052=F1052))&gt;1,0,1)</f>
        <v>0</v>
      </c>
      <c r="P1052" s="15">
        <f>IF(SUMPRODUCT(($A$2:$A1052=A1052)*($B$2:$B1052=B1052)*($D$2:$D1052=D1052))&gt;1,0,1)</f>
        <v>1</v>
      </c>
    </row>
    <row r="1053" spans="1:16" hidden="1" x14ac:dyDescent="0.35">
      <c r="A1053" t="s">
        <v>21</v>
      </c>
      <c r="B1053">
        <v>2004</v>
      </c>
      <c r="D1053">
        <v>6.1</v>
      </c>
      <c r="E1053">
        <f>INT(Table2[[#This Row],[Transect]])</f>
        <v>6</v>
      </c>
      <c r="F1053" t="s">
        <v>10</v>
      </c>
      <c r="G1053">
        <v>5</v>
      </c>
      <c r="H1053">
        <v>48</v>
      </c>
      <c r="J1053">
        <f>Table2[[#This Row],[Hits]]/Table2[[#This Row],[Points]]*100</f>
        <v>10.416666666666668</v>
      </c>
      <c r="K1053">
        <f>VLOOKUP(Table2[[#This Row],[Site]],'Site Info'!$A$1:$C$11,2, FALSE)</f>
        <v>33</v>
      </c>
      <c r="L1053">
        <f>VLOOKUP(Table2[[#This Row],[Site]],'Site Info'!$A$1:$C$11,3, FALSE)</f>
        <v>3</v>
      </c>
      <c r="M1053" t="str">
        <f>VLOOKUP(Table2[[#This Row],[Species]],'Species Table'!$A$1:$D$68,3, FALSE)</f>
        <v>Annual</v>
      </c>
      <c r="O1053" s="15">
        <f>IF(SUMPRODUCT(($A$2:$A1053=A1053)*($B$2:$B1053=B1053)*($F$2:$F1053=F1053))&gt;1,0,1)</f>
        <v>0</v>
      </c>
      <c r="P1053" s="15">
        <f>IF(SUMPRODUCT(($A$2:$A1053=A1053)*($B$2:$B1053=B1053)*($D$2:$D1053=D1053))&gt;1,0,1)</f>
        <v>1</v>
      </c>
    </row>
    <row r="1054" spans="1:16" x14ac:dyDescent="0.35">
      <c r="A1054" t="s">
        <v>21</v>
      </c>
      <c r="B1054">
        <v>2004</v>
      </c>
      <c r="D1054">
        <v>6.1</v>
      </c>
      <c r="E1054">
        <f>INT(Table2[[#This Row],[Transect]])</f>
        <v>6</v>
      </c>
      <c r="F1054" t="s">
        <v>3</v>
      </c>
      <c r="G1054">
        <v>1</v>
      </c>
      <c r="H1054">
        <v>48</v>
      </c>
      <c r="J1054">
        <f>Table2[[#This Row],[Hits]]/Table2[[#This Row],[Points]]*100</f>
        <v>2.083333333333333</v>
      </c>
      <c r="K1054">
        <f>VLOOKUP(Table2[[#This Row],[Site]],'Site Info'!$A$1:$C$11,2, FALSE)</f>
        <v>33</v>
      </c>
      <c r="L1054">
        <f>VLOOKUP(Table2[[#This Row],[Site]],'Site Info'!$A$1:$C$11,3, FALSE)</f>
        <v>3</v>
      </c>
      <c r="M1054" t="str">
        <f>VLOOKUP(Table2[[#This Row],[Species]],'Species Table'!$A$1:$D$68,3, FALSE)</f>
        <v>Perennial</v>
      </c>
      <c r="O1054" s="15">
        <f>IF(SUMPRODUCT(($A$2:$A1054=A1054)*($B$2:$B1054=B1054)*($F$2:$F1054=F1054))&gt;1,0,1)</f>
        <v>0</v>
      </c>
      <c r="P1054" s="15">
        <f>IF(SUMPRODUCT(($A$2:$A1054=A1054)*($B$2:$B1054=B1054)*($D$2:$D1054=D1054))&gt;1,0,1)</f>
        <v>0</v>
      </c>
    </row>
    <row r="1055" spans="1:16" hidden="1" x14ac:dyDescent="0.35">
      <c r="A1055" t="s">
        <v>21</v>
      </c>
      <c r="B1055">
        <v>2004</v>
      </c>
      <c r="D1055">
        <v>7.1</v>
      </c>
      <c r="E1055">
        <f>INT(Table2[[#This Row],[Transect]])</f>
        <v>7</v>
      </c>
      <c r="F1055" t="s">
        <v>10</v>
      </c>
      <c r="G1055">
        <v>8</v>
      </c>
      <c r="H1055">
        <v>51</v>
      </c>
      <c r="J1055">
        <f>Table2[[#This Row],[Hits]]/Table2[[#This Row],[Points]]*100</f>
        <v>15.686274509803921</v>
      </c>
      <c r="K1055">
        <f>VLOOKUP(Table2[[#This Row],[Site]],'Site Info'!$A$1:$C$11,2, FALSE)</f>
        <v>33</v>
      </c>
      <c r="L1055">
        <f>VLOOKUP(Table2[[#This Row],[Site]],'Site Info'!$A$1:$C$11,3, FALSE)</f>
        <v>3</v>
      </c>
      <c r="M1055" t="str">
        <f>VLOOKUP(Table2[[#This Row],[Species]],'Species Table'!$A$1:$D$68,3, FALSE)</f>
        <v>Annual</v>
      </c>
      <c r="O1055" s="15">
        <f>IF(SUMPRODUCT(($A$2:$A1055=A1055)*($B$2:$B1055=B1055)*($F$2:$F1055=F1055))&gt;1,0,1)</f>
        <v>0</v>
      </c>
      <c r="P1055" s="15">
        <f>IF(SUMPRODUCT(($A$2:$A1055=A1055)*($B$2:$B1055=B1055)*($D$2:$D1055=D1055))&gt;1,0,1)</f>
        <v>1</v>
      </c>
    </row>
    <row r="1056" spans="1:16" x14ac:dyDescent="0.35">
      <c r="A1056" t="s">
        <v>21</v>
      </c>
      <c r="B1056">
        <v>2004</v>
      </c>
      <c r="D1056">
        <v>7.1</v>
      </c>
      <c r="E1056">
        <f>INT(Table2[[#This Row],[Transect]])</f>
        <v>7</v>
      </c>
      <c r="F1056" t="s">
        <v>14</v>
      </c>
      <c r="G1056">
        <v>1</v>
      </c>
      <c r="H1056">
        <v>51</v>
      </c>
      <c r="J1056">
        <f>Table2[[#This Row],[Hits]]/Table2[[#This Row],[Points]]*100</f>
        <v>1.9607843137254901</v>
      </c>
      <c r="K1056">
        <f>VLOOKUP(Table2[[#This Row],[Site]],'Site Info'!$A$1:$C$11,2, FALSE)</f>
        <v>33</v>
      </c>
      <c r="L1056">
        <f>VLOOKUP(Table2[[#This Row],[Site]],'Site Info'!$A$1:$C$11,3, FALSE)</f>
        <v>3</v>
      </c>
      <c r="M1056" t="str">
        <f>VLOOKUP(Table2[[#This Row],[Species]],'Species Table'!$A$1:$D$68,3, FALSE)</f>
        <v>Perennial</v>
      </c>
      <c r="O1056" s="15">
        <f>IF(SUMPRODUCT(($A$2:$A1056=A1056)*($B$2:$B1056=B1056)*($F$2:$F1056=F1056))&gt;1,0,1)</f>
        <v>0</v>
      </c>
      <c r="P1056" s="15">
        <f>IF(SUMPRODUCT(($A$2:$A1056=A1056)*($B$2:$B1056=B1056)*($D$2:$D1056=D1056))&gt;1,0,1)</f>
        <v>0</v>
      </c>
    </row>
    <row r="1057" spans="1:16" hidden="1" x14ac:dyDescent="0.35">
      <c r="A1057" t="s">
        <v>21</v>
      </c>
      <c r="B1057">
        <v>2004</v>
      </c>
      <c r="D1057">
        <v>8.1</v>
      </c>
      <c r="E1057">
        <f>INT(Table2[[#This Row],[Transect]])</f>
        <v>8</v>
      </c>
      <c r="F1057" t="s">
        <v>10</v>
      </c>
      <c r="G1057">
        <v>9</v>
      </c>
      <c r="H1057">
        <v>32</v>
      </c>
      <c r="J1057">
        <f>Table2[[#This Row],[Hits]]/Table2[[#This Row],[Points]]*100</f>
        <v>28.125</v>
      </c>
      <c r="K1057">
        <f>VLOOKUP(Table2[[#This Row],[Site]],'Site Info'!$A$1:$C$11,2, FALSE)</f>
        <v>33</v>
      </c>
      <c r="L1057">
        <f>VLOOKUP(Table2[[#This Row],[Site]],'Site Info'!$A$1:$C$11,3, FALSE)</f>
        <v>3</v>
      </c>
      <c r="M1057" t="str">
        <f>VLOOKUP(Table2[[#This Row],[Species]],'Species Table'!$A$1:$D$68,3, FALSE)</f>
        <v>Annual</v>
      </c>
      <c r="O1057" s="15">
        <f>IF(SUMPRODUCT(($A$2:$A1057=A1057)*($B$2:$B1057=B1057)*($F$2:$F1057=F1057))&gt;1,0,1)</f>
        <v>0</v>
      </c>
      <c r="P1057" s="15">
        <f>IF(SUMPRODUCT(($A$2:$A1057=A1057)*($B$2:$B1057=B1057)*($D$2:$D1057=D1057))&gt;1,0,1)</f>
        <v>1</v>
      </c>
    </row>
    <row r="1058" spans="1:16" x14ac:dyDescent="0.35">
      <c r="A1058" t="s">
        <v>21</v>
      </c>
      <c r="B1058">
        <v>2004</v>
      </c>
      <c r="D1058">
        <v>8.1</v>
      </c>
      <c r="E1058">
        <f>INT(Table2[[#This Row],[Transect]])</f>
        <v>8</v>
      </c>
      <c r="F1058" t="s">
        <v>2</v>
      </c>
      <c r="G1058">
        <v>2</v>
      </c>
      <c r="H1058">
        <v>32</v>
      </c>
      <c r="J1058">
        <f>Table2[[#This Row],[Hits]]/Table2[[#This Row],[Points]]*100</f>
        <v>6.25</v>
      </c>
      <c r="K1058">
        <f>VLOOKUP(Table2[[#This Row],[Site]],'Site Info'!$A$1:$C$11,2, FALSE)</f>
        <v>33</v>
      </c>
      <c r="L1058">
        <f>VLOOKUP(Table2[[#This Row],[Site]],'Site Info'!$A$1:$C$11,3, FALSE)</f>
        <v>3</v>
      </c>
      <c r="M1058" t="str">
        <f>VLOOKUP(Table2[[#This Row],[Species]],'Species Table'!$A$1:$D$68,3, FALSE)</f>
        <v>Perennial</v>
      </c>
      <c r="O1058" s="15">
        <f>IF(SUMPRODUCT(($A$2:$A1058=A1058)*($B$2:$B1058=B1058)*($F$2:$F1058=F1058))&gt;1,0,1)</f>
        <v>0</v>
      </c>
      <c r="P1058" s="15">
        <f>IF(SUMPRODUCT(($A$2:$A1058=A1058)*($B$2:$B1058=B1058)*($D$2:$D1058=D1058))&gt;1,0,1)</f>
        <v>0</v>
      </c>
    </row>
    <row r="1059" spans="1:16" hidden="1" x14ac:dyDescent="0.35">
      <c r="A1059" t="s">
        <v>21</v>
      </c>
      <c r="B1059">
        <v>2004</v>
      </c>
      <c r="D1059">
        <v>9.1</v>
      </c>
      <c r="E1059">
        <f>INT(Table2[[#This Row],[Transect]])</f>
        <v>9</v>
      </c>
      <c r="F1059" t="s">
        <v>10</v>
      </c>
      <c r="G1059">
        <v>2</v>
      </c>
      <c r="H1059">
        <v>42</v>
      </c>
      <c r="J1059">
        <f>Table2[[#This Row],[Hits]]/Table2[[#This Row],[Points]]*100</f>
        <v>4.7619047619047619</v>
      </c>
      <c r="K1059">
        <f>VLOOKUP(Table2[[#This Row],[Site]],'Site Info'!$A$1:$C$11,2, FALSE)</f>
        <v>33</v>
      </c>
      <c r="L1059">
        <f>VLOOKUP(Table2[[#This Row],[Site]],'Site Info'!$A$1:$C$11,3, FALSE)</f>
        <v>3</v>
      </c>
      <c r="M1059" t="str">
        <f>VLOOKUP(Table2[[#This Row],[Species]],'Species Table'!$A$1:$D$68,3, FALSE)</f>
        <v>Annual</v>
      </c>
      <c r="O1059" s="15">
        <f>IF(SUMPRODUCT(($A$2:$A1059=A1059)*($B$2:$B1059=B1059)*($F$2:$F1059=F1059))&gt;1,0,1)</f>
        <v>0</v>
      </c>
      <c r="P1059" s="15">
        <f>IF(SUMPRODUCT(($A$2:$A1059=A1059)*($B$2:$B1059=B1059)*($D$2:$D1059=D1059))&gt;1,0,1)</f>
        <v>1</v>
      </c>
    </row>
    <row r="1060" spans="1:16" x14ac:dyDescent="0.35">
      <c r="A1060" t="s">
        <v>21</v>
      </c>
      <c r="B1060">
        <v>2004</v>
      </c>
      <c r="D1060">
        <v>9.1</v>
      </c>
      <c r="E1060">
        <f>INT(Table2[[#This Row],[Transect]])</f>
        <v>9</v>
      </c>
      <c r="F1060" t="s">
        <v>3</v>
      </c>
      <c r="G1060">
        <v>4</v>
      </c>
      <c r="H1060">
        <v>42</v>
      </c>
      <c r="J1060">
        <f>Table2[[#This Row],[Hits]]/Table2[[#This Row],[Points]]*100</f>
        <v>9.5238095238095237</v>
      </c>
      <c r="K1060">
        <f>VLOOKUP(Table2[[#This Row],[Site]],'Site Info'!$A$1:$C$11,2, FALSE)</f>
        <v>33</v>
      </c>
      <c r="L1060">
        <f>VLOOKUP(Table2[[#This Row],[Site]],'Site Info'!$A$1:$C$11,3, FALSE)</f>
        <v>3</v>
      </c>
      <c r="M1060" t="str">
        <f>VLOOKUP(Table2[[#This Row],[Species]],'Species Table'!$A$1:$D$68,3, FALSE)</f>
        <v>Perennial</v>
      </c>
      <c r="O1060" s="15">
        <f>IF(SUMPRODUCT(($A$2:$A1060=A1060)*($B$2:$B1060=B1060)*($F$2:$F1060=F1060))&gt;1,0,1)</f>
        <v>0</v>
      </c>
      <c r="P1060" s="15">
        <f>IF(SUMPRODUCT(($A$2:$A1060=A1060)*($B$2:$B1060=B1060)*($D$2:$D1060=D1060))&gt;1,0,1)</f>
        <v>0</v>
      </c>
    </row>
    <row r="1061" spans="1:16" x14ac:dyDescent="0.35">
      <c r="A1061" t="s">
        <v>21</v>
      </c>
      <c r="B1061">
        <v>2004</v>
      </c>
      <c r="D1061">
        <v>9.1</v>
      </c>
      <c r="E1061">
        <f>INT(Table2[[#This Row],[Transect]])</f>
        <v>9</v>
      </c>
      <c r="F1061" t="s">
        <v>2</v>
      </c>
      <c r="G1061">
        <v>1</v>
      </c>
      <c r="H1061">
        <v>42</v>
      </c>
      <c r="J1061">
        <f>Table2[[#This Row],[Hits]]/Table2[[#This Row],[Points]]*100</f>
        <v>2.3809523809523809</v>
      </c>
      <c r="K1061">
        <f>VLOOKUP(Table2[[#This Row],[Site]],'Site Info'!$A$1:$C$11,2, FALSE)</f>
        <v>33</v>
      </c>
      <c r="L1061">
        <f>VLOOKUP(Table2[[#This Row],[Site]],'Site Info'!$A$1:$C$11,3, FALSE)</f>
        <v>3</v>
      </c>
      <c r="M1061" t="str">
        <f>VLOOKUP(Table2[[#This Row],[Species]],'Species Table'!$A$1:$D$68,3, FALSE)</f>
        <v>Perennial</v>
      </c>
      <c r="O1061" s="15">
        <f>IF(SUMPRODUCT(($A$2:$A1061=A1061)*($B$2:$B1061=B1061)*($F$2:$F1061=F1061))&gt;1,0,1)</f>
        <v>0</v>
      </c>
      <c r="P1061" s="15">
        <f>IF(SUMPRODUCT(($A$2:$A1061=A1061)*($B$2:$B1061=B1061)*($D$2:$D1061=D1061))&gt;1,0,1)</f>
        <v>0</v>
      </c>
    </row>
    <row r="1062" spans="1:16" hidden="1" x14ac:dyDescent="0.35">
      <c r="A1062" t="s">
        <v>21</v>
      </c>
      <c r="B1062">
        <v>2004</v>
      </c>
      <c r="D1062">
        <v>10.1</v>
      </c>
      <c r="E1062">
        <f>INT(Table2[[#This Row],[Transect]])</f>
        <v>10</v>
      </c>
      <c r="F1062" t="s">
        <v>10</v>
      </c>
      <c r="G1062">
        <v>2</v>
      </c>
      <c r="H1062">
        <v>37</v>
      </c>
      <c r="J1062">
        <f>Table2[[#This Row],[Hits]]/Table2[[#This Row],[Points]]*100</f>
        <v>5.4054054054054053</v>
      </c>
      <c r="K1062">
        <f>VLOOKUP(Table2[[#This Row],[Site]],'Site Info'!$A$1:$C$11,2, FALSE)</f>
        <v>33</v>
      </c>
      <c r="L1062">
        <f>VLOOKUP(Table2[[#This Row],[Site]],'Site Info'!$A$1:$C$11,3, FALSE)</f>
        <v>3</v>
      </c>
      <c r="M1062" t="str">
        <f>VLOOKUP(Table2[[#This Row],[Species]],'Species Table'!$A$1:$D$68,3, FALSE)</f>
        <v>Annual</v>
      </c>
      <c r="O1062" s="15">
        <f>IF(SUMPRODUCT(($A$2:$A1062=A1062)*($B$2:$B1062=B1062)*($F$2:$F1062=F1062))&gt;1,0,1)</f>
        <v>0</v>
      </c>
      <c r="P1062" s="15">
        <f>IF(SUMPRODUCT(($A$2:$A1062=A1062)*($B$2:$B1062=B1062)*($D$2:$D1062=D1062))&gt;1,0,1)</f>
        <v>1</v>
      </c>
    </row>
    <row r="1063" spans="1:16" hidden="1" x14ac:dyDescent="0.35">
      <c r="A1063" t="s">
        <v>21</v>
      </c>
      <c r="B1063">
        <v>2004</v>
      </c>
      <c r="D1063">
        <v>11.1</v>
      </c>
      <c r="E1063">
        <f>INT(Table2[[#This Row],[Transect]])</f>
        <v>11</v>
      </c>
      <c r="F1063" t="s">
        <v>10</v>
      </c>
      <c r="G1063">
        <v>6</v>
      </c>
      <c r="H1063">
        <v>32</v>
      </c>
      <c r="J1063">
        <f>Table2[[#This Row],[Hits]]/Table2[[#This Row],[Points]]*100</f>
        <v>18.75</v>
      </c>
      <c r="K1063">
        <f>VLOOKUP(Table2[[#This Row],[Site]],'Site Info'!$A$1:$C$11,2, FALSE)</f>
        <v>33</v>
      </c>
      <c r="L1063">
        <f>VLOOKUP(Table2[[#This Row],[Site]],'Site Info'!$A$1:$C$11,3, FALSE)</f>
        <v>3</v>
      </c>
      <c r="M1063" t="str">
        <f>VLOOKUP(Table2[[#This Row],[Species]],'Species Table'!$A$1:$D$68,3, FALSE)</f>
        <v>Annual</v>
      </c>
      <c r="O1063" s="15">
        <f>IF(SUMPRODUCT(($A$2:$A1063=A1063)*($B$2:$B1063=B1063)*($F$2:$F1063=F1063))&gt;1,0,1)</f>
        <v>0</v>
      </c>
      <c r="P1063" s="15">
        <f>IF(SUMPRODUCT(($A$2:$A1063=A1063)*($B$2:$B1063=B1063)*($D$2:$D1063=D1063))&gt;1,0,1)</f>
        <v>1</v>
      </c>
    </row>
    <row r="1064" spans="1:16" hidden="1" x14ac:dyDescent="0.35">
      <c r="A1064" t="s">
        <v>21</v>
      </c>
      <c r="B1064">
        <v>2004</v>
      </c>
      <c r="D1064">
        <v>12.1</v>
      </c>
      <c r="E1064">
        <f>INT(Table2[[#This Row],[Transect]])</f>
        <v>12</v>
      </c>
      <c r="F1064" t="s">
        <v>127</v>
      </c>
      <c r="G1064">
        <v>0</v>
      </c>
      <c r="H1064">
        <v>28</v>
      </c>
      <c r="J1064">
        <f>Table2[[#This Row],[Hits]]/Table2[[#This Row],[Points]]*100</f>
        <v>0</v>
      </c>
      <c r="K1064">
        <f>VLOOKUP(Table2[[#This Row],[Site]],'Site Info'!$A$1:$C$11,2, FALSE)</f>
        <v>33</v>
      </c>
      <c r="L1064">
        <f>VLOOKUP(Table2[[#This Row],[Site]],'Site Info'!$A$1:$C$11,3, FALSE)</f>
        <v>3</v>
      </c>
      <c r="M1064" t="str">
        <f>VLOOKUP(Table2[[#This Row],[Species]],'Species Table'!$A$1:$D$68,3, FALSE)</f>
        <v>NA</v>
      </c>
      <c r="O1064" s="15">
        <f>IF(SUMPRODUCT(($A$2:$A1064=A1064)*($B$2:$B1064=B1064)*($F$2:$F1064=F1064))&gt;1,0,1)</f>
        <v>1</v>
      </c>
      <c r="P1064" s="15">
        <f>IF(SUMPRODUCT(($A$2:$A1064=A1064)*($B$2:$B1064=B1064)*($D$2:$D1064=D1064))&gt;1,0,1)</f>
        <v>1</v>
      </c>
    </row>
    <row r="1065" spans="1:16" hidden="1" x14ac:dyDescent="0.35">
      <c r="A1065" t="s">
        <v>21</v>
      </c>
      <c r="B1065">
        <v>2004</v>
      </c>
      <c r="D1065">
        <v>13.1</v>
      </c>
      <c r="E1065">
        <f>INT(Table2[[#This Row],[Transect]])</f>
        <v>13</v>
      </c>
      <c r="F1065" t="s">
        <v>10</v>
      </c>
      <c r="G1065">
        <v>1</v>
      </c>
      <c r="H1065">
        <v>29</v>
      </c>
      <c r="J1065">
        <f>Table2[[#This Row],[Hits]]/Table2[[#This Row],[Points]]*100</f>
        <v>3.4482758620689653</v>
      </c>
      <c r="K1065">
        <f>VLOOKUP(Table2[[#This Row],[Site]],'Site Info'!$A$1:$C$11,2, FALSE)</f>
        <v>33</v>
      </c>
      <c r="L1065">
        <f>VLOOKUP(Table2[[#This Row],[Site]],'Site Info'!$A$1:$C$11,3, FALSE)</f>
        <v>3</v>
      </c>
      <c r="M1065" t="str">
        <f>VLOOKUP(Table2[[#This Row],[Species]],'Species Table'!$A$1:$D$68,3, FALSE)</f>
        <v>Annual</v>
      </c>
      <c r="O1065" s="15">
        <f>IF(SUMPRODUCT(($A$2:$A1065=A1065)*($B$2:$B1065=B1065)*($F$2:$F1065=F1065))&gt;1,0,1)</f>
        <v>0</v>
      </c>
      <c r="P1065" s="15">
        <f>IF(SUMPRODUCT(($A$2:$A1065=A1065)*($B$2:$B1065=B1065)*($D$2:$D1065=D1065))&gt;1,0,1)</f>
        <v>1</v>
      </c>
    </row>
    <row r="1066" spans="1:16" x14ac:dyDescent="0.35">
      <c r="A1066" t="s">
        <v>21</v>
      </c>
      <c r="B1066">
        <v>2004</v>
      </c>
      <c r="D1066">
        <v>13.1</v>
      </c>
      <c r="E1066">
        <f>INT(Table2[[#This Row],[Transect]])</f>
        <v>13</v>
      </c>
      <c r="F1066" t="s">
        <v>3</v>
      </c>
      <c r="G1066">
        <v>1</v>
      </c>
      <c r="H1066">
        <v>29</v>
      </c>
      <c r="J1066">
        <f>Table2[[#This Row],[Hits]]/Table2[[#This Row],[Points]]*100</f>
        <v>3.4482758620689653</v>
      </c>
      <c r="K1066">
        <f>VLOOKUP(Table2[[#This Row],[Site]],'Site Info'!$A$1:$C$11,2, FALSE)</f>
        <v>33</v>
      </c>
      <c r="L1066">
        <f>VLOOKUP(Table2[[#This Row],[Site]],'Site Info'!$A$1:$C$11,3, FALSE)</f>
        <v>3</v>
      </c>
      <c r="M1066" t="str">
        <f>VLOOKUP(Table2[[#This Row],[Species]],'Species Table'!$A$1:$D$68,3, FALSE)</f>
        <v>Perennial</v>
      </c>
      <c r="O1066" s="15">
        <f>IF(SUMPRODUCT(($A$2:$A1066=A1066)*($B$2:$B1066=B1066)*($F$2:$F1066=F1066))&gt;1,0,1)</f>
        <v>0</v>
      </c>
      <c r="P1066" s="15">
        <f>IF(SUMPRODUCT(($A$2:$A1066=A1066)*($B$2:$B1066=B1066)*($D$2:$D1066=D1066))&gt;1,0,1)</f>
        <v>0</v>
      </c>
    </row>
    <row r="1067" spans="1:16" hidden="1" x14ac:dyDescent="0.35">
      <c r="A1067" t="s">
        <v>21</v>
      </c>
      <c r="B1067">
        <v>2004</v>
      </c>
      <c r="D1067">
        <v>14.1</v>
      </c>
      <c r="E1067">
        <f>INT(Table2[[#This Row],[Transect]])</f>
        <v>14</v>
      </c>
      <c r="F1067" t="s">
        <v>10</v>
      </c>
      <c r="G1067">
        <v>1</v>
      </c>
      <c r="H1067">
        <v>23</v>
      </c>
      <c r="J1067">
        <f>Table2[[#This Row],[Hits]]/Table2[[#This Row],[Points]]*100</f>
        <v>4.3478260869565215</v>
      </c>
      <c r="K1067">
        <f>VLOOKUP(Table2[[#This Row],[Site]],'Site Info'!$A$1:$C$11,2, FALSE)</f>
        <v>33</v>
      </c>
      <c r="L1067">
        <f>VLOOKUP(Table2[[#This Row],[Site]],'Site Info'!$A$1:$C$11,3, FALSE)</f>
        <v>3</v>
      </c>
      <c r="M1067" t="str">
        <f>VLOOKUP(Table2[[#This Row],[Species]],'Species Table'!$A$1:$D$68,3, FALSE)</f>
        <v>Annual</v>
      </c>
      <c r="O1067" s="15">
        <f>IF(SUMPRODUCT(($A$2:$A1067=A1067)*($B$2:$B1067=B1067)*($F$2:$F1067=F1067))&gt;1,0,1)</f>
        <v>0</v>
      </c>
      <c r="P1067" s="15">
        <f>IF(SUMPRODUCT(($A$2:$A1067=A1067)*($B$2:$B1067=B1067)*($D$2:$D1067=D1067))&gt;1,0,1)</f>
        <v>1</v>
      </c>
    </row>
    <row r="1068" spans="1:16" x14ac:dyDescent="0.35">
      <c r="A1068" t="s">
        <v>21</v>
      </c>
      <c r="B1068">
        <v>2004</v>
      </c>
      <c r="D1068">
        <v>14.1</v>
      </c>
      <c r="E1068">
        <f>INT(Table2[[#This Row],[Transect]])</f>
        <v>14</v>
      </c>
      <c r="F1068" t="s">
        <v>2</v>
      </c>
      <c r="G1068">
        <v>1</v>
      </c>
      <c r="H1068">
        <v>23</v>
      </c>
      <c r="J1068">
        <f>Table2[[#This Row],[Hits]]/Table2[[#This Row],[Points]]*100</f>
        <v>4.3478260869565215</v>
      </c>
      <c r="K1068">
        <f>VLOOKUP(Table2[[#This Row],[Site]],'Site Info'!$A$1:$C$11,2, FALSE)</f>
        <v>33</v>
      </c>
      <c r="L1068">
        <f>VLOOKUP(Table2[[#This Row],[Site]],'Site Info'!$A$1:$C$11,3, FALSE)</f>
        <v>3</v>
      </c>
      <c r="M1068" t="str">
        <f>VLOOKUP(Table2[[#This Row],[Species]],'Species Table'!$A$1:$D$68,3, FALSE)</f>
        <v>Perennial</v>
      </c>
      <c r="O1068" s="15">
        <f>IF(SUMPRODUCT(($A$2:$A1068=A1068)*($B$2:$B1068=B1068)*($F$2:$F1068=F1068))&gt;1,0,1)</f>
        <v>0</v>
      </c>
      <c r="P1068" s="15">
        <f>IF(SUMPRODUCT(($A$2:$A1068=A1068)*($B$2:$B1068=B1068)*($D$2:$D1068=D1068))&gt;1,0,1)</f>
        <v>0</v>
      </c>
    </row>
    <row r="1069" spans="1:16" hidden="1" x14ac:dyDescent="0.35">
      <c r="A1069" t="s">
        <v>21</v>
      </c>
      <c r="B1069">
        <v>2004</v>
      </c>
      <c r="D1069">
        <v>15.1</v>
      </c>
      <c r="E1069">
        <f>INT(Table2[[#This Row],[Transect]])</f>
        <v>15</v>
      </c>
      <c r="F1069" t="s">
        <v>10</v>
      </c>
      <c r="G1069">
        <v>1</v>
      </c>
      <c r="H1069">
        <v>18</v>
      </c>
      <c r="J1069">
        <f>Table2[[#This Row],[Hits]]/Table2[[#This Row],[Points]]*100</f>
        <v>5.5555555555555554</v>
      </c>
      <c r="K1069">
        <f>VLOOKUP(Table2[[#This Row],[Site]],'Site Info'!$A$1:$C$11,2, FALSE)</f>
        <v>33</v>
      </c>
      <c r="L1069">
        <f>VLOOKUP(Table2[[#This Row],[Site]],'Site Info'!$A$1:$C$11,3, FALSE)</f>
        <v>3</v>
      </c>
      <c r="M1069" t="str">
        <f>VLOOKUP(Table2[[#This Row],[Species]],'Species Table'!$A$1:$D$68,3, FALSE)</f>
        <v>Annual</v>
      </c>
      <c r="O1069" s="15">
        <f>IF(SUMPRODUCT(($A$2:$A1069=A1069)*($B$2:$B1069=B1069)*($F$2:$F1069=F1069))&gt;1,0,1)</f>
        <v>0</v>
      </c>
      <c r="P1069" s="15">
        <f>IF(SUMPRODUCT(($A$2:$A1069=A1069)*($B$2:$B1069=B1069)*($D$2:$D1069=D1069))&gt;1,0,1)</f>
        <v>1</v>
      </c>
    </row>
    <row r="1070" spans="1:16" hidden="1" x14ac:dyDescent="0.35">
      <c r="A1070" t="s">
        <v>21</v>
      </c>
      <c r="B1070">
        <v>2004</v>
      </c>
      <c r="D1070">
        <v>16.100000000000001</v>
      </c>
      <c r="E1070">
        <f>INT(Table2[[#This Row],[Transect]])</f>
        <v>16</v>
      </c>
      <c r="F1070" t="s">
        <v>10</v>
      </c>
      <c r="G1070">
        <v>4</v>
      </c>
      <c r="H1070">
        <v>13</v>
      </c>
      <c r="J1070">
        <f>Table2[[#This Row],[Hits]]/Table2[[#This Row],[Points]]*100</f>
        <v>30.76923076923077</v>
      </c>
      <c r="K1070">
        <f>VLOOKUP(Table2[[#This Row],[Site]],'Site Info'!$A$1:$C$11,2, FALSE)</f>
        <v>33</v>
      </c>
      <c r="L1070">
        <f>VLOOKUP(Table2[[#This Row],[Site]],'Site Info'!$A$1:$C$11,3, FALSE)</f>
        <v>3</v>
      </c>
      <c r="M1070" t="str">
        <f>VLOOKUP(Table2[[#This Row],[Species]],'Species Table'!$A$1:$D$68,3, FALSE)</f>
        <v>Annual</v>
      </c>
      <c r="O1070" s="15">
        <f>IF(SUMPRODUCT(($A$2:$A1070=A1070)*($B$2:$B1070=B1070)*($F$2:$F1070=F1070))&gt;1,0,1)</f>
        <v>0</v>
      </c>
      <c r="P1070" s="15">
        <f>IF(SUMPRODUCT(($A$2:$A1070=A1070)*($B$2:$B1070=B1070)*($D$2:$D1070=D1070))&gt;1,0,1)</f>
        <v>1</v>
      </c>
    </row>
    <row r="1071" spans="1:16" x14ac:dyDescent="0.35">
      <c r="A1071" t="s">
        <v>21</v>
      </c>
      <c r="B1071">
        <v>2004</v>
      </c>
      <c r="D1071">
        <v>16.100000000000001</v>
      </c>
      <c r="E1071">
        <f>INT(Table2[[#This Row],[Transect]])</f>
        <v>16</v>
      </c>
      <c r="F1071" t="s">
        <v>11</v>
      </c>
      <c r="G1071">
        <v>1</v>
      </c>
      <c r="H1071">
        <v>13</v>
      </c>
      <c r="J1071">
        <f>Table2[[#This Row],[Hits]]/Table2[[#This Row],[Points]]*100</f>
        <v>7.6923076923076925</v>
      </c>
      <c r="K1071">
        <f>VLOOKUP(Table2[[#This Row],[Site]],'Site Info'!$A$1:$C$11,2, FALSE)</f>
        <v>33</v>
      </c>
      <c r="L1071">
        <f>VLOOKUP(Table2[[#This Row],[Site]],'Site Info'!$A$1:$C$11,3, FALSE)</f>
        <v>3</v>
      </c>
      <c r="M1071" t="str">
        <f>VLOOKUP(Table2[[#This Row],[Species]],'Species Table'!$A$1:$D$68,3, FALSE)</f>
        <v>Perennial</v>
      </c>
      <c r="O1071" s="15">
        <f>IF(SUMPRODUCT(($A$2:$A1071=A1071)*($B$2:$B1071=B1071)*($F$2:$F1071=F1071))&gt;1,0,1)</f>
        <v>1</v>
      </c>
      <c r="P1071" s="15">
        <f>IF(SUMPRODUCT(($A$2:$A1071=A1071)*($B$2:$B1071=B1071)*($D$2:$D1071=D1071))&gt;1,0,1)</f>
        <v>0</v>
      </c>
    </row>
    <row r="1072" spans="1:16" x14ac:dyDescent="0.35">
      <c r="A1072" t="s">
        <v>21</v>
      </c>
      <c r="B1072">
        <v>2012</v>
      </c>
      <c r="C1072" t="s">
        <v>82</v>
      </c>
      <c r="D1072">
        <v>1.1000000000000001</v>
      </c>
      <c r="E1072">
        <f>INT(Table2[[#This Row],[Transect]])</f>
        <v>1</v>
      </c>
      <c r="F1072" t="s">
        <v>3</v>
      </c>
      <c r="G1072">
        <v>2</v>
      </c>
      <c r="H1072">
        <v>29</v>
      </c>
      <c r="J1072">
        <f>Table2[[#This Row],[Hits]]/Table2[[#This Row],[Points]]*100</f>
        <v>6.8965517241379306</v>
      </c>
      <c r="K1072">
        <f>VLOOKUP(Table2[[#This Row],[Site]],'Site Info'!$A$1:$C$11,2, FALSE)</f>
        <v>33</v>
      </c>
      <c r="L1072">
        <f>VLOOKUP(Table2[[#This Row],[Site]],'Site Info'!$A$1:$C$11,3, FALSE)</f>
        <v>3</v>
      </c>
      <c r="M1072" t="str">
        <f>VLOOKUP(Table2[[#This Row],[Species]],'Species Table'!$A$1:$D$68,3, FALSE)</f>
        <v>Perennial</v>
      </c>
      <c r="O1072" s="15">
        <f>IF(SUMPRODUCT(($A$2:$A1072=A1072)*($B$2:$B1072=B1072)*($F$2:$F1072=F1072))&gt;1,0,1)</f>
        <v>1</v>
      </c>
      <c r="P1072" s="15">
        <f>IF(SUMPRODUCT(($A$2:$A1072=A1072)*($B$2:$B1072=B1072)*($D$2:$D1072=D1072))&gt;1,0,1)</f>
        <v>1</v>
      </c>
    </row>
    <row r="1073" spans="1:16" hidden="1" x14ac:dyDescent="0.35">
      <c r="A1073" t="s">
        <v>21</v>
      </c>
      <c r="B1073">
        <v>2012</v>
      </c>
      <c r="C1073" t="s">
        <v>82</v>
      </c>
      <c r="D1073">
        <v>1.1000000000000001</v>
      </c>
      <c r="E1073">
        <f>INT(Table2[[#This Row],[Transect]])</f>
        <v>1</v>
      </c>
      <c r="F1073" t="s">
        <v>10</v>
      </c>
      <c r="G1073">
        <v>2</v>
      </c>
      <c r="H1073">
        <v>29</v>
      </c>
      <c r="J1073">
        <f>Table2[[#This Row],[Hits]]/Table2[[#This Row],[Points]]*100</f>
        <v>6.8965517241379306</v>
      </c>
      <c r="K1073">
        <f>VLOOKUP(Table2[[#This Row],[Site]],'Site Info'!$A$1:$C$11,2, FALSE)</f>
        <v>33</v>
      </c>
      <c r="L1073">
        <f>VLOOKUP(Table2[[#This Row],[Site]],'Site Info'!$A$1:$C$11,3, FALSE)</f>
        <v>3</v>
      </c>
      <c r="M1073" t="str">
        <f>VLOOKUP(Table2[[#This Row],[Species]],'Species Table'!$A$1:$D$68,3, FALSE)</f>
        <v>Annual</v>
      </c>
      <c r="O1073" s="15">
        <f>IF(SUMPRODUCT(($A$2:$A1073=A1073)*($B$2:$B1073=B1073)*($F$2:$F1073=F1073))&gt;1,0,1)</f>
        <v>1</v>
      </c>
      <c r="P1073" s="15">
        <f>IF(SUMPRODUCT(($A$2:$A1073=A1073)*($B$2:$B1073=B1073)*($D$2:$D1073=D1073))&gt;1,0,1)</f>
        <v>0</v>
      </c>
    </row>
    <row r="1074" spans="1:16" x14ac:dyDescent="0.35">
      <c r="A1074" t="s">
        <v>21</v>
      </c>
      <c r="B1074">
        <v>2012</v>
      </c>
      <c r="C1074" t="s">
        <v>109</v>
      </c>
      <c r="D1074">
        <v>2.1</v>
      </c>
      <c r="E1074">
        <f>INT(Table2[[#This Row],[Transect]])</f>
        <v>2</v>
      </c>
      <c r="F1074" t="s">
        <v>14</v>
      </c>
      <c r="G1074">
        <v>2</v>
      </c>
      <c r="H1074">
        <v>33</v>
      </c>
      <c r="J1074">
        <f>Table2[[#This Row],[Hits]]/Table2[[#This Row],[Points]]*100</f>
        <v>6.0606060606060606</v>
      </c>
      <c r="K1074">
        <f>VLOOKUP(Table2[[#This Row],[Site]],'Site Info'!$A$1:$C$11,2, FALSE)</f>
        <v>33</v>
      </c>
      <c r="L1074">
        <f>VLOOKUP(Table2[[#This Row],[Site]],'Site Info'!$A$1:$C$11,3, FALSE)</f>
        <v>3</v>
      </c>
      <c r="M1074" t="str">
        <f>VLOOKUP(Table2[[#This Row],[Species]],'Species Table'!$A$1:$D$68,3, FALSE)</f>
        <v>Perennial</v>
      </c>
      <c r="O1074" s="15">
        <f>IF(SUMPRODUCT(($A$2:$A1074=A1074)*($B$2:$B1074=B1074)*($F$2:$F1074=F1074))&gt;1,0,1)</f>
        <v>1</v>
      </c>
      <c r="P1074" s="15">
        <f>IF(SUMPRODUCT(($A$2:$A1074=A1074)*($B$2:$B1074=B1074)*($D$2:$D1074=D1074))&gt;1,0,1)</f>
        <v>1</v>
      </c>
    </row>
    <row r="1075" spans="1:16" hidden="1" x14ac:dyDescent="0.35">
      <c r="A1075" t="s">
        <v>21</v>
      </c>
      <c r="B1075">
        <v>2012</v>
      </c>
      <c r="C1075" t="s">
        <v>111</v>
      </c>
      <c r="D1075">
        <v>3.1</v>
      </c>
      <c r="E1075">
        <f>INT(Table2[[#This Row],[Transect]])</f>
        <v>3</v>
      </c>
      <c r="F1075" t="s">
        <v>127</v>
      </c>
      <c r="G1075">
        <v>0</v>
      </c>
      <c r="H1075">
        <v>36</v>
      </c>
      <c r="J1075">
        <f>Table2[[#This Row],[Hits]]/Table2[[#This Row],[Points]]*100</f>
        <v>0</v>
      </c>
      <c r="K1075">
        <f>VLOOKUP(Table2[[#This Row],[Site]],'Site Info'!$A$1:$C$11,2, FALSE)</f>
        <v>33</v>
      </c>
      <c r="L1075">
        <f>VLOOKUP(Table2[[#This Row],[Site]],'Site Info'!$A$1:$C$11,3, FALSE)</f>
        <v>3</v>
      </c>
      <c r="M1075" t="str">
        <f>VLOOKUP(Table2[[#This Row],[Species]],'Species Table'!$A$1:$D$68,3, FALSE)</f>
        <v>NA</v>
      </c>
      <c r="O1075" s="15">
        <f>IF(SUMPRODUCT(($A$2:$A1075=A1075)*($B$2:$B1075=B1075)*($F$2:$F1075=F1075))&gt;1,0,1)</f>
        <v>1</v>
      </c>
      <c r="P1075" s="15">
        <f>IF(SUMPRODUCT(($A$2:$A1075=A1075)*($B$2:$B1075=B1075)*($D$2:$D1075=D1075))&gt;1,0,1)</f>
        <v>1</v>
      </c>
    </row>
    <row r="1076" spans="1:16" hidden="1" x14ac:dyDescent="0.35">
      <c r="A1076" t="s">
        <v>21</v>
      </c>
      <c r="B1076">
        <v>2012</v>
      </c>
      <c r="C1076" t="s">
        <v>113</v>
      </c>
      <c r="D1076">
        <v>4.0999999999999996</v>
      </c>
      <c r="E1076">
        <f>INT(Table2[[#This Row],[Transect]])</f>
        <v>4</v>
      </c>
      <c r="F1076" t="s">
        <v>127</v>
      </c>
      <c r="G1076">
        <v>0</v>
      </c>
      <c r="H1076">
        <v>40</v>
      </c>
      <c r="J1076">
        <f>Table2[[#This Row],[Hits]]/Table2[[#This Row],[Points]]*100</f>
        <v>0</v>
      </c>
      <c r="K1076">
        <f>VLOOKUP(Table2[[#This Row],[Site]],'Site Info'!$A$1:$C$11,2, FALSE)</f>
        <v>33</v>
      </c>
      <c r="L1076">
        <f>VLOOKUP(Table2[[#This Row],[Site]],'Site Info'!$A$1:$C$11,3, FALSE)</f>
        <v>3</v>
      </c>
      <c r="M1076" t="str">
        <f>VLOOKUP(Table2[[#This Row],[Species]],'Species Table'!$A$1:$D$68,3, FALSE)</f>
        <v>NA</v>
      </c>
      <c r="O1076" s="15">
        <f>IF(SUMPRODUCT(($A$2:$A1076=A1076)*($B$2:$B1076=B1076)*($F$2:$F1076=F1076))&gt;1,0,1)</f>
        <v>0</v>
      </c>
      <c r="P1076" s="15">
        <f>IF(SUMPRODUCT(($A$2:$A1076=A1076)*($B$2:$B1076=B1076)*($D$2:$D1076=D1076))&gt;1,0,1)</f>
        <v>1</v>
      </c>
    </row>
    <row r="1077" spans="1:16" x14ac:dyDescent="0.35">
      <c r="A1077" t="s">
        <v>21</v>
      </c>
      <c r="B1077">
        <v>2012</v>
      </c>
      <c r="C1077" t="s">
        <v>104</v>
      </c>
      <c r="D1077">
        <v>5.0999999999999996</v>
      </c>
      <c r="E1077">
        <f>INT(Table2[[#This Row],[Transect]])</f>
        <v>5</v>
      </c>
      <c r="F1077" t="s">
        <v>3</v>
      </c>
      <c r="G1077">
        <v>1</v>
      </c>
      <c r="H1077">
        <v>44</v>
      </c>
      <c r="J1077">
        <f>Table2[[#This Row],[Hits]]/Table2[[#This Row],[Points]]*100</f>
        <v>2.2727272727272729</v>
      </c>
      <c r="K1077">
        <f>VLOOKUP(Table2[[#This Row],[Site]],'Site Info'!$A$1:$C$11,2, FALSE)</f>
        <v>33</v>
      </c>
      <c r="L1077">
        <f>VLOOKUP(Table2[[#This Row],[Site]],'Site Info'!$A$1:$C$11,3, FALSE)</f>
        <v>3</v>
      </c>
      <c r="M1077" t="str">
        <f>VLOOKUP(Table2[[#This Row],[Species]],'Species Table'!$A$1:$D$68,3, FALSE)</f>
        <v>Perennial</v>
      </c>
      <c r="O1077" s="15">
        <f>IF(SUMPRODUCT(($A$2:$A1077=A1077)*($B$2:$B1077=B1077)*($F$2:$F1077=F1077))&gt;1,0,1)</f>
        <v>0</v>
      </c>
      <c r="P1077" s="15">
        <f>IF(SUMPRODUCT(($A$2:$A1077=A1077)*($B$2:$B1077=B1077)*($D$2:$D1077=D1077))&gt;1,0,1)</f>
        <v>1</v>
      </c>
    </row>
    <row r="1078" spans="1:16" hidden="1" x14ac:dyDescent="0.35">
      <c r="A1078" t="s">
        <v>21</v>
      </c>
      <c r="B1078">
        <v>2012</v>
      </c>
      <c r="C1078" t="s">
        <v>96</v>
      </c>
      <c r="D1078">
        <v>6.1</v>
      </c>
      <c r="E1078">
        <f>INT(Table2[[#This Row],[Transect]])</f>
        <v>6</v>
      </c>
      <c r="F1078" t="s">
        <v>127</v>
      </c>
      <c r="G1078">
        <v>0</v>
      </c>
      <c r="H1078">
        <v>48</v>
      </c>
      <c r="J1078">
        <f>Table2[[#This Row],[Hits]]/Table2[[#This Row],[Points]]*100</f>
        <v>0</v>
      </c>
      <c r="K1078">
        <f>VLOOKUP(Table2[[#This Row],[Site]],'Site Info'!$A$1:$C$11,2, FALSE)</f>
        <v>33</v>
      </c>
      <c r="L1078">
        <f>VLOOKUP(Table2[[#This Row],[Site]],'Site Info'!$A$1:$C$11,3, FALSE)</f>
        <v>3</v>
      </c>
      <c r="M1078" t="str">
        <f>VLOOKUP(Table2[[#This Row],[Species]],'Species Table'!$A$1:$D$68,3, FALSE)</f>
        <v>NA</v>
      </c>
      <c r="O1078" s="15">
        <f>IF(SUMPRODUCT(($A$2:$A1078=A1078)*($B$2:$B1078=B1078)*($F$2:$F1078=F1078))&gt;1,0,1)</f>
        <v>0</v>
      </c>
      <c r="P1078" s="15">
        <f>IF(SUMPRODUCT(($A$2:$A1078=A1078)*($B$2:$B1078=B1078)*($D$2:$D1078=D1078))&gt;1,0,1)</f>
        <v>1</v>
      </c>
    </row>
    <row r="1079" spans="1:16" x14ac:dyDescent="0.35">
      <c r="A1079" t="s">
        <v>21</v>
      </c>
      <c r="B1079">
        <v>2012</v>
      </c>
      <c r="C1079" t="s">
        <v>137</v>
      </c>
      <c r="D1079">
        <v>7.1</v>
      </c>
      <c r="E1079">
        <f>INT(Table2[[#This Row],[Transect]])</f>
        <v>7</v>
      </c>
      <c r="F1079" t="s">
        <v>150</v>
      </c>
      <c r="G1079">
        <v>2</v>
      </c>
      <c r="H1079">
        <v>52</v>
      </c>
      <c r="J1079">
        <f>Table2[[#This Row],[Hits]]/Table2[[#This Row],[Points]]*100</f>
        <v>3.8461538461538463</v>
      </c>
      <c r="K1079">
        <f>VLOOKUP(Table2[[#This Row],[Site]],'Site Info'!$A$1:$C$11,2, FALSE)</f>
        <v>33</v>
      </c>
      <c r="L1079">
        <f>VLOOKUP(Table2[[#This Row],[Site]],'Site Info'!$A$1:$C$11,3, FALSE)</f>
        <v>3</v>
      </c>
      <c r="M1079" t="str">
        <f>VLOOKUP(Table2[[#This Row],[Species]],'Species Table'!$A$1:$D$68,3, FALSE)</f>
        <v>Perennial</v>
      </c>
      <c r="N1079" t="s">
        <v>160</v>
      </c>
      <c r="O1079" s="15">
        <f>IF(SUMPRODUCT(($A$2:$A1079=A1079)*($B$2:$B1079=B1079)*($F$2:$F1079=F1079))&gt;1,0,1)</f>
        <v>1</v>
      </c>
      <c r="P1079" s="15">
        <f>IF(SUMPRODUCT(($A$2:$A1079=A1079)*($B$2:$B1079=B1079)*($D$2:$D1079=D1079))&gt;1,0,1)</f>
        <v>1</v>
      </c>
    </row>
    <row r="1080" spans="1:16" x14ac:dyDescent="0.35">
      <c r="A1080" t="s">
        <v>21</v>
      </c>
      <c r="B1080">
        <v>2012</v>
      </c>
      <c r="C1080" t="s">
        <v>151</v>
      </c>
      <c r="D1080">
        <v>8.1</v>
      </c>
      <c r="E1080">
        <f>INT(Table2[[#This Row],[Transect]])</f>
        <v>8</v>
      </c>
      <c r="F1080" t="s">
        <v>3</v>
      </c>
      <c r="G1080">
        <v>1</v>
      </c>
      <c r="H1080">
        <v>49</v>
      </c>
      <c r="J1080">
        <f>Table2[[#This Row],[Hits]]/Table2[[#This Row],[Points]]*100</f>
        <v>2.0408163265306123</v>
      </c>
      <c r="K1080">
        <f>VLOOKUP(Table2[[#This Row],[Site]],'Site Info'!$A$1:$C$11,2, FALSE)</f>
        <v>33</v>
      </c>
      <c r="L1080">
        <f>VLOOKUP(Table2[[#This Row],[Site]],'Site Info'!$A$1:$C$11,3, FALSE)</f>
        <v>3</v>
      </c>
      <c r="M1080" t="str">
        <f>VLOOKUP(Table2[[#This Row],[Species]],'Species Table'!$A$1:$D$68,3, FALSE)</f>
        <v>Perennial</v>
      </c>
      <c r="O1080" s="15">
        <f>IF(SUMPRODUCT(($A$2:$A1080=A1080)*($B$2:$B1080=B1080)*($F$2:$F1080=F1080))&gt;1,0,1)</f>
        <v>0</v>
      </c>
      <c r="P1080" s="15">
        <f>IF(SUMPRODUCT(($A$2:$A1080=A1080)*($B$2:$B1080=B1080)*($D$2:$D1080=D1080))&gt;1,0,1)</f>
        <v>1</v>
      </c>
    </row>
    <row r="1081" spans="1:16" hidden="1" x14ac:dyDescent="0.35">
      <c r="A1081" t="s">
        <v>21</v>
      </c>
      <c r="B1081">
        <v>2012</v>
      </c>
      <c r="C1081" t="s">
        <v>151</v>
      </c>
      <c r="D1081">
        <v>8.1</v>
      </c>
      <c r="E1081">
        <f>INT(Table2[[#This Row],[Transect]])</f>
        <v>8</v>
      </c>
      <c r="F1081" t="s">
        <v>10</v>
      </c>
      <c r="G1081">
        <v>1</v>
      </c>
      <c r="H1081">
        <v>49</v>
      </c>
      <c r="J1081">
        <f>Table2[[#This Row],[Hits]]/Table2[[#This Row],[Points]]*100</f>
        <v>2.0408163265306123</v>
      </c>
      <c r="K1081">
        <f>VLOOKUP(Table2[[#This Row],[Site]],'Site Info'!$A$1:$C$11,2, FALSE)</f>
        <v>33</v>
      </c>
      <c r="L1081">
        <f>VLOOKUP(Table2[[#This Row],[Site]],'Site Info'!$A$1:$C$11,3, FALSE)</f>
        <v>3</v>
      </c>
      <c r="M1081" t="str">
        <f>VLOOKUP(Table2[[#This Row],[Species]],'Species Table'!$A$1:$D$68,3, FALSE)</f>
        <v>Annual</v>
      </c>
      <c r="O1081" s="15">
        <f>IF(SUMPRODUCT(($A$2:$A1081=A1081)*($B$2:$B1081=B1081)*($F$2:$F1081=F1081))&gt;1,0,1)</f>
        <v>0</v>
      </c>
      <c r="P1081" s="15">
        <f>IF(SUMPRODUCT(($A$2:$A1081=A1081)*($B$2:$B1081=B1081)*($D$2:$D1081=D1081))&gt;1,0,1)</f>
        <v>0</v>
      </c>
    </row>
    <row r="1082" spans="1:16" x14ac:dyDescent="0.35">
      <c r="A1082" t="s">
        <v>21</v>
      </c>
      <c r="B1082">
        <v>2012</v>
      </c>
      <c r="C1082" t="s">
        <v>152</v>
      </c>
      <c r="D1082">
        <v>9.1</v>
      </c>
      <c r="E1082">
        <f>INT(Table2[[#This Row],[Transect]])</f>
        <v>9</v>
      </c>
      <c r="F1082" t="s">
        <v>3</v>
      </c>
      <c r="G1082">
        <v>3</v>
      </c>
      <c r="H1082">
        <v>43</v>
      </c>
      <c r="J1082">
        <f>Table2[[#This Row],[Hits]]/Table2[[#This Row],[Points]]*100</f>
        <v>6.9767441860465116</v>
      </c>
      <c r="K1082">
        <f>VLOOKUP(Table2[[#This Row],[Site]],'Site Info'!$A$1:$C$11,2, FALSE)</f>
        <v>33</v>
      </c>
      <c r="L1082">
        <f>VLOOKUP(Table2[[#This Row],[Site]],'Site Info'!$A$1:$C$11,3, FALSE)</f>
        <v>3</v>
      </c>
      <c r="M1082" t="str">
        <f>VLOOKUP(Table2[[#This Row],[Species]],'Species Table'!$A$1:$D$68,3, FALSE)</f>
        <v>Perennial</v>
      </c>
      <c r="O1082" s="15">
        <f>IF(SUMPRODUCT(($A$2:$A1082=A1082)*($B$2:$B1082=B1082)*($F$2:$F1082=F1082))&gt;1,0,1)</f>
        <v>0</v>
      </c>
      <c r="P1082" s="15">
        <f>IF(SUMPRODUCT(($A$2:$A1082=A1082)*($B$2:$B1082=B1082)*($D$2:$D1082=D1082))&gt;1,0,1)</f>
        <v>1</v>
      </c>
    </row>
    <row r="1083" spans="1:16" hidden="1" x14ac:dyDescent="0.35">
      <c r="A1083" t="s">
        <v>21</v>
      </c>
      <c r="B1083">
        <v>2012</v>
      </c>
      <c r="C1083" t="s">
        <v>152</v>
      </c>
      <c r="D1083">
        <v>9.1</v>
      </c>
      <c r="E1083">
        <f>INT(Table2[[#This Row],[Transect]])</f>
        <v>9</v>
      </c>
      <c r="F1083" t="s">
        <v>10</v>
      </c>
      <c r="G1083">
        <v>1</v>
      </c>
      <c r="H1083">
        <v>43</v>
      </c>
      <c r="J1083">
        <f>Table2[[#This Row],[Hits]]/Table2[[#This Row],[Points]]*100</f>
        <v>2.3255813953488373</v>
      </c>
      <c r="K1083">
        <f>VLOOKUP(Table2[[#This Row],[Site]],'Site Info'!$A$1:$C$11,2, FALSE)</f>
        <v>33</v>
      </c>
      <c r="L1083">
        <f>VLOOKUP(Table2[[#This Row],[Site]],'Site Info'!$A$1:$C$11,3, FALSE)</f>
        <v>3</v>
      </c>
      <c r="M1083" t="str">
        <f>VLOOKUP(Table2[[#This Row],[Species]],'Species Table'!$A$1:$D$68,3, FALSE)</f>
        <v>Annual</v>
      </c>
      <c r="O1083" s="15">
        <f>IF(SUMPRODUCT(($A$2:$A1083=A1083)*($B$2:$B1083=B1083)*($F$2:$F1083=F1083))&gt;1,0,1)</f>
        <v>0</v>
      </c>
      <c r="P1083" s="15">
        <f>IF(SUMPRODUCT(($A$2:$A1083=A1083)*($B$2:$B1083=B1083)*($D$2:$D1083=D1083))&gt;1,0,1)</f>
        <v>0</v>
      </c>
    </row>
    <row r="1084" spans="1:16" hidden="1" x14ac:dyDescent="0.35">
      <c r="A1084" t="s">
        <v>21</v>
      </c>
      <c r="B1084">
        <v>2012</v>
      </c>
      <c r="C1084" t="s">
        <v>153</v>
      </c>
      <c r="D1084">
        <v>10.1</v>
      </c>
      <c r="E1084">
        <f>INT(Table2[[#This Row],[Transect]])</f>
        <v>10</v>
      </c>
      <c r="F1084" t="s">
        <v>10</v>
      </c>
      <c r="G1084">
        <v>1</v>
      </c>
      <c r="H1084">
        <v>38</v>
      </c>
      <c r="J1084">
        <f>Table2[[#This Row],[Hits]]/Table2[[#This Row],[Points]]*100</f>
        <v>2.6315789473684208</v>
      </c>
      <c r="K1084">
        <f>VLOOKUP(Table2[[#This Row],[Site]],'Site Info'!$A$1:$C$11,2, FALSE)</f>
        <v>33</v>
      </c>
      <c r="L1084">
        <f>VLOOKUP(Table2[[#This Row],[Site]],'Site Info'!$A$1:$C$11,3, FALSE)</f>
        <v>3</v>
      </c>
      <c r="M1084" t="str">
        <f>VLOOKUP(Table2[[#This Row],[Species]],'Species Table'!$A$1:$D$68,3, FALSE)</f>
        <v>Annual</v>
      </c>
      <c r="O1084" s="15">
        <f>IF(SUMPRODUCT(($A$2:$A1084=A1084)*($B$2:$B1084=B1084)*($F$2:$F1084=F1084))&gt;1,0,1)</f>
        <v>0</v>
      </c>
      <c r="P1084" s="15">
        <f>IF(SUMPRODUCT(($A$2:$A1084=A1084)*($B$2:$B1084=B1084)*($D$2:$D1084=D1084))&gt;1,0,1)</f>
        <v>1</v>
      </c>
    </row>
    <row r="1085" spans="1:16" hidden="1" x14ac:dyDescent="0.35">
      <c r="A1085" t="s">
        <v>21</v>
      </c>
      <c r="B1085">
        <v>2012</v>
      </c>
      <c r="C1085" t="s">
        <v>154</v>
      </c>
      <c r="D1085">
        <v>11.1</v>
      </c>
      <c r="E1085">
        <f>INT(Table2[[#This Row],[Transect]])</f>
        <v>11</v>
      </c>
      <c r="F1085" t="s">
        <v>127</v>
      </c>
      <c r="G1085">
        <v>0</v>
      </c>
      <c r="H1085">
        <v>33</v>
      </c>
      <c r="J1085">
        <f>Table2[[#This Row],[Hits]]/Table2[[#This Row],[Points]]*100</f>
        <v>0</v>
      </c>
      <c r="K1085">
        <f>VLOOKUP(Table2[[#This Row],[Site]],'Site Info'!$A$1:$C$11,2, FALSE)</f>
        <v>33</v>
      </c>
      <c r="L1085">
        <f>VLOOKUP(Table2[[#This Row],[Site]],'Site Info'!$A$1:$C$11,3, FALSE)</f>
        <v>3</v>
      </c>
      <c r="M1085" t="str">
        <f>VLOOKUP(Table2[[#This Row],[Species]],'Species Table'!$A$1:$D$68,3, FALSE)</f>
        <v>NA</v>
      </c>
      <c r="O1085" s="15">
        <f>IF(SUMPRODUCT(($A$2:$A1085=A1085)*($B$2:$B1085=B1085)*($F$2:$F1085=F1085))&gt;1,0,1)</f>
        <v>0</v>
      </c>
      <c r="P1085" s="15">
        <f>IF(SUMPRODUCT(($A$2:$A1085=A1085)*($B$2:$B1085=B1085)*($D$2:$D1085=D1085))&gt;1,0,1)</f>
        <v>1</v>
      </c>
    </row>
    <row r="1086" spans="1:16" hidden="1" x14ac:dyDescent="0.35">
      <c r="A1086" t="s">
        <v>21</v>
      </c>
      <c r="B1086">
        <v>2012</v>
      </c>
      <c r="C1086" t="s">
        <v>155</v>
      </c>
      <c r="D1086">
        <v>12.1</v>
      </c>
      <c r="E1086">
        <f>INT(Table2[[#This Row],[Transect]])</f>
        <v>12</v>
      </c>
      <c r="F1086" t="s">
        <v>127</v>
      </c>
      <c r="G1086">
        <v>0</v>
      </c>
      <c r="H1086">
        <v>28</v>
      </c>
      <c r="J1086">
        <f>Table2[[#This Row],[Hits]]/Table2[[#This Row],[Points]]*100</f>
        <v>0</v>
      </c>
      <c r="K1086">
        <f>VLOOKUP(Table2[[#This Row],[Site]],'Site Info'!$A$1:$C$11,2, FALSE)</f>
        <v>33</v>
      </c>
      <c r="L1086">
        <f>VLOOKUP(Table2[[#This Row],[Site]],'Site Info'!$A$1:$C$11,3, FALSE)</f>
        <v>3</v>
      </c>
      <c r="M1086" t="str">
        <f>VLOOKUP(Table2[[#This Row],[Species]],'Species Table'!$A$1:$D$68,3, FALSE)</f>
        <v>NA</v>
      </c>
      <c r="O1086" s="15">
        <f>IF(SUMPRODUCT(($A$2:$A1086=A1086)*($B$2:$B1086=B1086)*($F$2:$F1086=F1086))&gt;1,0,1)</f>
        <v>0</v>
      </c>
      <c r="P1086" s="15">
        <f>IF(SUMPRODUCT(($A$2:$A1086=A1086)*($B$2:$B1086=B1086)*($D$2:$D1086=D1086))&gt;1,0,1)</f>
        <v>1</v>
      </c>
    </row>
    <row r="1087" spans="1:16" hidden="1" x14ac:dyDescent="0.35">
      <c r="A1087" t="s">
        <v>21</v>
      </c>
      <c r="B1087">
        <v>2012</v>
      </c>
      <c r="C1087" t="s">
        <v>156</v>
      </c>
      <c r="D1087">
        <v>13.1</v>
      </c>
      <c r="E1087">
        <f>INT(Table2[[#This Row],[Transect]])</f>
        <v>13</v>
      </c>
      <c r="F1087" t="s">
        <v>127</v>
      </c>
      <c r="G1087">
        <v>0</v>
      </c>
      <c r="H1087">
        <v>30</v>
      </c>
      <c r="J1087">
        <f>Table2[[#This Row],[Hits]]/Table2[[#This Row],[Points]]*100</f>
        <v>0</v>
      </c>
      <c r="K1087">
        <f>VLOOKUP(Table2[[#This Row],[Site]],'Site Info'!$A$1:$C$11,2, FALSE)</f>
        <v>33</v>
      </c>
      <c r="L1087">
        <f>VLOOKUP(Table2[[#This Row],[Site]],'Site Info'!$A$1:$C$11,3, FALSE)</f>
        <v>3</v>
      </c>
      <c r="M1087" t="str">
        <f>VLOOKUP(Table2[[#This Row],[Species]],'Species Table'!$A$1:$D$68,3, FALSE)</f>
        <v>NA</v>
      </c>
      <c r="O1087" s="15">
        <f>IF(SUMPRODUCT(($A$2:$A1087=A1087)*($B$2:$B1087=B1087)*($F$2:$F1087=F1087))&gt;1,0,1)</f>
        <v>0</v>
      </c>
      <c r="P1087" s="15">
        <f>IF(SUMPRODUCT(($A$2:$A1087=A1087)*($B$2:$B1087=B1087)*($D$2:$D1087=D1087))&gt;1,0,1)</f>
        <v>1</v>
      </c>
    </row>
    <row r="1088" spans="1:16" x14ac:dyDescent="0.35">
      <c r="A1088" t="s">
        <v>21</v>
      </c>
      <c r="B1088">
        <v>2012</v>
      </c>
      <c r="C1088" t="s">
        <v>157</v>
      </c>
      <c r="D1088">
        <v>14.1</v>
      </c>
      <c r="E1088">
        <f>INT(Table2[[#This Row],[Transect]])</f>
        <v>14</v>
      </c>
      <c r="F1088" t="s">
        <v>2</v>
      </c>
      <c r="G1088">
        <v>1</v>
      </c>
      <c r="H1088">
        <v>24</v>
      </c>
      <c r="J1088">
        <f>Table2[[#This Row],[Hits]]/Table2[[#This Row],[Points]]*100</f>
        <v>4.1666666666666661</v>
      </c>
      <c r="K1088">
        <f>VLOOKUP(Table2[[#This Row],[Site]],'Site Info'!$A$1:$C$11,2, FALSE)</f>
        <v>33</v>
      </c>
      <c r="L1088">
        <f>VLOOKUP(Table2[[#This Row],[Site]],'Site Info'!$A$1:$C$11,3, FALSE)</f>
        <v>3</v>
      </c>
      <c r="M1088" t="str">
        <f>VLOOKUP(Table2[[#This Row],[Species]],'Species Table'!$A$1:$D$68,3, FALSE)</f>
        <v>Perennial</v>
      </c>
      <c r="O1088" s="15">
        <f>IF(SUMPRODUCT(($A$2:$A1088=A1088)*($B$2:$B1088=B1088)*($F$2:$F1088=F1088))&gt;1,0,1)</f>
        <v>1</v>
      </c>
      <c r="P1088" s="15">
        <f>IF(SUMPRODUCT(($A$2:$A1088=A1088)*($B$2:$B1088=B1088)*($D$2:$D1088=D1088))&gt;1,0,1)</f>
        <v>1</v>
      </c>
    </row>
    <row r="1089" spans="1:16" hidden="1" x14ac:dyDescent="0.35">
      <c r="A1089" t="s">
        <v>21</v>
      </c>
      <c r="B1089">
        <v>2012</v>
      </c>
      <c r="C1089" t="s">
        <v>158</v>
      </c>
      <c r="D1089">
        <v>15.1</v>
      </c>
      <c r="E1089">
        <f>INT(Table2[[#This Row],[Transect]])</f>
        <v>15</v>
      </c>
      <c r="F1089" t="s">
        <v>127</v>
      </c>
      <c r="G1089">
        <v>0</v>
      </c>
      <c r="H1089">
        <v>19</v>
      </c>
      <c r="J1089">
        <f>Table2[[#This Row],[Hits]]/Table2[[#This Row],[Points]]*100</f>
        <v>0</v>
      </c>
      <c r="K1089">
        <f>VLOOKUP(Table2[[#This Row],[Site]],'Site Info'!$A$1:$C$11,2, FALSE)</f>
        <v>33</v>
      </c>
      <c r="L1089">
        <f>VLOOKUP(Table2[[#This Row],[Site]],'Site Info'!$A$1:$C$11,3, FALSE)</f>
        <v>3</v>
      </c>
      <c r="M1089" t="str">
        <f>VLOOKUP(Table2[[#This Row],[Species]],'Species Table'!$A$1:$D$68,3, FALSE)</f>
        <v>NA</v>
      </c>
      <c r="O1089" s="15">
        <f>IF(SUMPRODUCT(($A$2:$A1089=A1089)*($B$2:$B1089=B1089)*($F$2:$F1089=F1089))&gt;1,0,1)</f>
        <v>0</v>
      </c>
      <c r="P1089" s="15">
        <f>IF(SUMPRODUCT(($A$2:$A1089=A1089)*($B$2:$B1089=B1089)*($D$2:$D1089=D1089))&gt;1,0,1)</f>
        <v>1</v>
      </c>
    </row>
    <row r="1090" spans="1:16" hidden="1" x14ac:dyDescent="0.35">
      <c r="A1090" t="s">
        <v>21</v>
      </c>
      <c r="B1090">
        <v>2012</v>
      </c>
      <c r="C1090" t="s">
        <v>159</v>
      </c>
      <c r="D1090">
        <v>16.100000000000001</v>
      </c>
      <c r="E1090">
        <f>INT(Table2[[#This Row],[Transect]])</f>
        <v>16</v>
      </c>
      <c r="F1090" t="s">
        <v>127</v>
      </c>
      <c r="G1090">
        <v>0</v>
      </c>
      <c r="H1090">
        <v>14</v>
      </c>
      <c r="J1090">
        <f>Table2[[#This Row],[Hits]]/Table2[[#This Row],[Points]]*100</f>
        <v>0</v>
      </c>
      <c r="K1090">
        <f>VLOOKUP(Table2[[#This Row],[Site]],'Site Info'!$A$1:$C$11,2, FALSE)</f>
        <v>33</v>
      </c>
      <c r="L1090">
        <f>VLOOKUP(Table2[[#This Row],[Site]],'Site Info'!$A$1:$C$11,3, FALSE)</f>
        <v>3</v>
      </c>
      <c r="M1090" t="str">
        <f>VLOOKUP(Table2[[#This Row],[Species]],'Species Table'!$A$1:$D$68,3, FALSE)</f>
        <v>NA</v>
      </c>
      <c r="O1090" s="15">
        <f>IF(SUMPRODUCT(($A$2:$A1090=A1090)*($B$2:$B1090=B1090)*($F$2:$F1090=F1090))&gt;1,0,1)</f>
        <v>0</v>
      </c>
      <c r="P1090" s="15">
        <f>IF(SUMPRODUCT(($A$2:$A1090=A1090)*($B$2:$B1090=B1090)*($D$2:$D1090=D1090))&gt;1,0,1)</f>
        <v>1</v>
      </c>
    </row>
    <row r="1091" spans="1:16" x14ac:dyDescent="0.35">
      <c r="A1091" t="s">
        <v>161</v>
      </c>
      <c r="B1091">
        <v>2013</v>
      </c>
      <c r="C1091" t="s">
        <v>162</v>
      </c>
      <c r="D1091" s="7" t="s">
        <v>166</v>
      </c>
      <c r="E1091" s="6">
        <f>INT(Table2[[#This Row],[Transect]])</f>
        <v>1</v>
      </c>
      <c r="F1091" s="1" t="s">
        <v>11</v>
      </c>
      <c r="G1091">
        <v>10</v>
      </c>
      <c r="H1091">
        <f t="shared" ref="H1091:H1098" si="5">I1091*2</f>
        <v>200</v>
      </c>
      <c r="I1091">
        <v>100</v>
      </c>
      <c r="J1091">
        <f>Table2[[#This Row],[Hits]]/Table2[[#This Row],[Points]]*100</f>
        <v>5</v>
      </c>
      <c r="K1091">
        <f>VLOOKUP(Table2[[#This Row],[Site]],'Site Info'!$A$1:$C$11,2, FALSE)</f>
        <v>17.7</v>
      </c>
      <c r="L1091">
        <f>VLOOKUP(Table2[[#This Row],[Site]],'Site Info'!$A$1:$C$11,3, FALSE)</f>
        <v>10</v>
      </c>
      <c r="M1091" t="str">
        <f>VLOOKUP(Table2[[#This Row],[Species]],'Species Table'!$A$1:$D$68,3, FALSE)</f>
        <v>Perennial</v>
      </c>
      <c r="O1091" s="15">
        <f>IF(SUMPRODUCT(($A$2:$A1091=A1091)*($B$2:$B1091=B1091)*($F$2:$F1091=F1091))&gt;1,0,1)</f>
        <v>1</v>
      </c>
      <c r="P1091" s="15">
        <f>IF(SUMPRODUCT(($A$2:$A1091=A1091)*($B$2:$B1091=B1091)*($D$2:$D1091=D1091))&gt;1,0,1)</f>
        <v>1</v>
      </c>
    </row>
    <row r="1092" spans="1:16" x14ac:dyDescent="0.35">
      <c r="A1092" t="s">
        <v>161</v>
      </c>
      <c r="B1092">
        <v>2013</v>
      </c>
      <c r="C1092" t="s">
        <v>37</v>
      </c>
      <c r="D1092" s="6">
        <v>1.1000000000000001</v>
      </c>
      <c r="E1092" s="6">
        <f>INT(Table2[[#This Row],[Transect]])</f>
        <v>1</v>
      </c>
      <c r="F1092" s="1" t="s">
        <v>11</v>
      </c>
      <c r="G1092">
        <v>2</v>
      </c>
      <c r="H1092">
        <f t="shared" si="5"/>
        <v>180</v>
      </c>
      <c r="I1092">
        <v>90</v>
      </c>
      <c r="J1092">
        <f>Table2[[#This Row],[Hits]]/Table2[[#This Row],[Points]]*100</f>
        <v>1.1111111111111112</v>
      </c>
      <c r="K1092">
        <f>VLOOKUP(Table2[[#This Row],[Site]],'Site Info'!$A$1:$C$11,2, FALSE)</f>
        <v>17.7</v>
      </c>
      <c r="L1092">
        <f>VLOOKUP(Table2[[#This Row],[Site]],'Site Info'!$A$1:$C$11,3, FALSE)</f>
        <v>10</v>
      </c>
      <c r="M1092" t="str">
        <f>VLOOKUP(Table2[[#This Row],[Species]],'Species Table'!$A$1:$D$68,3, FALSE)</f>
        <v>Perennial</v>
      </c>
      <c r="O1092" s="15">
        <f>IF(SUMPRODUCT(($A$2:$A1092=A1092)*($B$2:$B1092=B1092)*($F$2:$F1092=F1092))&gt;1,0,1)</f>
        <v>0</v>
      </c>
      <c r="P1092" s="15">
        <f>IF(SUMPRODUCT(($A$2:$A1092=A1092)*($B$2:$B1092=B1092)*($D$2:$D1092=D1092))&gt;1,0,1)</f>
        <v>1</v>
      </c>
    </row>
    <row r="1093" spans="1:16" hidden="1" x14ac:dyDescent="0.35">
      <c r="A1093" t="s">
        <v>161</v>
      </c>
      <c r="B1093">
        <v>2013</v>
      </c>
      <c r="C1093" t="s">
        <v>163</v>
      </c>
      <c r="D1093" s="7" t="s">
        <v>167</v>
      </c>
      <c r="E1093" s="6">
        <f>INT(Table2[[#This Row],[Transect]])</f>
        <v>2</v>
      </c>
      <c r="F1093" s="1" t="s">
        <v>127</v>
      </c>
      <c r="G1093">
        <v>0</v>
      </c>
      <c r="H1093">
        <f t="shared" si="5"/>
        <v>200</v>
      </c>
      <c r="I1093">
        <v>100</v>
      </c>
      <c r="J1093">
        <f>Table2[[#This Row],[Hits]]/Table2[[#This Row],[Points]]*100</f>
        <v>0</v>
      </c>
      <c r="K1093">
        <f>VLOOKUP(Table2[[#This Row],[Site]],'Site Info'!$A$1:$C$11,2, FALSE)</f>
        <v>17.7</v>
      </c>
      <c r="L1093">
        <f>VLOOKUP(Table2[[#This Row],[Site]],'Site Info'!$A$1:$C$11,3, FALSE)</f>
        <v>10</v>
      </c>
      <c r="M1093" t="str">
        <f>VLOOKUP(Table2[[#This Row],[Species]],'Species Table'!$A$1:$D$68,3, FALSE)</f>
        <v>NA</v>
      </c>
      <c r="O1093" s="15">
        <f>IF(SUMPRODUCT(($A$2:$A1093=A1093)*($B$2:$B1093=B1093)*($F$2:$F1093=F1093))&gt;1,0,1)</f>
        <v>1</v>
      </c>
      <c r="P1093" s="15">
        <f>IF(SUMPRODUCT(($A$2:$A1093=A1093)*($B$2:$B1093=B1093)*($D$2:$D1093=D1093))&gt;1,0,1)</f>
        <v>1</v>
      </c>
    </row>
    <row r="1094" spans="1:16" x14ac:dyDescent="0.35">
      <c r="A1094" t="s">
        <v>161</v>
      </c>
      <c r="B1094">
        <v>2013</v>
      </c>
      <c r="C1094" t="s">
        <v>43</v>
      </c>
      <c r="D1094" s="6">
        <v>2.1</v>
      </c>
      <c r="E1094" s="6">
        <f>INT(Table2[[#This Row],[Transect]])</f>
        <v>2</v>
      </c>
      <c r="F1094" s="1" t="s">
        <v>11</v>
      </c>
      <c r="G1094">
        <v>4</v>
      </c>
      <c r="H1094">
        <f t="shared" si="5"/>
        <v>149</v>
      </c>
      <c r="I1094">
        <v>74.5</v>
      </c>
      <c r="J1094">
        <f>Table2[[#This Row],[Hits]]/Table2[[#This Row],[Points]]*100</f>
        <v>2.6845637583892619</v>
      </c>
      <c r="K1094">
        <f>VLOOKUP(Table2[[#This Row],[Site]],'Site Info'!$A$1:$C$11,2, FALSE)</f>
        <v>17.7</v>
      </c>
      <c r="L1094">
        <f>VLOOKUP(Table2[[#This Row],[Site]],'Site Info'!$A$1:$C$11,3, FALSE)</f>
        <v>10</v>
      </c>
      <c r="M1094" t="str">
        <f>VLOOKUP(Table2[[#This Row],[Species]],'Species Table'!$A$1:$D$68,3, FALSE)</f>
        <v>Perennial</v>
      </c>
      <c r="O1094" s="15">
        <f>IF(SUMPRODUCT(($A$2:$A1094=A1094)*($B$2:$B1094=B1094)*($F$2:$F1094=F1094))&gt;1,0,1)</f>
        <v>0</v>
      </c>
      <c r="P1094" s="15">
        <f>IF(SUMPRODUCT(($A$2:$A1094=A1094)*($B$2:$B1094=B1094)*($D$2:$D1094=D1094))&gt;1,0,1)</f>
        <v>1</v>
      </c>
    </row>
    <row r="1095" spans="1:16" x14ac:dyDescent="0.35">
      <c r="A1095" t="s">
        <v>161</v>
      </c>
      <c r="B1095">
        <v>2013</v>
      </c>
      <c r="C1095" t="s">
        <v>164</v>
      </c>
      <c r="D1095" s="7" t="s">
        <v>168</v>
      </c>
      <c r="E1095" s="6">
        <f>INT(Table2[[#This Row],[Transect]])</f>
        <v>3</v>
      </c>
      <c r="F1095" t="s">
        <v>11</v>
      </c>
      <c r="G1095">
        <v>3</v>
      </c>
      <c r="H1095">
        <f t="shared" si="5"/>
        <v>200</v>
      </c>
      <c r="I1095">
        <v>100</v>
      </c>
      <c r="J1095">
        <f>Table2[[#This Row],[Hits]]/Table2[[#This Row],[Points]]*100</f>
        <v>1.5</v>
      </c>
      <c r="K1095">
        <f>VLOOKUP(Table2[[#This Row],[Site]],'Site Info'!$A$1:$C$11,2, FALSE)</f>
        <v>17.7</v>
      </c>
      <c r="L1095">
        <f>VLOOKUP(Table2[[#This Row],[Site]],'Site Info'!$A$1:$C$11,3, FALSE)</f>
        <v>10</v>
      </c>
      <c r="M1095" t="str">
        <f>VLOOKUP(Table2[[#This Row],[Species]],'Species Table'!$A$1:$D$68,3, FALSE)</f>
        <v>Perennial</v>
      </c>
      <c r="O1095" s="15">
        <f>IF(SUMPRODUCT(($A$2:$A1095=A1095)*($B$2:$B1095=B1095)*($F$2:$F1095=F1095))&gt;1,0,1)</f>
        <v>0</v>
      </c>
      <c r="P1095" s="15">
        <f>IF(SUMPRODUCT(($A$2:$A1095=A1095)*($B$2:$B1095=B1095)*($D$2:$D1095=D1095))&gt;1,0,1)</f>
        <v>1</v>
      </c>
    </row>
    <row r="1096" spans="1:16" hidden="1" x14ac:dyDescent="0.35">
      <c r="A1096" t="s">
        <v>161</v>
      </c>
      <c r="B1096">
        <v>2013</v>
      </c>
      <c r="C1096" t="s">
        <v>50</v>
      </c>
      <c r="D1096" s="6">
        <v>3.1</v>
      </c>
      <c r="E1096" s="6">
        <f>INT(Table2[[#This Row],[Transect]])</f>
        <v>3</v>
      </c>
      <c r="F1096" s="1" t="s">
        <v>127</v>
      </c>
      <c r="G1096">
        <v>0</v>
      </c>
      <c r="H1096">
        <f t="shared" si="5"/>
        <v>119</v>
      </c>
      <c r="I1096">
        <v>59.5</v>
      </c>
      <c r="J1096">
        <f>Table2[[#This Row],[Hits]]/Table2[[#This Row],[Points]]*100</f>
        <v>0</v>
      </c>
      <c r="K1096">
        <f>VLOOKUP(Table2[[#This Row],[Site]],'Site Info'!$A$1:$C$11,2, FALSE)</f>
        <v>17.7</v>
      </c>
      <c r="L1096">
        <f>VLOOKUP(Table2[[#This Row],[Site]],'Site Info'!$A$1:$C$11,3, FALSE)</f>
        <v>10</v>
      </c>
      <c r="M1096" t="str">
        <f>VLOOKUP(Table2[[#This Row],[Species]],'Species Table'!$A$1:$D$68,3, FALSE)</f>
        <v>NA</v>
      </c>
      <c r="O1096" s="15">
        <f>IF(SUMPRODUCT(($A$2:$A1096=A1096)*($B$2:$B1096=B1096)*($F$2:$F1096=F1096))&gt;1,0,1)</f>
        <v>0</v>
      </c>
      <c r="P1096" s="15">
        <f>IF(SUMPRODUCT(($A$2:$A1096=A1096)*($B$2:$B1096=B1096)*($D$2:$D1096=D1096))&gt;1,0,1)</f>
        <v>1</v>
      </c>
    </row>
    <row r="1097" spans="1:16" hidden="1" x14ac:dyDescent="0.35">
      <c r="A1097" t="s">
        <v>161</v>
      </c>
      <c r="B1097">
        <v>2013</v>
      </c>
      <c r="C1097" t="s">
        <v>165</v>
      </c>
      <c r="D1097" s="7" t="s">
        <v>169</v>
      </c>
      <c r="E1097" s="6">
        <f>INT(Table2[[#This Row],[Transect]])</f>
        <v>4</v>
      </c>
      <c r="F1097" s="1" t="s">
        <v>127</v>
      </c>
      <c r="G1097">
        <v>0</v>
      </c>
      <c r="H1097">
        <f t="shared" si="5"/>
        <v>200</v>
      </c>
      <c r="I1097">
        <v>100</v>
      </c>
      <c r="J1097">
        <f>Table2[[#This Row],[Hits]]/Table2[[#This Row],[Points]]*100</f>
        <v>0</v>
      </c>
      <c r="K1097">
        <f>VLOOKUP(Table2[[#This Row],[Site]],'Site Info'!$A$1:$C$11,2, FALSE)</f>
        <v>17.7</v>
      </c>
      <c r="L1097">
        <f>VLOOKUP(Table2[[#This Row],[Site]],'Site Info'!$A$1:$C$11,3, FALSE)</f>
        <v>10</v>
      </c>
      <c r="M1097" t="str">
        <f>VLOOKUP(Table2[[#This Row],[Species]],'Species Table'!$A$1:$D$68,3, FALSE)</f>
        <v>NA</v>
      </c>
      <c r="O1097" s="15">
        <f>IF(SUMPRODUCT(($A$2:$A1097=A1097)*($B$2:$B1097=B1097)*($F$2:$F1097=F1097))&gt;1,0,1)</f>
        <v>0</v>
      </c>
      <c r="P1097" s="15">
        <f>IF(SUMPRODUCT(($A$2:$A1097=A1097)*($B$2:$B1097=B1097)*($D$2:$D1097=D1097))&gt;1,0,1)</f>
        <v>1</v>
      </c>
    </row>
    <row r="1098" spans="1:16" hidden="1" x14ac:dyDescent="0.35">
      <c r="A1098" t="s">
        <v>161</v>
      </c>
      <c r="B1098">
        <v>2013</v>
      </c>
      <c r="C1098" t="s">
        <v>55</v>
      </c>
      <c r="D1098" s="6">
        <v>4.0999999999999996</v>
      </c>
      <c r="E1098" s="6">
        <f>INT(Table2[[#This Row],[Transect]])</f>
        <v>4</v>
      </c>
      <c r="F1098" s="1" t="s">
        <v>127</v>
      </c>
      <c r="G1098">
        <v>0</v>
      </c>
      <c r="H1098">
        <f t="shared" si="5"/>
        <v>92</v>
      </c>
      <c r="I1098">
        <v>46</v>
      </c>
      <c r="J1098">
        <f>Table2[[#This Row],[Hits]]/Table2[[#This Row],[Points]]*100</f>
        <v>0</v>
      </c>
      <c r="K1098">
        <f>VLOOKUP(Table2[[#This Row],[Site]],'Site Info'!$A$1:$C$11,2, FALSE)</f>
        <v>17.7</v>
      </c>
      <c r="L1098">
        <f>VLOOKUP(Table2[[#This Row],[Site]],'Site Info'!$A$1:$C$11,3, FALSE)</f>
        <v>10</v>
      </c>
      <c r="M1098" t="str">
        <f>VLOOKUP(Table2[[#This Row],[Species]],'Species Table'!$A$1:$D$68,3, FALSE)</f>
        <v>NA</v>
      </c>
      <c r="O1098" s="15">
        <f>IF(SUMPRODUCT(($A$2:$A1098=A1098)*($B$2:$B1098=B1098)*($F$2:$F1098=F1098))&gt;1,0,1)</f>
        <v>0</v>
      </c>
      <c r="P1098" s="15">
        <f>IF(SUMPRODUCT(($A$2:$A1098=A1098)*($B$2:$B1098=B1098)*($D$2:$D1098=D1098))&gt;1,0,1)</f>
        <v>1</v>
      </c>
    </row>
    <row r="1099" spans="1:16" x14ac:dyDescent="0.35">
      <c r="A1099" t="s">
        <v>9</v>
      </c>
      <c r="B1099">
        <v>2016</v>
      </c>
      <c r="C1099" s="1" t="s">
        <v>37</v>
      </c>
      <c r="D1099">
        <v>1.1000000000000001</v>
      </c>
      <c r="E1099">
        <f>INT(Table2[[#This Row],[Transect]])</f>
        <v>1</v>
      </c>
      <c r="F1099" s="1" t="s">
        <v>12</v>
      </c>
      <c r="G1099">
        <v>5</v>
      </c>
      <c r="H1099">
        <v>200</v>
      </c>
      <c r="I1099">
        <v>100</v>
      </c>
      <c r="J1099">
        <f>Table2[[#This Row],[Hits]]/Table2[[#This Row],[Points]]*100</f>
        <v>2.5</v>
      </c>
      <c r="K1099">
        <f>VLOOKUP(Table2[[#This Row],[Site]],'Site Info'!$A$1:$C$11,2, FALSE)</f>
        <v>17.7</v>
      </c>
      <c r="L1099">
        <f>VLOOKUP(Table2[[#This Row],[Site]],'Site Info'!$A$1:$C$11,3, FALSE)</f>
        <v>10</v>
      </c>
      <c r="M1099" t="str">
        <f>VLOOKUP(Table2[[#This Row],[Species]],'Species Table'!$A$1:$D$68,3, FALSE)</f>
        <v>Perennial</v>
      </c>
      <c r="O1099" s="15">
        <f>IF(SUMPRODUCT(($A$2:$A1099=A1099)*($B$2:$B1099=B1099)*($F$2:$F1099=F1099))&gt;1,0,1)</f>
        <v>1</v>
      </c>
      <c r="P1099" s="15">
        <f>IF(SUMPRODUCT(($A$2:$A1099=A1099)*($B$2:$B1099=B1099)*($D$2:$D1099=D1099))&gt;1,0,1)</f>
        <v>1</v>
      </c>
    </row>
    <row r="1100" spans="1:16" x14ac:dyDescent="0.35">
      <c r="A1100" t="s">
        <v>9</v>
      </c>
      <c r="B1100">
        <v>2016</v>
      </c>
      <c r="C1100" s="1" t="s">
        <v>37</v>
      </c>
      <c r="D1100">
        <v>1.1000000000000001</v>
      </c>
      <c r="E1100">
        <f>INT(Table2[[#This Row],[Transect]])</f>
        <v>1</v>
      </c>
      <c r="F1100" s="1" t="s">
        <v>11</v>
      </c>
      <c r="G1100">
        <v>13</v>
      </c>
      <c r="H1100">
        <v>200</v>
      </c>
      <c r="I1100">
        <v>100</v>
      </c>
      <c r="J1100">
        <f>Table2[[#This Row],[Hits]]/Table2[[#This Row],[Points]]*100</f>
        <v>6.5</v>
      </c>
      <c r="K1100">
        <f>VLOOKUP(Table2[[#This Row],[Site]],'Site Info'!$A$1:$C$11,2, FALSE)</f>
        <v>17.7</v>
      </c>
      <c r="L1100">
        <f>VLOOKUP(Table2[[#This Row],[Site]],'Site Info'!$A$1:$C$11,3, FALSE)</f>
        <v>10</v>
      </c>
      <c r="M1100" t="str">
        <f>VLOOKUP(Table2[[#This Row],[Species]],'Species Table'!$A$1:$D$68,3, FALSE)</f>
        <v>Perennial</v>
      </c>
      <c r="O1100" s="15">
        <f>IF(SUMPRODUCT(($A$2:$A1100=A1100)*($B$2:$B1100=B1100)*($F$2:$F1100=F1100))&gt;1,0,1)</f>
        <v>1</v>
      </c>
      <c r="P1100" s="15">
        <f>IF(SUMPRODUCT(($A$2:$A1100=A1100)*($B$2:$B1100=B1100)*($D$2:$D1100=D1100))&gt;1,0,1)</f>
        <v>0</v>
      </c>
    </row>
    <row r="1101" spans="1:16" hidden="1" x14ac:dyDescent="0.35">
      <c r="A1101" t="s">
        <v>9</v>
      </c>
      <c r="B1101">
        <v>2016</v>
      </c>
      <c r="C1101" s="1" t="s">
        <v>37</v>
      </c>
      <c r="D1101">
        <v>1.1000000000000001</v>
      </c>
      <c r="E1101">
        <f>INT(Table2[[#This Row],[Transect]])</f>
        <v>1</v>
      </c>
      <c r="F1101" s="1" t="s">
        <v>10</v>
      </c>
      <c r="G1101">
        <v>11</v>
      </c>
      <c r="H1101">
        <v>200</v>
      </c>
      <c r="I1101">
        <v>100</v>
      </c>
      <c r="J1101">
        <f>Table2[[#This Row],[Hits]]/Table2[[#This Row],[Points]]*100</f>
        <v>5.5</v>
      </c>
      <c r="K1101">
        <f>VLOOKUP(Table2[[#This Row],[Site]],'Site Info'!$A$1:$C$11,2, FALSE)</f>
        <v>17.7</v>
      </c>
      <c r="L1101">
        <f>VLOOKUP(Table2[[#This Row],[Site]],'Site Info'!$A$1:$C$11,3, FALSE)</f>
        <v>10</v>
      </c>
      <c r="M1101" t="str">
        <f>VLOOKUP(Table2[[#This Row],[Species]],'Species Table'!$A$1:$D$68,3, FALSE)</f>
        <v>Annual</v>
      </c>
      <c r="O1101" s="15">
        <f>IF(SUMPRODUCT(($A$2:$A1101=A1101)*($B$2:$B1101=B1101)*($F$2:$F1101=F1101))&gt;1,0,1)</f>
        <v>1</v>
      </c>
      <c r="P1101" s="15">
        <f>IF(SUMPRODUCT(($A$2:$A1101=A1101)*($B$2:$B1101=B1101)*($D$2:$D1101=D1101))&gt;1,0,1)</f>
        <v>0</v>
      </c>
    </row>
    <row r="1102" spans="1:16" x14ac:dyDescent="0.35">
      <c r="A1102" t="s">
        <v>9</v>
      </c>
      <c r="B1102">
        <v>2016</v>
      </c>
      <c r="C1102" s="1" t="s">
        <v>38</v>
      </c>
      <c r="D1102">
        <v>1.2</v>
      </c>
      <c r="E1102">
        <f>INT(Table2[[#This Row],[Transect]])</f>
        <v>1</v>
      </c>
      <c r="F1102" s="1" t="s">
        <v>11</v>
      </c>
      <c r="G1102">
        <v>11</v>
      </c>
      <c r="H1102">
        <v>200</v>
      </c>
      <c r="I1102">
        <v>100</v>
      </c>
      <c r="J1102">
        <f>Table2[[#This Row],[Hits]]/Table2[[#This Row],[Points]]*100</f>
        <v>5.5</v>
      </c>
      <c r="K1102">
        <f>VLOOKUP(Table2[[#This Row],[Site]],'Site Info'!$A$1:$C$11,2, FALSE)</f>
        <v>17.7</v>
      </c>
      <c r="L1102">
        <f>VLOOKUP(Table2[[#This Row],[Site]],'Site Info'!$A$1:$C$11,3, FALSE)</f>
        <v>10</v>
      </c>
      <c r="M1102" t="str">
        <f>VLOOKUP(Table2[[#This Row],[Species]],'Species Table'!$A$1:$D$68,3, FALSE)</f>
        <v>Perennial</v>
      </c>
      <c r="O1102" s="15">
        <f>IF(SUMPRODUCT(($A$2:$A1102=A1102)*($B$2:$B1102=B1102)*($F$2:$F1102=F1102))&gt;1,0,1)</f>
        <v>0</v>
      </c>
      <c r="P1102" s="15">
        <f>IF(SUMPRODUCT(($A$2:$A1102=A1102)*($B$2:$B1102=B1102)*($D$2:$D1102=D1102))&gt;1,0,1)</f>
        <v>1</v>
      </c>
    </row>
    <row r="1103" spans="1:16" hidden="1" x14ac:dyDescent="0.35">
      <c r="A1103" t="s">
        <v>9</v>
      </c>
      <c r="B1103">
        <v>2016</v>
      </c>
      <c r="C1103" s="1" t="s">
        <v>38</v>
      </c>
      <c r="D1103">
        <v>1.2</v>
      </c>
      <c r="E1103">
        <f>INT(Table2[[#This Row],[Transect]])</f>
        <v>1</v>
      </c>
      <c r="F1103" s="1" t="s">
        <v>10</v>
      </c>
      <c r="G1103">
        <v>3</v>
      </c>
      <c r="H1103">
        <v>200</v>
      </c>
      <c r="I1103">
        <v>100</v>
      </c>
      <c r="J1103">
        <f>Table2[[#This Row],[Hits]]/Table2[[#This Row],[Points]]*100</f>
        <v>1.5</v>
      </c>
      <c r="K1103">
        <f>VLOOKUP(Table2[[#This Row],[Site]],'Site Info'!$A$1:$C$11,2, FALSE)</f>
        <v>17.7</v>
      </c>
      <c r="L1103">
        <f>VLOOKUP(Table2[[#This Row],[Site]],'Site Info'!$A$1:$C$11,3, FALSE)</f>
        <v>10</v>
      </c>
      <c r="M1103" t="str">
        <f>VLOOKUP(Table2[[#This Row],[Species]],'Species Table'!$A$1:$D$68,3, FALSE)</f>
        <v>Annual</v>
      </c>
      <c r="O1103" s="15">
        <f>IF(SUMPRODUCT(($A$2:$A1103=A1103)*($B$2:$B1103=B1103)*($F$2:$F1103=F1103))&gt;1,0,1)</f>
        <v>0</v>
      </c>
      <c r="P1103" s="15">
        <f>IF(SUMPRODUCT(($A$2:$A1103=A1103)*($B$2:$B1103=B1103)*($D$2:$D1103=D1103))&gt;1,0,1)</f>
        <v>0</v>
      </c>
    </row>
    <row r="1104" spans="1:16" hidden="1" x14ac:dyDescent="0.35">
      <c r="A1104" t="s">
        <v>9</v>
      </c>
      <c r="B1104">
        <v>2016</v>
      </c>
      <c r="C1104" s="1" t="s">
        <v>83</v>
      </c>
      <c r="D1104">
        <v>1.3</v>
      </c>
      <c r="E1104">
        <f>INT(Table2[[#This Row],[Transect]])</f>
        <v>1</v>
      </c>
      <c r="F1104" s="1" t="s">
        <v>10</v>
      </c>
      <c r="G1104">
        <v>7</v>
      </c>
      <c r="H1104">
        <v>200</v>
      </c>
      <c r="I1104">
        <v>100</v>
      </c>
      <c r="J1104">
        <f>Table2[[#This Row],[Hits]]/Table2[[#This Row],[Points]]*100</f>
        <v>3.5000000000000004</v>
      </c>
      <c r="K1104">
        <f>VLOOKUP(Table2[[#This Row],[Site]],'Site Info'!$A$1:$C$11,2, FALSE)</f>
        <v>17.7</v>
      </c>
      <c r="L1104">
        <f>VLOOKUP(Table2[[#This Row],[Site]],'Site Info'!$A$1:$C$11,3, FALSE)</f>
        <v>10</v>
      </c>
      <c r="M1104" t="str">
        <f>VLOOKUP(Table2[[#This Row],[Species]],'Species Table'!$A$1:$D$68,3, FALSE)</f>
        <v>Annual</v>
      </c>
      <c r="O1104" s="15">
        <f>IF(SUMPRODUCT(($A$2:$A1104=A1104)*($B$2:$B1104=B1104)*($F$2:$F1104=F1104))&gt;1,0,1)</f>
        <v>0</v>
      </c>
      <c r="P1104" s="15">
        <f>IF(SUMPRODUCT(($A$2:$A1104=A1104)*($B$2:$B1104=B1104)*($D$2:$D1104=D1104))&gt;1,0,1)</f>
        <v>1</v>
      </c>
    </row>
    <row r="1105" spans="1:16" x14ac:dyDescent="0.35">
      <c r="A1105" t="s">
        <v>9</v>
      </c>
      <c r="B1105">
        <v>2016</v>
      </c>
      <c r="C1105" s="1" t="s">
        <v>83</v>
      </c>
      <c r="D1105">
        <v>1.3</v>
      </c>
      <c r="E1105">
        <f>INT(Table2[[#This Row],[Transect]])</f>
        <v>1</v>
      </c>
      <c r="F1105" s="1" t="s">
        <v>6</v>
      </c>
      <c r="G1105">
        <v>1</v>
      </c>
      <c r="H1105">
        <v>200</v>
      </c>
      <c r="I1105">
        <v>100</v>
      </c>
      <c r="J1105">
        <f>Table2[[#This Row],[Hits]]/Table2[[#This Row],[Points]]*100</f>
        <v>0.5</v>
      </c>
      <c r="K1105">
        <f>VLOOKUP(Table2[[#This Row],[Site]],'Site Info'!$A$1:$C$11,2, FALSE)</f>
        <v>17.7</v>
      </c>
      <c r="L1105">
        <f>VLOOKUP(Table2[[#This Row],[Site]],'Site Info'!$A$1:$C$11,3, FALSE)</f>
        <v>10</v>
      </c>
      <c r="M1105" t="str">
        <f>VLOOKUP(Table2[[#This Row],[Species]],'Species Table'!$A$1:$D$68,3, FALSE)</f>
        <v>Perennial</v>
      </c>
      <c r="O1105" s="15">
        <f>IF(SUMPRODUCT(($A$2:$A1105=A1105)*($B$2:$B1105=B1105)*($F$2:$F1105=F1105))&gt;1,0,1)</f>
        <v>1</v>
      </c>
      <c r="P1105" s="15">
        <f>IF(SUMPRODUCT(($A$2:$A1105=A1105)*($B$2:$B1105=B1105)*($D$2:$D1105=D1105))&gt;1,0,1)</f>
        <v>0</v>
      </c>
    </row>
    <row r="1106" spans="1:16" x14ac:dyDescent="0.35">
      <c r="A1106" t="s">
        <v>9</v>
      </c>
      <c r="B1106">
        <v>2016</v>
      </c>
      <c r="C1106" s="1" t="s">
        <v>83</v>
      </c>
      <c r="D1106">
        <v>1.3</v>
      </c>
      <c r="E1106">
        <f>INT(Table2[[#This Row],[Transect]])</f>
        <v>1</v>
      </c>
      <c r="F1106" s="1" t="s">
        <v>11</v>
      </c>
      <c r="G1106">
        <v>1</v>
      </c>
      <c r="H1106">
        <v>200</v>
      </c>
      <c r="I1106">
        <v>100</v>
      </c>
      <c r="J1106">
        <f>Table2[[#This Row],[Hits]]/Table2[[#This Row],[Points]]*100</f>
        <v>0.5</v>
      </c>
      <c r="K1106">
        <f>VLOOKUP(Table2[[#This Row],[Site]],'Site Info'!$A$1:$C$11,2, FALSE)</f>
        <v>17.7</v>
      </c>
      <c r="L1106">
        <f>VLOOKUP(Table2[[#This Row],[Site]],'Site Info'!$A$1:$C$11,3, FALSE)</f>
        <v>10</v>
      </c>
      <c r="M1106" t="str">
        <f>VLOOKUP(Table2[[#This Row],[Species]],'Species Table'!$A$1:$D$68,3, FALSE)</f>
        <v>Perennial</v>
      </c>
      <c r="O1106" s="15">
        <f>IF(SUMPRODUCT(($A$2:$A1106=A1106)*($B$2:$B1106=B1106)*($F$2:$F1106=F1106))&gt;1,0,1)</f>
        <v>0</v>
      </c>
      <c r="P1106" s="15">
        <f>IF(SUMPRODUCT(($A$2:$A1106=A1106)*($B$2:$B1106=B1106)*($D$2:$D1106=D1106))&gt;1,0,1)</f>
        <v>0</v>
      </c>
    </row>
    <row r="1107" spans="1:16" x14ac:dyDescent="0.35">
      <c r="A1107" t="s">
        <v>9</v>
      </c>
      <c r="B1107">
        <v>2016</v>
      </c>
      <c r="C1107" s="1" t="s">
        <v>39</v>
      </c>
      <c r="D1107">
        <v>1.4</v>
      </c>
      <c r="E1107">
        <f>INT(Table2[[#This Row],[Transect]])</f>
        <v>1</v>
      </c>
      <c r="F1107" s="1" t="s">
        <v>11</v>
      </c>
      <c r="G1107">
        <v>6</v>
      </c>
      <c r="H1107">
        <v>200</v>
      </c>
      <c r="I1107">
        <v>100</v>
      </c>
      <c r="J1107">
        <f>Table2[[#This Row],[Hits]]/Table2[[#This Row],[Points]]*100</f>
        <v>3</v>
      </c>
      <c r="K1107">
        <f>VLOOKUP(Table2[[#This Row],[Site]],'Site Info'!$A$1:$C$11,2, FALSE)</f>
        <v>17.7</v>
      </c>
      <c r="L1107">
        <f>VLOOKUP(Table2[[#This Row],[Site]],'Site Info'!$A$1:$C$11,3, FALSE)</f>
        <v>10</v>
      </c>
      <c r="M1107" t="str">
        <f>VLOOKUP(Table2[[#This Row],[Species]],'Species Table'!$A$1:$D$68,3, FALSE)</f>
        <v>Perennial</v>
      </c>
      <c r="O1107" s="15">
        <f>IF(SUMPRODUCT(($A$2:$A1107=A1107)*($B$2:$B1107=B1107)*($F$2:$F1107=F1107))&gt;1,0,1)</f>
        <v>0</v>
      </c>
      <c r="P1107" s="15">
        <f>IF(SUMPRODUCT(($A$2:$A1107=A1107)*($B$2:$B1107=B1107)*($D$2:$D1107=D1107))&gt;1,0,1)</f>
        <v>1</v>
      </c>
    </row>
    <row r="1108" spans="1:16" hidden="1" x14ac:dyDescent="0.35">
      <c r="A1108" t="s">
        <v>9</v>
      </c>
      <c r="B1108">
        <v>2016</v>
      </c>
      <c r="C1108" s="1" t="s">
        <v>39</v>
      </c>
      <c r="D1108">
        <v>1.4</v>
      </c>
      <c r="E1108">
        <f>INT(Table2[[#This Row],[Transect]])</f>
        <v>1</v>
      </c>
      <c r="F1108" s="1" t="s">
        <v>10</v>
      </c>
      <c r="G1108">
        <v>9</v>
      </c>
      <c r="H1108">
        <v>200</v>
      </c>
      <c r="I1108">
        <v>100</v>
      </c>
      <c r="J1108">
        <f>Table2[[#This Row],[Hits]]/Table2[[#This Row],[Points]]*100</f>
        <v>4.5</v>
      </c>
      <c r="K1108">
        <f>VLOOKUP(Table2[[#This Row],[Site]],'Site Info'!$A$1:$C$11,2, FALSE)</f>
        <v>17.7</v>
      </c>
      <c r="L1108">
        <f>VLOOKUP(Table2[[#This Row],[Site]],'Site Info'!$A$1:$C$11,3, FALSE)</f>
        <v>10</v>
      </c>
      <c r="M1108" t="str">
        <f>VLOOKUP(Table2[[#This Row],[Species]],'Species Table'!$A$1:$D$68,3, FALSE)</f>
        <v>Annual</v>
      </c>
      <c r="O1108" s="15">
        <f>IF(SUMPRODUCT(($A$2:$A1108=A1108)*($B$2:$B1108=B1108)*($F$2:$F1108=F1108))&gt;1,0,1)</f>
        <v>0</v>
      </c>
      <c r="P1108" s="15">
        <f>IF(SUMPRODUCT(($A$2:$A1108=A1108)*($B$2:$B1108=B1108)*($D$2:$D1108=D1108))&gt;1,0,1)</f>
        <v>0</v>
      </c>
    </row>
    <row r="1109" spans="1:16" hidden="1" x14ac:dyDescent="0.35">
      <c r="A1109" t="s">
        <v>9</v>
      </c>
      <c r="B1109">
        <v>2016</v>
      </c>
      <c r="C1109" s="1" t="s">
        <v>40</v>
      </c>
      <c r="D1109">
        <v>1.5</v>
      </c>
      <c r="E1109">
        <f>INT(Table2[[#This Row],[Transect]])</f>
        <v>1</v>
      </c>
      <c r="F1109" s="1" t="s">
        <v>10</v>
      </c>
      <c r="G1109">
        <v>7</v>
      </c>
      <c r="H1109">
        <v>200</v>
      </c>
      <c r="I1109">
        <v>100</v>
      </c>
      <c r="J1109">
        <f>Table2[[#This Row],[Hits]]/Table2[[#This Row],[Points]]*100</f>
        <v>3.5000000000000004</v>
      </c>
      <c r="K1109">
        <f>VLOOKUP(Table2[[#This Row],[Site]],'Site Info'!$A$1:$C$11,2, FALSE)</f>
        <v>17.7</v>
      </c>
      <c r="L1109">
        <f>VLOOKUP(Table2[[#This Row],[Site]],'Site Info'!$A$1:$C$11,3, FALSE)</f>
        <v>10</v>
      </c>
      <c r="M1109" t="str">
        <f>VLOOKUP(Table2[[#This Row],[Species]],'Species Table'!$A$1:$D$68,3, FALSE)</f>
        <v>Annual</v>
      </c>
      <c r="O1109" s="15">
        <f>IF(SUMPRODUCT(($A$2:$A1109=A1109)*($B$2:$B1109=B1109)*($F$2:$F1109=F1109))&gt;1,0,1)</f>
        <v>0</v>
      </c>
      <c r="P1109" s="15">
        <f>IF(SUMPRODUCT(($A$2:$A1109=A1109)*($B$2:$B1109=B1109)*($D$2:$D1109=D1109))&gt;1,0,1)</f>
        <v>1</v>
      </c>
    </row>
    <row r="1110" spans="1:16" x14ac:dyDescent="0.35">
      <c r="A1110" t="s">
        <v>9</v>
      </c>
      <c r="B1110">
        <v>2016</v>
      </c>
      <c r="C1110" s="1" t="s">
        <v>40</v>
      </c>
      <c r="D1110">
        <v>1.5</v>
      </c>
      <c r="E1110">
        <f>INT(Table2[[#This Row],[Transect]])</f>
        <v>1</v>
      </c>
      <c r="F1110" s="1" t="s">
        <v>11</v>
      </c>
      <c r="G1110">
        <v>2</v>
      </c>
      <c r="H1110">
        <v>200</v>
      </c>
      <c r="I1110">
        <v>100</v>
      </c>
      <c r="J1110">
        <f>Table2[[#This Row],[Hits]]/Table2[[#This Row],[Points]]*100</f>
        <v>1</v>
      </c>
      <c r="K1110">
        <f>VLOOKUP(Table2[[#This Row],[Site]],'Site Info'!$A$1:$C$11,2, FALSE)</f>
        <v>17.7</v>
      </c>
      <c r="L1110">
        <f>VLOOKUP(Table2[[#This Row],[Site]],'Site Info'!$A$1:$C$11,3, FALSE)</f>
        <v>10</v>
      </c>
      <c r="M1110" t="str">
        <f>VLOOKUP(Table2[[#This Row],[Species]],'Species Table'!$A$1:$D$68,3, FALSE)</f>
        <v>Perennial</v>
      </c>
      <c r="O1110" s="15">
        <f>IF(SUMPRODUCT(($A$2:$A1110=A1110)*($B$2:$B1110=B1110)*($F$2:$F1110=F1110))&gt;1,0,1)</f>
        <v>0</v>
      </c>
      <c r="P1110" s="15">
        <f>IF(SUMPRODUCT(($A$2:$A1110=A1110)*($B$2:$B1110=B1110)*($D$2:$D1110=D1110))&gt;1,0,1)</f>
        <v>0</v>
      </c>
    </row>
    <row r="1111" spans="1:16" hidden="1" x14ac:dyDescent="0.35">
      <c r="A1111" t="s">
        <v>9</v>
      </c>
      <c r="B1111">
        <v>2016</v>
      </c>
      <c r="C1111" s="1" t="s">
        <v>40</v>
      </c>
      <c r="D1111">
        <v>1.5</v>
      </c>
      <c r="E1111">
        <f>INT(Table2[[#This Row],[Transect]])</f>
        <v>1</v>
      </c>
      <c r="F1111" s="1" t="s">
        <v>33</v>
      </c>
      <c r="G1111">
        <v>1</v>
      </c>
      <c r="H1111">
        <v>200</v>
      </c>
      <c r="I1111">
        <v>100</v>
      </c>
      <c r="J1111">
        <f>Table2[[#This Row],[Hits]]/Table2[[#This Row],[Points]]*100</f>
        <v>0.5</v>
      </c>
      <c r="K1111">
        <f>VLOOKUP(Table2[[#This Row],[Site]],'Site Info'!$A$1:$C$11,2, FALSE)</f>
        <v>17.7</v>
      </c>
      <c r="L1111">
        <f>VLOOKUP(Table2[[#This Row],[Site]],'Site Info'!$A$1:$C$11,3, FALSE)</f>
        <v>10</v>
      </c>
      <c r="M1111" t="str">
        <f>VLOOKUP(Table2[[#This Row],[Species]],'Species Table'!$A$1:$D$68,3, FALSE)</f>
        <v>Annual</v>
      </c>
      <c r="O1111" s="15">
        <f>IF(SUMPRODUCT(($A$2:$A1111=A1111)*($B$2:$B1111=B1111)*($F$2:$F1111=F1111))&gt;1,0,1)</f>
        <v>1</v>
      </c>
      <c r="P1111" s="15">
        <f>IF(SUMPRODUCT(($A$2:$A1111=A1111)*($B$2:$B1111=B1111)*($D$2:$D1111=D1111))&gt;1,0,1)</f>
        <v>0</v>
      </c>
    </row>
    <row r="1112" spans="1:16" hidden="1" x14ac:dyDescent="0.35">
      <c r="A1112" t="s">
        <v>9</v>
      </c>
      <c r="B1112">
        <v>2016</v>
      </c>
      <c r="C1112" s="1" t="s">
        <v>41</v>
      </c>
      <c r="D1112">
        <v>1.6</v>
      </c>
      <c r="E1112">
        <f>INT(Table2[[#This Row],[Transect]])</f>
        <v>1</v>
      </c>
      <c r="F1112" s="1" t="s">
        <v>33</v>
      </c>
      <c r="G1112">
        <v>1</v>
      </c>
      <c r="H1112">
        <v>200</v>
      </c>
      <c r="I1112">
        <v>100</v>
      </c>
      <c r="J1112">
        <f>Table2[[#This Row],[Hits]]/Table2[[#This Row],[Points]]*100</f>
        <v>0.5</v>
      </c>
      <c r="K1112">
        <f>VLOOKUP(Table2[[#This Row],[Site]],'Site Info'!$A$1:$C$11,2, FALSE)</f>
        <v>17.7</v>
      </c>
      <c r="L1112">
        <f>VLOOKUP(Table2[[#This Row],[Site]],'Site Info'!$A$1:$C$11,3, FALSE)</f>
        <v>10</v>
      </c>
      <c r="M1112" t="str">
        <f>VLOOKUP(Table2[[#This Row],[Species]],'Species Table'!$A$1:$D$68,3, FALSE)</f>
        <v>Annual</v>
      </c>
      <c r="O1112" s="15">
        <f>IF(SUMPRODUCT(($A$2:$A1112=A1112)*($B$2:$B1112=B1112)*($F$2:$F1112=F1112))&gt;1,0,1)</f>
        <v>0</v>
      </c>
      <c r="P1112" s="15">
        <f>IF(SUMPRODUCT(($A$2:$A1112=A1112)*($B$2:$B1112=B1112)*($D$2:$D1112=D1112))&gt;1,0,1)</f>
        <v>1</v>
      </c>
    </row>
    <row r="1113" spans="1:16" hidden="1" x14ac:dyDescent="0.35">
      <c r="A1113" t="s">
        <v>9</v>
      </c>
      <c r="B1113">
        <v>2016</v>
      </c>
      <c r="C1113" s="1" t="s">
        <v>41</v>
      </c>
      <c r="D1113">
        <v>1.6</v>
      </c>
      <c r="E1113">
        <f>INT(Table2[[#This Row],[Transect]])</f>
        <v>1</v>
      </c>
      <c r="F1113" s="1" t="s">
        <v>10</v>
      </c>
      <c r="G1113">
        <v>3</v>
      </c>
      <c r="H1113">
        <v>200</v>
      </c>
      <c r="I1113">
        <v>100</v>
      </c>
      <c r="J1113">
        <f>Table2[[#This Row],[Hits]]/Table2[[#This Row],[Points]]*100</f>
        <v>1.5</v>
      </c>
      <c r="K1113">
        <f>VLOOKUP(Table2[[#This Row],[Site]],'Site Info'!$A$1:$C$11,2, FALSE)</f>
        <v>17.7</v>
      </c>
      <c r="L1113">
        <f>VLOOKUP(Table2[[#This Row],[Site]],'Site Info'!$A$1:$C$11,3, FALSE)</f>
        <v>10</v>
      </c>
      <c r="M1113" t="str">
        <f>VLOOKUP(Table2[[#This Row],[Species]],'Species Table'!$A$1:$D$68,3, FALSE)</f>
        <v>Annual</v>
      </c>
      <c r="O1113" s="15">
        <f>IF(SUMPRODUCT(($A$2:$A1113=A1113)*($B$2:$B1113=B1113)*($F$2:$F1113=F1113))&gt;1,0,1)</f>
        <v>0</v>
      </c>
      <c r="P1113" s="15">
        <f>IF(SUMPRODUCT(($A$2:$A1113=A1113)*($B$2:$B1113=B1113)*($D$2:$D1113=D1113))&gt;1,0,1)</f>
        <v>0</v>
      </c>
    </row>
    <row r="1114" spans="1:16" x14ac:dyDescent="0.35">
      <c r="A1114" t="s">
        <v>9</v>
      </c>
      <c r="B1114">
        <v>2016</v>
      </c>
      <c r="C1114" s="1" t="s">
        <v>41</v>
      </c>
      <c r="D1114">
        <v>1.6</v>
      </c>
      <c r="E1114">
        <f>INT(Table2[[#This Row],[Transect]])</f>
        <v>1</v>
      </c>
      <c r="F1114" s="1" t="s">
        <v>11</v>
      </c>
      <c r="G1114">
        <v>2</v>
      </c>
      <c r="H1114">
        <v>200</v>
      </c>
      <c r="I1114">
        <v>100</v>
      </c>
      <c r="J1114">
        <f>Table2[[#This Row],[Hits]]/Table2[[#This Row],[Points]]*100</f>
        <v>1</v>
      </c>
      <c r="K1114">
        <f>VLOOKUP(Table2[[#This Row],[Site]],'Site Info'!$A$1:$C$11,2, FALSE)</f>
        <v>17.7</v>
      </c>
      <c r="L1114">
        <f>VLOOKUP(Table2[[#This Row],[Site]],'Site Info'!$A$1:$C$11,3, FALSE)</f>
        <v>10</v>
      </c>
      <c r="M1114" t="str">
        <f>VLOOKUP(Table2[[#This Row],[Species]],'Species Table'!$A$1:$D$68,3, FALSE)</f>
        <v>Perennial</v>
      </c>
      <c r="O1114" s="15">
        <f>IF(SUMPRODUCT(($A$2:$A1114=A1114)*($B$2:$B1114=B1114)*($F$2:$F1114=F1114))&gt;1,0,1)</f>
        <v>0</v>
      </c>
      <c r="P1114" s="15">
        <f>IF(SUMPRODUCT(($A$2:$A1114=A1114)*($B$2:$B1114=B1114)*($D$2:$D1114=D1114))&gt;1,0,1)</f>
        <v>0</v>
      </c>
    </row>
    <row r="1115" spans="1:16" x14ac:dyDescent="0.35">
      <c r="A1115" t="s">
        <v>9</v>
      </c>
      <c r="B1115">
        <v>2016</v>
      </c>
      <c r="C1115" s="1" t="s">
        <v>42</v>
      </c>
      <c r="D1115">
        <v>1.7</v>
      </c>
      <c r="E1115">
        <f>INT(Table2[[#This Row],[Transect]])</f>
        <v>1</v>
      </c>
      <c r="F1115" s="1" t="s">
        <v>11</v>
      </c>
      <c r="G1115">
        <v>4</v>
      </c>
      <c r="H1115">
        <v>200</v>
      </c>
      <c r="I1115">
        <v>100</v>
      </c>
      <c r="J1115">
        <f>Table2[[#This Row],[Hits]]/Table2[[#This Row],[Points]]*100</f>
        <v>2</v>
      </c>
      <c r="K1115">
        <f>VLOOKUP(Table2[[#This Row],[Site]],'Site Info'!$A$1:$C$11,2, FALSE)</f>
        <v>17.7</v>
      </c>
      <c r="L1115">
        <f>VLOOKUP(Table2[[#This Row],[Site]],'Site Info'!$A$1:$C$11,3, FALSE)</f>
        <v>10</v>
      </c>
      <c r="M1115" t="str">
        <f>VLOOKUP(Table2[[#This Row],[Species]],'Species Table'!$A$1:$D$68,3, FALSE)</f>
        <v>Perennial</v>
      </c>
      <c r="O1115" s="15">
        <f>IF(SUMPRODUCT(($A$2:$A1115=A1115)*($B$2:$B1115=B1115)*($F$2:$F1115=F1115))&gt;1,0,1)</f>
        <v>0</v>
      </c>
      <c r="P1115" s="15">
        <f>IF(SUMPRODUCT(($A$2:$A1115=A1115)*($B$2:$B1115=B1115)*($D$2:$D1115=D1115))&gt;1,0,1)</f>
        <v>1</v>
      </c>
    </row>
    <row r="1116" spans="1:16" hidden="1" x14ac:dyDescent="0.35">
      <c r="A1116" t="s">
        <v>9</v>
      </c>
      <c r="B1116">
        <v>2016</v>
      </c>
      <c r="C1116" s="1" t="s">
        <v>43</v>
      </c>
      <c r="D1116">
        <v>2.1</v>
      </c>
      <c r="E1116">
        <f>INT(Table2[[#This Row],[Transect]])</f>
        <v>2</v>
      </c>
      <c r="F1116" s="1" t="s">
        <v>10</v>
      </c>
      <c r="G1116">
        <v>10</v>
      </c>
      <c r="H1116">
        <v>200</v>
      </c>
      <c r="I1116">
        <v>100</v>
      </c>
      <c r="J1116">
        <f>Table2[[#This Row],[Hits]]/Table2[[#This Row],[Points]]*100</f>
        <v>5</v>
      </c>
      <c r="K1116">
        <f>VLOOKUP(Table2[[#This Row],[Site]],'Site Info'!$A$1:$C$11,2, FALSE)</f>
        <v>17.7</v>
      </c>
      <c r="L1116">
        <f>VLOOKUP(Table2[[#This Row],[Site]],'Site Info'!$A$1:$C$11,3, FALSE)</f>
        <v>10</v>
      </c>
      <c r="M1116" t="str">
        <f>VLOOKUP(Table2[[#This Row],[Species]],'Species Table'!$A$1:$D$68,3, FALSE)</f>
        <v>Annual</v>
      </c>
      <c r="O1116" s="15">
        <f>IF(SUMPRODUCT(($A$2:$A1116=A1116)*($B$2:$B1116=B1116)*($F$2:$F1116=F1116))&gt;1,0,1)</f>
        <v>0</v>
      </c>
      <c r="P1116" s="15">
        <f>IF(SUMPRODUCT(($A$2:$A1116=A1116)*($B$2:$B1116=B1116)*($D$2:$D1116=D1116))&gt;1,0,1)</f>
        <v>1</v>
      </c>
    </row>
    <row r="1117" spans="1:16" x14ac:dyDescent="0.35">
      <c r="A1117" t="s">
        <v>9</v>
      </c>
      <c r="B1117">
        <v>2016</v>
      </c>
      <c r="C1117" s="1" t="s">
        <v>43</v>
      </c>
      <c r="D1117">
        <v>2.1</v>
      </c>
      <c r="E1117">
        <f>INT(Table2[[#This Row],[Transect]])</f>
        <v>2</v>
      </c>
      <c r="F1117" s="1" t="s">
        <v>3</v>
      </c>
      <c r="G1117">
        <v>6</v>
      </c>
      <c r="H1117">
        <v>200</v>
      </c>
      <c r="I1117">
        <v>100</v>
      </c>
      <c r="J1117">
        <f>Table2[[#This Row],[Hits]]/Table2[[#This Row],[Points]]*100</f>
        <v>3</v>
      </c>
      <c r="K1117">
        <f>VLOOKUP(Table2[[#This Row],[Site]],'Site Info'!$A$1:$C$11,2, FALSE)</f>
        <v>17.7</v>
      </c>
      <c r="L1117">
        <f>VLOOKUP(Table2[[#This Row],[Site]],'Site Info'!$A$1:$C$11,3, FALSE)</f>
        <v>10</v>
      </c>
      <c r="M1117" t="str">
        <f>VLOOKUP(Table2[[#This Row],[Species]],'Species Table'!$A$1:$D$68,3, FALSE)</f>
        <v>Perennial</v>
      </c>
      <c r="O1117" s="15">
        <f>IF(SUMPRODUCT(($A$2:$A1117=A1117)*($B$2:$B1117=B1117)*($F$2:$F1117=F1117))&gt;1,0,1)</f>
        <v>1</v>
      </c>
      <c r="P1117" s="15">
        <f>IF(SUMPRODUCT(($A$2:$A1117=A1117)*($B$2:$B1117=B1117)*($D$2:$D1117=D1117))&gt;1,0,1)</f>
        <v>0</v>
      </c>
    </row>
    <row r="1118" spans="1:16" hidden="1" x14ac:dyDescent="0.35">
      <c r="A1118" t="s">
        <v>9</v>
      </c>
      <c r="B1118">
        <v>2016</v>
      </c>
      <c r="C1118" s="1" t="s">
        <v>44</v>
      </c>
      <c r="D1118">
        <v>2.2000000000000002</v>
      </c>
      <c r="E1118">
        <f>INT(Table2[[#This Row],[Transect]])</f>
        <v>2</v>
      </c>
      <c r="F1118" s="1" t="s">
        <v>10</v>
      </c>
      <c r="G1118">
        <v>10</v>
      </c>
      <c r="H1118">
        <v>200</v>
      </c>
      <c r="I1118">
        <v>100</v>
      </c>
      <c r="J1118">
        <f>Table2[[#This Row],[Hits]]/Table2[[#This Row],[Points]]*100</f>
        <v>5</v>
      </c>
      <c r="K1118">
        <f>VLOOKUP(Table2[[#This Row],[Site]],'Site Info'!$A$1:$C$11,2, FALSE)</f>
        <v>17.7</v>
      </c>
      <c r="L1118">
        <f>VLOOKUP(Table2[[#This Row],[Site]],'Site Info'!$A$1:$C$11,3, FALSE)</f>
        <v>10</v>
      </c>
      <c r="M1118" t="str">
        <f>VLOOKUP(Table2[[#This Row],[Species]],'Species Table'!$A$1:$D$68,3, FALSE)</f>
        <v>Annual</v>
      </c>
      <c r="O1118" s="15">
        <f>IF(SUMPRODUCT(($A$2:$A1118=A1118)*($B$2:$B1118=B1118)*($F$2:$F1118=F1118))&gt;1,0,1)</f>
        <v>0</v>
      </c>
      <c r="P1118" s="15">
        <f>IF(SUMPRODUCT(($A$2:$A1118=A1118)*($B$2:$B1118=B1118)*($D$2:$D1118=D1118))&gt;1,0,1)</f>
        <v>1</v>
      </c>
    </row>
    <row r="1119" spans="1:16" x14ac:dyDescent="0.35">
      <c r="A1119" t="s">
        <v>9</v>
      </c>
      <c r="B1119">
        <v>2016</v>
      </c>
      <c r="C1119" s="1" t="s">
        <v>44</v>
      </c>
      <c r="D1119">
        <v>2.2000000000000002</v>
      </c>
      <c r="E1119">
        <f>INT(Table2[[#This Row],[Transect]])</f>
        <v>2</v>
      </c>
      <c r="F1119" s="1" t="s">
        <v>11</v>
      </c>
      <c r="G1119">
        <v>4</v>
      </c>
      <c r="H1119">
        <v>200</v>
      </c>
      <c r="I1119">
        <v>100</v>
      </c>
      <c r="J1119">
        <f>Table2[[#This Row],[Hits]]/Table2[[#This Row],[Points]]*100</f>
        <v>2</v>
      </c>
      <c r="K1119">
        <f>VLOOKUP(Table2[[#This Row],[Site]],'Site Info'!$A$1:$C$11,2, FALSE)</f>
        <v>17.7</v>
      </c>
      <c r="L1119">
        <f>VLOOKUP(Table2[[#This Row],[Site]],'Site Info'!$A$1:$C$11,3, FALSE)</f>
        <v>10</v>
      </c>
      <c r="M1119" t="str">
        <f>VLOOKUP(Table2[[#This Row],[Species]],'Species Table'!$A$1:$D$68,3, FALSE)</f>
        <v>Perennial</v>
      </c>
      <c r="O1119" s="15">
        <f>IF(SUMPRODUCT(($A$2:$A1119=A1119)*($B$2:$B1119=B1119)*($F$2:$F1119=F1119))&gt;1,0,1)</f>
        <v>0</v>
      </c>
      <c r="P1119" s="15">
        <f>IF(SUMPRODUCT(($A$2:$A1119=A1119)*($B$2:$B1119=B1119)*($D$2:$D1119=D1119))&gt;1,0,1)</f>
        <v>0</v>
      </c>
    </row>
    <row r="1120" spans="1:16" x14ac:dyDescent="0.35">
      <c r="A1120" t="s">
        <v>9</v>
      </c>
      <c r="B1120">
        <v>2016</v>
      </c>
      <c r="C1120" s="1" t="s">
        <v>45</v>
      </c>
      <c r="D1120">
        <v>2.2999999999999998</v>
      </c>
      <c r="E1120">
        <f>INT(Table2[[#This Row],[Transect]])</f>
        <v>2</v>
      </c>
      <c r="F1120" s="1" t="s">
        <v>11</v>
      </c>
      <c r="G1120">
        <v>3</v>
      </c>
      <c r="H1120">
        <v>200</v>
      </c>
      <c r="I1120">
        <v>100</v>
      </c>
      <c r="J1120">
        <f>Table2[[#This Row],[Hits]]/Table2[[#This Row],[Points]]*100</f>
        <v>1.5</v>
      </c>
      <c r="K1120">
        <f>VLOOKUP(Table2[[#This Row],[Site]],'Site Info'!$A$1:$C$11,2, FALSE)</f>
        <v>17.7</v>
      </c>
      <c r="L1120">
        <f>VLOOKUP(Table2[[#This Row],[Site]],'Site Info'!$A$1:$C$11,3, FALSE)</f>
        <v>10</v>
      </c>
      <c r="M1120" t="str">
        <f>VLOOKUP(Table2[[#This Row],[Species]],'Species Table'!$A$1:$D$68,3, FALSE)</f>
        <v>Perennial</v>
      </c>
      <c r="O1120" s="15">
        <f>IF(SUMPRODUCT(($A$2:$A1120=A1120)*($B$2:$B1120=B1120)*($F$2:$F1120=F1120))&gt;1,0,1)</f>
        <v>0</v>
      </c>
      <c r="P1120" s="15">
        <f>IF(SUMPRODUCT(($A$2:$A1120=A1120)*($B$2:$B1120=B1120)*($D$2:$D1120=D1120))&gt;1,0,1)</f>
        <v>1</v>
      </c>
    </row>
    <row r="1121" spans="1:16" hidden="1" x14ac:dyDescent="0.35">
      <c r="A1121" t="s">
        <v>9</v>
      </c>
      <c r="B1121">
        <v>2016</v>
      </c>
      <c r="C1121" s="1" t="s">
        <v>45</v>
      </c>
      <c r="D1121">
        <v>2.2999999999999998</v>
      </c>
      <c r="E1121">
        <f>INT(Table2[[#This Row],[Transect]])</f>
        <v>2</v>
      </c>
      <c r="F1121" s="1" t="s">
        <v>10</v>
      </c>
      <c r="G1121">
        <v>7</v>
      </c>
      <c r="H1121">
        <v>200</v>
      </c>
      <c r="I1121">
        <v>100</v>
      </c>
      <c r="J1121">
        <f>Table2[[#This Row],[Hits]]/Table2[[#This Row],[Points]]*100</f>
        <v>3.5000000000000004</v>
      </c>
      <c r="K1121">
        <f>VLOOKUP(Table2[[#This Row],[Site]],'Site Info'!$A$1:$C$11,2, FALSE)</f>
        <v>17.7</v>
      </c>
      <c r="L1121">
        <f>VLOOKUP(Table2[[#This Row],[Site]],'Site Info'!$A$1:$C$11,3, FALSE)</f>
        <v>10</v>
      </c>
      <c r="M1121" t="str">
        <f>VLOOKUP(Table2[[#This Row],[Species]],'Species Table'!$A$1:$D$68,3, FALSE)</f>
        <v>Annual</v>
      </c>
      <c r="O1121" s="15">
        <f>IF(SUMPRODUCT(($A$2:$A1121=A1121)*($B$2:$B1121=B1121)*($F$2:$F1121=F1121))&gt;1,0,1)</f>
        <v>0</v>
      </c>
      <c r="P1121" s="15">
        <f>IF(SUMPRODUCT(($A$2:$A1121=A1121)*($B$2:$B1121=B1121)*($D$2:$D1121=D1121))&gt;1,0,1)</f>
        <v>0</v>
      </c>
    </row>
    <row r="1122" spans="1:16" hidden="1" x14ac:dyDescent="0.35">
      <c r="A1122" t="s">
        <v>9</v>
      </c>
      <c r="B1122">
        <v>2016</v>
      </c>
      <c r="C1122" s="1" t="s">
        <v>46</v>
      </c>
      <c r="D1122">
        <v>2.4</v>
      </c>
      <c r="E1122">
        <f>INT(Table2[[#This Row],[Transect]])</f>
        <v>2</v>
      </c>
      <c r="F1122" s="1" t="s">
        <v>10</v>
      </c>
      <c r="G1122">
        <v>7</v>
      </c>
      <c r="H1122">
        <v>200</v>
      </c>
      <c r="I1122">
        <v>100</v>
      </c>
      <c r="J1122">
        <f>Table2[[#This Row],[Hits]]/Table2[[#This Row],[Points]]*100</f>
        <v>3.5000000000000004</v>
      </c>
      <c r="K1122">
        <f>VLOOKUP(Table2[[#This Row],[Site]],'Site Info'!$A$1:$C$11,2, FALSE)</f>
        <v>17.7</v>
      </c>
      <c r="L1122">
        <f>VLOOKUP(Table2[[#This Row],[Site]],'Site Info'!$A$1:$C$11,3, FALSE)</f>
        <v>10</v>
      </c>
      <c r="M1122" t="str">
        <f>VLOOKUP(Table2[[#This Row],[Species]],'Species Table'!$A$1:$D$68,3, FALSE)</f>
        <v>Annual</v>
      </c>
      <c r="O1122" s="15">
        <f>IF(SUMPRODUCT(($A$2:$A1122=A1122)*($B$2:$B1122=B1122)*($F$2:$F1122=F1122))&gt;1,0,1)</f>
        <v>0</v>
      </c>
      <c r="P1122" s="15">
        <f>IF(SUMPRODUCT(($A$2:$A1122=A1122)*($B$2:$B1122=B1122)*($D$2:$D1122=D1122))&gt;1,0,1)</f>
        <v>1</v>
      </c>
    </row>
    <row r="1123" spans="1:16" hidden="1" x14ac:dyDescent="0.35">
      <c r="A1123" t="s">
        <v>9</v>
      </c>
      <c r="B1123">
        <v>2016</v>
      </c>
      <c r="C1123" s="1" t="s">
        <v>46</v>
      </c>
      <c r="D1123">
        <v>2.4</v>
      </c>
      <c r="E1123">
        <f>INT(Table2[[#This Row],[Transect]])</f>
        <v>2</v>
      </c>
      <c r="F1123" s="1" t="s">
        <v>33</v>
      </c>
      <c r="G1123">
        <v>1</v>
      </c>
      <c r="H1123">
        <v>200</v>
      </c>
      <c r="I1123">
        <v>100</v>
      </c>
      <c r="J1123">
        <f>Table2[[#This Row],[Hits]]/Table2[[#This Row],[Points]]*100</f>
        <v>0.5</v>
      </c>
      <c r="K1123">
        <f>VLOOKUP(Table2[[#This Row],[Site]],'Site Info'!$A$1:$C$11,2, FALSE)</f>
        <v>17.7</v>
      </c>
      <c r="L1123">
        <f>VLOOKUP(Table2[[#This Row],[Site]],'Site Info'!$A$1:$C$11,3, FALSE)</f>
        <v>10</v>
      </c>
      <c r="M1123" t="str">
        <f>VLOOKUP(Table2[[#This Row],[Species]],'Species Table'!$A$1:$D$68,3, FALSE)</f>
        <v>Annual</v>
      </c>
      <c r="O1123" s="15">
        <f>IF(SUMPRODUCT(($A$2:$A1123=A1123)*($B$2:$B1123=B1123)*($F$2:$F1123=F1123))&gt;1,0,1)</f>
        <v>0</v>
      </c>
      <c r="P1123" s="15">
        <f>IF(SUMPRODUCT(($A$2:$A1123=A1123)*($B$2:$B1123=B1123)*($D$2:$D1123=D1123))&gt;1,0,1)</f>
        <v>0</v>
      </c>
    </row>
    <row r="1124" spans="1:16" x14ac:dyDescent="0.35">
      <c r="A1124" t="s">
        <v>9</v>
      </c>
      <c r="B1124">
        <v>2016</v>
      </c>
      <c r="C1124" s="1" t="s">
        <v>46</v>
      </c>
      <c r="D1124">
        <v>2.4</v>
      </c>
      <c r="E1124">
        <f>INT(Table2[[#This Row],[Transect]])</f>
        <v>2</v>
      </c>
      <c r="F1124" s="1" t="s">
        <v>12</v>
      </c>
      <c r="G1124">
        <v>1</v>
      </c>
      <c r="H1124">
        <v>200</v>
      </c>
      <c r="I1124">
        <v>100</v>
      </c>
      <c r="J1124">
        <f>Table2[[#This Row],[Hits]]/Table2[[#This Row],[Points]]*100</f>
        <v>0.5</v>
      </c>
      <c r="K1124">
        <f>VLOOKUP(Table2[[#This Row],[Site]],'Site Info'!$A$1:$C$11,2, FALSE)</f>
        <v>17.7</v>
      </c>
      <c r="L1124">
        <f>VLOOKUP(Table2[[#This Row],[Site]],'Site Info'!$A$1:$C$11,3, FALSE)</f>
        <v>10</v>
      </c>
      <c r="M1124" t="str">
        <f>VLOOKUP(Table2[[#This Row],[Species]],'Species Table'!$A$1:$D$68,3, FALSE)</f>
        <v>Perennial</v>
      </c>
      <c r="O1124" s="15">
        <f>IF(SUMPRODUCT(($A$2:$A1124=A1124)*($B$2:$B1124=B1124)*($F$2:$F1124=F1124))&gt;1,0,1)</f>
        <v>0</v>
      </c>
      <c r="P1124" s="15">
        <f>IF(SUMPRODUCT(($A$2:$A1124=A1124)*($B$2:$B1124=B1124)*($D$2:$D1124=D1124))&gt;1,0,1)</f>
        <v>0</v>
      </c>
    </row>
    <row r="1125" spans="1:16" hidden="1" x14ac:dyDescent="0.35">
      <c r="A1125" t="s">
        <v>9</v>
      </c>
      <c r="B1125">
        <v>2016</v>
      </c>
      <c r="C1125" s="1" t="s">
        <v>47</v>
      </c>
      <c r="D1125">
        <v>2.5</v>
      </c>
      <c r="E1125">
        <f>INT(Table2[[#This Row],[Transect]])</f>
        <v>2</v>
      </c>
      <c r="F1125" s="1" t="s">
        <v>10</v>
      </c>
      <c r="G1125">
        <v>8</v>
      </c>
      <c r="H1125">
        <v>200</v>
      </c>
      <c r="I1125">
        <v>100</v>
      </c>
      <c r="J1125">
        <f>Table2[[#This Row],[Hits]]/Table2[[#This Row],[Points]]*100</f>
        <v>4</v>
      </c>
      <c r="K1125">
        <f>VLOOKUP(Table2[[#This Row],[Site]],'Site Info'!$A$1:$C$11,2, FALSE)</f>
        <v>17.7</v>
      </c>
      <c r="L1125">
        <f>VLOOKUP(Table2[[#This Row],[Site]],'Site Info'!$A$1:$C$11,3, FALSE)</f>
        <v>10</v>
      </c>
      <c r="M1125" t="str">
        <f>VLOOKUP(Table2[[#This Row],[Species]],'Species Table'!$A$1:$D$68,3, FALSE)</f>
        <v>Annual</v>
      </c>
      <c r="O1125" s="15">
        <f>IF(SUMPRODUCT(($A$2:$A1125=A1125)*($B$2:$B1125=B1125)*($F$2:$F1125=F1125))&gt;1,0,1)</f>
        <v>0</v>
      </c>
      <c r="P1125" s="15">
        <f>IF(SUMPRODUCT(($A$2:$A1125=A1125)*($B$2:$B1125=B1125)*($D$2:$D1125=D1125))&gt;1,0,1)</f>
        <v>1</v>
      </c>
    </row>
    <row r="1126" spans="1:16" x14ac:dyDescent="0.35">
      <c r="A1126" t="s">
        <v>9</v>
      </c>
      <c r="B1126">
        <v>2016</v>
      </c>
      <c r="C1126" s="1" t="s">
        <v>47</v>
      </c>
      <c r="D1126">
        <v>2.5</v>
      </c>
      <c r="E1126">
        <f>INT(Table2[[#This Row],[Transect]])</f>
        <v>2</v>
      </c>
      <c r="F1126" s="1" t="s">
        <v>11</v>
      </c>
      <c r="G1126">
        <v>3</v>
      </c>
      <c r="H1126">
        <v>200</v>
      </c>
      <c r="I1126">
        <v>100</v>
      </c>
      <c r="J1126">
        <f>Table2[[#This Row],[Hits]]/Table2[[#This Row],[Points]]*100</f>
        <v>1.5</v>
      </c>
      <c r="K1126">
        <f>VLOOKUP(Table2[[#This Row],[Site]],'Site Info'!$A$1:$C$11,2, FALSE)</f>
        <v>17.7</v>
      </c>
      <c r="L1126">
        <f>VLOOKUP(Table2[[#This Row],[Site]],'Site Info'!$A$1:$C$11,3, FALSE)</f>
        <v>10</v>
      </c>
      <c r="M1126" t="str">
        <f>VLOOKUP(Table2[[#This Row],[Species]],'Species Table'!$A$1:$D$68,3, FALSE)</f>
        <v>Perennial</v>
      </c>
      <c r="O1126" s="15">
        <f>IF(SUMPRODUCT(($A$2:$A1126=A1126)*($B$2:$B1126=B1126)*($F$2:$F1126=F1126))&gt;1,0,1)</f>
        <v>0</v>
      </c>
      <c r="P1126" s="15">
        <f>IF(SUMPRODUCT(($A$2:$A1126=A1126)*($B$2:$B1126=B1126)*($D$2:$D1126=D1126))&gt;1,0,1)</f>
        <v>0</v>
      </c>
    </row>
    <row r="1127" spans="1:16" hidden="1" x14ac:dyDescent="0.35">
      <c r="A1127" t="s">
        <v>9</v>
      </c>
      <c r="B1127">
        <v>2016</v>
      </c>
      <c r="C1127" s="1" t="s">
        <v>48</v>
      </c>
      <c r="D1127">
        <v>2.6</v>
      </c>
      <c r="E1127">
        <f>INT(Table2[[#This Row],[Transect]])</f>
        <v>2</v>
      </c>
      <c r="F1127" s="1" t="s">
        <v>10</v>
      </c>
      <c r="G1127">
        <v>4</v>
      </c>
      <c r="H1127">
        <v>200</v>
      </c>
      <c r="I1127">
        <v>100</v>
      </c>
      <c r="J1127">
        <f>Table2[[#This Row],[Hits]]/Table2[[#This Row],[Points]]*100</f>
        <v>2</v>
      </c>
      <c r="K1127">
        <f>VLOOKUP(Table2[[#This Row],[Site]],'Site Info'!$A$1:$C$11,2, FALSE)</f>
        <v>17.7</v>
      </c>
      <c r="L1127">
        <f>VLOOKUP(Table2[[#This Row],[Site]],'Site Info'!$A$1:$C$11,3, FALSE)</f>
        <v>10</v>
      </c>
      <c r="M1127" t="str">
        <f>VLOOKUP(Table2[[#This Row],[Species]],'Species Table'!$A$1:$D$68,3, FALSE)</f>
        <v>Annual</v>
      </c>
      <c r="O1127" s="15">
        <f>IF(SUMPRODUCT(($A$2:$A1127=A1127)*($B$2:$B1127=B1127)*($F$2:$F1127=F1127))&gt;1,0,1)</f>
        <v>0</v>
      </c>
      <c r="P1127" s="15">
        <f>IF(SUMPRODUCT(($A$2:$A1127=A1127)*($B$2:$B1127=B1127)*($D$2:$D1127=D1127))&gt;1,0,1)</f>
        <v>1</v>
      </c>
    </row>
    <row r="1128" spans="1:16" x14ac:dyDescent="0.35">
      <c r="A1128" t="s">
        <v>9</v>
      </c>
      <c r="B1128">
        <v>2016</v>
      </c>
      <c r="C1128" s="1" t="s">
        <v>48</v>
      </c>
      <c r="D1128">
        <v>2.6</v>
      </c>
      <c r="E1128">
        <f>INT(Table2[[#This Row],[Transect]])</f>
        <v>2</v>
      </c>
      <c r="F1128" s="1" t="s">
        <v>11</v>
      </c>
      <c r="G1128">
        <v>1</v>
      </c>
      <c r="H1128">
        <v>200</v>
      </c>
      <c r="I1128">
        <v>100</v>
      </c>
      <c r="J1128">
        <f>Table2[[#This Row],[Hits]]/Table2[[#This Row],[Points]]*100</f>
        <v>0.5</v>
      </c>
      <c r="K1128">
        <f>VLOOKUP(Table2[[#This Row],[Site]],'Site Info'!$A$1:$C$11,2, FALSE)</f>
        <v>17.7</v>
      </c>
      <c r="L1128">
        <f>VLOOKUP(Table2[[#This Row],[Site]],'Site Info'!$A$1:$C$11,3, FALSE)</f>
        <v>10</v>
      </c>
      <c r="M1128" t="str">
        <f>VLOOKUP(Table2[[#This Row],[Species]],'Species Table'!$A$1:$D$68,3, FALSE)</f>
        <v>Perennial</v>
      </c>
      <c r="O1128" s="15">
        <f>IF(SUMPRODUCT(($A$2:$A1128=A1128)*($B$2:$B1128=B1128)*($F$2:$F1128=F1128))&gt;1,0,1)</f>
        <v>0</v>
      </c>
      <c r="P1128" s="15">
        <f>IF(SUMPRODUCT(($A$2:$A1128=A1128)*($B$2:$B1128=B1128)*($D$2:$D1128=D1128))&gt;1,0,1)</f>
        <v>0</v>
      </c>
    </row>
    <row r="1129" spans="1:16" x14ac:dyDescent="0.35">
      <c r="A1129" t="s">
        <v>9</v>
      </c>
      <c r="B1129">
        <v>2016</v>
      </c>
      <c r="C1129" s="1" t="s">
        <v>49</v>
      </c>
      <c r="D1129">
        <v>2.7</v>
      </c>
      <c r="E1129">
        <f>INT(Table2[[#This Row],[Transect]])</f>
        <v>2</v>
      </c>
      <c r="F1129" s="1" t="s">
        <v>11</v>
      </c>
      <c r="G1129">
        <v>5</v>
      </c>
      <c r="H1129">
        <v>200</v>
      </c>
      <c r="I1129">
        <v>100</v>
      </c>
      <c r="J1129">
        <f>Table2[[#This Row],[Hits]]/Table2[[#This Row],[Points]]*100</f>
        <v>2.5</v>
      </c>
      <c r="K1129">
        <f>VLOOKUP(Table2[[#This Row],[Site]],'Site Info'!$A$1:$C$11,2, FALSE)</f>
        <v>17.7</v>
      </c>
      <c r="L1129">
        <f>VLOOKUP(Table2[[#This Row],[Site]],'Site Info'!$A$1:$C$11,3, FALSE)</f>
        <v>10</v>
      </c>
      <c r="M1129" t="str">
        <f>VLOOKUP(Table2[[#This Row],[Species]],'Species Table'!$A$1:$D$68,3, FALSE)</f>
        <v>Perennial</v>
      </c>
      <c r="O1129" s="15">
        <f>IF(SUMPRODUCT(($A$2:$A1129=A1129)*($B$2:$B1129=B1129)*($F$2:$F1129=F1129))&gt;1,0,1)</f>
        <v>0</v>
      </c>
      <c r="P1129" s="15">
        <f>IF(SUMPRODUCT(($A$2:$A1129=A1129)*($B$2:$B1129=B1129)*($D$2:$D1129=D1129))&gt;1,0,1)</f>
        <v>1</v>
      </c>
    </row>
    <row r="1130" spans="1:16" hidden="1" x14ac:dyDescent="0.35">
      <c r="A1130" t="s">
        <v>9</v>
      </c>
      <c r="B1130">
        <v>2016</v>
      </c>
      <c r="C1130" s="1" t="s">
        <v>49</v>
      </c>
      <c r="D1130">
        <v>2.7</v>
      </c>
      <c r="E1130">
        <f>INT(Table2[[#This Row],[Transect]])</f>
        <v>2</v>
      </c>
      <c r="F1130" s="1" t="s">
        <v>10</v>
      </c>
      <c r="G1130">
        <v>8</v>
      </c>
      <c r="H1130">
        <v>200</v>
      </c>
      <c r="I1130">
        <v>100</v>
      </c>
      <c r="J1130">
        <f>Table2[[#This Row],[Hits]]/Table2[[#This Row],[Points]]*100</f>
        <v>4</v>
      </c>
      <c r="K1130">
        <f>VLOOKUP(Table2[[#This Row],[Site]],'Site Info'!$A$1:$C$11,2, FALSE)</f>
        <v>17.7</v>
      </c>
      <c r="L1130">
        <f>VLOOKUP(Table2[[#This Row],[Site]],'Site Info'!$A$1:$C$11,3, FALSE)</f>
        <v>10</v>
      </c>
      <c r="M1130" t="str">
        <f>VLOOKUP(Table2[[#This Row],[Species]],'Species Table'!$A$1:$D$68,3, FALSE)</f>
        <v>Annual</v>
      </c>
      <c r="O1130" s="15">
        <f>IF(SUMPRODUCT(($A$2:$A1130=A1130)*($B$2:$B1130=B1130)*($F$2:$F1130=F1130))&gt;1,0,1)</f>
        <v>0</v>
      </c>
      <c r="P1130" s="15">
        <f>IF(SUMPRODUCT(($A$2:$A1130=A1130)*($B$2:$B1130=B1130)*($D$2:$D1130=D1130))&gt;1,0,1)</f>
        <v>0</v>
      </c>
    </row>
    <row r="1131" spans="1:16" x14ac:dyDescent="0.35">
      <c r="A1131" t="s">
        <v>9</v>
      </c>
      <c r="B1131">
        <v>2016</v>
      </c>
      <c r="C1131" s="1" t="s">
        <v>50</v>
      </c>
      <c r="D1131">
        <v>3.1</v>
      </c>
      <c r="E1131">
        <f>INT(Table2[[#This Row],[Transect]])</f>
        <v>3</v>
      </c>
      <c r="F1131" s="1" t="s">
        <v>11</v>
      </c>
      <c r="G1131">
        <v>2</v>
      </c>
      <c r="H1131">
        <v>200</v>
      </c>
      <c r="I1131">
        <v>100</v>
      </c>
      <c r="J1131">
        <f>Table2[[#This Row],[Hits]]/Table2[[#This Row],[Points]]*100</f>
        <v>1</v>
      </c>
      <c r="K1131">
        <f>VLOOKUP(Table2[[#This Row],[Site]],'Site Info'!$A$1:$C$11,2, FALSE)</f>
        <v>17.7</v>
      </c>
      <c r="L1131">
        <f>VLOOKUP(Table2[[#This Row],[Site]],'Site Info'!$A$1:$C$11,3, FALSE)</f>
        <v>10</v>
      </c>
      <c r="M1131" t="str">
        <f>VLOOKUP(Table2[[#This Row],[Species]],'Species Table'!$A$1:$D$68,3, FALSE)</f>
        <v>Perennial</v>
      </c>
      <c r="O1131" s="15">
        <f>IF(SUMPRODUCT(($A$2:$A1131=A1131)*($B$2:$B1131=B1131)*($F$2:$F1131=F1131))&gt;1,0,1)</f>
        <v>0</v>
      </c>
      <c r="P1131" s="15">
        <f>IF(SUMPRODUCT(($A$2:$A1131=A1131)*($B$2:$B1131=B1131)*($D$2:$D1131=D1131))&gt;1,0,1)</f>
        <v>1</v>
      </c>
    </row>
    <row r="1132" spans="1:16" hidden="1" x14ac:dyDescent="0.35">
      <c r="A1132" t="s">
        <v>9</v>
      </c>
      <c r="B1132">
        <v>2016</v>
      </c>
      <c r="C1132" s="1" t="s">
        <v>50</v>
      </c>
      <c r="D1132">
        <v>3.1</v>
      </c>
      <c r="E1132">
        <f>INT(Table2[[#This Row],[Transect]])</f>
        <v>3</v>
      </c>
      <c r="F1132" s="1" t="s">
        <v>10</v>
      </c>
      <c r="G1132">
        <v>8</v>
      </c>
      <c r="H1132">
        <v>200</v>
      </c>
      <c r="I1132">
        <v>100</v>
      </c>
      <c r="J1132">
        <f>Table2[[#This Row],[Hits]]/Table2[[#This Row],[Points]]*100</f>
        <v>4</v>
      </c>
      <c r="K1132">
        <f>VLOOKUP(Table2[[#This Row],[Site]],'Site Info'!$A$1:$C$11,2, FALSE)</f>
        <v>17.7</v>
      </c>
      <c r="L1132">
        <f>VLOOKUP(Table2[[#This Row],[Site]],'Site Info'!$A$1:$C$11,3, FALSE)</f>
        <v>10</v>
      </c>
      <c r="M1132" t="str">
        <f>VLOOKUP(Table2[[#This Row],[Species]],'Species Table'!$A$1:$D$68,3, FALSE)</f>
        <v>Annual</v>
      </c>
      <c r="O1132" s="15">
        <f>IF(SUMPRODUCT(($A$2:$A1132=A1132)*($B$2:$B1132=B1132)*($F$2:$F1132=F1132))&gt;1,0,1)</f>
        <v>0</v>
      </c>
      <c r="P1132" s="15">
        <f>IF(SUMPRODUCT(($A$2:$A1132=A1132)*($B$2:$B1132=B1132)*($D$2:$D1132=D1132))&gt;1,0,1)</f>
        <v>0</v>
      </c>
    </row>
    <row r="1133" spans="1:16" hidden="1" x14ac:dyDescent="0.35">
      <c r="A1133" t="s">
        <v>9</v>
      </c>
      <c r="B1133">
        <v>2016</v>
      </c>
      <c r="C1133" s="1" t="s">
        <v>51</v>
      </c>
      <c r="D1133">
        <v>3.2</v>
      </c>
      <c r="E1133">
        <f>INT(Table2[[#This Row],[Transect]])</f>
        <v>3</v>
      </c>
      <c r="F1133" s="1" t="s">
        <v>10</v>
      </c>
      <c r="G1133">
        <v>3</v>
      </c>
      <c r="H1133">
        <v>200</v>
      </c>
      <c r="I1133">
        <v>100</v>
      </c>
      <c r="J1133">
        <f>Table2[[#This Row],[Hits]]/Table2[[#This Row],[Points]]*100</f>
        <v>1.5</v>
      </c>
      <c r="K1133">
        <f>VLOOKUP(Table2[[#This Row],[Site]],'Site Info'!$A$1:$C$11,2, FALSE)</f>
        <v>17.7</v>
      </c>
      <c r="L1133">
        <f>VLOOKUP(Table2[[#This Row],[Site]],'Site Info'!$A$1:$C$11,3, FALSE)</f>
        <v>10</v>
      </c>
      <c r="M1133" t="str">
        <f>VLOOKUP(Table2[[#This Row],[Species]],'Species Table'!$A$1:$D$68,3, FALSE)</f>
        <v>Annual</v>
      </c>
      <c r="O1133" s="15">
        <f>IF(SUMPRODUCT(($A$2:$A1133=A1133)*($B$2:$B1133=B1133)*($F$2:$F1133=F1133))&gt;1,0,1)</f>
        <v>0</v>
      </c>
      <c r="P1133" s="15">
        <f>IF(SUMPRODUCT(($A$2:$A1133=A1133)*($B$2:$B1133=B1133)*($D$2:$D1133=D1133))&gt;1,0,1)</f>
        <v>1</v>
      </c>
    </row>
    <row r="1134" spans="1:16" x14ac:dyDescent="0.35">
      <c r="A1134" t="s">
        <v>9</v>
      </c>
      <c r="B1134">
        <v>2016</v>
      </c>
      <c r="C1134" s="1" t="s">
        <v>51</v>
      </c>
      <c r="D1134">
        <v>3.2</v>
      </c>
      <c r="E1134">
        <f>INT(Table2[[#This Row],[Transect]])</f>
        <v>3</v>
      </c>
      <c r="F1134" s="1" t="s">
        <v>12</v>
      </c>
      <c r="G1134">
        <v>1</v>
      </c>
      <c r="H1134">
        <v>200</v>
      </c>
      <c r="I1134">
        <v>100</v>
      </c>
      <c r="J1134">
        <f>Table2[[#This Row],[Hits]]/Table2[[#This Row],[Points]]*100</f>
        <v>0.5</v>
      </c>
      <c r="K1134">
        <f>VLOOKUP(Table2[[#This Row],[Site]],'Site Info'!$A$1:$C$11,2, FALSE)</f>
        <v>17.7</v>
      </c>
      <c r="L1134">
        <f>VLOOKUP(Table2[[#This Row],[Site]],'Site Info'!$A$1:$C$11,3, FALSE)</f>
        <v>10</v>
      </c>
      <c r="M1134" t="str">
        <f>VLOOKUP(Table2[[#This Row],[Species]],'Species Table'!$A$1:$D$68,3, FALSE)</f>
        <v>Perennial</v>
      </c>
      <c r="O1134" s="15">
        <f>IF(SUMPRODUCT(($A$2:$A1134=A1134)*($B$2:$B1134=B1134)*($F$2:$F1134=F1134))&gt;1,0,1)</f>
        <v>0</v>
      </c>
      <c r="P1134" s="15">
        <f>IF(SUMPRODUCT(($A$2:$A1134=A1134)*($B$2:$B1134=B1134)*($D$2:$D1134=D1134))&gt;1,0,1)</f>
        <v>0</v>
      </c>
    </row>
    <row r="1135" spans="1:16" hidden="1" x14ac:dyDescent="0.35">
      <c r="A1135" t="s">
        <v>9</v>
      </c>
      <c r="B1135">
        <v>2016</v>
      </c>
      <c r="C1135" s="1" t="s">
        <v>52</v>
      </c>
      <c r="D1135">
        <v>3.3</v>
      </c>
      <c r="E1135">
        <f>INT(Table2[[#This Row],[Transect]])</f>
        <v>3</v>
      </c>
      <c r="F1135" s="1" t="s">
        <v>10</v>
      </c>
      <c r="G1135">
        <v>3</v>
      </c>
      <c r="H1135">
        <v>200</v>
      </c>
      <c r="I1135">
        <v>100</v>
      </c>
      <c r="J1135">
        <f>Table2[[#This Row],[Hits]]/Table2[[#This Row],[Points]]*100</f>
        <v>1.5</v>
      </c>
      <c r="K1135">
        <f>VLOOKUP(Table2[[#This Row],[Site]],'Site Info'!$A$1:$C$11,2, FALSE)</f>
        <v>17.7</v>
      </c>
      <c r="L1135">
        <f>VLOOKUP(Table2[[#This Row],[Site]],'Site Info'!$A$1:$C$11,3, FALSE)</f>
        <v>10</v>
      </c>
      <c r="M1135" t="str">
        <f>VLOOKUP(Table2[[#This Row],[Species]],'Species Table'!$A$1:$D$68,3, FALSE)</f>
        <v>Annual</v>
      </c>
      <c r="O1135" s="15">
        <f>IF(SUMPRODUCT(($A$2:$A1135=A1135)*($B$2:$B1135=B1135)*($F$2:$F1135=F1135))&gt;1,0,1)</f>
        <v>0</v>
      </c>
      <c r="P1135" s="15">
        <f>IF(SUMPRODUCT(($A$2:$A1135=A1135)*($B$2:$B1135=B1135)*($D$2:$D1135=D1135))&gt;1,0,1)</f>
        <v>1</v>
      </c>
    </row>
    <row r="1136" spans="1:16" hidden="1" x14ac:dyDescent="0.35">
      <c r="A1136" t="s">
        <v>9</v>
      </c>
      <c r="B1136">
        <v>2016</v>
      </c>
      <c r="C1136" s="1" t="s">
        <v>101</v>
      </c>
      <c r="D1136">
        <v>3.4</v>
      </c>
      <c r="E1136">
        <f>INT(Table2[[#This Row],[Transect]])</f>
        <v>3</v>
      </c>
      <c r="F1136" s="1" t="s">
        <v>10</v>
      </c>
      <c r="G1136">
        <v>10</v>
      </c>
      <c r="H1136">
        <v>200</v>
      </c>
      <c r="I1136">
        <v>100</v>
      </c>
      <c r="J1136">
        <f>Table2[[#This Row],[Hits]]/Table2[[#This Row],[Points]]*100</f>
        <v>5</v>
      </c>
      <c r="K1136">
        <f>VLOOKUP(Table2[[#This Row],[Site]],'Site Info'!$A$1:$C$11,2, FALSE)</f>
        <v>17.7</v>
      </c>
      <c r="L1136">
        <f>VLOOKUP(Table2[[#This Row],[Site]],'Site Info'!$A$1:$C$11,3, FALSE)</f>
        <v>10</v>
      </c>
      <c r="M1136" t="str">
        <f>VLOOKUP(Table2[[#This Row],[Species]],'Species Table'!$A$1:$D$68,3, FALSE)</f>
        <v>Annual</v>
      </c>
      <c r="O1136" s="15">
        <f>IF(SUMPRODUCT(($A$2:$A1136=A1136)*($B$2:$B1136=B1136)*($F$2:$F1136=F1136))&gt;1,0,1)</f>
        <v>0</v>
      </c>
      <c r="P1136" s="15">
        <f>IF(SUMPRODUCT(($A$2:$A1136=A1136)*($B$2:$B1136=B1136)*($D$2:$D1136=D1136))&gt;1,0,1)</f>
        <v>1</v>
      </c>
    </row>
    <row r="1137" spans="1:16" x14ac:dyDescent="0.35">
      <c r="A1137" t="s">
        <v>9</v>
      </c>
      <c r="B1137">
        <v>2016</v>
      </c>
      <c r="C1137" s="1" t="s">
        <v>101</v>
      </c>
      <c r="D1137">
        <v>3.4</v>
      </c>
      <c r="E1137">
        <f>INT(Table2[[#This Row],[Transect]])</f>
        <v>3</v>
      </c>
      <c r="F1137" s="1" t="s">
        <v>5</v>
      </c>
      <c r="G1137">
        <v>1</v>
      </c>
      <c r="H1137">
        <v>200</v>
      </c>
      <c r="I1137">
        <v>100</v>
      </c>
      <c r="J1137">
        <f>Table2[[#This Row],[Hits]]/Table2[[#This Row],[Points]]*100</f>
        <v>0.5</v>
      </c>
      <c r="K1137">
        <f>VLOOKUP(Table2[[#This Row],[Site]],'Site Info'!$A$1:$C$11,2, FALSE)</f>
        <v>17.7</v>
      </c>
      <c r="L1137">
        <f>VLOOKUP(Table2[[#This Row],[Site]],'Site Info'!$A$1:$C$11,3, FALSE)</f>
        <v>10</v>
      </c>
      <c r="M1137" t="str">
        <f>VLOOKUP(Table2[[#This Row],[Species]],'Species Table'!$A$1:$D$68,3, FALSE)</f>
        <v>Perennial</v>
      </c>
      <c r="O1137" s="15">
        <f>IF(SUMPRODUCT(($A$2:$A1137=A1137)*($B$2:$B1137=B1137)*($F$2:$F1137=F1137))&gt;1,0,1)</f>
        <v>1</v>
      </c>
      <c r="P1137" s="15">
        <f>IF(SUMPRODUCT(($A$2:$A1137=A1137)*($B$2:$B1137=B1137)*($D$2:$D1137=D1137))&gt;1,0,1)</f>
        <v>0</v>
      </c>
    </row>
    <row r="1138" spans="1:16" hidden="1" x14ac:dyDescent="0.35">
      <c r="A1138" t="s">
        <v>9</v>
      </c>
      <c r="B1138">
        <v>2016</v>
      </c>
      <c r="C1138" s="1" t="s">
        <v>102</v>
      </c>
      <c r="D1138">
        <v>3.5</v>
      </c>
      <c r="E1138">
        <f>INT(Table2[[#This Row],[Transect]])</f>
        <v>3</v>
      </c>
      <c r="F1138" s="1" t="s">
        <v>10</v>
      </c>
      <c r="G1138">
        <v>7</v>
      </c>
      <c r="H1138">
        <v>200</v>
      </c>
      <c r="I1138">
        <v>100</v>
      </c>
      <c r="J1138">
        <f>Table2[[#This Row],[Hits]]/Table2[[#This Row],[Points]]*100</f>
        <v>3.5000000000000004</v>
      </c>
      <c r="K1138">
        <f>VLOOKUP(Table2[[#This Row],[Site]],'Site Info'!$A$1:$C$11,2, FALSE)</f>
        <v>17.7</v>
      </c>
      <c r="L1138">
        <f>VLOOKUP(Table2[[#This Row],[Site]],'Site Info'!$A$1:$C$11,3, FALSE)</f>
        <v>10</v>
      </c>
      <c r="M1138" t="str">
        <f>VLOOKUP(Table2[[#This Row],[Species]],'Species Table'!$A$1:$D$68,3, FALSE)</f>
        <v>Annual</v>
      </c>
      <c r="O1138" s="15">
        <f>IF(SUMPRODUCT(($A$2:$A1138=A1138)*($B$2:$B1138=B1138)*($F$2:$F1138=F1138))&gt;1,0,1)</f>
        <v>0</v>
      </c>
      <c r="P1138" s="15">
        <f>IF(SUMPRODUCT(($A$2:$A1138=A1138)*($B$2:$B1138=B1138)*($D$2:$D1138=D1138))&gt;1,0,1)</f>
        <v>1</v>
      </c>
    </row>
    <row r="1139" spans="1:16" hidden="1" x14ac:dyDescent="0.35">
      <c r="A1139" t="s">
        <v>9</v>
      </c>
      <c r="B1139">
        <v>2016</v>
      </c>
      <c r="C1139" s="1" t="s">
        <v>53</v>
      </c>
      <c r="D1139">
        <v>3.6</v>
      </c>
      <c r="E1139">
        <f>INT(Table2[[#This Row],[Transect]])</f>
        <v>3</v>
      </c>
      <c r="F1139" s="1" t="s">
        <v>10</v>
      </c>
      <c r="G1139">
        <v>15</v>
      </c>
      <c r="H1139">
        <v>200</v>
      </c>
      <c r="I1139">
        <v>100</v>
      </c>
      <c r="J1139">
        <f>Table2[[#This Row],[Hits]]/Table2[[#This Row],[Points]]*100</f>
        <v>7.5</v>
      </c>
      <c r="K1139">
        <f>VLOOKUP(Table2[[#This Row],[Site]],'Site Info'!$A$1:$C$11,2, FALSE)</f>
        <v>17.7</v>
      </c>
      <c r="L1139">
        <f>VLOOKUP(Table2[[#This Row],[Site]],'Site Info'!$A$1:$C$11,3, FALSE)</f>
        <v>10</v>
      </c>
      <c r="M1139" t="str">
        <f>VLOOKUP(Table2[[#This Row],[Species]],'Species Table'!$A$1:$D$68,3, FALSE)</f>
        <v>Annual</v>
      </c>
      <c r="O1139" s="15">
        <f>IF(SUMPRODUCT(($A$2:$A1139=A1139)*($B$2:$B1139=B1139)*($F$2:$F1139=F1139))&gt;1,0,1)</f>
        <v>0</v>
      </c>
      <c r="P1139" s="15">
        <f>IF(SUMPRODUCT(($A$2:$A1139=A1139)*($B$2:$B1139=B1139)*($D$2:$D1139=D1139))&gt;1,0,1)</f>
        <v>1</v>
      </c>
    </row>
    <row r="1140" spans="1:16" x14ac:dyDescent="0.35">
      <c r="A1140" t="s">
        <v>9</v>
      </c>
      <c r="B1140">
        <v>2016</v>
      </c>
      <c r="C1140" s="1" t="s">
        <v>53</v>
      </c>
      <c r="D1140">
        <v>3.6</v>
      </c>
      <c r="E1140">
        <f>INT(Table2[[#This Row],[Transect]])</f>
        <v>3</v>
      </c>
      <c r="F1140" s="1" t="s">
        <v>4</v>
      </c>
      <c r="G1140">
        <v>1</v>
      </c>
      <c r="H1140">
        <v>200</v>
      </c>
      <c r="I1140">
        <v>100</v>
      </c>
      <c r="J1140">
        <f>Table2[[#This Row],[Hits]]/Table2[[#This Row],[Points]]*100</f>
        <v>0.5</v>
      </c>
      <c r="K1140">
        <f>VLOOKUP(Table2[[#This Row],[Site]],'Site Info'!$A$1:$C$11,2, FALSE)</f>
        <v>17.7</v>
      </c>
      <c r="L1140">
        <f>VLOOKUP(Table2[[#This Row],[Site]],'Site Info'!$A$1:$C$11,3, FALSE)</f>
        <v>10</v>
      </c>
      <c r="M1140" t="str">
        <f>VLOOKUP(Table2[[#This Row],[Species]],'Species Table'!$A$1:$D$68,3, FALSE)</f>
        <v>Perennial</v>
      </c>
      <c r="O1140" s="15">
        <f>IF(SUMPRODUCT(($A$2:$A1140=A1140)*($B$2:$B1140=B1140)*($F$2:$F1140=F1140))&gt;1,0,1)</f>
        <v>1</v>
      </c>
      <c r="P1140" s="15">
        <f>IF(SUMPRODUCT(($A$2:$A1140=A1140)*($B$2:$B1140=B1140)*($D$2:$D1140=D1140))&gt;1,0,1)</f>
        <v>0</v>
      </c>
    </row>
    <row r="1141" spans="1:16" x14ac:dyDescent="0.35">
      <c r="A1141" t="s">
        <v>9</v>
      </c>
      <c r="B1141">
        <v>2016</v>
      </c>
      <c r="C1141" s="1" t="s">
        <v>54</v>
      </c>
      <c r="D1141">
        <v>3.7</v>
      </c>
      <c r="E1141">
        <f>INT(Table2[[#This Row],[Transect]])</f>
        <v>3</v>
      </c>
      <c r="F1141" s="1" t="s">
        <v>12</v>
      </c>
      <c r="G1141">
        <v>1</v>
      </c>
      <c r="H1141">
        <v>200</v>
      </c>
      <c r="I1141">
        <v>100</v>
      </c>
      <c r="J1141">
        <f>Table2[[#This Row],[Hits]]/Table2[[#This Row],[Points]]*100</f>
        <v>0.5</v>
      </c>
      <c r="K1141">
        <f>VLOOKUP(Table2[[#This Row],[Site]],'Site Info'!$A$1:$C$11,2, FALSE)</f>
        <v>17.7</v>
      </c>
      <c r="L1141">
        <f>VLOOKUP(Table2[[#This Row],[Site]],'Site Info'!$A$1:$C$11,3, FALSE)</f>
        <v>10</v>
      </c>
      <c r="M1141" t="str">
        <f>VLOOKUP(Table2[[#This Row],[Species]],'Species Table'!$A$1:$D$68,3, FALSE)</f>
        <v>Perennial</v>
      </c>
      <c r="O1141" s="15">
        <f>IF(SUMPRODUCT(($A$2:$A1141=A1141)*($B$2:$B1141=B1141)*($F$2:$F1141=F1141))&gt;1,0,1)</f>
        <v>0</v>
      </c>
      <c r="P1141" s="15">
        <f>IF(SUMPRODUCT(($A$2:$A1141=A1141)*($B$2:$B1141=B1141)*($D$2:$D1141=D1141))&gt;1,0,1)</f>
        <v>1</v>
      </c>
    </row>
    <row r="1142" spans="1:16" x14ac:dyDescent="0.35">
      <c r="A1142" t="s">
        <v>9</v>
      </c>
      <c r="B1142">
        <v>2016</v>
      </c>
      <c r="C1142" s="1" t="s">
        <v>54</v>
      </c>
      <c r="D1142">
        <v>3.7</v>
      </c>
      <c r="E1142">
        <f>INT(Table2[[#This Row],[Transect]])</f>
        <v>3</v>
      </c>
      <c r="F1142" s="1" t="s">
        <v>11</v>
      </c>
      <c r="G1142">
        <v>7</v>
      </c>
      <c r="H1142">
        <v>200</v>
      </c>
      <c r="I1142">
        <v>100</v>
      </c>
      <c r="J1142">
        <f>Table2[[#This Row],[Hits]]/Table2[[#This Row],[Points]]*100</f>
        <v>3.5000000000000004</v>
      </c>
      <c r="K1142">
        <f>VLOOKUP(Table2[[#This Row],[Site]],'Site Info'!$A$1:$C$11,2, FALSE)</f>
        <v>17.7</v>
      </c>
      <c r="L1142">
        <f>VLOOKUP(Table2[[#This Row],[Site]],'Site Info'!$A$1:$C$11,3, FALSE)</f>
        <v>10</v>
      </c>
      <c r="M1142" t="str">
        <f>VLOOKUP(Table2[[#This Row],[Species]],'Species Table'!$A$1:$D$68,3, FALSE)</f>
        <v>Perennial</v>
      </c>
      <c r="O1142" s="15">
        <f>IF(SUMPRODUCT(($A$2:$A1142=A1142)*($B$2:$B1142=B1142)*($F$2:$F1142=F1142))&gt;1,0,1)</f>
        <v>0</v>
      </c>
      <c r="P1142" s="15">
        <f>IF(SUMPRODUCT(($A$2:$A1142=A1142)*($B$2:$B1142=B1142)*($D$2:$D1142=D1142))&gt;1,0,1)</f>
        <v>0</v>
      </c>
    </row>
    <row r="1143" spans="1:16" hidden="1" x14ac:dyDescent="0.35">
      <c r="A1143" t="s">
        <v>9</v>
      </c>
      <c r="B1143">
        <v>2016</v>
      </c>
      <c r="C1143" s="1" t="s">
        <v>54</v>
      </c>
      <c r="D1143">
        <v>3.7</v>
      </c>
      <c r="E1143">
        <f>INT(Table2[[#This Row],[Transect]])</f>
        <v>3</v>
      </c>
      <c r="F1143" s="1" t="s">
        <v>10</v>
      </c>
      <c r="G1143">
        <v>1</v>
      </c>
      <c r="H1143">
        <v>200</v>
      </c>
      <c r="I1143">
        <v>100</v>
      </c>
      <c r="J1143">
        <f>Table2[[#This Row],[Hits]]/Table2[[#This Row],[Points]]*100</f>
        <v>0.5</v>
      </c>
      <c r="K1143">
        <f>VLOOKUP(Table2[[#This Row],[Site]],'Site Info'!$A$1:$C$11,2, FALSE)</f>
        <v>17.7</v>
      </c>
      <c r="L1143">
        <f>VLOOKUP(Table2[[#This Row],[Site]],'Site Info'!$A$1:$C$11,3, FALSE)</f>
        <v>10</v>
      </c>
      <c r="M1143" t="str">
        <f>VLOOKUP(Table2[[#This Row],[Species]],'Species Table'!$A$1:$D$68,3, FALSE)</f>
        <v>Annual</v>
      </c>
      <c r="O1143" s="15">
        <f>IF(SUMPRODUCT(($A$2:$A1143=A1143)*($B$2:$B1143=B1143)*($F$2:$F1143=F1143))&gt;1,0,1)</f>
        <v>0</v>
      </c>
      <c r="P1143" s="15">
        <f>IF(SUMPRODUCT(($A$2:$A1143=A1143)*($B$2:$B1143=B1143)*($D$2:$D1143=D1143))&gt;1,0,1)</f>
        <v>0</v>
      </c>
    </row>
    <row r="1144" spans="1:16" x14ac:dyDescent="0.35">
      <c r="A1144" t="s">
        <v>9</v>
      </c>
      <c r="B1144">
        <v>2016</v>
      </c>
      <c r="C1144" s="1" t="s">
        <v>55</v>
      </c>
      <c r="D1144">
        <v>4.0999999999999996</v>
      </c>
      <c r="E1144">
        <f>INT(Table2[[#This Row],[Transect]])</f>
        <v>4</v>
      </c>
      <c r="F1144" s="1" t="s">
        <v>11</v>
      </c>
      <c r="G1144">
        <v>13</v>
      </c>
      <c r="H1144">
        <v>200</v>
      </c>
      <c r="I1144">
        <v>100</v>
      </c>
      <c r="J1144">
        <f>Table2[[#This Row],[Hits]]/Table2[[#This Row],[Points]]*100</f>
        <v>6.5</v>
      </c>
      <c r="K1144">
        <f>VLOOKUP(Table2[[#This Row],[Site]],'Site Info'!$A$1:$C$11,2, FALSE)</f>
        <v>17.7</v>
      </c>
      <c r="L1144">
        <f>VLOOKUP(Table2[[#This Row],[Site]],'Site Info'!$A$1:$C$11,3, FALSE)</f>
        <v>10</v>
      </c>
      <c r="M1144" t="str">
        <f>VLOOKUP(Table2[[#This Row],[Species]],'Species Table'!$A$1:$D$68,3, FALSE)</f>
        <v>Perennial</v>
      </c>
      <c r="O1144" s="15">
        <f>IF(SUMPRODUCT(($A$2:$A1144=A1144)*($B$2:$B1144=B1144)*($F$2:$F1144=F1144))&gt;1,0,1)</f>
        <v>0</v>
      </c>
      <c r="P1144" s="15">
        <f>IF(SUMPRODUCT(($A$2:$A1144=A1144)*($B$2:$B1144=B1144)*($D$2:$D1144=D1144))&gt;1,0,1)</f>
        <v>1</v>
      </c>
    </row>
    <row r="1145" spans="1:16" hidden="1" x14ac:dyDescent="0.35">
      <c r="A1145" t="s">
        <v>9</v>
      </c>
      <c r="B1145">
        <v>2016</v>
      </c>
      <c r="C1145" s="1" t="s">
        <v>55</v>
      </c>
      <c r="D1145">
        <v>4.0999999999999996</v>
      </c>
      <c r="E1145">
        <f>INT(Table2[[#This Row],[Transect]])</f>
        <v>4</v>
      </c>
      <c r="F1145" s="1" t="s">
        <v>10</v>
      </c>
      <c r="G1145">
        <v>3</v>
      </c>
      <c r="H1145">
        <v>200</v>
      </c>
      <c r="I1145">
        <v>100</v>
      </c>
      <c r="J1145">
        <f>Table2[[#This Row],[Hits]]/Table2[[#This Row],[Points]]*100</f>
        <v>1.5</v>
      </c>
      <c r="K1145">
        <f>VLOOKUP(Table2[[#This Row],[Site]],'Site Info'!$A$1:$C$11,2, FALSE)</f>
        <v>17.7</v>
      </c>
      <c r="L1145">
        <f>VLOOKUP(Table2[[#This Row],[Site]],'Site Info'!$A$1:$C$11,3, FALSE)</f>
        <v>10</v>
      </c>
      <c r="M1145" t="str">
        <f>VLOOKUP(Table2[[#This Row],[Species]],'Species Table'!$A$1:$D$68,3, FALSE)</f>
        <v>Annual</v>
      </c>
      <c r="O1145" s="15">
        <f>IF(SUMPRODUCT(($A$2:$A1145=A1145)*($B$2:$B1145=B1145)*($F$2:$F1145=F1145))&gt;1,0,1)</f>
        <v>0</v>
      </c>
      <c r="P1145" s="15">
        <f>IF(SUMPRODUCT(($A$2:$A1145=A1145)*($B$2:$B1145=B1145)*($D$2:$D1145=D1145))&gt;1,0,1)</f>
        <v>0</v>
      </c>
    </row>
    <row r="1146" spans="1:16" x14ac:dyDescent="0.35">
      <c r="A1146" t="s">
        <v>9</v>
      </c>
      <c r="B1146">
        <v>2016</v>
      </c>
      <c r="C1146" s="1" t="s">
        <v>56</v>
      </c>
      <c r="D1146">
        <v>4.2</v>
      </c>
      <c r="E1146">
        <f>INT(Table2[[#This Row],[Transect]])</f>
        <v>4</v>
      </c>
      <c r="F1146" s="1" t="s">
        <v>11</v>
      </c>
      <c r="G1146">
        <v>3</v>
      </c>
      <c r="H1146">
        <v>200</v>
      </c>
      <c r="I1146">
        <v>100</v>
      </c>
      <c r="J1146">
        <f>Table2[[#This Row],[Hits]]/Table2[[#This Row],[Points]]*100</f>
        <v>1.5</v>
      </c>
      <c r="K1146">
        <f>VLOOKUP(Table2[[#This Row],[Site]],'Site Info'!$A$1:$C$11,2, FALSE)</f>
        <v>17.7</v>
      </c>
      <c r="L1146">
        <f>VLOOKUP(Table2[[#This Row],[Site]],'Site Info'!$A$1:$C$11,3, FALSE)</f>
        <v>10</v>
      </c>
      <c r="M1146" t="str">
        <f>VLOOKUP(Table2[[#This Row],[Species]],'Species Table'!$A$1:$D$68,3, FALSE)</f>
        <v>Perennial</v>
      </c>
      <c r="O1146" s="15">
        <f>IF(SUMPRODUCT(($A$2:$A1146=A1146)*($B$2:$B1146=B1146)*($F$2:$F1146=F1146))&gt;1,0,1)</f>
        <v>0</v>
      </c>
      <c r="P1146" s="15">
        <f>IF(SUMPRODUCT(($A$2:$A1146=A1146)*($B$2:$B1146=B1146)*($D$2:$D1146=D1146))&gt;1,0,1)</f>
        <v>1</v>
      </c>
    </row>
    <row r="1147" spans="1:16" hidden="1" x14ac:dyDescent="0.35">
      <c r="A1147" t="s">
        <v>9</v>
      </c>
      <c r="B1147">
        <v>2016</v>
      </c>
      <c r="C1147" s="1" t="s">
        <v>56</v>
      </c>
      <c r="D1147">
        <v>4.2</v>
      </c>
      <c r="E1147">
        <f>INT(Table2[[#This Row],[Transect]])</f>
        <v>4</v>
      </c>
      <c r="F1147" s="1" t="s">
        <v>10</v>
      </c>
      <c r="G1147">
        <v>3</v>
      </c>
      <c r="H1147">
        <v>200</v>
      </c>
      <c r="I1147">
        <v>100</v>
      </c>
      <c r="J1147">
        <f>Table2[[#This Row],[Hits]]/Table2[[#This Row],[Points]]*100</f>
        <v>1.5</v>
      </c>
      <c r="K1147">
        <f>VLOOKUP(Table2[[#This Row],[Site]],'Site Info'!$A$1:$C$11,2, FALSE)</f>
        <v>17.7</v>
      </c>
      <c r="L1147">
        <f>VLOOKUP(Table2[[#This Row],[Site]],'Site Info'!$A$1:$C$11,3, FALSE)</f>
        <v>10</v>
      </c>
      <c r="M1147" t="str">
        <f>VLOOKUP(Table2[[#This Row],[Species]],'Species Table'!$A$1:$D$68,3, FALSE)</f>
        <v>Annual</v>
      </c>
      <c r="O1147" s="15">
        <f>IF(SUMPRODUCT(($A$2:$A1147=A1147)*($B$2:$B1147=B1147)*($F$2:$F1147=F1147))&gt;1,0,1)</f>
        <v>0</v>
      </c>
      <c r="P1147" s="15">
        <f>IF(SUMPRODUCT(($A$2:$A1147=A1147)*($B$2:$B1147=B1147)*($D$2:$D1147=D1147))&gt;1,0,1)</f>
        <v>0</v>
      </c>
    </row>
    <row r="1148" spans="1:16" hidden="1" x14ac:dyDescent="0.35">
      <c r="A1148" t="s">
        <v>9</v>
      </c>
      <c r="B1148">
        <v>2016</v>
      </c>
      <c r="C1148" s="1" t="s">
        <v>57</v>
      </c>
      <c r="D1148">
        <v>4.3</v>
      </c>
      <c r="E1148">
        <f>INT(Table2[[#This Row],[Transect]])</f>
        <v>4</v>
      </c>
      <c r="F1148" s="1" t="s">
        <v>10</v>
      </c>
      <c r="G1148">
        <v>10</v>
      </c>
      <c r="H1148">
        <v>200</v>
      </c>
      <c r="I1148">
        <v>100</v>
      </c>
      <c r="J1148">
        <f>Table2[[#This Row],[Hits]]/Table2[[#This Row],[Points]]*100</f>
        <v>5</v>
      </c>
      <c r="K1148">
        <f>VLOOKUP(Table2[[#This Row],[Site]],'Site Info'!$A$1:$C$11,2, FALSE)</f>
        <v>17.7</v>
      </c>
      <c r="L1148">
        <f>VLOOKUP(Table2[[#This Row],[Site]],'Site Info'!$A$1:$C$11,3, FALSE)</f>
        <v>10</v>
      </c>
      <c r="M1148" t="str">
        <f>VLOOKUP(Table2[[#This Row],[Species]],'Species Table'!$A$1:$D$68,3, FALSE)</f>
        <v>Annual</v>
      </c>
      <c r="O1148" s="15">
        <f>IF(SUMPRODUCT(($A$2:$A1148=A1148)*($B$2:$B1148=B1148)*($F$2:$F1148=F1148))&gt;1,0,1)</f>
        <v>0</v>
      </c>
      <c r="P1148" s="15">
        <f>IF(SUMPRODUCT(($A$2:$A1148=A1148)*($B$2:$B1148=B1148)*($D$2:$D1148=D1148))&gt;1,0,1)</f>
        <v>1</v>
      </c>
    </row>
    <row r="1149" spans="1:16" x14ac:dyDescent="0.35">
      <c r="A1149" t="s">
        <v>9</v>
      </c>
      <c r="B1149">
        <v>2016</v>
      </c>
      <c r="C1149" s="1" t="s">
        <v>57</v>
      </c>
      <c r="D1149">
        <v>4.3</v>
      </c>
      <c r="E1149">
        <f>INT(Table2[[#This Row],[Transect]])</f>
        <v>4</v>
      </c>
      <c r="F1149" s="1" t="s">
        <v>11</v>
      </c>
      <c r="G1149">
        <v>4</v>
      </c>
      <c r="H1149">
        <v>200</v>
      </c>
      <c r="I1149">
        <v>100</v>
      </c>
      <c r="J1149">
        <f>Table2[[#This Row],[Hits]]/Table2[[#This Row],[Points]]*100</f>
        <v>2</v>
      </c>
      <c r="K1149">
        <f>VLOOKUP(Table2[[#This Row],[Site]],'Site Info'!$A$1:$C$11,2, FALSE)</f>
        <v>17.7</v>
      </c>
      <c r="L1149">
        <f>VLOOKUP(Table2[[#This Row],[Site]],'Site Info'!$A$1:$C$11,3, FALSE)</f>
        <v>10</v>
      </c>
      <c r="M1149" t="str">
        <f>VLOOKUP(Table2[[#This Row],[Species]],'Species Table'!$A$1:$D$68,3, FALSE)</f>
        <v>Perennial</v>
      </c>
      <c r="O1149" s="15">
        <f>IF(SUMPRODUCT(($A$2:$A1149=A1149)*($B$2:$B1149=B1149)*($F$2:$F1149=F1149))&gt;1,0,1)</f>
        <v>0</v>
      </c>
      <c r="P1149" s="15">
        <f>IF(SUMPRODUCT(($A$2:$A1149=A1149)*($B$2:$B1149=B1149)*($D$2:$D1149=D1149))&gt;1,0,1)</f>
        <v>0</v>
      </c>
    </row>
    <row r="1150" spans="1:16" x14ac:dyDescent="0.35">
      <c r="A1150" t="s">
        <v>9</v>
      </c>
      <c r="B1150">
        <v>2016</v>
      </c>
      <c r="C1150" s="1" t="s">
        <v>57</v>
      </c>
      <c r="D1150">
        <v>4.3</v>
      </c>
      <c r="E1150">
        <f>INT(Table2[[#This Row],[Transect]])</f>
        <v>4</v>
      </c>
      <c r="F1150" s="1" t="s">
        <v>6</v>
      </c>
      <c r="G1150">
        <v>1</v>
      </c>
      <c r="H1150">
        <v>200</v>
      </c>
      <c r="I1150">
        <v>100</v>
      </c>
      <c r="J1150">
        <f>Table2[[#This Row],[Hits]]/Table2[[#This Row],[Points]]*100</f>
        <v>0.5</v>
      </c>
      <c r="K1150">
        <f>VLOOKUP(Table2[[#This Row],[Site]],'Site Info'!$A$1:$C$11,2, FALSE)</f>
        <v>17.7</v>
      </c>
      <c r="L1150">
        <f>VLOOKUP(Table2[[#This Row],[Site]],'Site Info'!$A$1:$C$11,3, FALSE)</f>
        <v>10</v>
      </c>
      <c r="M1150" t="str">
        <f>VLOOKUP(Table2[[#This Row],[Species]],'Species Table'!$A$1:$D$68,3, FALSE)</f>
        <v>Perennial</v>
      </c>
      <c r="O1150" s="15">
        <f>IF(SUMPRODUCT(($A$2:$A1150=A1150)*($B$2:$B1150=B1150)*($F$2:$F1150=F1150))&gt;1,0,1)</f>
        <v>0</v>
      </c>
      <c r="P1150" s="15">
        <f>IF(SUMPRODUCT(($A$2:$A1150=A1150)*($B$2:$B1150=B1150)*($D$2:$D1150=D1150))&gt;1,0,1)</f>
        <v>0</v>
      </c>
    </row>
    <row r="1151" spans="1:16" hidden="1" x14ac:dyDescent="0.35">
      <c r="A1151" t="s">
        <v>9</v>
      </c>
      <c r="B1151">
        <v>2016</v>
      </c>
      <c r="C1151" s="1" t="s">
        <v>58</v>
      </c>
      <c r="D1151">
        <v>4.4000000000000004</v>
      </c>
      <c r="E1151">
        <f>INT(Table2[[#This Row],[Transect]])</f>
        <v>4</v>
      </c>
      <c r="F1151" s="1" t="s">
        <v>10</v>
      </c>
      <c r="G1151">
        <v>16</v>
      </c>
      <c r="H1151">
        <v>200</v>
      </c>
      <c r="I1151">
        <v>100</v>
      </c>
      <c r="J1151">
        <f>Table2[[#This Row],[Hits]]/Table2[[#This Row],[Points]]*100</f>
        <v>8</v>
      </c>
      <c r="K1151">
        <f>VLOOKUP(Table2[[#This Row],[Site]],'Site Info'!$A$1:$C$11,2, FALSE)</f>
        <v>17.7</v>
      </c>
      <c r="L1151">
        <f>VLOOKUP(Table2[[#This Row],[Site]],'Site Info'!$A$1:$C$11,3, FALSE)</f>
        <v>10</v>
      </c>
      <c r="M1151" t="str">
        <f>VLOOKUP(Table2[[#This Row],[Species]],'Species Table'!$A$1:$D$68,3, FALSE)</f>
        <v>Annual</v>
      </c>
      <c r="O1151" s="15">
        <f>IF(SUMPRODUCT(($A$2:$A1151=A1151)*($B$2:$B1151=B1151)*($F$2:$F1151=F1151))&gt;1,0,1)</f>
        <v>0</v>
      </c>
      <c r="P1151" s="15">
        <f>IF(SUMPRODUCT(($A$2:$A1151=A1151)*($B$2:$B1151=B1151)*($D$2:$D1151=D1151))&gt;1,0,1)</f>
        <v>1</v>
      </c>
    </row>
    <row r="1152" spans="1:16" hidden="1" x14ac:dyDescent="0.35">
      <c r="A1152" t="s">
        <v>9</v>
      </c>
      <c r="B1152">
        <v>2016</v>
      </c>
      <c r="C1152" s="1" t="s">
        <v>59</v>
      </c>
      <c r="D1152">
        <v>4.5</v>
      </c>
      <c r="E1152">
        <f>INT(Table2[[#This Row],[Transect]])</f>
        <v>4</v>
      </c>
      <c r="F1152" s="1" t="s">
        <v>10</v>
      </c>
      <c r="G1152">
        <v>3</v>
      </c>
      <c r="H1152">
        <v>200</v>
      </c>
      <c r="I1152">
        <v>100</v>
      </c>
      <c r="J1152">
        <f>Table2[[#This Row],[Hits]]/Table2[[#This Row],[Points]]*100</f>
        <v>1.5</v>
      </c>
      <c r="K1152">
        <f>VLOOKUP(Table2[[#This Row],[Site]],'Site Info'!$A$1:$C$11,2, FALSE)</f>
        <v>17.7</v>
      </c>
      <c r="L1152">
        <f>VLOOKUP(Table2[[#This Row],[Site]],'Site Info'!$A$1:$C$11,3, FALSE)</f>
        <v>10</v>
      </c>
      <c r="M1152" t="str">
        <f>VLOOKUP(Table2[[#This Row],[Species]],'Species Table'!$A$1:$D$68,3, FALSE)</f>
        <v>Annual</v>
      </c>
      <c r="O1152" s="15">
        <f>IF(SUMPRODUCT(($A$2:$A1152=A1152)*($B$2:$B1152=B1152)*($F$2:$F1152=F1152))&gt;1,0,1)</f>
        <v>0</v>
      </c>
      <c r="P1152" s="15">
        <f>IF(SUMPRODUCT(($A$2:$A1152=A1152)*($B$2:$B1152=B1152)*($D$2:$D1152=D1152))&gt;1,0,1)</f>
        <v>1</v>
      </c>
    </row>
    <row r="1153" spans="1:16" x14ac:dyDescent="0.35">
      <c r="A1153" t="s">
        <v>9</v>
      </c>
      <c r="B1153">
        <v>2016</v>
      </c>
      <c r="C1153" s="1" t="s">
        <v>59</v>
      </c>
      <c r="D1153">
        <v>4.5</v>
      </c>
      <c r="E1153">
        <f>INT(Table2[[#This Row],[Transect]])</f>
        <v>4</v>
      </c>
      <c r="F1153" s="1" t="s">
        <v>6</v>
      </c>
      <c r="G1153">
        <v>1</v>
      </c>
      <c r="H1153">
        <v>200</v>
      </c>
      <c r="I1153">
        <v>100</v>
      </c>
      <c r="J1153">
        <f>Table2[[#This Row],[Hits]]/Table2[[#This Row],[Points]]*100</f>
        <v>0.5</v>
      </c>
      <c r="K1153">
        <f>VLOOKUP(Table2[[#This Row],[Site]],'Site Info'!$A$1:$C$11,2, FALSE)</f>
        <v>17.7</v>
      </c>
      <c r="L1153">
        <f>VLOOKUP(Table2[[#This Row],[Site]],'Site Info'!$A$1:$C$11,3, FALSE)</f>
        <v>10</v>
      </c>
      <c r="M1153" t="str">
        <f>VLOOKUP(Table2[[#This Row],[Species]],'Species Table'!$A$1:$D$68,3, FALSE)</f>
        <v>Perennial</v>
      </c>
      <c r="O1153" s="15">
        <f>IF(SUMPRODUCT(($A$2:$A1153=A1153)*($B$2:$B1153=B1153)*($F$2:$F1153=F1153))&gt;1,0,1)</f>
        <v>0</v>
      </c>
      <c r="P1153" s="15">
        <f>IF(SUMPRODUCT(($A$2:$A1153=A1153)*($B$2:$B1153=B1153)*($D$2:$D1153=D1153))&gt;1,0,1)</f>
        <v>0</v>
      </c>
    </row>
    <row r="1154" spans="1:16" hidden="1" x14ac:dyDescent="0.35">
      <c r="A1154" t="s">
        <v>9</v>
      </c>
      <c r="B1154">
        <v>2016</v>
      </c>
      <c r="C1154" s="1" t="s">
        <v>60</v>
      </c>
      <c r="D1154">
        <v>4.5999999999999996</v>
      </c>
      <c r="E1154">
        <f>INT(Table2[[#This Row],[Transect]])</f>
        <v>4</v>
      </c>
      <c r="F1154" s="1" t="s">
        <v>10</v>
      </c>
      <c r="G1154">
        <v>3</v>
      </c>
      <c r="H1154">
        <v>200</v>
      </c>
      <c r="I1154">
        <v>100</v>
      </c>
      <c r="J1154">
        <f>Table2[[#This Row],[Hits]]/Table2[[#This Row],[Points]]*100</f>
        <v>1.5</v>
      </c>
      <c r="K1154">
        <f>VLOOKUP(Table2[[#This Row],[Site]],'Site Info'!$A$1:$C$11,2, FALSE)</f>
        <v>17.7</v>
      </c>
      <c r="L1154">
        <f>VLOOKUP(Table2[[#This Row],[Site]],'Site Info'!$A$1:$C$11,3, FALSE)</f>
        <v>10</v>
      </c>
      <c r="M1154" t="str">
        <f>VLOOKUP(Table2[[#This Row],[Species]],'Species Table'!$A$1:$D$68,3, FALSE)</f>
        <v>Annual</v>
      </c>
      <c r="O1154" s="15">
        <f>IF(SUMPRODUCT(($A$2:$A1154=A1154)*($B$2:$B1154=B1154)*($F$2:$F1154=F1154))&gt;1,0,1)</f>
        <v>0</v>
      </c>
      <c r="P1154" s="15">
        <f>IF(SUMPRODUCT(($A$2:$A1154=A1154)*($B$2:$B1154=B1154)*($D$2:$D1154=D1154))&gt;1,0,1)</f>
        <v>1</v>
      </c>
    </row>
    <row r="1155" spans="1:16" x14ac:dyDescent="0.35">
      <c r="A1155" t="s">
        <v>9</v>
      </c>
      <c r="B1155">
        <v>2016</v>
      </c>
      <c r="C1155" s="1" t="s">
        <v>60</v>
      </c>
      <c r="D1155">
        <v>4.5999999999999996</v>
      </c>
      <c r="E1155">
        <f>INT(Table2[[#This Row],[Transect]])</f>
        <v>4</v>
      </c>
      <c r="F1155" s="1" t="s">
        <v>31</v>
      </c>
      <c r="G1155">
        <v>6</v>
      </c>
      <c r="H1155">
        <v>200</v>
      </c>
      <c r="I1155">
        <v>100</v>
      </c>
      <c r="J1155">
        <f>Table2[[#This Row],[Hits]]/Table2[[#This Row],[Points]]*100</f>
        <v>3</v>
      </c>
      <c r="K1155">
        <f>VLOOKUP(Table2[[#This Row],[Site]],'Site Info'!$A$1:$C$11,2, FALSE)</f>
        <v>17.7</v>
      </c>
      <c r="L1155">
        <f>VLOOKUP(Table2[[#This Row],[Site]],'Site Info'!$A$1:$C$11,3, FALSE)</f>
        <v>10</v>
      </c>
      <c r="M1155" t="str">
        <f>VLOOKUP(Table2[[#This Row],[Species]],'Species Table'!$A$1:$D$68,3, FALSE)</f>
        <v>Perennial</v>
      </c>
      <c r="O1155" s="15">
        <f>IF(SUMPRODUCT(($A$2:$A1155=A1155)*($B$2:$B1155=B1155)*($F$2:$F1155=F1155))&gt;1,0,1)</f>
        <v>1</v>
      </c>
      <c r="P1155" s="15">
        <f>IF(SUMPRODUCT(($A$2:$A1155=A1155)*($B$2:$B1155=B1155)*($D$2:$D1155=D1155))&gt;1,0,1)</f>
        <v>0</v>
      </c>
    </row>
    <row r="1156" spans="1:16" x14ac:dyDescent="0.35">
      <c r="A1156" t="s">
        <v>9</v>
      </c>
      <c r="B1156">
        <v>2016</v>
      </c>
      <c r="C1156" s="1" t="s">
        <v>61</v>
      </c>
      <c r="D1156">
        <v>4.7</v>
      </c>
      <c r="E1156">
        <f>INT(Table2[[#This Row],[Transect]])</f>
        <v>4</v>
      </c>
      <c r="F1156" s="1" t="s">
        <v>12</v>
      </c>
      <c r="G1156">
        <v>5</v>
      </c>
      <c r="H1156">
        <v>200</v>
      </c>
      <c r="I1156">
        <v>100</v>
      </c>
      <c r="J1156">
        <f>Table2[[#This Row],[Hits]]/Table2[[#This Row],[Points]]*100</f>
        <v>2.5</v>
      </c>
      <c r="K1156">
        <f>VLOOKUP(Table2[[#This Row],[Site]],'Site Info'!$A$1:$C$11,2, FALSE)</f>
        <v>17.7</v>
      </c>
      <c r="L1156">
        <f>VLOOKUP(Table2[[#This Row],[Site]],'Site Info'!$A$1:$C$11,3, FALSE)</f>
        <v>10</v>
      </c>
      <c r="M1156" t="str">
        <f>VLOOKUP(Table2[[#This Row],[Species]],'Species Table'!$A$1:$D$68,3, FALSE)</f>
        <v>Perennial</v>
      </c>
      <c r="O1156" s="15">
        <f>IF(SUMPRODUCT(($A$2:$A1156=A1156)*($B$2:$B1156=B1156)*($F$2:$F1156=F1156))&gt;1,0,1)</f>
        <v>0</v>
      </c>
      <c r="P1156" s="15">
        <f>IF(SUMPRODUCT(($A$2:$A1156=A1156)*($B$2:$B1156=B1156)*($D$2:$D1156=D1156))&gt;1,0,1)</f>
        <v>1</v>
      </c>
    </row>
    <row r="1157" spans="1:16" hidden="1" x14ac:dyDescent="0.35">
      <c r="A1157" t="s">
        <v>9</v>
      </c>
      <c r="B1157">
        <v>2016</v>
      </c>
      <c r="C1157" s="1" t="s">
        <v>61</v>
      </c>
      <c r="D1157">
        <v>4.7</v>
      </c>
      <c r="E1157">
        <f>INT(Table2[[#This Row],[Transect]])</f>
        <v>4</v>
      </c>
      <c r="F1157" s="1" t="s">
        <v>10</v>
      </c>
      <c r="G1157">
        <v>4</v>
      </c>
      <c r="H1157">
        <v>200</v>
      </c>
      <c r="I1157">
        <v>100</v>
      </c>
      <c r="J1157">
        <f>Table2[[#This Row],[Hits]]/Table2[[#This Row],[Points]]*100</f>
        <v>2</v>
      </c>
      <c r="K1157">
        <f>VLOOKUP(Table2[[#This Row],[Site]],'Site Info'!$A$1:$C$11,2, FALSE)</f>
        <v>17.7</v>
      </c>
      <c r="L1157">
        <f>VLOOKUP(Table2[[#This Row],[Site]],'Site Info'!$A$1:$C$11,3, FALSE)</f>
        <v>10</v>
      </c>
      <c r="M1157" t="str">
        <f>VLOOKUP(Table2[[#This Row],[Species]],'Species Table'!$A$1:$D$68,3, FALSE)</f>
        <v>Annual</v>
      </c>
      <c r="O1157" s="15">
        <f>IF(SUMPRODUCT(($A$2:$A1157=A1157)*($B$2:$B1157=B1157)*($F$2:$F1157=F1157))&gt;1,0,1)</f>
        <v>0</v>
      </c>
      <c r="P1157" s="15">
        <f>IF(SUMPRODUCT(($A$2:$A1157=A1157)*($B$2:$B1157=B1157)*($D$2:$D1157=D1157))&gt;1,0,1)</f>
        <v>0</v>
      </c>
    </row>
    <row r="1158" spans="1:16" x14ac:dyDescent="0.35">
      <c r="A1158" t="s">
        <v>9</v>
      </c>
      <c r="B1158">
        <v>2016</v>
      </c>
      <c r="C1158" s="1" t="s">
        <v>61</v>
      </c>
      <c r="D1158">
        <v>4.7</v>
      </c>
      <c r="E1158">
        <f>INT(Table2[[#This Row],[Transect]])</f>
        <v>4</v>
      </c>
      <c r="F1158" s="1" t="s">
        <v>3</v>
      </c>
      <c r="G1158">
        <v>2</v>
      </c>
      <c r="H1158">
        <v>200</v>
      </c>
      <c r="I1158">
        <v>100</v>
      </c>
      <c r="J1158">
        <f>Table2[[#This Row],[Hits]]/Table2[[#This Row],[Points]]*100</f>
        <v>1</v>
      </c>
      <c r="K1158">
        <f>VLOOKUP(Table2[[#This Row],[Site]],'Site Info'!$A$1:$C$11,2, FALSE)</f>
        <v>17.7</v>
      </c>
      <c r="L1158">
        <f>VLOOKUP(Table2[[#This Row],[Site]],'Site Info'!$A$1:$C$11,3, FALSE)</f>
        <v>10</v>
      </c>
      <c r="M1158" t="str">
        <f>VLOOKUP(Table2[[#This Row],[Species]],'Species Table'!$A$1:$D$68,3, FALSE)</f>
        <v>Perennial</v>
      </c>
      <c r="O1158" s="15">
        <f>IF(SUMPRODUCT(($A$2:$A1158=A1158)*($B$2:$B1158=B1158)*($F$2:$F1158=F1158))&gt;1,0,1)</f>
        <v>0</v>
      </c>
      <c r="P1158" s="15">
        <f>IF(SUMPRODUCT(($A$2:$A1158=A1158)*($B$2:$B1158=B1158)*($D$2:$D1158=D1158))&gt;1,0,1)</f>
        <v>0</v>
      </c>
    </row>
    <row r="1159" spans="1:16" x14ac:dyDescent="0.35">
      <c r="A1159" t="s">
        <v>9</v>
      </c>
      <c r="B1159">
        <v>2016</v>
      </c>
      <c r="C1159" s="1" t="s">
        <v>62</v>
      </c>
      <c r="D1159">
        <v>5.0999999999999996</v>
      </c>
      <c r="E1159">
        <f>INT(Table2[[#This Row],[Transect]])</f>
        <v>5</v>
      </c>
      <c r="F1159" s="1" t="s">
        <v>3</v>
      </c>
      <c r="G1159">
        <v>5</v>
      </c>
      <c r="H1159">
        <v>200</v>
      </c>
      <c r="I1159">
        <v>100</v>
      </c>
      <c r="J1159">
        <f>Table2[[#This Row],[Hits]]/Table2[[#This Row],[Points]]*100</f>
        <v>2.5</v>
      </c>
      <c r="K1159">
        <f>VLOOKUP(Table2[[#This Row],[Site]],'Site Info'!$A$1:$C$11,2, FALSE)</f>
        <v>17.7</v>
      </c>
      <c r="L1159">
        <f>VLOOKUP(Table2[[#This Row],[Site]],'Site Info'!$A$1:$C$11,3, FALSE)</f>
        <v>10</v>
      </c>
      <c r="M1159" t="str">
        <f>VLOOKUP(Table2[[#This Row],[Species]],'Species Table'!$A$1:$D$68,3, FALSE)</f>
        <v>Perennial</v>
      </c>
      <c r="O1159" s="15">
        <f>IF(SUMPRODUCT(($A$2:$A1159=A1159)*($B$2:$B1159=B1159)*($F$2:$F1159=F1159))&gt;1,0,1)</f>
        <v>0</v>
      </c>
      <c r="P1159" s="15">
        <f>IF(SUMPRODUCT(($A$2:$A1159=A1159)*($B$2:$B1159=B1159)*($D$2:$D1159=D1159))&gt;1,0,1)</f>
        <v>1</v>
      </c>
    </row>
    <row r="1160" spans="1:16" hidden="1" x14ac:dyDescent="0.35">
      <c r="A1160" t="s">
        <v>9</v>
      </c>
      <c r="B1160">
        <v>2016</v>
      </c>
      <c r="C1160" s="1" t="s">
        <v>62</v>
      </c>
      <c r="D1160">
        <v>5.0999999999999996</v>
      </c>
      <c r="E1160">
        <f>INT(Table2[[#This Row],[Transect]])</f>
        <v>5</v>
      </c>
      <c r="F1160" s="1" t="s">
        <v>10</v>
      </c>
      <c r="G1160">
        <v>10</v>
      </c>
      <c r="H1160">
        <v>200</v>
      </c>
      <c r="I1160">
        <v>100</v>
      </c>
      <c r="J1160">
        <f>Table2[[#This Row],[Hits]]/Table2[[#This Row],[Points]]*100</f>
        <v>5</v>
      </c>
      <c r="K1160">
        <f>VLOOKUP(Table2[[#This Row],[Site]],'Site Info'!$A$1:$C$11,2, FALSE)</f>
        <v>17.7</v>
      </c>
      <c r="L1160">
        <f>VLOOKUP(Table2[[#This Row],[Site]],'Site Info'!$A$1:$C$11,3, FALSE)</f>
        <v>10</v>
      </c>
      <c r="M1160" t="str">
        <f>VLOOKUP(Table2[[#This Row],[Species]],'Species Table'!$A$1:$D$68,3, FALSE)</f>
        <v>Annual</v>
      </c>
      <c r="O1160" s="15">
        <f>IF(SUMPRODUCT(($A$2:$A1160=A1160)*($B$2:$B1160=B1160)*($F$2:$F1160=F1160))&gt;1,0,1)</f>
        <v>0</v>
      </c>
      <c r="P1160" s="15">
        <f>IF(SUMPRODUCT(($A$2:$A1160=A1160)*($B$2:$B1160=B1160)*($D$2:$D1160=D1160))&gt;1,0,1)</f>
        <v>0</v>
      </c>
    </row>
    <row r="1161" spans="1:16" x14ac:dyDescent="0.35">
      <c r="A1161" t="s">
        <v>9</v>
      </c>
      <c r="B1161">
        <v>2016</v>
      </c>
      <c r="C1161" s="1" t="s">
        <v>62</v>
      </c>
      <c r="D1161">
        <v>5.0999999999999996</v>
      </c>
      <c r="E1161">
        <f>INT(Table2[[#This Row],[Transect]])</f>
        <v>5</v>
      </c>
      <c r="F1161" s="1" t="s">
        <v>11</v>
      </c>
      <c r="G1161">
        <v>1</v>
      </c>
      <c r="H1161">
        <v>200</v>
      </c>
      <c r="I1161">
        <v>100</v>
      </c>
      <c r="J1161">
        <f>Table2[[#This Row],[Hits]]/Table2[[#This Row],[Points]]*100</f>
        <v>0.5</v>
      </c>
      <c r="K1161">
        <f>VLOOKUP(Table2[[#This Row],[Site]],'Site Info'!$A$1:$C$11,2, FALSE)</f>
        <v>17.7</v>
      </c>
      <c r="L1161">
        <f>VLOOKUP(Table2[[#This Row],[Site]],'Site Info'!$A$1:$C$11,3, FALSE)</f>
        <v>10</v>
      </c>
      <c r="M1161" t="str">
        <f>VLOOKUP(Table2[[#This Row],[Species]],'Species Table'!$A$1:$D$68,3, FALSE)</f>
        <v>Perennial</v>
      </c>
      <c r="O1161" s="15">
        <f>IF(SUMPRODUCT(($A$2:$A1161=A1161)*($B$2:$B1161=B1161)*($F$2:$F1161=F1161))&gt;1,0,1)</f>
        <v>0</v>
      </c>
      <c r="P1161" s="15">
        <f>IF(SUMPRODUCT(($A$2:$A1161=A1161)*($B$2:$B1161=B1161)*($D$2:$D1161=D1161))&gt;1,0,1)</f>
        <v>0</v>
      </c>
    </row>
    <row r="1162" spans="1:16" hidden="1" x14ac:dyDescent="0.35">
      <c r="A1162" t="s">
        <v>9</v>
      </c>
      <c r="B1162">
        <v>2016</v>
      </c>
      <c r="C1162" s="1" t="s">
        <v>63</v>
      </c>
      <c r="D1162">
        <v>5.2</v>
      </c>
      <c r="E1162">
        <f>INT(Table2[[#This Row],[Transect]])</f>
        <v>5</v>
      </c>
      <c r="F1162" s="1" t="s">
        <v>10</v>
      </c>
      <c r="G1162">
        <v>8</v>
      </c>
      <c r="H1162">
        <v>200</v>
      </c>
      <c r="I1162">
        <v>100</v>
      </c>
      <c r="J1162">
        <f>Table2[[#This Row],[Hits]]/Table2[[#This Row],[Points]]*100</f>
        <v>4</v>
      </c>
      <c r="K1162">
        <f>VLOOKUP(Table2[[#This Row],[Site]],'Site Info'!$A$1:$C$11,2, FALSE)</f>
        <v>17.7</v>
      </c>
      <c r="L1162">
        <f>VLOOKUP(Table2[[#This Row],[Site]],'Site Info'!$A$1:$C$11,3, FALSE)</f>
        <v>10</v>
      </c>
      <c r="M1162" t="str">
        <f>VLOOKUP(Table2[[#This Row],[Species]],'Species Table'!$A$1:$D$68,3, FALSE)</f>
        <v>Annual</v>
      </c>
      <c r="O1162" s="15">
        <f>IF(SUMPRODUCT(($A$2:$A1162=A1162)*($B$2:$B1162=B1162)*($F$2:$F1162=F1162))&gt;1,0,1)</f>
        <v>0</v>
      </c>
      <c r="P1162" s="15">
        <f>IF(SUMPRODUCT(($A$2:$A1162=A1162)*($B$2:$B1162=B1162)*($D$2:$D1162=D1162))&gt;1,0,1)</f>
        <v>1</v>
      </c>
    </row>
    <row r="1163" spans="1:16" x14ac:dyDescent="0.35">
      <c r="A1163" t="s">
        <v>9</v>
      </c>
      <c r="B1163">
        <v>2016</v>
      </c>
      <c r="C1163" s="1" t="s">
        <v>63</v>
      </c>
      <c r="D1163">
        <v>5.2</v>
      </c>
      <c r="E1163">
        <f>INT(Table2[[#This Row],[Transect]])</f>
        <v>5</v>
      </c>
      <c r="F1163" s="1" t="s">
        <v>11</v>
      </c>
      <c r="G1163">
        <v>1</v>
      </c>
      <c r="H1163">
        <v>200</v>
      </c>
      <c r="I1163">
        <v>100</v>
      </c>
      <c r="J1163">
        <f>Table2[[#This Row],[Hits]]/Table2[[#This Row],[Points]]*100</f>
        <v>0.5</v>
      </c>
      <c r="K1163">
        <f>VLOOKUP(Table2[[#This Row],[Site]],'Site Info'!$A$1:$C$11,2, FALSE)</f>
        <v>17.7</v>
      </c>
      <c r="L1163">
        <f>VLOOKUP(Table2[[#This Row],[Site]],'Site Info'!$A$1:$C$11,3, FALSE)</f>
        <v>10</v>
      </c>
      <c r="M1163" t="str">
        <f>VLOOKUP(Table2[[#This Row],[Species]],'Species Table'!$A$1:$D$68,3, FALSE)</f>
        <v>Perennial</v>
      </c>
      <c r="O1163" s="15">
        <f>IF(SUMPRODUCT(($A$2:$A1163=A1163)*($B$2:$B1163=B1163)*($F$2:$F1163=F1163))&gt;1,0,1)</f>
        <v>0</v>
      </c>
      <c r="P1163" s="15">
        <f>IF(SUMPRODUCT(($A$2:$A1163=A1163)*($B$2:$B1163=B1163)*($D$2:$D1163=D1163))&gt;1,0,1)</f>
        <v>0</v>
      </c>
    </row>
    <row r="1164" spans="1:16" x14ac:dyDescent="0.35">
      <c r="A1164" t="s">
        <v>9</v>
      </c>
      <c r="B1164">
        <v>2016</v>
      </c>
      <c r="C1164" s="1" t="s">
        <v>64</v>
      </c>
      <c r="D1164">
        <v>5.3</v>
      </c>
      <c r="E1164">
        <f>INT(Table2[[#This Row],[Transect]])</f>
        <v>5</v>
      </c>
      <c r="F1164" s="1" t="s">
        <v>11</v>
      </c>
      <c r="G1164">
        <v>5</v>
      </c>
      <c r="H1164">
        <v>200</v>
      </c>
      <c r="I1164">
        <v>100</v>
      </c>
      <c r="J1164">
        <f>Table2[[#This Row],[Hits]]/Table2[[#This Row],[Points]]*100</f>
        <v>2.5</v>
      </c>
      <c r="K1164">
        <f>VLOOKUP(Table2[[#This Row],[Site]],'Site Info'!$A$1:$C$11,2, FALSE)</f>
        <v>17.7</v>
      </c>
      <c r="L1164">
        <f>VLOOKUP(Table2[[#This Row],[Site]],'Site Info'!$A$1:$C$11,3, FALSE)</f>
        <v>10</v>
      </c>
      <c r="M1164" t="str">
        <f>VLOOKUP(Table2[[#This Row],[Species]],'Species Table'!$A$1:$D$68,3, FALSE)</f>
        <v>Perennial</v>
      </c>
      <c r="O1164" s="15">
        <f>IF(SUMPRODUCT(($A$2:$A1164=A1164)*($B$2:$B1164=B1164)*($F$2:$F1164=F1164))&gt;1,0,1)</f>
        <v>0</v>
      </c>
      <c r="P1164" s="15">
        <f>IF(SUMPRODUCT(($A$2:$A1164=A1164)*($B$2:$B1164=B1164)*($D$2:$D1164=D1164))&gt;1,0,1)</f>
        <v>1</v>
      </c>
    </row>
    <row r="1165" spans="1:16" hidden="1" x14ac:dyDescent="0.35">
      <c r="A1165" t="s">
        <v>9</v>
      </c>
      <c r="B1165">
        <v>2016</v>
      </c>
      <c r="C1165" s="1" t="s">
        <v>64</v>
      </c>
      <c r="D1165">
        <v>5.3</v>
      </c>
      <c r="E1165">
        <f>INT(Table2[[#This Row],[Transect]])</f>
        <v>5</v>
      </c>
      <c r="F1165" s="1" t="s">
        <v>10</v>
      </c>
      <c r="G1165">
        <v>8</v>
      </c>
      <c r="H1165">
        <v>200</v>
      </c>
      <c r="I1165">
        <v>100</v>
      </c>
      <c r="J1165">
        <f>Table2[[#This Row],[Hits]]/Table2[[#This Row],[Points]]*100</f>
        <v>4</v>
      </c>
      <c r="K1165">
        <f>VLOOKUP(Table2[[#This Row],[Site]],'Site Info'!$A$1:$C$11,2, FALSE)</f>
        <v>17.7</v>
      </c>
      <c r="L1165">
        <f>VLOOKUP(Table2[[#This Row],[Site]],'Site Info'!$A$1:$C$11,3, FALSE)</f>
        <v>10</v>
      </c>
      <c r="M1165" t="str">
        <f>VLOOKUP(Table2[[#This Row],[Species]],'Species Table'!$A$1:$D$68,3, FALSE)</f>
        <v>Annual</v>
      </c>
      <c r="O1165" s="15">
        <f>IF(SUMPRODUCT(($A$2:$A1165=A1165)*($B$2:$B1165=B1165)*($F$2:$F1165=F1165))&gt;1,0,1)</f>
        <v>0</v>
      </c>
      <c r="P1165" s="15">
        <f>IF(SUMPRODUCT(($A$2:$A1165=A1165)*($B$2:$B1165=B1165)*($D$2:$D1165=D1165))&gt;1,0,1)</f>
        <v>0</v>
      </c>
    </row>
    <row r="1166" spans="1:16" hidden="1" x14ac:dyDescent="0.35">
      <c r="A1166" t="s">
        <v>9</v>
      </c>
      <c r="B1166">
        <v>2016</v>
      </c>
      <c r="C1166" s="1" t="s">
        <v>86</v>
      </c>
      <c r="D1166">
        <v>5.4</v>
      </c>
      <c r="E1166">
        <f>INT(Table2[[#This Row],[Transect]])</f>
        <v>5</v>
      </c>
      <c r="F1166" s="1" t="s">
        <v>10</v>
      </c>
      <c r="G1166">
        <v>14</v>
      </c>
      <c r="H1166">
        <v>200</v>
      </c>
      <c r="I1166">
        <v>100</v>
      </c>
      <c r="J1166">
        <f>Table2[[#This Row],[Hits]]/Table2[[#This Row],[Points]]*100</f>
        <v>7.0000000000000009</v>
      </c>
      <c r="K1166">
        <f>VLOOKUP(Table2[[#This Row],[Site]],'Site Info'!$A$1:$C$11,2, FALSE)</f>
        <v>17.7</v>
      </c>
      <c r="L1166">
        <f>VLOOKUP(Table2[[#This Row],[Site]],'Site Info'!$A$1:$C$11,3, FALSE)</f>
        <v>10</v>
      </c>
      <c r="M1166" t="str">
        <f>VLOOKUP(Table2[[#This Row],[Species]],'Species Table'!$A$1:$D$68,3, FALSE)</f>
        <v>Annual</v>
      </c>
      <c r="O1166" s="15">
        <f>IF(SUMPRODUCT(($A$2:$A1166=A1166)*($B$2:$B1166=B1166)*($F$2:$F1166=F1166))&gt;1,0,1)</f>
        <v>0</v>
      </c>
      <c r="P1166" s="15">
        <f>IF(SUMPRODUCT(($A$2:$A1166=A1166)*($B$2:$B1166=B1166)*($D$2:$D1166=D1166))&gt;1,0,1)</f>
        <v>1</v>
      </c>
    </row>
    <row r="1167" spans="1:16" hidden="1" x14ac:dyDescent="0.35">
      <c r="A1167" t="s">
        <v>9</v>
      </c>
      <c r="B1167">
        <v>2016</v>
      </c>
      <c r="C1167" s="1" t="s">
        <v>65</v>
      </c>
      <c r="D1167">
        <v>5.5</v>
      </c>
      <c r="E1167">
        <f>INT(Table2[[#This Row],[Transect]])</f>
        <v>5</v>
      </c>
      <c r="F1167" s="1" t="s">
        <v>10</v>
      </c>
      <c r="G1167">
        <v>14</v>
      </c>
      <c r="H1167">
        <v>200</v>
      </c>
      <c r="I1167">
        <v>100</v>
      </c>
      <c r="J1167">
        <f>Table2[[#This Row],[Hits]]/Table2[[#This Row],[Points]]*100</f>
        <v>7.0000000000000009</v>
      </c>
      <c r="K1167">
        <f>VLOOKUP(Table2[[#This Row],[Site]],'Site Info'!$A$1:$C$11,2, FALSE)</f>
        <v>17.7</v>
      </c>
      <c r="L1167">
        <f>VLOOKUP(Table2[[#This Row],[Site]],'Site Info'!$A$1:$C$11,3, FALSE)</f>
        <v>10</v>
      </c>
      <c r="M1167" t="str">
        <f>VLOOKUP(Table2[[#This Row],[Species]],'Species Table'!$A$1:$D$68,3, FALSE)</f>
        <v>Annual</v>
      </c>
      <c r="O1167" s="15">
        <f>IF(SUMPRODUCT(($A$2:$A1167=A1167)*($B$2:$B1167=B1167)*($F$2:$F1167=F1167))&gt;1,0,1)</f>
        <v>0</v>
      </c>
      <c r="P1167" s="15">
        <f>IF(SUMPRODUCT(($A$2:$A1167=A1167)*($B$2:$B1167=B1167)*($D$2:$D1167=D1167))&gt;1,0,1)</f>
        <v>1</v>
      </c>
    </row>
    <row r="1168" spans="1:16" x14ac:dyDescent="0.35">
      <c r="A1168" t="s">
        <v>9</v>
      </c>
      <c r="B1168">
        <v>2016</v>
      </c>
      <c r="C1168" s="1" t="s">
        <v>65</v>
      </c>
      <c r="D1168">
        <v>5.5</v>
      </c>
      <c r="E1168">
        <f>INT(Table2[[#This Row],[Transect]])</f>
        <v>5</v>
      </c>
      <c r="F1168" s="1" t="s">
        <v>12</v>
      </c>
      <c r="G1168">
        <v>1</v>
      </c>
      <c r="H1168">
        <v>200</v>
      </c>
      <c r="I1168">
        <v>100</v>
      </c>
      <c r="J1168">
        <f>Table2[[#This Row],[Hits]]/Table2[[#This Row],[Points]]*100</f>
        <v>0.5</v>
      </c>
      <c r="K1168">
        <f>VLOOKUP(Table2[[#This Row],[Site]],'Site Info'!$A$1:$C$11,2, FALSE)</f>
        <v>17.7</v>
      </c>
      <c r="L1168">
        <f>VLOOKUP(Table2[[#This Row],[Site]],'Site Info'!$A$1:$C$11,3, FALSE)</f>
        <v>10</v>
      </c>
      <c r="M1168" t="str">
        <f>VLOOKUP(Table2[[#This Row],[Species]],'Species Table'!$A$1:$D$68,3, FALSE)</f>
        <v>Perennial</v>
      </c>
      <c r="O1168" s="15">
        <f>IF(SUMPRODUCT(($A$2:$A1168=A1168)*($B$2:$B1168=B1168)*($F$2:$F1168=F1168))&gt;1,0,1)</f>
        <v>0</v>
      </c>
      <c r="P1168" s="15">
        <f>IF(SUMPRODUCT(($A$2:$A1168=A1168)*($B$2:$B1168=B1168)*($D$2:$D1168=D1168))&gt;1,0,1)</f>
        <v>0</v>
      </c>
    </row>
    <row r="1169" spans="1:16" x14ac:dyDescent="0.35">
      <c r="A1169" t="s">
        <v>9</v>
      </c>
      <c r="B1169">
        <v>2016</v>
      </c>
      <c r="C1169" s="1" t="s">
        <v>65</v>
      </c>
      <c r="D1169">
        <v>5.5</v>
      </c>
      <c r="E1169">
        <f>INT(Table2[[#This Row],[Transect]])</f>
        <v>5</v>
      </c>
      <c r="F1169" s="1" t="s">
        <v>11</v>
      </c>
      <c r="G1169">
        <v>4</v>
      </c>
      <c r="H1169">
        <v>200</v>
      </c>
      <c r="I1169">
        <v>100</v>
      </c>
      <c r="J1169">
        <f>Table2[[#This Row],[Hits]]/Table2[[#This Row],[Points]]*100</f>
        <v>2</v>
      </c>
      <c r="K1169">
        <f>VLOOKUP(Table2[[#This Row],[Site]],'Site Info'!$A$1:$C$11,2, FALSE)</f>
        <v>17.7</v>
      </c>
      <c r="L1169">
        <f>VLOOKUP(Table2[[#This Row],[Site]],'Site Info'!$A$1:$C$11,3, FALSE)</f>
        <v>10</v>
      </c>
      <c r="M1169" t="str">
        <f>VLOOKUP(Table2[[#This Row],[Species]],'Species Table'!$A$1:$D$68,3, FALSE)</f>
        <v>Perennial</v>
      </c>
      <c r="O1169" s="15">
        <f>IF(SUMPRODUCT(($A$2:$A1169=A1169)*($B$2:$B1169=B1169)*($F$2:$F1169=F1169))&gt;1,0,1)</f>
        <v>0</v>
      </c>
      <c r="P1169" s="15">
        <f>IF(SUMPRODUCT(($A$2:$A1169=A1169)*($B$2:$B1169=B1169)*($D$2:$D1169=D1169))&gt;1,0,1)</f>
        <v>0</v>
      </c>
    </row>
    <row r="1170" spans="1:16" hidden="1" x14ac:dyDescent="0.35">
      <c r="A1170" t="s">
        <v>9</v>
      </c>
      <c r="B1170">
        <v>2016</v>
      </c>
      <c r="C1170" s="1" t="s">
        <v>128</v>
      </c>
      <c r="D1170">
        <v>5.6</v>
      </c>
      <c r="E1170">
        <f>INT(Table2[[#This Row],[Transect]])</f>
        <v>5</v>
      </c>
      <c r="F1170" s="1" t="s">
        <v>10</v>
      </c>
      <c r="G1170">
        <v>7</v>
      </c>
      <c r="H1170">
        <v>200</v>
      </c>
      <c r="I1170">
        <v>100</v>
      </c>
      <c r="J1170">
        <f>Table2[[#This Row],[Hits]]/Table2[[#This Row],[Points]]*100</f>
        <v>3.5000000000000004</v>
      </c>
      <c r="K1170">
        <f>VLOOKUP(Table2[[#This Row],[Site]],'Site Info'!$A$1:$C$11,2, FALSE)</f>
        <v>17.7</v>
      </c>
      <c r="L1170">
        <f>VLOOKUP(Table2[[#This Row],[Site]],'Site Info'!$A$1:$C$11,3, FALSE)</f>
        <v>10</v>
      </c>
      <c r="M1170" t="str">
        <f>VLOOKUP(Table2[[#This Row],[Species]],'Species Table'!$A$1:$D$68,3, FALSE)</f>
        <v>Annual</v>
      </c>
      <c r="O1170" s="15">
        <f>IF(SUMPRODUCT(($A$2:$A1170=A1170)*($B$2:$B1170=B1170)*($F$2:$F1170=F1170))&gt;1,0,1)</f>
        <v>0</v>
      </c>
      <c r="P1170" s="15">
        <f>IF(SUMPRODUCT(($A$2:$A1170=A1170)*($B$2:$B1170=B1170)*($D$2:$D1170=D1170))&gt;1,0,1)</f>
        <v>1</v>
      </c>
    </row>
    <row r="1171" spans="1:16" x14ac:dyDescent="0.35">
      <c r="A1171" t="s">
        <v>9</v>
      </c>
      <c r="B1171">
        <v>2016</v>
      </c>
      <c r="C1171" s="1" t="s">
        <v>128</v>
      </c>
      <c r="D1171">
        <v>5.6</v>
      </c>
      <c r="E1171">
        <f>INT(Table2[[#This Row],[Transect]])</f>
        <v>5</v>
      </c>
      <c r="F1171" s="1" t="s">
        <v>11</v>
      </c>
      <c r="G1171">
        <v>4</v>
      </c>
      <c r="H1171">
        <v>200</v>
      </c>
      <c r="I1171">
        <v>100</v>
      </c>
      <c r="J1171">
        <f>Table2[[#This Row],[Hits]]/Table2[[#This Row],[Points]]*100</f>
        <v>2</v>
      </c>
      <c r="K1171">
        <f>VLOOKUP(Table2[[#This Row],[Site]],'Site Info'!$A$1:$C$11,2, FALSE)</f>
        <v>17.7</v>
      </c>
      <c r="L1171">
        <f>VLOOKUP(Table2[[#This Row],[Site]],'Site Info'!$A$1:$C$11,3, FALSE)</f>
        <v>10</v>
      </c>
      <c r="M1171" t="str">
        <f>VLOOKUP(Table2[[#This Row],[Species]],'Species Table'!$A$1:$D$68,3, FALSE)</f>
        <v>Perennial</v>
      </c>
      <c r="O1171" s="15">
        <f>IF(SUMPRODUCT(($A$2:$A1171=A1171)*($B$2:$B1171=B1171)*($F$2:$F1171=F1171))&gt;1,0,1)</f>
        <v>0</v>
      </c>
      <c r="P1171" s="15">
        <f>IF(SUMPRODUCT(($A$2:$A1171=A1171)*($B$2:$B1171=B1171)*($D$2:$D1171=D1171))&gt;1,0,1)</f>
        <v>0</v>
      </c>
    </row>
    <row r="1172" spans="1:16" hidden="1" x14ac:dyDescent="0.35">
      <c r="A1172" t="s">
        <v>9</v>
      </c>
      <c r="B1172">
        <v>2016</v>
      </c>
      <c r="C1172" s="1" t="s">
        <v>66</v>
      </c>
      <c r="D1172">
        <v>5.7</v>
      </c>
      <c r="E1172">
        <f>INT(Table2[[#This Row],[Transect]])</f>
        <v>5</v>
      </c>
      <c r="F1172" s="1" t="s">
        <v>10</v>
      </c>
      <c r="G1172">
        <v>8</v>
      </c>
      <c r="H1172">
        <v>200</v>
      </c>
      <c r="I1172">
        <v>100</v>
      </c>
      <c r="J1172">
        <f>Table2[[#This Row],[Hits]]/Table2[[#This Row],[Points]]*100</f>
        <v>4</v>
      </c>
      <c r="K1172">
        <f>VLOOKUP(Table2[[#This Row],[Site]],'Site Info'!$A$1:$C$11,2, FALSE)</f>
        <v>17.7</v>
      </c>
      <c r="L1172">
        <f>VLOOKUP(Table2[[#This Row],[Site]],'Site Info'!$A$1:$C$11,3, FALSE)</f>
        <v>10</v>
      </c>
      <c r="M1172" t="str">
        <f>VLOOKUP(Table2[[#This Row],[Species]],'Species Table'!$A$1:$D$68,3, FALSE)</f>
        <v>Annual</v>
      </c>
      <c r="O1172" s="15">
        <f>IF(SUMPRODUCT(($A$2:$A1172=A1172)*($B$2:$B1172=B1172)*($F$2:$F1172=F1172))&gt;1,0,1)</f>
        <v>0</v>
      </c>
      <c r="P1172" s="15">
        <f>IF(SUMPRODUCT(($A$2:$A1172=A1172)*($B$2:$B1172=B1172)*($D$2:$D1172=D1172))&gt;1,0,1)</f>
        <v>1</v>
      </c>
    </row>
    <row r="1173" spans="1:16" x14ac:dyDescent="0.35">
      <c r="A1173" t="s">
        <v>9</v>
      </c>
      <c r="B1173">
        <v>2016</v>
      </c>
      <c r="C1173" s="1" t="s">
        <v>66</v>
      </c>
      <c r="D1173">
        <v>5.7</v>
      </c>
      <c r="E1173">
        <f>INT(Table2[[#This Row],[Transect]])</f>
        <v>5</v>
      </c>
      <c r="F1173" s="1" t="s">
        <v>11</v>
      </c>
      <c r="G1173">
        <v>1</v>
      </c>
      <c r="H1173">
        <v>200</v>
      </c>
      <c r="I1173">
        <v>100</v>
      </c>
      <c r="J1173">
        <f>Table2[[#This Row],[Hits]]/Table2[[#This Row],[Points]]*100</f>
        <v>0.5</v>
      </c>
      <c r="K1173">
        <f>VLOOKUP(Table2[[#This Row],[Site]],'Site Info'!$A$1:$C$11,2, FALSE)</f>
        <v>17.7</v>
      </c>
      <c r="L1173">
        <f>VLOOKUP(Table2[[#This Row],[Site]],'Site Info'!$A$1:$C$11,3, FALSE)</f>
        <v>10</v>
      </c>
      <c r="M1173" t="str">
        <f>VLOOKUP(Table2[[#This Row],[Species]],'Species Table'!$A$1:$D$68,3, FALSE)</f>
        <v>Perennial</v>
      </c>
      <c r="O1173" s="15">
        <f>IF(SUMPRODUCT(($A$2:$A1173=A1173)*($B$2:$B1173=B1173)*($F$2:$F1173=F1173))&gt;1,0,1)</f>
        <v>0</v>
      </c>
      <c r="P1173" s="15">
        <f>IF(SUMPRODUCT(($A$2:$A1173=A1173)*($B$2:$B1173=B1173)*($D$2:$D1173=D1173))&gt;1,0,1)</f>
        <v>0</v>
      </c>
    </row>
    <row r="1174" spans="1:16" hidden="1" x14ac:dyDescent="0.35">
      <c r="A1174" t="s">
        <v>9</v>
      </c>
      <c r="B1174">
        <v>2016</v>
      </c>
      <c r="C1174" s="1" t="s">
        <v>67</v>
      </c>
      <c r="D1174">
        <v>6.1</v>
      </c>
      <c r="E1174">
        <f>INT(Table2[[#This Row],[Transect]])</f>
        <v>6</v>
      </c>
      <c r="F1174" s="1" t="s">
        <v>10</v>
      </c>
      <c r="G1174">
        <v>23</v>
      </c>
      <c r="H1174">
        <v>200</v>
      </c>
      <c r="I1174">
        <v>100</v>
      </c>
      <c r="J1174">
        <f>Table2[[#This Row],[Hits]]/Table2[[#This Row],[Points]]*100</f>
        <v>11.5</v>
      </c>
      <c r="K1174">
        <f>VLOOKUP(Table2[[#This Row],[Site]],'Site Info'!$A$1:$C$11,2, FALSE)</f>
        <v>17.7</v>
      </c>
      <c r="L1174">
        <f>VLOOKUP(Table2[[#This Row],[Site]],'Site Info'!$A$1:$C$11,3, FALSE)</f>
        <v>10</v>
      </c>
      <c r="M1174" t="str">
        <f>VLOOKUP(Table2[[#This Row],[Species]],'Species Table'!$A$1:$D$68,3, FALSE)</f>
        <v>Annual</v>
      </c>
      <c r="O1174" s="15">
        <f>IF(SUMPRODUCT(($A$2:$A1174=A1174)*($B$2:$B1174=B1174)*($F$2:$F1174=F1174))&gt;1,0,1)</f>
        <v>0</v>
      </c>
      <c r="P1174" s="15">
        <f>IF(SUMPRODUCT(($A$2:$A1174=A1174)*($B$2:$B1174=B1174)*($D$2:$D1174=D1174))&gt;1,0,1)</f>
        <v>1</v>
      </c>
    </row>
    <row r="1175" spans="1:16" hidden="1" x14ac:dyDescent="0.35">
      <c r="A1175" t="s">
        <v>9</v>
      </c>
      <c r="B1175">
        <v>2016</v>
      </c>
      <c r="C1175" s="1" t="s">
        <v>88</v>
      </c>
      <c r="D1175">
        <v>6.2</v>
      </c>
      <c r="E1175">
        <f>INT(Table2[[#This Row],[Transect]])</f>
        <v>6</v>
      </c>
      <c r="F1175" s="1" t="s">
        <v>10</v>
      </c>
      <c r="G1175">
        <v>21</v>
      </c>
      <c r="H1175">
        <v>200</v>
      </c>
      <c r="I1175">
        <v>100</v>
      </c>
      <c r="J1175">
        <f>Table2[[#This Row],[Hits]]/Table2[[#This Row],[Points]]*100</f>
        <v>10.5</v>
      </c>
      <c r="K1175">
        <f>VLOOKUP(Table2[[#This Row],[Site]],'Site Info'!$A$1:$C$11,2, FALSE)</f>
        <v>17.7</v>
      </c>
      <c r="L1175">
        <f>VLOOKUP(Table2[[#This Row],[Site]],'Site Info'!$A$1:$C$11,3, FALSE)</f>
        <v>10</v>
      </c>
      <c r="M1175" t="str">
        <f>VLOOKUP(Table2[[#This Row],[Species]],'Species Table'!$A$1:$D$68,3, FALSE)</f>
        <v>Annual</v>
      </c>
      <c r="O1175" s="15">
        <f>IF(SUMPRODUCT(($A$2:$A1175=A1175)*($B$2:$B1175=B1175)*($F$2:$F1175=F1175))&gt;1,0,1)</f>
        <v>0</v>
      </c>
      <c r="P1175" s="15">
        <f>IF(SUMPRODUCT(($A$2:$A1175=A1175)*($B$2:$B1175=B1175)*($D$2:$D1175=D1175))&gt;1,0,1)</f>
        <v>1</v>
      </c>
    </row>
    <row r="1176" spans="1:16" hidden="1" x14ac:dyDescent="0.35">
      <c r="A1176" t="s">
        <v>9</v>
      </c>
      <c r="B1176">
        <v>2016</v>
      </c>
      <c r="C1176" s="1" t="s">
        <v>68</v>
      </c>
      <c r="D1176">
        <v>6.3</v>
      </c>
      <c r="E1176">
        <f>INT(Table2[[#This Row],[Transect]])</f>
        <v>6</v>
      </c>
      <c r="F1176" s="1" t="s">
        <v>10</v>
      </c>
      <c r="G1176">
        <v>12</v>
      </c>
      <c r="H1176">
        <v>200</v>
      </c>
      <c r="I1176">
        <v>100</v>
      </c>
      <c r="J1176">
        <f>Table2[[#This Row],[Hits]]/Table2[[#This Row],[Points]]*100</f>
        <v>6</v>
      </c>
      <c r="K1176">
        <f>VLOOKUP(Table2[[#This Row],[Site]],'Site Info'!$A$1:$C$11,2, FALSE)</f>
        <v>17.7</v>
      </c>
      <c r="L1176">
        <f>VLOOKUP(Table2[[#This Row],[Site]],'Site Info'!$A$1:$C$11,3, FALSE)</f>
        <v>10</v>
      </c>
      <c r="M1176" t="str">
        <f>VLOOKUP(Table2[[#This Row],[Species]],'Species Table'!$A$1:$D$68,3, FALSE)</f>
        <v>Annual</v>
      </c>
      <c r="O1176" s="15">
        <f>IF(SUMPRODUCT(($A$2:$A1176=A1176)*($B$2:$B1176=B1176)*($F$2:$F1176=F1176))&gt;1,0,1)</f>
        <v>0</v>
      </c>
      <c r="P1176" s="15">
        <f>IF(SUMPRODUCT(($A$2:$A1176=A1176)*($B$2:$B1176=B1176)*($D$2:$D1176=D1176))&gt;1,0,1)</f>
        <v>1</v>
      </c>
    </row>
    <row r="1177" spans="1:16" x14ac:dyDescent="0.35">
      <c r="A1177" t="s">
        <v>9</v>
      </c>
      <c r="B1177">
        <v>2016</v>
      </c>
      <c r="C1177" s="1" t="s">
        <v>68</v>
      </c>
      <c r="D1177">
        <v>6.3</v>
      </c>
      <c r="E1177">
        <f>INT(Table2[[#This Row],[Transect]])</f>
        <v>6</v>
      </c>
      <c r="F1177" s="1" t="s">
        <v>11</v>
      </c>
      <c r="G1177">
        <v>4</v>
      </c>
      <c r="H1177">
        <v>200</v>
      </c>
      <c r="I1177">
        <v>100</v>
      </c>
      <c r="J1177">
        <f>Table2[[#This Row],[Hits]]/Table2[[#This Row],[Points]]*100</f>
        <v>2</v>
      </c>
      <c r="K1177">
        <f>VLOOKUP(Table2[[#This Row],[Site]],'Site Info'!$A$1:$C$11,2, FALSE)</f>
        <v>17.7</v>
      </c>
      <c r="L1177">
        <f>VLOOKUP(Table2[[#This Row],[Site]],'Site Info'!$A$1:$C$11,3, FALSE)</f>
        <v>10</v>
      </c>
      <c r="M1177" t="str">
        <f>VLOOKUP(Table2[[#This Row],[Species]],'Species Table'!$A$1:$D$68,3, FALSE)</f>
        <v>Perennial</v>
      </c>
      <c r="O1177" s="15">
        <f>IF(SUMPRODUCT(($A$2:$A1177=A1177)*($B$2:$B1177=B1177)*($F$2:$F1177=F1177))&gt;1,0,1)</f>
        <v>0</v>
      </c>
      <c r="P1177" s="15">
        <f>IF(SUMPRODUCT(($A$2:$A1177=A1177)*($B$2:$B1177=B1177)*($D$2:$D1177=D1177))&gt;1,0,1)</f>
        <v>0</v>
      </c>
    </row>
    <row r="1178" spans="1:16" x14ac:dyDescent="0.35">
      <c r="A1178" t="s">
        <v>9</v>
      </c>
      <c r="B1178">
        <v>2016</v>
      </c>
      <c r="C1178" s="1" t="s">
        <v>68</v>
      </c>
      <c r="D1178">
        <v>6.3</v>
      </c>
      <c r="E1178">
        <f>INT(Table2[[#This Row],[Transect]])</f>
        <v>6</v>
      </c>
      <c r="F1178" s="1" t="s">
        <v>12</v>
      </c>
      <c r="G1178">
        <v>1</v>
      </c>
      <c r="H1178">
        <v>200</v>
      </c>
      <c r="I1178">
        <v>100</v>
      </c>
      <c r="J1178">
        <f>Table2[[#This Row],[Hits]]/Table2[[#This Row],[Points]]*100</f>
        <v>0.5</v>
      </c>
      <c r="K1178">
        <f>VLOOKUP(Table2[[#This Row],[Site]],'Site Info'!$A$1:$C$11,2, FALSE)</f>
        <v>17.7</v>
      </c>
      <c r="L1178">
        <f>VLOOKUP(Table2[[#This Row],[Site]],'Site Info'!$A$1:$C$11,3, FALSE)</f>
        <v>10</v>
      </c>
      <c r="M1178" t="str">
        <f>VLOOKUP(Table2[[#This Row],[Species]],'Species Table'!$A$1:$D$68,3, FALSE)</f>
        <v>Perennial</v>
      </c>
      <c r="O1178" s="15">
        <f>IF(SUMPRODUCT(($A$2:$A1178=A1178)*($B$2:$B1178=B1178)*($F$2:$F1178=F1178))&gt;1,0,1)</f>
        <v>0</v>
      </c>
      <c r="P1178" s="15">
        <f>IF(SUMPRODUCT(($A$2:$A1178=A1178)*($B$2:$B1178=B1178)*($D$2:$D1178=D1178))&gt;1,0,1)</f>
        <v>0</v>
      </c>
    </row>
    <row r="1179" spans="1:16" hidden="1" x14ac:dyDescent="0.35">
      <c r="A1179" t="s">
        <v>9</v>
      </c>
      <c r="B1179">
        <v>2016</v>
      </c>
      <c r="C1179" s="1" t="s">
        <v>89</v>
      </c>
      <c r="D1179">
        <v>6.4</v>
      </c>
      <c r="E1179">
        <f>INT(Table2[[#This Row],[Transect]])</f>
        <v>6</v>
      </c>
      <c r="F1179" s="1" t="s">
        <v>10</v>
      </c>
      <c r="G1179">
        <v>12</v>
      </c>
      <c r="H1179">
        <v>200</v>
      </c>
      <c r="I1179">
        <v>100</v>
      </c>
      <c r="J1179">
        <f>Table2[[#This Row],[Hits]]/Table2[[#This Row],[Points]]*100</f>
        <v>6</v>
      </c>
      <c r="K1179">
        <f>VLOOKUP(Table2[[#This Row],[Site]],'Site Info'!$A$1:$C$11,2, FALSE)</f>
        <v>17.7</v>
      </c>
      <c r="L1179">
        <f>VLOOKUP(Table2[[#This Row],[Site]],'Site Info'!$A$1:$C$11,3, FALSE)</f>
        <v>10</v>
      </c>
      <c r="M1179" t="str">
        <f>VLOOKUP(Table2[[#This Row],[Species]],'Species Table'!$A$1:$D$68,3, FALSE)</f>
        <v>Annual</v>
      </c>
      <c r="O1179" s="15">
        <f>IF(SUMPRODUCT(($A$2:$A1179=A1179)*($B$2:$B1179=B1179)*($F$2:$F1179=F1179))&gt;1,0,1)</f>
        <v>0</v>
      </c>
      <c r="P1179" s="15">
        <f>IF(SUMPRODUCT(($A$2:$A1179=A1179)*($B$2:$B1179=B1179)*($D$2:$D1179=D1179))&gt;1,0,1)</f>
        <v>1</v>
      </c>
    </row>
    <row r="1180" spans="1:16" x14ac:dyDescent="0.35">
      <c r="A1180" t="s">
        <v>9</v>
      </c>
      <c r="B1180">
        <v>2016</v>
      </c>
      <c r="C1180" s="1" t="s">
        <v>89</v>
      </c>
      <c r="D1180">
        <v>6.4</v>
      </c>
      <c r="E1180">
        <f>INT(Table2[[#This Row],[Transect]])</f>
        <v>6</v>
      </c>
      <c r="F1180" s="1" t="s">
        <v>11</v>
      </c>
      <c r="G1180">
        <v>2</v>
      </c>
      <c r="H1180">
        <v>200</v>
      </c>
      <c r="I1180">
        <v>100</v>
      </c>
      <c r="J1180">
        <f>Table2[[#This Row],[Hits]]/Table2[[#This Row],[Points]]*100</f>
        <v>1</v>
      </c>
      <c r="K1180">
        <f>VLOOKUP(Table2[[#This Row],[Site]],'Site Info'!$A$1:$C$11,2, FALSE)</f>
        <v>17.7</v>
      </c>
      <c r="L1180">
        <f>VLOOKUP(Table2[[#This Row],[Site]],'Site Info'!$A$1:$C$11,3, FALSE)</f>
        <v>10</v>
      </c>
      <c r="M1180" t="str">
        <f>VLOOKUP(Table2[[#This Row],[Species]],'Species Table'!$A$1:$D$68,3, FALSE)</f>
        <v>Perennial</v>
      </c>
      <c r="O1180" s="15">
        <f>IF(SUMPRODUCT(($A$2:$A1180=A1180)*($B$2:$B1180=B1180)*($F$2:$F1180=F1180))&gt;1,0,1)</f>
        <v>0</v>
      </c>
      <c r="P1180" s="15">
        <f>IF(SUMPRODUCT(($A$2:$A1180=A1180)*($B$2:$B1180=B1180)*($D$2:$D1180=D1180))&gt;1,0,1)</f>
        <v>0</v>
      </c>
    </row>
    <row r="1181" spans="1:16" hidden="1" x14ac:dyDescent="0.35">
      <c r="A1181" t="s">
        <v>9</v>
      </c>
      <c r="B1181">
        <v>2016</v>
      </c>
      <c r="C1181" s="1" t="s">
        <v>69</v>
      </c>
      <c r="D1181">
        <v>6.5</v>
      </c>
      <c r="E1181">
        <f>INT(Table2[[#This Row],[Transect]])</f>
        <v>6</v>
      </c>
      <c r="F1181" s="1" t="s">
        <v>10</v>
      </c>
      <c r="G1181">
        <v>10</v>
      </c>
      <c r="H1181">
        <v>200</v>
      </c>
      <c r="I1181">
        <v>100</v>
      </c>
      <c r="J1181">
        <f>Table2[[#This Row],[Hits]]/Table2[[#This Row],[Points]]*100</f>
        <v>5</v>
      </c>
      <c r="K1181">
        <f>VLOOKUP(Table2[[#This Row],[Site]],'Site Info'!$A$1:$C$11,2, FALSE)</f>
        <v>17.7</v>
      </c>
      <c r="L1181">
        <f>VLOOKUP(Table2[[#This Row],[Site]],'Site Info'!$A$1:$C$11,3, FALSE)</f>
        <v>10</v>
      </c>
      <c r="M1181" t="str">
        <f>VLOOKUP(Table2[[#This Row],[Species]],'Species Table'!$A$1:$D$68,3, FALSE)</f>
        <v>Annual</v>
      </c>
      <c r="O1181" s="15">
        <f>IF(SUMPRODUCT(($A$2:$A1181=A1181)*($B$2:$B1181=B1181)*($F$2:$F1181=F1181))&gt;1,0,1)</f>
        <v>0</v>
      </c>
      <c r="P1181" s="15">
        <f>IF(SUMPRODUCT(($A$2:$A1181=A1181)*($B$2:$B1181=B1181)*($D$2:$D1181=D1181))&gt;1,0,1)</f>
        <v>1</v>
      </c>
    </row>
    <row r="1182" spans="1:16" x14ac:dyDescent="0.35">
      <c r="A1182" t="s">
        <v>9</v>
      </c>
      <c r="B1182">
        <v>2016</v>
      </c>
      <c r="C1182" s="1" t="s">
        <v>69</v>
      </c>
      <c r="D1182">
        <v>6.5</v>
      </c>
      <c r="E1182">
        <f>INT(Table2[[#This Row],[Transect]])</f>
        <v>6</v>
      </c>
      <c r="F1182" s="1" t="s">
        <v>11</v>
      </c>
      <c r="G1182">
        <v>7</v>
      </c>
      <c r="H1182">
        <v>200</v>
      </c>
      <c r="I1182">
        <v>100</v>
      </c>
      <c r="J1182">
        <f>Table2[[#This Row],[Hits]]/Table2[[#This Row],[Points]]*100</f>
        <v>3.5000000000000004</v>
      </c>
      <c r="K1182">
        <f>VLOOKUP(Table2[[#This Row],[Site]],'Site Info'!$A$1:$C$11,2, FALSE)</f>
        <v>17.7</v>
      </c>
      <c r="L1182">
        <f>VLOOKUP(Table2[[#This Row],[Site]],'Site Info'!$A$1:$C$11,3, FALSE)</f>
        <v>10</v>
      </c>
      <c r="M1182" t="str">
        <f>VLOOKUP(Table2[[#This Row],[Species]],'Species Table'!$A$1:$D$68,3, FALSE)</f>
        <v>Perennial</v>
      </c>
      <c r="O1182" s="15">
        <f>IF(SUMPRODUCT(($A$2:$A1182=A1182)*($B$2:$B1182=B1182)*($F$2:$F1182=F1182))&gt;1,0,1)</f>
        <v>0</v>
      </c>
      <c r="P1182" s="15">
        <f>IF(SUMPRODUCT(($A$2:$A1182=A1182)*($B$2:$B1182=B1182)*($D$2:$D1182=D1182))&gt;1,0,1)</f>
        <v>0</v>
      </c>
    </row>
    <row r="1183" spans="1:16" hidden="1" x14ac:dyDescent="0.35">
      <c r="A1183" t="s">
        <v>9</v>
      </c>
      <c r="B1183">
        <v>2016</v>
      </c>
      <c r="C1183" s="1" t="s">
        <v>129</v>
      </c>
      <c r="D1183">
        <v>6.6</v>
      </c>
      <c r="E1183">
        <f>INT(Table2[[#This Row],[Transect]])</f>
        <v>6</v>
      </c>
      <c r="F1183" s="1" t="s">
        <v>10</v>
      </c>
      <c r="G1183">
        <v>11</v>
      </c>
      <c r="H1183">
        <v>200</v>
      </c>
      <c r="I1183">
        <v>100</v>
      </c>
      <c r="J1183">
        <f>Table2[[#This Row],[Hits]]/Table2[[#This Row],[Points]]*100</f>
        <v>5.5</v>
      </c>
      <c r="K1183">
        <f>VLOOKUP(Table2[[#This Row],[Site]],'Site Info'!$A$1:$C$11,2, FALSE)</f>
        <v>17.7</v>
      </c>
      <c r="L1183">
        <f>VLOOKUP(Table2[[#This Row],[Site]],'Site Info'!$A$1:$C$11,3, FALSE)</f>
        <v>10</v>
      </c>
      <c r="M1183" t="str">
        <f>VLOOKUP(Table2[[#This Row],[Species]],'Species Table'!$A$1:$D$68,3, FALSE)</f>
        <v>Annual</v>
      </c>
      <c r="O1183" s="15">
        <f>IF(SUMPRODUCT(($A$2:$A1183=A1183)*($B$2:$B1183=B1183)*($F$2:$F1183=F1183))&gt;1,0,1)</f>
        <v>0</v>
      </c>
      <c r="P1183" s="15">
        <f>IF(SUMPRODUCT(($A$2:$A1183=A1183)*($B$2:$B1183=B1183)*($D$2:$D1183=D1183))&gt;1,0,1)</f>
        <v>1</v>
      </c>
    </row>
    <row r="1184" spans="1:16" x14ac:dyDescent="0.35">
      <c r="A1184" t="s">
        <v>9</v>
      </c>
      <c r="B1184">
        <v>2016</v>
      </c>
      <c r="C1184" s="1" t="s">
        <v>129</v>
      </c>
      <c r="D1184">
        <v>6.6</v>
      </c>
      <c r="E1184">
        <f>INT(Table2[[#This Row],[Transect]])</f>
        <v>6</v>
      </c>
      <c r="F1184" s="1" t="s">
        <v>6</v>
      </c>
      <c r="G1184">
        <v>1</v>
      </c>
      <c r="H1184">
        <v>200</v>
      </c>
      <c r="I1184">
        <v>100</v>
      </c>
      <c r="J1184">
        <f>Table2[[#This Row],[Hits]]/Table2[[#This Row],[Points]]*100</f>
        <v>0.5</v>
      </c>
      <c r="K1184">
        <f>VLOOKUP(Table2[[#This Row],[Site]],'Site Info'!$A$1:$C$11,2, FALSE)</f>
        <v>17.7</v>
      </c>
      <c r="L1184">
        <f>VLOOKUP(Table2[[#This Row],[Site]],'Site Info'!$A$1:$C$11,3, FALSE)</f>
        <v>10</v>
      </c>
      <c r="M1184" t="str">
        <f>VLOOKUP(Table2[[#This Row],[Species]],'Species Table'!$A$1:$D$68,3, FALSE)</f>
        <v>Perennial</v>
      </c>
      <c r="O1184" s="15">
        <f>IF(SUMPRODUCT(($A$2:$A1184=A1184)*($B$2:$B1184=B1184)*($F$2:$F1184=F1184))&gt;1,0,1)</f>
        <v>0</v>
      </c>
      <c r="P1184" s="15">
        <f>IF(SUMPRODUCT(($A$2:$A1184=A1184)*($B$2:$B1184=B1184)*($D$2:$D1184=D1184))&gt;1,0,1)</f>
        <v>0</v>
      </c>
    </row>
    <row r="1185" spans="1:16" x14ac:dyDescent="0.35">
      <c r="A1185" t="s">
        <v>9</v>
      </c>
      <c r="B1185">
        <v>2016</v>
      </c>
      <c r="C1185" s="1" t="s">
        <v>129</v>
      </c>
      <c r="D1185">
        <v>6.6</v>
      </c>
      <c r="E1185">
        <f>INT(Table2[[#This Row],[Transect]])</f>
        <v>6</v>
      </c>
      <c r="F1185" s="1" t="s">
        <v>11</v>
      </c>
      <c r="G1185">
        <v>1</v>
      </c>
      <c r="H1185">
        <v>200</v>
      </c>
      <c r="I1185">
        <v>100</v>
      </c>
      <c r="J1185">
        <f>Table2[[#This Row],[Hits]]/Table2[[#This Row],[Points]]*100</f>
        <v>0.5</v>
      </c>
      <c r="K1185">
        <f>VLOOKUP(Table2[[#This Row],[Site]],'Site Info'!$A$1:$C$11,2, FALSE)</f>
        <v>17.7</v>
      </c>
      <c r="L1185">
        <f>VLOOKUP(Table2[[#This Row],[Site]],'Site Info'!$A$1:$C$11,3, FALSE)</f>
        <v>10</v>
      </c>
      <c r="M1185" t="str">
        <f>VLOOKUP(Table2[[#This Row],[Species]],'Species Table'!$A$1:$D$68,3, FALSE)</f>
        <v>Perennial</v>
      </c>
      <c r="O1185" s="15">
        <f>IF(SUMPRODUCT(($A$2:$A1185=A1185)*($B$2:$B1185=B1185)*($F$2:$F1185=F1185))&gt;1,0,1)</f>
        <v>0</v>
      </c>
      <c r="P1185" s="15">
        <f>IF(SUMPRODUCT(($A$2:$A1185=A1185)*($B$2:$B1185=B1185)*($D$2:$D1185=D1185))&gt;1,0,1)</f>
        <v>0</v>
      </c>
    </row>
    <row r="1186" spans="1:16" hidden="1" x14ac:dyDescent="0.35">
      <c r="A1186" t="s">
        <v>9</v>
      </c>
      <c r="B1186">
        <v>2016</v>
      </c>
      <c r="C1186" s="1" t="s">
        <v>70</v>
      </c>
      <c r="D1186">
        <v>6.7</v>
      </c>
      <c r="E1186">
        <f>INT(Table2[[#This Row],[Transect]])</f>
        <v>6</v>
      </c>
      <c r="F1186" s="1" t="s">
        <v>10</v>
      </c>
      <c r="G1186">
        <v>3</v>
      </c>
      <c r="H1186">
        <v>200</v>
      </c>
      <c r="I1186">
        <v>100</v>
      </c>
      <c r="J1186">
        <f>Table2[[#This Row],[Hits]]/Table2[[#This Row],[Points]]*100</f>
        <v>1.5</v>
      </c>
      <c r="K1186">
        <f>VLOOKUP(Table2[[#This Row],[Site]],'Site Info'!$A$1:$C$11,2, FALSE)</f>
        <v>17.7</v>
      </c>
      <c r="L1186">
        <f>VLOOKUP(Table2[[#This Row],[Site]],'Site Info'!$A$1:$C$11,3, FALSE)</f>
        <v>10</v>
      </c>
      <c r="M1186" t="str">
        <f>VLOOKUP(Table2[[#This Row],[Species]],'Species Table'!$A$1:$D$68,3, FALSE)</f>
        <v>Annual</v>
      </c>
      <c r="O1186" s="15">
        <f>IF(SUMPRODUCT(($A$2:$A1186=A1186)*($B$2:$B1186=B1186)*($F$2:$F1186=F1186))&gt;1,0,1)</f>
        <v>0</v>
      </c>
      <c r="P1186" s="15">
        <f>IF(SUMPRODUCT(($A$2:$A1186=A1186)*($B$2:$B1186=B1186)*($D$2:$D1186=D1186))&gt;1,0,1)</f>
        <v>1</v>
      </c>
    </row>
    <row r="1187" spans="1:16" x14ac:dyDescent="0.35">
      <c r="A1187" t="s">
        <v>9</v>
      </c>
      <c r="B1187">
        <v>2016</v>
      </c>
      <c r="C1187" s="1" t="s">
        <v>70</v>
      </c>
      <c r="D1187">
        <v>6.7</v>
      </c>
      <c r="E1187">
        <f>INT(Table2[[#This Row],[Transect]])</f>
        <v>6</v>
      </c>
      <c r="F1187" s="1" t="s">
        <v>11</v>
      </c>
      <c r="G1187">
        <v>3</v>
      </c>
      <c r="H1187">
        <v>200</v>
      </c>
      <c r="I1187">
        <v>100</v>
      </c>
      <c r="J1187">
        <f>Table2[[#This Row],[Hits]]/Table2[[#This Row],[Points]]*100</f>
        <v>1.5</v>
      </c>
      <c r="K1187">
        <f>VLOOKUP(Table2[[#This Row],[Site]],'Site Info'!$A$1:$C$11,2, FALSE)</f>
        <v>17.7</v>
      </c>
      <c r="L1187">
        <f>VLOOKUP(Table2[[#This Row],[Site]],'Site Info'!$A$1:$C$11,3, FALSE)</f>
        <v>10</v>
      </c>
      <c r="M1187" t="str">
        <f>VLOOKUP(Table2[[#This Row],[Species]],'Species Table'!$A$1:$D$68,3, FALSE)</f>
        <v>Perennial</v>
      </c>
      <c r="O1187" s="15">
        <f>IF(SUMPRODUCT(($A$2:$A1187=A1187)*($B$2:$B1187=B1187)*($F$2:$F1187=F1187))&gt;1,0,1)</f>
        <v>0</v>
      </c>
      <c r="P1187" s="15">
        <f>IF(SUMPRODUCT(($A$2:$A1187=A1187)*($B$2:$B1187=B1187)*($D$2:$D1187=D1187))&gt;1,0,1)</f>
        <v>0</v>
      </c>
    </row>
    <row r="1188" spans="1:16" hidden="1" x14ac:dyDescent="0.35">
      <c r="A1188" t="s">
        <v>9</v>
      </c>
      <c r="B1188">
        <v>2016</v>
      </c>
      <c r="C1188" s="1" t="s">
        <v>71</v>
      </c>
      <c r="D1188">
        <v>7.1</v>
      </c>
      <c r="E1188">
        <f>INT(Table2[[#This Row],[Transect]])</f>
        <v>7</v>
      </c>
      <c r="F1188" s="1" t="s">
        <v>10</v>
      </c>
      <c r="G1188">
        <v>6</v>
      </c>
      <c r="H1188">
        <v>200</v>
      </c>
      <c r="I1188">
        <v>100</v>
      </c>
      <c r="J1188">
        <f>Table2[[#This Row],[Hits]]/Table2[[#This Row],[Points]]*100</f>
        <v>3</v>
      </c>
      <c r="K1188">
        <f>VLOOKUP(Table2[[#This Row],[Site]],'Site Info'!$A$1:$C$11,2, FALSE)</f>
        <v>17.7</v>
      </c>
      <c r="L1188">
        <f>VLOOKUP(Table2[[#This Row],[Site]],'Site Info'!$A$1:$C$11,3, FALSE)</f>
        <v>10</v>
      </c>
      <c r="M1188" t="str">
        <f>VLOOKUP(Table2[[#This Row],[Species]],'Species Table'!$A$1:$D$68,3, FALSE)</f>
        <v>Annual</v>
      </c>
      <c r="O1188" s="15">
        <f>IF(SUMPRODUCT(($A$2:$A1188=A1188)*($B$2:$B1188=B1188)*($F$2:$F1188=F1188))&gt;1,0,1)</f>
        <v>0</v>
      </c>
      <c r="P1188" s="15">
        <f>IF(SUMPRODUCT(($A$2:$A1188=A1188)*($B$2:$B1188=B1188)*($D$2:$D1188=D1188))&gt;1,0,1)</f>
        <v>1</v>
      </c>
    </row>
    <row r="1189" spans="1:16" hidden="1" x14ac:dyDescent="0.35">
      <c r="A1189" t="s">
        <v>9</v>
      </c>
      <c r="B1189">
        <v>2016</v>
      </c>
      <c r="C1189" s="1" t="s">
        <v>72</v>
      </c>
      <c r="D1189">
        <v>7.2</v>
      </c>
      <c r="E1189">
        <f>INT(Table2[[#This Row],[Transect]])</f>
        <v>7</v>
      </c>
      <c r="F1189" s="1" t="s">
        <v>10</v>
      </c>
      <c r="G1189">
        <v>15</v>
      </c>
      <c r="H1189">
        <v>200</v>
      </c>
      <c r="I1189">
        <v>100</v>
      </c>
      <c r="J1189">
        <f>Table2[[#This Row],[Hits]]/Table2[[#This Row],[Points]]*100</f>
        <v>7.5</v>
      </c>
      <c r="K1189">
        <f>VLOOKUP(Table2[[#This Row],[Site]],'Site Info'!$A$1:$C$11,2, FALSE)</f>
        <v>17.7</v>
      </c>
      <c r="L1189">
        <f>VLOOKUP(Table2[[#This Row],[Site]],'Site Info'!$A$1:$C$11,3, FALSE)</f>
        <v>10</v>
      </c>
      <c r="M1189" t="str">
        <f>VLOOKUP(Table2[[#This Row],[Species]],'Species Table'!$A$1:$D$68,3, FALSE)</f>
        <v>Annual</v>
      </c>
      <c r="O1189" s="15">
        <f>IF(SUMPRODUCT(($A$2:$A1189=A1189)*($B$2:$B1189=B1189)*($F$2:$F1189=F1189))&gt;1,0,1)</f>
        <v>0</v>
      </c>
      <c r="P1189" s="15">
        <f>IF(SUMPRODUCT(($A$2:$A1189=A1189)*($B$2:$B1189=B1189)*($D$2:$D1189=D1189))&gt;1,0,1)</f>
        <v>1</v>
      </c>
    </row>
    <row r="1190" spans="1:16" x14ac:dyDescent="0.35">
      <c r="A1190" t="s">
        <v>9</v>
      </c>
      <c r="B1190">
        <v>2016</v>
      </c>
      <c r="C1190" s="1" t="s">
        <v>72</v>
      </c>
      <c r="D1190">
        <v>7.2</v>
      </c>
      <c r="E1190">
        <f>INT(Table2[[#This Row],[Transect]])</f>
        <v>7</v>
      </c>
      <c r="F1190" s="1" t="s">
        <v>11</v>
      </c>
      <c r="G1190">
        <v>1</v>
      </c>
      <c r="H1190">
        <v>200</v>
      </c>
      <c r="I1190">
        <v>100</v>
      </c>
      <c r="J1190">
        <f>Table2[[#This Row],[Hits]]/Table2[[#This Row],[Points]]*100</f>
        <v>0.5</v>
      </c>
      <c r="K1190">
        <f>VLOOKUP(Table2[[#This Row],[Site]],'Site Info'!$A$1:$C$11,2, FALSE)</f>
        <v>17.7</v>
      </c>
      <c r="L1190">
        <f>VLOOKUP(Table2[[#This Row],[Site]],'Site Info'!$A$1:$C$11,3, FALSE)</f>
        <v>10</v>
      </c>
      <c r="M1190" t="str">
        <f>VLOOKUP(Table2[[#This Row],[Species]],'Species Table'!$A$1:$D$68,3, FALSE)</f>
        <v>Perennial</v>
      </c>
      <c r="O1190" s="15">
        <f>IF(SUMPRODUCT(($A$2:$A1190=A1190)*($B$2:$B1190=B1190)*($F$2:$F1190=F1190))&gt;1,0,1)</f>
        <v>0</v>
      </c>
      <c r="P1190" s="15">
        <f>IF(SUMPRODUCT(($A$2:$A1190=A1190)*($B$2:$B1190=B1190)*($D$2:$D1190=D1190))&gt;1,0,1)</f>
        <v>0</v>
      </c>
    </row>
    <row r="1191" spans="1:16" hidden="1" x14ac:dyDescent="0.35">
      <c r="A1191" t="s">
        <v>9</v>
      </c>
      <c r="B1191">
        <v>2016</v>
      </c>
      <c r="C1191" s="1" t="s">
        <v>73</v>
      </c>
      <c r="D1191">
        <v>7.3</v>
      </c>
      <c r="E1191">
        <f>INT(Table2[[#This Row],[Transect]])</f>
        <v>7</v>
      </c>
      <c r="F1191" s="1" t="s">
        <v>10</v>
      </c>
      <c r="G1191">
        <v>9</v>
      </c>
      <c r="H1191">
        <v>200</v>
      </c>
      <c r="I1191">
        <v>100</v>
      </c>
      <c r="J1191">
        <f>Table2[[#This Row],[Hits]]/Table2[[#This Row],[Points]]*100</f>
        <v>4.5</v>
      </c>
      <c r="K1191">
        <f>VLOOKUP(Table2[[#This Row],[Site]],'Site Info'!$A$1:$C$11,2, FALSE)</f>
        <v>17.7</v>
      </c>
      <c r="L1191">
        <f>VLOOKUP(Table2[[#This Row],[Site]],'Site Info'!$A$1:$C$11,3, FALSE)</f>
        <v>10</v>
      </c>
      <c r="M1191" t="str">
        <f>VLOOKUP(Table2[[#This Row],[Species]],'Species Table'!$A$1:$D$68,3, FALSE)</f>
        <v>Annual</v>
      </c>
      <c r="O1191" s="15">
        <f>IF(SUMPRODUCT(($A$2:$A1191=A1191)*($B$2:$B1191=B1191)*($F$2:$F1191=F1191))&gt;1,0,1)</f>
        <v>0</v>
      </c>
      <c r="P1191" s="15">
        <f>IF(SUMPRODUCT(($A$2:$A1191=A1191)*($B$2:$B1191=B1191)*($D$2:$D1191=D1191))&gt;1,0,1)</f>
        <v>1</v>
      </c>
    </row>
    <row r="1192" spans="1:16" x14ac:dyDescent="0.35">
      <c r="A1192" t="s">
        <v>9</v>
      </c>
      <c r="B1192">
        <v>2016</v>
      </c>
      <c r="C1192" s="1" t="s">
        <v>73</v>
      </c>
      <c r="D1192">
        <v>7.3</v>
      </c>
      <c r="E1192">
        <f>INT(Table2[[#This Row],[Transect]])</f>
        <v>7</v>
      </c>
      <c r="F1192" s="1" t="s">
        <v>11</v>
      </c>
      <c r="G1192">
        <v>1</v>
      </c>
      <c r="H1192">
        <v>200</v>
      </c>
      <c r="I1192">
        <v>100</v>
      </c>
      <c r="J1192">
        <f>Table2[[#This Row],[Hits]]/Table2[[#This Row],[Points]]*100</f>
        <v>0.5</v>
      </c>
      <c r="K1192">
        <f>VLOOKUP(Table2[[#This Row],[Site]],'Site Info'!$A$1:$C$11,2, FALSE)</f>
        <v>17.7</v>
      </c>
      <c r="L1192">
        <f>VLOOKUP(Table2[[#This Row],[Site]],'Site Info'!$A$1:$C$11,3, FALSE)</f>
        <v>10</v>
      </c>
      <c r="M1192" t="str">
        <f>VLOOKUP(Table2[[#This Row],[Species]],'Species Table'!$A$1:$D$68,3, FALSE)</f>
        <v>Perennial</v>
      </c>
      <c r="O1192" s="15">
        <f>IF(SUMPRODUCT(($A$2:$A1192=A1192)*($B$2:$B1192=B1192)*($F$2:$F1192=F1192))&gt;1,0,1)</f>
        <v>0</v>
      </c>
      <c r="P1192" s="15">
        <f>IF(SUMPRODUCT(($A$2:$A1192=A1192)*($B$2:$B1192=B1192)*($D$2:$D1192=D1192))&gt;1,0,1)</f>
        <v>0</v>
      </c>
    </row>
    <row r="1193" spans="1:16" hidden="1" x14ac:dyDescent="0.35">
      <c r="A1193" t="s">
        <v>9</v>
      </c>
      <c r="B1193">
        <v>2016</v>
      </c>
      <c r="C1193" s="1" t="s">
        <v>130</v>
      </c>
      <c r="D1193">
        <v>7.4</v>
      </c>
      <c r="E1193">
        <f>INT(Table2[[#This Row],[Transect]])</f>
        <v>7</v>
      </c>
      <c r="F1193" s="1" t="s">
        <v>10</v>
      </c>
      <c r="G1193">
        <v>13</v>
      </c>
      <c r="H1193">
        <v>200</v>
      </c>
      <c r="I1193">
        <v>100</v>
      </c>
      <c r="J1193">
        <f>Table2[[#This Row],[Hits]]/Table2[[#This Row],[Points]]*100</f>
        <v>6.5</v>
      </c>
      <c r="K1193">
        <f>VLOOKUP(Table2[[#This Row],[Site]],'Site Info'!$A$1:$C$11,2, FALSE)</f>
        <v>17.7</v>
      </c>
      <c r="L1193">
        <f>VLOOKUP(Table2[[#This Row],[Site]],'Site Info'!$A$1:$C$11,3, FALSE)</f>
        <v>10</v>
      </c>
      <c r="M1193" t="str">
        <f>VLOOKUP(Table2[[#This Row],[Species]],'Species Table'!$A$1:$D$68,3, FALSE)</f>
        <v>Annual</v>
      </c>
      <c r="O1193" s="15">
        <f>IF(SUMPRODUCT(($A$2:$A1193=A1193)*($B$2:$B1193=B1193)*($F$2:$F1193=F1193))&gt;1,0,1)</f>
        <v>0</v>
      </c>
      <c r="P1193" s="15">
        <f>IF(SUMPRODUCT(($A$2:$A1193=A1193)*($B$2:$B1193=B1193)*($D$2:$D1193=D1193))&gt;1,0,1)</f>
        <v>1</v>
      </c>
    </row>
    <row r="1194" spans="1:16" x14ac:dyDescent="0.35">
      <c r="A1194" t="s">
        <v>9</v>
      </c>
      <c r="B1194">
        <v>2016</v>
      </c>
      <c r="C1194" s="1" t="s">
        <v>130</v>
      </c>
      <c r="D1194">
        <v>7.4</v>
      </c>
      <c r="E1194">
        <f>INT(Table2[[#This Row],[Transect]])</f>
        <v>7</v>
      </c>
      <c r="F1194" s="1" t="s">
        <v>3</v>
      </c>
      <c r="G1194">
        <v>1</v>
      </c>
      <c r="H1194">
        <v>200</v>
      </c>
      <c r="I1194">
        <v>100</v>
      </c>
      <c r="J1194">
        <f>Table2[[#This Row],[Hits]]/Table2[[#This Row],[Points]]*100</f>
        <v>0.5</v>
      </c>
      <c r="K1194">
        <f>VLOOKUP(Table2[[#This Row],[Site]],'Site Info'!$A$1:$C$11,2, FALSE)</f>
        <v>17.7</v>
      </c>
      <c r="L1194">
        <f>VLOOKUP(Table2[[#This Row],[Site]],'Site Info'!$A$1:$C$11,3, FALSE)</f>
        <v>10</v>
      </c>
      <c r="M1194" t="str">
        <f>VLOOKUP(Table2[[#This Row],[Species]],'Species Table'!$A$1:$D$68,3, FALSE)</f>
        <v>Perennial</v>
      </c>
      <c r="O1194" s="15">
        <f>IF(SUMPRODUCT(($A$2:$A1194=A1194)*($B$2:$B1194=B1194)*($F$2:$F1194=F1194))&gt;1,0,1)</f>
        <v>0</v>
      </c>
      <c r="P1194" s="15">
        <f>IF(SUMPRODUCT(($A$2:$A1194=A1194)*($B$2:$B1194=B1194)*($D$2:$D1194=D1194))&gt;1,0,1)</f>
        <v>0</v>
      </c>
    </row>
    <row r="1195" spans="1:16" hidden="1" x14ac:dyDescent="0.35">
      <c r="A1195" t="s">
        <v>9</v>
      </c>
      <c r="B1195">
        <v>2016</v>
      </c>
      <c r="C1195" s="1" t="s">
        <v>74</v>
      </c>
      <c r="D1195">
        <v>7.5</v>
      </c>
      <c r="E1195">
        <f>INT(Table2[[#This Row],[Transect]])</f>
        <v>7</v>
      </c>
      <c r="F1195" s="1" t="s">
        <v>10</v>
      </c>
      <c r="G1195">
        <v>11</v>
      </c>
      <c r="H1195">
        <v>200</v>
      </c>
      <c r="I1195">
        <v>100</v>
      </c>
      <c r="J1195">
        <f>Table2[[#This Row],[Hits]]/Table2[[#This Row],[Points]]*100</f>
        <v>5.5</v>
      </c>
      <c r="K1195">
        <f>VLOOKUP(Table2[[#This Row],[Site]],'Site Info'!$A$1:$C$11,2, FALSE)</f>
        <v>17.7</v>
      </c>
      <c r="L1195">
        <f>VLOOKUP(Table2[[#This Row],[Site]],'Site Info'!$A$1:$C$11,3, FALSE)</f>
        <v>10</v>
      </c>
      <c r="M1195" t="str">
        <f>VLOOKUP(Table2[[#This Row],[Species]],'Species Table'!$A$1:$D$68,3, FALSE)</f>
        <v>Annual</v>
      </c>
      <c r="O1195" s="15">
        <f>IF(SUMPRODUCT(($A$2:$A1195=A1195)*($B$2:$B1195=B1195)*($F$2:$F1195=F1195))&gt;1,0,1)</f>
        <v>0</v>
      </c>
      <c r="P1195" s="15">
        <f>IF(SUMPRODUCT(($A$2:$A1195=A1195)*($B$2:$B1195=B1195)*($D$2:$D1195=D1195))&gt;1,0,1)</f>
        <v>1</v>
      </c>
    </row>
    <row r="1196" spans="1:16" x14ac:dyDescent="0.35">
      <c r="A1196" t="s">
        <v>9</v>
      </c>
      <c r="B1196">
        <v>2016</v>
      </c>
      <c r="C1196" s="1" t="s">
        <v>74</v>
      </c>
      <c r="D1196">
        <v>7.5</v>
      </c>
      <c r="E1196">
        <f>INT(Table2[[#This Row],[Transect]])</f>
        <v>7</v>
      </c>
      <c r="F1196" s="1" t="s">
        <v>31</v>
      </c>
      <c r="G1196">
        <v>3</v>
      </c>
      <c r="H1196">
        <v>200</v>
      </c>
      <c r="I1196">
        <v>100</v>
      </c>
      <c r="J1196">
        <f>Table2[[#This Row],[Hits]]/Table2[[#This Row],[Points]]*100</f>
        <v>1.5</v>
      </c>
      <c r="K1196">
        <f>VLOOKUP(Table2[[#This Row],[Site]],'Site Info'!$A$1:$C$11,2, FALSE)</f>
        <v>17.7</v>
      </c>
      <c r="L1196">
        <f>VLOOKUP(Table2[[#This Row],[Site]],'Site Info'!$A$1:$C$11,3, FALSE)</f>
        <v>10</v>
      </c>
      <c r="M1196" t="str">
        <f>VLOOKUP(Table2[[#This Row],[Species]],'Species Table'!$A$1:$D$68,3, FALSE)</f>
        <v>Perennial</v>
      </c>
      <c r="O1196" s="15">
        <f>IF(SUMPRODUCT(($A$2:$A1196=A1196)*($B$2:$B1196=B1196)*($F$2:$F1196=F1196))&gt;1,0,1)</f>
        <v>0</v>
      </c>
      <c r="P1196" s="15">
        <f>IF(SUMPRODUCT(($A$2:$A1196=A1196)*($B$2:$B1196=B1196)*($D$2:$D1196=D1196))&gt;1,0,1)</f>
        <v>0</v>
      </c>
    </row>
    <row r="1197" spans="1:16" x14ac:dyDescent="0.35">
      <c r="A1197" t="s">
        <v>9</v>
      </c>
      <c r="B1197">
        <v>2016</v>
      </c>
      <c r="C1197" s="1" t="s">
        <v>74</v>
      </c>
      <c r="D1197">
        <v>7.5</v>
      </c>
      <c r="E1197">
        <f>INT(Table2[[#This Row],[Transect]])</f>
        <v>7</v>
      </c>
      <c r="F1197" s="1" t="s">
        <v>11</v>
      </c>
      <c r="G1197">
        <v>5</v>
      </c>
      <c r="H1197">
        <v>200</v>
      </c>
      <c r="I1197">
        <v>100</v>
      </c>
      <c r="J1197">
        <f>Table2[[#This Row],[Hits]]/Table2[[#This Row],[Points]]*100</f>
        <v>2.5</v>
      </c>
      <c r="K1197">
        <f>VLOOKUP(Table2[[#This Row],[Site]],'Site Info'!$A$1:$C$11,2, FALSE)</f>
        <v>17.7</v>
      </c>
      <c r="L1197">
        <f>VLOOKUP(Table2[[#This Row],[Site]],'Site Info'!$A$1:$C$11,3, FALSE)</f>
        <v>10</v>
      </c>
      <c r="M1197" t="str">
        <f>VLOOKUP(Table2[[#This Row],[Species]],'Species Table'!$A$1:$D$68,3, FALSE)</f>
        <v>Perennial</v>
      </c>
      <c r="O1197" s="15">
        <f>IF(SUMPRODUCT(($A$2:$A1197=A1197)*($B$2:$B1197=B1197)*($F$2:$F1197=F1197))&gt;1,0,1)</f>
        <v>0</v>
      </c>
      <c r="P1197" s="15">
        <f>IF(SUMPRODUCT(($A$2:$A1197=A1197)*($B$2:$B1197=B1197)*($D$2:$D1197=D1197))&gt;1,0,1)</f>
        <v>0</v>
      </c>
    </row>
    <row r="1198" spans="1:16" hidden="1" x14ac:dyDescent="0.35">
      <c r="A1198" t="s">
        <v>9</v>
      </c>
      <c r="B1198">
        <v>2016</v>
      </c>
      <c r="C1198" s="1" t="s">
        <v>75</v>
      </c>
      <c r="D1198">
        <v>7.6</v>
      </c>
      <c r="E1198">
        <f>INT(Table2[[#This Row],[Transect]])</f>
        <v>7</v>
      </c>
      <c r="F1198" s="1" t="s">
        <v>10</v>
      </c>
      <c r="G1198">
        <v>6</v>
      </c>
      <c r="H1198">
        <v>200</v>
      </c>
      <c r="I1198">
        <v>100</v>
      </c>
      <c r="J1198">
        <f>Table2[[#This Row],[Hits]]/Table2[[#This Row],[Points]]*100</f>
        <v>3</v>
      </c>
      <c r="K1198">
        <f>VLOOKUP(Table2[[#This Row],[Site]],'Site Info'!$A$1:$C$11,2, FALSE)</f>
        <v>17.7</v>
      </c>
      <c r="L1198">
        <f>VLOOKUP(Table2[[#This Row],[Site]],'Site Info'!$A$1:$C$11,3, FALSE)</f>
        <v>10</v>
      </c>
      <c r="M1198" t="str">
        <f>VLOOKUP(Table2[[#This Row],[Species]],'Species Table'!$A$1:$D$68,3, FALSE)</f>
        <v>Annual</v>
      </c>
      <c r="O1198" s="15">
        <f>IF(SUMPRODUCT(($A$2:$A1198=A1198)*($B$2:$B1198=B1198)*($F$2:$F1198=F1198))&gt;1,0,1)</f>
        <v>0</v>
      </c>
      <c r="P1198" s="15">
        <f>IF(SUMPRODUCT(($A$2:$A1198=A1198)*($B$2:$B1198=B1198)*($D$2:$D1198=D1198))&gt;1,0,1)</f>
        <v>1</v>
      </c>
    </row>
    <row r="1199" spans="1:16" x14ac:dyDescent="0.35">
      <c r="A1199" t="s">
        <v>9</v>
      </c>
      <c r="B1199">
        <v>2016</v>
      </c>
      <c r="C1199" s="1" t="s">
        <v>76</v>
      </c>
      <c r="D1199">
        <v>7.7</v>
      </c>
      <c r="E1199">
        <f>INT(Table2[[#This Row],[Transect]])</f>
        <v>7</v>
      </c>
      <c r="F1199" s="1" t="s">
        <v>14</v>
      </c>
      <c r="G1199">
        <v>2</v>
      </c>
      <c r="H1199">
        <v>200</v>
      </c>
      <c r="I1199">
        <v>100</v>
      </c>
      <c r="J1199">
        <f>Table2[[#This Row],[Hits]]/Table2[[#This Row],[Points]]*100</f>
        <v>1</v>
      </c>
      <c r="K1199">
        <f>VLOOKUP(Table2[[#This Row],[Site]],'Site Info'!$A$1:$C$11,2, FALSE)</f>
        <v>17.7</v>
      </c>
      <c r="L1199">
        <f>VLOOKUP(Table2[[#This Row],[Site]],'Site Info'!$A$1:$C$11,3, FALSE)</f>
        <v>10</v>
      </c>
      <c r="M1199" t="str">
        <f>VLOOKUP(Table2[[#This Row],[Species]],'Species Table'!$A$1:$D$68,3, FALSE)</f>
        <v>Perennial</v>
      </c>
      <c r="O1199" s="15">
        <f>IF(SUMPRODUCT(($A$2:$A1199=A1199)*($B$2:$B1199=B1199)*($F$2:$F1199=F1199))&gt;1,0,1)</f>
        <v>1</v>
      </c>
      <c r="P1199" s="15">
        <f>IF(SUMPRODUCT(($A$2:$A1199=A1199)*($B$2:$B1199=B1199)*($D$2:$D1199=D1199))&gt;1,0,1)</f>
        <v>1</v>
      </c>
    </row>
    <row r="1200" spans="1:16" x14ac:dyDescent="0.35">
      <c r="A1200" t="s">
        <v>9</v>
      </c>
      <c r="B1200">
        <v>2016</v>
      </c>
      <c r="C1200" s="1" t="s">
        <v>76</v>
      </c>
      <c r="D1200">
        <v>7.7</v>
      </c>
      <c r="E1200">
        <f>INT(Table2[[#This Row],[Transect]])</f>
        <v>7</v>
      </c>
      <c r="F1200" s="1" t="s">
        <v>3</v>
      </c>
      <c r="G1200">
        <v>6</v>
      </c>
      <c r="H1200">
        <v>200</v>
      </c>
      <c r="I1200">
        <v>100</v>
      </c>
      <c r="J1200">
        <f>Table2[[#This Row],[Hits]]/Table2[[#This Row],[Points]]*100</f>
        <v>3</v>
      </c>
      <c r="K1200">
        <f>VLOOKUP(Table2[[#This Row],[Site]],'Site Info'!$A$1:$C$11,2, FALSE)</f>
        <v>17.7</v>
      </c>
      <c r="L1200">
        <f>VLOOKUP(Table2[[#This Row],[Site]],'Site Info'!$A$1:$C$11,3, FALSE)</f>
        <v>10</v>
      </c>
      <c r="M1200" t="str">
        <f>VLOOKUP(Table2[[#This Row],[Species]],'Species Table'!$A$1:$D$68,3, FALSE)</f>
        <v>Perennial</v>
      </c>
      <c r="O1200" s="15">
        <f>IF(SUMPRODUCT(($A$2:$A1200=A1200)*($B$2:$B1200=B1200)*($F$2:$F1200=F1200))&gt;1,0,1)</f>
        <v>0</v>
      </c>
      <c r="P1200" s="15">
        <f>IF(SUMPRODUCT(($A$2:$A1200=A1200)*($B$2:$B1200=B1200)*($D$2:$D1200=D1200))&gt;1,0,1)</f>
        <v>0</v>
      </c>
    </row>
    <row r="1201" spans="1:16" hidden="1" x14ac:dyDescent="0.35">
      <c r="A1201" t="s">
        <v>9</v>
      </c>
      <c r="B1201">
        <v>2016</v>
      </c>
      <c r="C1201" s="1" t="s">
        <v>76</v>
      </c>
      <c r="D1201">
        <v>7.7</v>
      </c>
      <c r="E1201">
        <f>INT(Table2[[#This Row],[Transect]])</f>
        <v>7</v>
      </c>
      <c r="F1201" s="1" t="s">
        <v>10</v>
      </c>
      <c r="G1201">
        <v>1</v>
      </c>
      <c r="H1201">
        <v>200</v>
      </c>
      <c r="I1201">
        <v>100</v>
      </c>
      <c r="J1201">
        <f>Table2[[#This Row],[Hits]]/Table2[[#This Row],[Points]]*100</f>
        <v>0.5</v>
      </c>
      <c r="K1201">
        <f>VLOOKUP(Table2[[#This Row],[Site]],'Site Info'!$A$1:$C$11,2, FALSE)</f>
        <v>17.7</v>
      </c>
      <c r="L1201">
        <f>VLOOKUP(Table2[[#This Row],[Site]],'Site Info'!$A$1:$C$11,3, FALSE)</f>
        <v>10</v>
      </c>
      <c r="M1201" t="str">
        <f>VLOOKUP(Table2[[#This Row],[Species]],'Species Table'!$A$1:$D$68,3, FALSE)</f>
        <v>Annual</v>
      </c>
      <c r="O1201" s="15">
        <f>IF(SUMPRODUCT(($A$2:$A1201=A1201)*($B$2:$B1201=B1201)*($F$2:$F1201=F1201))&gt;1,0,1)</f>
        <v>0</v>
      </c>
      <c r="P1201" s="15">
        <f>IF(SUMPRODUCT(($A$2:$A1201=A1201)*($B$2:$B1201=B1201)*($D$2:$D1201=D1201))&gt;1,0,1)</f>
        <v>0</v>
      </c>
    </row>
    <row r="1202" spans="1:16" x14ac:dyDescent="0.35">
      <c r="A1202" t="s">
        <v>9</v>
      </c>
      <c r="B1202">
        <v>2016</v>
      </c>
      <c r="C1202" s="1" t="s">
        <v>77</v>
      </c>
      <c r="D1202">
        <v>8.1</v>
      </c>
      <c r="E1202">
        <f>INT(Table2[[#This Row],[Transect]])</f>
        <v>8</v>
      </c>
      <c r="F1202" s="1" t="s">
        <v>14</v>
      </c>
      <c r="G1202">
        <v>15</v>
      </c>
      <c r="H1202">
        <v>200</v>
      </c>
      <c r="I1202">
        <v>100</v>
      </c>
      <c r="J1202">
        <f>Table2[[#This Row],[Hits]]/Table2[[#This Row],[Points]]*100</f>
        <v>7.5</v>
      </c>
      <c r="K1202">
        <f>VLOOKUP(Table2[[#This Row],[Site]],'Site Info'!$A$1:$C$11,2, FALSE)</f>
        <v>17.7</v>
      </c>
      <c r="L1202">
        <f>VLOOKUP(Table2[[#This Row],[Site]],'Site Info'!$A$1:$C$11,3, FALSE)</f>
        <v>10</v>
      </c>
      <c r="M1202" t="str">
        <f>VLOOKUP(Table2[[#This Row],[Species]],'Species Table'!$A$1:$D$68,3, FALSE)</f>
        <v>Perennial</v>
      </c>
      <c r="O1202" s="15">
        <f>IF(SUMPRODUCT(($A$2:$A1202=A1202)*($B$2:$B1202=B1202)*($F$2:$F1202=F1202))&gt;1,0,1)</f>
        <v>0</v>
      </c>
      <c r="P1202" s="15">
        <f>IF(SUMPRODUCT(($A$2:$A1202=A1202)*($B$2:$B1202=B1202)*($D$2:$D1202=D1202))&gt;1,0,1)</f>
        <v>1</v>
      </c>
    </row>
    <row r="1203" spans="1:16" hidden="1" x14ac:dyDescent="0.35">
      <c r="A1203" t="s">
        <v>9</v>
      </c>
      <c r="B1203">
        <v>2016</v>
      </c>
      <c r="C1203" s="1" t="s">
        <v>77</v>
      </c>
      <c r="D1203">
        <v>8.1</v>
      </c>
      <c r="E1203">
        <f>INT(Table2[[#This Row],[Transect]])</f>
        <v>8</v>
      </c>
      <c r="F1203" s="1" t="s">
        <v>10</v>
      </c>
      <c r="G1203">
        <v>1</v>
      </c>
      <c r="H1203">
        <v>200</v>
      </c>
      <c r="I1203">
        <v>100</v>
      </c>
      <c r="J1203">
        <f>Table2[[#This Row],[Hits]]/Table2[[#This Row],[Points]]*100</f>
        <v>0.5</v>
      </c>
      <c r="K1203">
        <f>VLOOKUP(Table2[[#This Row],[Site]],'Site Info'!$A$1:$C$11,2, FALSE)</f>
        <v>17.7</v>
      </c>
      <c r="L1203">
        <f>VLOOKUP(Table2[[#This Row],[Site]],'Site Info'!$A$1:$C$11,3, FALSE)</f>
        <v>10</v>
      </c>
      <c r="M1203" t="str">
        <f>VLOOKUP(Table2[[#This Row],[Species]],'Species Table'!$A$1:$D$68,3, FALSE)</f>
        <v>Annual</v>
      </c>
      <c r="O1203" s="15">
        <f>IF(SUMPRODUCT(($A$2:$A1203=A1203)*($B$2:$B1203=B1203)*($F$2:$F1203=F1203))&gt;1,0,1)</f>
        <v>0</v>
      </c>
      <c r="P1203" s="15">
        <f>IF(SUMPRODUCT(($A$2:$A1203=A1203)*($B$2:$B1203=B1203)*($D$2:$D1203=D1203))&gt;1,0,1)</f>
        <v>0</v>
      </c>
    </row>
    <row r="1204" spans="1:16" hidden="1" x14ac:dyDescent="0.35">
      <c r="A1204" t="s">
        <v>9</v>
      </c>
      <c r="B1204">
        <v>2016</v>
      </c>
      <c r="C1204" s="1" t="s">
        <v>78</v>
      </c>
      <c r="D1204">
        <v>8.1999999999999993</v>
      </c>
      <c r="E1204">
        <f>INT(Table2[[#This Row],[Transect]])</f>
        <v>8</v>
      </c>
      <c r="F1204" s="1" t="s">
        <v>10</v>
      </c>
      <c r="G1204">
        <v>8</v>
      </c>
      <c r="H1204">
        <v>200</v>
      </c>
      <c r="I1204">
        <v>100</v>
      </c>
      <c r="J1204">
        <f>Table2[[#This Row],[Hits]]/Table2[[#This Row],[Points]]*100</f>
        <v>4</v>
      </c>
      <c r="K1204">
        <f>VLOOKUP(Table2[[#This Row],[Site]],'Site Info'!$A$1:$C$11,2, FALSE)</f>
        <v>17.7</v>
      </c>
      <c r="L1204">
        <f>VLOOKUP(Table2[[#This Row],[Site]],'Site Info'!$A$1:$C$11,3, FALSE)</f>
        <v>10</v>
      </c>
      <c r="M1204" t="str">
        <f>VLOOKUP(Table2[[#This Row],[Species]],'Species Table'!$A$1:$D$68,3, FALSE)</f>
        <v>Annual</v>
      </c>
      <c r="O1204" s="15">
        <f>IF(SUMPRODUCT(($A$2:$A1204=A1204)*($B$2:$B1204=B1204)*($F$2:$F1204=F1204))&gt;1,0,1)</f>
        <v>0</v>
      </c>
      <c r="P1204" s="15">
        <f>IF(SUMPRODUCT(($A$2:$A1204=A1204)*($B$2:$B1204=B1204)*($D$2:$D1204=D1204))&gt;1,0,1)</f>
        <v>1</v>
      </c>
    </row>
    <row r="1205" spans="1:16" x14ac:dyDescent="0.35">
      <c r="A1205" t="s">
        <v>9</v>
      </c>
      <c r="B1205">
        <v>2016</v>
      </c>
      <c r="C1205" s="1" t="s">
        <v>78</v>
      </c>
      <c r="D1205">
        <v>8.1999999999999993</v>
      </c>
      <c r="E1205">
        <f>INT(Table2[[#This Row],[Transect]])</f>
        <v>8</v>
      </c>
      <c r="F1205" s="1" t="s">
        <v>3</v>
      </c>
      <c r="G1205">
        <v>4</v>
      </c>
      <c r="H1205">
        <v>200</v>
      </c>
      <c r="I1205">
        <v>100</v>
      </c>
      <c r="J1205">
        <f>Table2[[#This Row],[Hits]]/Table2[[#This Row],[Points]]*100</f>
        <v>2</v>
      </c>
      <c r="K1205">
        <f>VLOOKUP(Table2[[#This Row],[Site]],'Site Info'!$A$1:$C$11,2, FALSE)</f>
        <v>17.7</v>
      </c>
      <c r="L1205">
        <f>VLOOKUP(Table2[[#This Row],[Site]],'Site Info'!$A$1:$C$11,3, FALSE)</f>
        <v>10</v>
      </c>
      <c r="M1205" t="str">
        <f>VLOOKUP(Table2[[#This Row],[Species]],'Species Table'!$A$1:$D$68,3, FALSE)</f>
        <v>Perennial</v>
      </c>
      <c r="O1205" s="15">
        <f>IF(SUMPRODUCT(($A$2:$A1205=A1205)*($B$2:$B1205=B1205)*($F$2:$F1205=F1205))&gt;1,0,1)</f>
        <v>0</v>
      </c>
      <c r="P1205" s="15">
        <f>IF(SUMPRODUCT(($A$2:$A1205=A1205)*($B$2:$B1205=B1205)*($D$2:$D1205=D1205))&gt;1,0,1)</f>
        <v>0</v>
      </c>
    </row>
    <row r="1206" spans="1:16" hidden="1" x14ac:dyDescent="0.35">
      <c r="A1206" t="s">
        <v>9</v>
      </c>
      <c r="B1206">
        <v>2016</v>
      </c>
      <c r="C1206" s="1" t="s">
        <v>79</v>
      </c>
      <c r="D1206">
        <v>8.3000000000000007</v>
      </c>
      <c r="E1206">
        <f>INT(Table2[[#This Row],[Transect]])</f>
        <v>8</v>
      </c>
      <c r="F1206" s="1" t="s">
        <v>10</v>
      </c>
      <c r="G1206">
        <v>6</v>
      </c>
      <c r="H1206">
        <v>200</v>
      </c>
      <c r="I1206">
        <v>100</v>
      </c>
      <c r="J1206">
        <f>Table2[[#This Row],[Hits]]/Table2[[#This Row],[Points]]*100</f>
        <v>3</v>
      </c>
      <c r="K1206">
        <f>VLOOKUP(Table2[[#This Row],[Site]],'Site Info'!$A$1:$C$11,2, FALSE)</f>
        <v>17.7</v>
      </c>
      <c r="L1206">
        <f>VLOOKUP(Table2[[#This Row],[Site]],'Site Info'!$A$1:$C$11,3, FALSE)</f>
        <v>10</v>
      </c>
      <c r="M1206" t="str">
        <f>VLOOKUP(Table2[[#This Row],[Species]],'Species Table'!$A$1:$D$68,3, FALSE)</f>
        <v>Annual</v>
      </c>
      <c r="O1206" s="15">
        <f>IF(SUMPRODUCT(($A$2:$A1206=A1206)*($B$2:$B1206=B1206)*($F$2:$F1206=F1206))&gt;1,0,1)</f>
        <v>0</v>
      </c>
      <c r="P1206" s="15">
        <f>IF(SUMPRODUCT(($A$2:$A1206=A1206)*($B$2:$B1206=B1206)*($D$2:$D1206=D1206))&gt;1,0,1)</f>
        <v>1</v>
      </c>
    </row>
    <row r="1207" spans="1:16" x14ac:dyDescent="0.35">
      <c r="A1207" t="s">
        <v>9</v>
      </c>
      <c r="B1207">
        <v>2016</v>
      </c>
      <c r="C1207" s="1" t="s">
        <v>79</v>
      </c>
      <c r="D1207">
        <v>8.3000000000000007</v>
      </c>
      <c r="E1207">
        <f>INT(Table2[[#This Row],[Transect]])</f>
        <v>8</v>
      </c>
      <c r="F1207" s="1" t="s">
        <v>3</v>
      </c>
      <c r="G1207">
        <v>3</v>
      </c>
      <c r="H1207">
        <v>200</v>
      </c>
      <c r="I1207">
        <v>100</v>
      </c>
      <c r="J1207">
        <f>Table2[[#This Row],[Hits]]/Table2[[#This Row],[Points]]*100</f>
        <v>1.5</v>
      </c>
      <c r="K1207">
        <f>VLOOKUP(Table2[[#This Row],[Site]],'Site Info'!$A$1:$C$11,2, FALSE)</f>
        <v>17.7</v>
      </c>
      <c r="L1207">
        <f>VLOOKUP(Table2[[#This Row],[Site]],'Site Info'!$A$1:$C$11,3, FALSE)</f>
        <v>10</v>
      </c>
      <c r="M1207" t="str">
        <f>VLOOKUP(Table2[[#This Row],[Species]],'Species Table'!$A$1:$D$68,3, FALSE)</f>
        <v>Perennial</v>
      </c>
      <c r="O1207" s="15">
        <f>IF(SUMPRODUCT(($A$2:$A1207=A1207)*($B$2:$B1207=B1207)*($F$2:$F1207=F1207))&gt;1,0,1)</f>
        <v>0</v>
      </c>
      <c r="P1207" s="15">
        <f>IF(SUMPRODUCT(($A$2:$A1207=A1207)*($B$2:$B1207=B1207)*($D$2:$D1207=D1207))&gt;1,0,1)</f>
        <v>0</v>
      </c>
    </row>
    <row r="1208" spans="1:16" x14ac:dyDescent="0.35">
      <c r="A1208" t="s">
        <v>9</v>
      </c>
      <c r="B1208">
        <v>2016</v>
      </c>
      <c r="C1208" s="1" t="s">
        <v>80</v>
      </c>
      <c r="D1208">
        <v>8.4</v>
      </c>
      <c r="E1208">
        <f>INT(Table2[[#This Row],[Transect]])</f>
        <v>8</v>
      </c>
      <c r="F1208" s="1" t="s">
        <v>3</v>
      </c>
      <c r="G1208">
        <v>1</v>
      </c>
      <c r="H1208">
        <v>200</v>
      </c>
      <c r="I1208">
        <v>100</v>
      </c>
      <c r="J1208">
        <f>Table2[[#This Row],[Hits]]/Table2[[#This Row],[Points]]*100</f>
        <v>0.5</v>
      </c>
      <c r="K1208">
        <f>VLOOKUP(Table2[[#This Row],[Site]],'Site Info'!$A$1:$C$11,2, FALSE)</f>
        <v>17.7</v>
      </c>
      <c r="L1208">
        <f>VLOOKUP(Table2[[#This Row],[Site]],'Site Info'!$A$1:$C$11,3, FALSE)</f>
        <v>10</v>
      </c>
      <c r="M1208" t="str">
        <f>VLOOKUP(Table2[[#This Row],[Species]],'Species Table'!$A$1:$D$68,3, FALSE)</f>
        <v>Perennial</v>
      </c>
      <c r="O1208" s="15">
        <f>IF(SUMPRODUCT(($A$2:$A1208=A1208)*($B$2:$B1208=B1208)*($F$2:$F1208=F1208))&gt;1,0,1)</f>
        <v>0</v>
      </c>
      <c r="P1208" s="15">
        <f>IF(SUMPRODUCT(($A$2:$A1208=A1208)*($B$2:$B1208=B1208)*($D$2:$D1208=D1208))&gt;1,0,1)</f>
        <v>1</v>
      </c>
    </row>
    <row r="1209" spans="1:16" x14ac:dyDescent="0.35">
      <c r="A1209" t="s">
        <v>9</v>
      </c>
      <c r="B1209">
        <v>2016</v>
      </c>
      <c r="C1209" s="1" t="s">
        <v>80</v>
      </c>
      <c r="D1209">
        <v>8.4</v>
      </c>
      <c r="E1209">
        <f>INT(Table2[[#This Row],[Transect]])</f>
        <v>8</v>
      </c>
      <c r="F1209" s="1" t="s">
        <v>6</v>
      </c>
      <c r="G1209">
        <v>9</v>
      </c>
      <c r="H1209">
        <v>200</v>
      </c>
      <c r="I1209">
        <v>100</v>
      </c>
      <c r="J1209">
        <f>Table2[[#This Row],[Hits]]/Table2[[#This Row],[Points]]*100</f>
        <v>4.5</v>
      </c>
      <c r="K1209">
        <f>VLOOKUP(Table2[[#This Row],[Site]],'Site Info'!$A$1:$C$11,2, FALSE)</f>
        <v>17.7</v>
      </c>
      <c r="L1209">
        <f>VLOOKUP(Table2[[#This Row],[Site]],'Site Info'!$A$1:$C$11,3, FALSE)</f>
        <v>10</v>
      </c>
      <c r="M1209" t="str">
        <f>VLOOKUP(Table2[[#This Row],[Species]],'Species Table'!$A$1:$D$68,3, FALSE)</f>
        <v>Perennial</v>
      </c>
      <c r="O1209" s="15">
        <f>IF(SUMPRODUCT(($A$2:$A1209=A1209)*($B$2:$B1209=B1209)*($F$2:$F1209=F1209))&gt;1,0,1)</f>
        <v>0</v>
      </c>
      <c r="P1209" s="15">
        <f>IF(SUMPRODUCT(($A$2:$A1209=A1209)*($B$2:$B1209=B1209)*($D$2:$D1209=D1209))&gt;1,0,1)</f>
        <v>0</v>
      </c>
    </row>
    <row r="1210" spans="1:16" x14ac:dyDescent="0.35">
      <c r="A1210" t="s">
        <v>9</v>
      </c>
      <c r="B1210">
        <v>2016</v>
      </c>
      <c r="C1210" s="1" t="s">
        <v>81</v>
      </c>
      <c r="D1210">
        <v>8.5</v>
      </c>
      <c r="E1210">
        <f>INT(Table2[[#This Row],[Transect]])</f>
        <v>8</v>
      </c>
      <c r="F1210" s="1" t="s">
        <v>6</v>
      </c>
      <c r="G1210">
        <v>5</v>
      </c>
      <c r="H1210">
        <v>200</v>
      </c>
      <c r="I1210">
        <v>100</v>
      </c>
      <c r="J1210">
        <f>Table2[[#This Row],[Hits]]/Table2[[#This Row],[Points]]*100</f>
        <v>2.5</v>
      </c>
      <c r="K1210">
        <f>VLOOKUP(Table2[[#This Row],[Site]],'Site Info'!$A$1:$C$11,2, FALSE)</f>
        <v>17.7</v>
      </c>
      <c r="L1210">
        <f>VLOOKUP(Table2[[#This Row],[Site]],'Site Info'!$A$1:$C$11,3, FALSE)</f>
        <v>10</v>
      </c>
      <c r="M1210" t="str">
        <f>VLOOKUP(Table2[[#This Row],[Species]],'Species Table'!$A$1:$D$68,3, FALSE)</f>
        <v>Perennial</v>
      </c>
      <c r="O1210" s="15">
        <f>IF(SUMPRODUCT(($A$2:$A1210=A1210)*($B$2:$B1210=B1210)*($F$2:$F1210=F1210))&gt;1,0,1)</f>
        <v>0</v>
      </c>
      <c r="P1210" s="15">
        <f>IF(SUMPRODUCT(($A$2:$A1210=A1210)*($B$2:$B1210=B1210)*($D$2:$D1210=D1210))&gt;1,0,1)</f>
        <v>1</v>
      </c>
    </row>
    <row r="1211" spans="1:16" hidden="1" x14ac:dyDescent="0.35">
      <c r="A1211" t="s">
        <v>9</v>
      </c>
      <c r="B1211">
        <v>2016</v>
      </c>
      <c r="C1211" s="1" t="s">
        <v>81</v>
      </c>
      <c r="D1211">
        <v>8.5</v>
      </c>
      <c r="E1211">
        <f>INT(Table2[[#This Row],[Transect]])</f>
        <v>8</v>
      </c>
      <c r="F1211" s="1" t="s">
        <v>10</v>
      </c>
      <c r="G1211">
        <v>1</v>
      </c>
      <c r="H1211">
        <v>200</v>
      </c>
      <c r="I1211">
        <v>100</v>
      </c>
      <c r="J1211">
        <f>Table2[[#This Row],[Hits]]/Table2[[#This Row],[Points]]*100</f>
        <v>0.5</v>
      </c>
      <c r="K1211">
        <f>VLOOKUP(Table2[[#This Row],[Site]],'Site Info'!$A$1:$C$11,2, FALSE)</f>
        <v>17.7</v>
      </c>
      <c r="L1211">
        <f>VLOOKUP(Table2[[#This Row],[Site]],'Site Info'!$A$1:$C$11,3, FALSE)</f>
        <v>10</v>
      </c>
      <c r="M1211" t="str">
        <f>VLOOKUP(Table2[[#This Row],[Species]],'Species Table'!$A$1:$D$68,3, FALSE)</f>
        <v>Annual</v>
      </c>
      <c r="O1211" s="15">
        <f>IF(SUMPRODUCT(($A$2:$A1211=A1211)*($B$2:$B1211=B1211)*($F$2:$F1211=F1211))&gt;1,0,1)</f>
        <v>0</v>
      </c>
      <c r="P1211" s="15">
        <f>IF(SUMPRODUCT(($A$2:$A1211=A1211)*($B$2:$B1211=B1211)*($D$2:$D1211=D1211))&gt;1,0,1)</f>
        <v>0</v>
      </c>
    </row>
    <row r="1212" spans="1:16" x14ac:dyDescent="0.35">
      <c r="A1212" t="s">
        <v>9</v>
      </c>
      <c r="B1212">
        <v>2016</v>
      </c>
      <c r="C1212" s="1" t="s">
        <v>81</v>
      </c>
      <c r="D1212">
        <v>8.5</v>
      </c>
      <c r="E1212">
        <f>INT(Table2[[#This Row],[Transect]])</f>
        <v>8</v>
      </c>
      <c r="F1212" s="1" t="s">
        <v>15</v>
      </c>
      <c r="G1212">
        <v>1</v>
      </c>
      <c r="H1212">
        <v>200</v>
      </c>
      <c r="I1212">
        <v>100</v>
      </c>
      <c r="J1212">
        <f>Table2[[#This Row],[Hits]]/Table2[[#This Row],[Points]]*100</f>
        <v>0.5</v>
      </c>
      <c r="K1212">
        <f>VLOOKUP(Table2[[#This Row],[Site]],'Site Info'!$A$1:$C$11,2, FALSE)</f>
        <v>17.7</v>
      </c>
      <c r="L1212">
        <f>VLOOKUP(Table2[[#This Row],[Site]],'Site Info'!$A$1:$C$11,3, FALSE)</f>
        <v>10</v>
      </c>
      <c r="M1212" t="str">
        <f>VLOOKUP(Table2[[#This Row],[Species]],'Species Table'!$A$1:$D$68,3, FALSE)</f>
        <v>Perennial</v>
      </c>
      <c r="O1212" s="15">
        <f>IF(SUMPRODUCT(($A$2:$A1212=A1212)*($B$2:$B1212=B1212)*($F$2:$F1212=F1212))&gt;1,0,1)</f>
        <v>1</v>
      </c>
      <c r="P1212" s="15">
        <f>IF(SUMPRODUCT(($A$2:$A1212=A1212)*($B$2:$B1212=B1212)*($D$2:$D1212=D1212))&gt;1,0,1)</f>
        <v>0</v>
      </c>
    </row>
    <row r="1213" spans="1:16" x14ac:dyDescent="0.35">
      <c r="A1213" t="s">
        <v>9</v>
      </c>
      <c r="B1213">
        <v>2016</v>
      </c>
      <c r="C1213" s="1" t="s">
        <v>81</v>
      </c>
      <c r="D1213">
        <v>8.5</v>
      </c>
      <c r="E1213">
        <f>INT(Table2[[#This Row],[Transect]])</f>
        <v>8</v>
      </c>
      <c r="F1213" s="1" t="s">
        <v>3</v>
      </c>
      <c r="G1213">
        <v>1</v>
      </c>
      <c r="H1213">
        <v>200</v>
      </c>
      <c r="I1213">
        <v>100</v>
      </c>
      <c r="J1213">
        <f>Table2[[#This Row],[Hits]]/Table2[[#This Row],[Points]]*100</f>
        <v>0.5</v>
      </c>
      <c r="K1213">
        <f>VLOOKUP(Table2[[#This Row],[Site]],'Site Info'!$A$1:$C$11,2, FALSE)</f>
        <v>17.7</v>
      </c>
      <c r="L1213">
        <f>VLOOKUP(Table2[[#This Row],[Site]],'Site Info'!$A$1:$C$11,3, FALSE)</f>
        <v>10</v>
      </c>
      <c r="M1213" t="str">
        <f>VLOOKUP(Table2[[#This Row],[Species]],'Species Table'!$A$1:$D$68,3, FALSE)</f>
        <v>Perennial</v>
      </c>
      <c r="O1213" s="15">
        <f>IF(SUMPRODUCT(($A$2:$A1213=A1213)*($B$2:$B1213=B1213)*($F$2:$F1213=F1213))&gt;1,0,1)</f>
        <v>0</v>
      </c>
      <c r="P1213" s="15">
        <f>IF(SUMPRODUCT(($A$2:$A1213=A1213)*($B$2:$B1213=B1213)*($D$2:$D1213=D1213))&gt;1,0,1)</f>
        <v>0</v>
      </c>
    </row>
    <row r="1214" spans="1:16" hidden="1" x14ac:dyDescent="0.35">
      <c r="A1214" t="s">
        <v>161</v>
      </c>
      <c r="B1214">
        <v>2016</v>
      </c>
      <c r="C1214" s="1" t="s">
        <v>162</v>
      </c>
      <c r="D1214" s="7" t="s">
        <v>166</v>
      </c>
      <c r="E1214">
        <f>INT(Table2[[#This Row],[Transect]])</f>
        <v>1</v>
      </c>
      <c r="F1214" s="1" t="s">
        <v>10</v>
      </c>
      <c r="G1214">
        <v>3</v>
      </c>
      <c r="H1214">
        <v>200</v>
      </c>
      <c r="I1214">
        <v>100</v>
      </c>
      <c r="J1214">
        <f>Table2[[#This Row],[Hits]]/Table2[[#This Row],[Points]]*100</f>
        <v>1.5</v>
      </c>
      <c r="K1214">
        <f>VLOOKUP(Table2[[#This Row],[Site]],'Site Info'!$A$1:$C$11,2, FALSE)</f>
        <v>17.7</v>
      </c>
      <c r="L1214">
        <f>VLOOKUP(Table2[[#This Row],[Site]],'Site Info'!$A$1:$C$11,3, FALSE)</f>
        <v>10</v>
      </c>
      <c r="M1214" t="str">
        <f>VLOOKUP(Table2[[#This Row],[Species]],'Species Table'!$A$1:$D$68,3, FALSE)</f>
        <v>Annual</v>
      </c>
      <c r="O1214" s="15">
        <f>IF(SUMPRODUCT(($A$2:$A1214=A1214)*($B$2:$B1214=B1214)*($F$2:$F1214=F1214))&gt;1,0,1)</f>
        <v>1</v>
      </c>
      <c r="P1214" s="15">
        <f>IF(SUMPRODUCT(($A$2:$A1214=A1214)*($B$2:$B1214=B1214)*($D$2:$D1214=D1214))&gt;1,0,1)</f>
        <v>1</v>
      </c>
    </row>
    <row r="1215" spans="1:16" x14ac:dyDescent="0.35">
      <c r="A1215" t="s">
        <v>161</v>
      </c>
      <c r="B1215">
        <v>2016</v>
      </c>
      <c r="C1215" s="1" t="s">
        <v>162</v>
      </c>
      <c r="D1215" s="7" t="s">
        <v>166</v>
      </c>
      <c r="E1215">
        <f>INT(Table2[[#This Row],[Transect]])</f>
        <v>1</v>
      </c>
      <c r="F1215" s="1" t="s">
        <v>11</v>
      </c>
      <c r="G1215">
        <v>5</v>
      </c>
      <c r="H1215">
        <v>200</v>
      </c>
      <c r="I1215">
        <v>100</v>
      </c>
      <c r="J1215">
        <f>Table2[[#This Row],[Hits]]/Table2[[#This Row],[Points]]*100</f>
        <v>2.5</v>
      </c>
      <c r="K1215">
        <f>VLOOKUP(Table2[[#This Row],[Site]],'Site Info'!$A$1:$C$11,2, FALSE)</f>
        <v>17.7</v>
      </c>
      <c r="L1215">
        <f>VLOOKUP(Table2[[#This Row],[Site]],'Site Info'!$A$1:$C$11,3, FALSE)</f>
        <v>10</v>
      </c>
      <c r="M1215" t="str">
        <f>VLOOKUP(Table2[[#This Row],[Species]],'Species Table'!$A$1:$D$68,3, FALSE)</f>
        <v>Perennial</v>
      </c>
      <c r="O1215" s="15">
        <f>IF(SUMPRODUCT(($A$2:$A1215=A1215)*($B$2:$B1215=B1215)*($F$2:$F1215=F1215))&gt;1,0,1)</f>
        <v>1</v>
      </c>
      <c r="P1215" s="15">
        <f>IF(SUMPRODUCT(($A$2:$A1215=A1215)*($B$2:$B1215=B1215)*($D$2:$D1215=D1215))&gt;1,0,1)</f>
        <v>0</v>
      </c>
    </row>
    <row r="1216" spans="1:16" hidden="1" x14ac:dyDescent="0.35">
      <c r="A1216" t="s">
        <v>161</v>
      </c>
      <c r="B1216">
        <v>2016</v>
      </c>
      <c r="C1216" s="1" t="s">
        <v>37</v>
      </c>
      <c r="D1216" s="7">
        <v>1.1000000000000001</v>
      </c>
      <c r="E1216">
        <f>INT(Table2[[#This Row],[Transect]])</f>
        <v>1</v>
      </c>
      <c r="F1216" s="1" t="s">
        <v>10</v>
      </c>
      <c r="G1216">
        <v>1</v>
      </c>
      <c r="H1216">
        <v>180</v>
      </c>
      <c r="I1216">
        <v>90</v>
      </c>
      <c r="J1216">
        <f>Table2[[#This Row],[Hits]]/Table2[[#This Row],[Points]]*100</f>
        <v>0.55555555555555558</v>
      </c>
      <c r="K1216">
        <f>VLOOKUP(Table2[[#This Row],[Site]],'Site Info'!$A$1:$C$11,2, FALSE)</f>
        <v>17.7</v>
      </c>
      <c r="L1216">
        <f>VLOOKUP(Table2[[#This Row],[Site]],'Site Info'!$A$1:$C$11,3, FALSE)</f>
        <v>10</v>
      </c>
      <c r="M1216" t="str">
        <f>VLOOKUP(Table2[[#This Row],[Species]],'Species Table'!$A$1:$D$68,3, FALSE)</f>
        <v>Annual</v>
      </c>
      <c r="O1216" s="15">
        <f>IF(SUMPRODUCT(($A$2:$A1216=A1216)*($B$2:$B1216=B1216)*($F$2:$F1216=F1216))&gt;1,0,1)</f>
        <v>0</v>
      </c>
      <c r="P1216" s="15">
        <f>IF(SUMPRODUCT(($A$2:$A1216=A1216)*($B$2:$B1216=B1216)*($D$2:$D1216=D1216))&gt;1,0,1)</f>
        <v>1</v>
      </c>
    </row>
    <row r="1217" spans="1:16" x14ac:dyDescent="0.35">
      <c r="A1217" t="s">
        <v>161</v>
      </c>
      <c r="B1217">
        <v>2016</v>
      </c>
      <c r="C1217" s="1" t="s">
        <v>37</v>
      </c>
      <c r="D1217" s="7">
        <v>1.1000000000000001</v>
      </c>
      <c r="E1217">
        <f>INT(Table2[[#This Row],[Transect]])</f>
        <v>1</v>
      </c>
      <c r="F1217" s="1" t="s">
        <v>11</v>
      </c>
      <c r="G1217">
        <v>2</v>
      </c>
      <c r="H1217">
        <v>180</v>
      </c>
      <c r="I1217">
        <v>90</v>
      </c>
      <c r="J1217">
        <f>Table2[[#This Row],[Hits]]/Table2[[#This Row],[Points]]*100</f>
        <v>1.1111111111111112</v>
      </c>
      <c r="K1217">
        <f>VLOOKUP(Table2[[#This Row],[Site]],'Site Info'!$A$1:$C$11,2, FALSE)</f>
        <v>17.7</v>
      </c>
      <c r="L1217">
        <f>VLOOKUP(Table2[[#This Row],[Site]],'Site Info'!$A$1:$C$11,3, FALSE)</f>
        <v>10</v>
      </c>
      <c r="M1217" t="str">
        <f>VLOOKUP(Table2[[#This Row],[Species]],'Species Table'!$A$1:$D$68,3, FALSE)</f>
        <v>Perennial</v>
      </c>
      <c r="O1217" s="15">
        <f>IF(SUMPRODUCT(($A$2:$A1217=A1217)*($B$2:$B1217=B1217)*($F$2:$F1217=F1217))&gt;1,0,1)</f>
        <v>0</v>
      </c>
      <c r="P1217" s="15">
        <f>IF(SUMPRODUCT(($A$2:$A1217=A1217)*($B$2:$B1217=B1217)*($D$2:$D1217=D1217))&gt;1,0,1)</f>
        <v>0</v>
      </c>
    </row>
    <row r="1218" spans="1:16" hidden="1" x14ac:dyDescent="0.35">
      <c r="A1218" t="s">
        <v>161</v>
      </c>
      <c r="B1218">
        <v>2016</v>
      </c>
      <c r="C1218" s="1" t="s">
        <v>163</v>
      </c>
      <c r="D1218" s="7" t="s">
        <v>167</v>
      </c>
      <c r="E1218">
        <f>INT(Table2[[#This Row],[Transect]])</f>
        <v>2</v>
      </c>
      <c r="F1218" s="1" t="s">
        <v>10</v>
      </c>
      <c r="G1218">
        <v>2</v>
      </c>
      <c r="H1218">
        <v>200</v>
      </c>
      <c r="I1218">
        <v>100</v>
      </c>
      <c r="J1218">
        <f>Table2[[#This Row],[Hits]]/Table2[[#This Row],[Points]]*100</f>
        <v>1</v>
      </c>
      <c r="K1218">
        <f>VLOOKUP(Table2[[#This Row],[Site]],'Site Info'!$A$1:$C$11,2, FALSE)</f>
        <v>17.7</v>
      </c>
      <c r="L1218">
        <f>VLOOKUP(Table2[[#This Row],[Site]],'Site Info'!$A$1:$C$11,3, FALSE)</f>
        <v>10</v>
      </c>
      <c r="M1218" t="str">
        <f>VLOOKUP(Table2[[#This Row],[Species]],'Species Table'!$A$1:$D$68,3, FALSE)</f>
        <v>Annual</v>
      </c>
      <c r="O1218" s="15">
        <f>IF(SUMPRODUCT(($A$2:$A1218=A1218)*($B$2:$B1218=B1218)*($F$2:$F1218=F1218))&gt;1,0,1)</f>
        <v>0</v>
      </c>
      <c r="P1218" s="15">
        <f>IF(SUMPRODUCT(($A$2:$A1218=A1218)*($B$2:$B1218=B1218)*($D$2:$D1218=D1218))&gt;1,0,1)</f>
        <v>1</v>
      </c>
    </row>
    <row r="1219" spans="1:16" x14ac:dyDescent="0.35">
      <c r="A1219" t="s">
        <v>161</v>
      </c>
      <c r="B1219">
        <v>2016</v>
      </c>
      <c r="C1219" s="1" t="s">
        <v>163</v>
      </c>
      <c r="D1219" s="7" t="s">
        <v>167</v>
      </c>
      <c r="E1219">
        <f>INT(Table2[[#This Row],[Transect]])</f>
        <v>2</v>
      </c>
      <c r="F1219" s="1" t="s">
        <v>11</v>
      </c>
      <c r="G1219">
        <v>2</v>
      </c>
      <c r="H1219">
        <v>200</v>
      </c>
      <c r="I1219">
        <v>100</v>
      </c>
      <c r="J1219">
        <f>Table2[[#This Row],[Hits]]/Table2[[#This Row],[Points]]*100</f>
        <v>1</v>
      </c>
      <c r="K1219">
        <f>VLOOKUP(Table2[[#This Row],[Site]],'Site Info'!$A$1:$C$11,2, FALSE)</f>
        <v>17.7</v>
      </c>
      <c r="L1219">
        <f>VLOOKUP(Table2[[#This Row],[Site]],'Site Info'!$A$1:$C$11,3, FALSE)</f>
        <v>10</v>
      </c>
      <c r="M1219" t="str">
        <f>VLOOKUP(Table2[[#This Row],[Species]],'Species Table'!$A$1:$D$68,3, FALSE)</f>
        <v>Perennial</v>
      </c>
      <c r="O1219" s="15">
        <f>IF(SUMPRODUCT(($A$2:$A1219=A1219)*($B$2:$B1219=B1219)*($F$2:$F1219=F1219))&gt;1,0,1)</f>
        <v>0</v>
      </c>
      <c r="P1219" s="15">
        <f>IF(SUMPRODUCT(($A$2:$A1219=A1219)*($B$2:$B1219=B1219)*($D$2:$D1219=D1219))&gt;1,0,1)</f>
        <v>0</v>
      </c>
    </row>
    <row r="1220" spans="1:16" x14ac:dyDescent="0.35">
      <c r="A1220" t="s">
        <v>161</v>
      </c>
      <c r="B1220">
        <v>2016</v>
      </c>
      <c r="C1220" s="1" t="s">
        <v>43</v>
      </c>
      <c r="D1220" s="7">
        <v>2.1</v>
      </c>
      <c r="E1220">
        <f>INT(Table2[[#This Row],[Transect]])</f>
        <v>2</v>
      </c>
      <c r="F1220" s="1" t="s">
        <v>11</v>
      </c>
      <c r="G1220">
        <v>10</v>
      </c>
      <c r="H1220">
        <v>149</v>
      </c>
      <c r="I1220">
        <v>74.5</v>
      </c>
      <c r="J1220">
        <f>Table2[[#This Row],[Hits]]/Table2[[#This Row],[Points]]*100</f>
        <v>6.7114093959731544</v>
      </c>
      <c r="K1220">
        <f>VLOOKUP(Table2[[#This Row],[Site]],'Site Info'!$A$1:$C$11,2, FALSE)</f>
        <v>17.7</v>
      </c>
      <c r="L1220">
        <f>VLOOKUP(Table2[[#This Row],[Site]],'Site Info'!$A$1:$C$11,3, FALSE)</f>
        <v>10</v>
      </c>
      <c r="M1220" t="str">
        <f>VLOOKUP(Table2[[#This Row],[Species]],'Species Table'!$A$1:$D$68,3, FALSE)</f>
        <v>Perennial</v>
      </c>
      <c r="O1220" s="15">
        <f>IF(SUMPRODUCT(($A$2:$A1220=A1220)*($B$2:$B1220=B1220)*($F$2:$F1220=F1220))&gt;1,0,1)</f>
        <v>0</v>
      </c>
      <c r="P1220" s="15">
        <f>IF(SUMPRODUCT(($A$2:$A1220=A1220)*($B$2:$B1220=B1220)*($D$2:$D1220=D1220))&gt;1,0,1)</f>
        <v>1</v>
      </c>
    </row>
    <row r="1221" spans="1:16" hidden="1" x14ac:dyDescent="0.35">
      <c r="A1221" t="s">
        <v>161</v>
      </c>
      <c r="B1221">
        <v>2016</v>
      </c>
      <c r="C1221" s="1" t="s">
        <v>43</v>
      </c>
      <c r="D1221" s="7">
        <v>2.1</v>
      </c>
      <c r="E1221">
        <f>INT(Table2[[#This Row],[Transect]])</f>
        <v>2</v>
      </c>
      <c r="F1221" s="1" t="s">
        <v>10</v>
      </c>
      <c r="G1221">
        <v>1</v>
      </c>
      <c r="H1221">
        <v>149</v>
      </c>
      <c r="I1221">
        <v>74.5</v>
      </c>
      <c r="J1221">
        <f>Table2[[#This Row],[Hits]]/Table2[[#This Row],[Points]]*100</f>
        <v>0.67114093959731547</v>
      </c>
      <c r="K1221">
        <f>VLOOKUP(Table2[[#This Row],[Site]],'Site Info'!$A$1:$C$11,2, FALSE)</f>
        <v>17.7</v>
      </c>
      <c r="L1221">
        <f>VLOOKUP(Table2[[#This Row],[Site]],'Site Info'!$A$1:$C$11,3, FALSE)</f>
        <v>10</v>
      </c>
      <c r="M1221" t="str">
        <f>VLOOKUP(Table2[[#This Row],[Species]],'Species Table'!$A$1:$D$68,3, FALSE)</f>
        <v>Annual</v>
      </c>
      <c r="O1221" s="15">
        <f>IF(SUMPRODUCT(($A$2:$A1221=A1221)*($B$2:$B1221=B1221)*($F$2:$F1221=F1221))&gt;1,0,1)</f>
        <v>0</v>
      </c>
      <c r="P1221" s="15">
        <f>IF(SUMPRODUCT(($A$2:$A1221=A1221)*($B$2:$B1221=B1221)*($D$2:$D1221=D1221))&gt;1,0,1)</f>
        <v>0</v>
      </c>
    </row>
    <row r="1222" spans="1:16" hidden="1" x14ac:dyDescent="0.35">
      <c r="A1222" t="s">
        <v>161</v>
      </c>
      <c r="B1222">
        <v>2016</v>
      </c>
      <c r="C1222" s="1" t="s">
        <v>164</v>
      </c>
      <c r="D1222" s="7" t="s">
        <v>168</v>
      </c>
      <c r="E1222">
        <f>INT(Table2[[#This Row],[Transect]])</f>
        <v>3</v>
      </c>
      <c r="F1222" s="1" t="s">
        <v>10</v>
      </c>
      <c r="G1222">
        <v>9</v>
      </c>
      <c r="H1222">
        <v>200</v>
      </c>
      <c r="I1222">
        <v>100</v>
      </c>
      <c r="J1222">
        <f>Table2[[#This Row],[Hits]]/Table2[[#This Row],[Points]]*100</f>
        <v>4.5</v>
      </c>
      <c r="K1222">
        <f>VLOOKUP(Table2[[#This Row],[Site]],'Site Info'!$A$1:$C$11,2, FALSE)</f>
        <v>17.7</v>
      </c>
      <c r="L1222">
        <f>VLOOKUP(Table2[[#This Row],[Site]],'Site Info'!$A$1:$C$11,3, FALSE)</f>
        <v>10</v>
      </c>
      <c r="M1222" t="str">
        <f>VLOOKUP(Table2[[#This Row],[Species]],'Species Table'!$A$1:$D$68,3, FALSE)</f>
        <v>Annual</v>
      </c>
      <c r="O1222" s="15">
        <f>IF(SUMPRODUCT(($A$2:$A1222=A1222)*($B$2:$B1222=B1222)*($F$2:$F1222=F1222))&gt;1,0,1)</f>
        <v>0</v>
      </c>
      <c r="P1222" s="15">
        <f>IF(SUMPRODUCT(($A$2:$A1222=A1222)*($B$2:$B1222=B1222)*($D$2:$D1222=D1222))&gt;1,0,1)</f>
        <v>1</v>
      </c>
    </row>
    <row r="1223" spans="1:16" hidden="1" x14ac:dyDescent="0.35">
      <c r="A1223" t="s">
        <v>161</v>
      </c>
      <c r="B1223">
        <v>2016</v>
      </c>
      <c r="C1223" s="1" t="s">
        <v>50</v>
      </c>
      <c r="D1223" s="7">
        <v>3.1</v>
      </c>
      <c r="E1223">
        <f>INT(Table2[[#This Row],[Transect]])</f>
        <v>3</v>
      </c>
      <c r="F1223" s="1" t="s">
        <v>10</v>
      </c>
      <c r="G1223">
        <v>10</v>
      </c>
      <c r="H1223">
        <v>119</v>
      </c>
      <c r="I1223">
        <v>59.5</v>
      </c>
      <c r="J1223">
        <f>Table2[[#This Row],[Hits]]/Table2[[#This Row],[Points]]*100</f>
        <v>8.4033613445378155</v>
      </c>
      <c r="K1223">
        <f>VLOOKUP(Table2[[#This Row],[Site]],'Site Info'!$A$1:$C$11,2, FALSE)</f>
        <v>17.7</v>
      </c>
      <c r="L1223">
        <f>VLOOKUP(Table2[[#This Row],[Site]],'Site Info'!$A$1:$C$11,3, FALSE)</f>
        <v>10</v>
      </c>
      <c r="M1223" t="str">
        <f>VLOOKUP(Table2[[#This Row],[Species]],'Species Table'!$A$1:$D$68,3, FALSE)</f>
        <v>Annual</v>
      </c>
      <c r="O1223" s="15">
        <f>IF(SUMPRODUCT(($A$2:$A1223=A1223)*($B$2:$B1223=B1223)*($F$2:$F1223=F1223))&gt;1,0,1)</f>
        <v>0</v>
      </c>
      <c r="P1223" s="15">
        <f>IF(SUMPRODUCT(($A$2:$A1223=A1223)*($B$2:$B1223=B1223)*($D$2:$D1223=D1223))&gt;1,0,1)</f>
        <v>1</v>
      </c>
    </row>
    <row r="1224" spans="1:16" hidden="1" x14ac:dyDescent="0.35">
      <c r="A1224" t="s">
        <v>161</v>
      </c>
      <c r="B1224">
        <v>2016</v>
      </c>
      <c r="C1224" s="1" t="s">
        <v>165</v>
      </c>
      <c r="D1224" s="7" t="s">
        <v>169</v>
      </c>
      <c r="E1224">
        <f>INT(Table2[[#This Row],[Transect]])</f>
        <v>4</v>
      </c>
      <c r="F1224" s="1" t="s">
        <v>10</v>
      </c>
      <c r="G1224">
        <v>22</v>
      </c>
      <c r="H1224">
        <v>200</v>
      </c>
      <c r="I1224">
        <v>100</v>
      </c>
      <c r="J1224">
        <f>Table2[[#This Row],[Hits]]/Table2[[#This Row],[Points]]*100</f>
        <v>11</v>
      </c>
      <c r="K1224">
        <f>VLOOKUP(Table2[[#This Row],[Site]],'Site Info'!$A$1:$C$11,2, FALSE)</f>
        <v>17.7</v>
      </c>
      <c r="L1224">
        <f>VLOOKUP(Table2[[#This Row],[Site]],'Site Info'!$A$1:$C$11,3, FALSE)</f>
        <v>10</v>
      </c>
      <c r="M1224" t="str">
        <f>VLOOKUP(Table2[[#This Row],[Species]],'Species Table'!$A$1:$D$68,3, FALSE)</f>
        <v>Annual</v>
      </c>
      <c r="O1224" s="15">
        <f>IF(SUMPRODUCT(($A$2:$A1224=A1224)*($B$2:$B1224=B1224)*($F$2:$F1224=F1224))&gt;1,0,1)</f>
        <v>0</v>
      </c>
      <c r="P1224" s="15">
        <f>IF(SUMPRODUCT(($A$2:$A1224=A1224)*($B$2:$B1224=B1224)*($D$2:$D1224=D1224))&gt;1,0,1)</f>
        <v>1</v>
      </c>
    </row>
    <row r="1225" spans="1:16" hidden="1" x14ac:dyDescent="0.35">
      <c r="A1225" t="s">
        <v>161</v>
      </c>
      <c r="B1225">
        <v>2016</v>
      </c>
      <c r="C1225" s="1" t="s">
        <v>55</v>
      </c>
      <c r="D1225" s="7">
        <v>4.0999999999999996</v>
      </c>
      <c r="E1225">
        <f>INT(Table2[[#This Row],[Transect]])</f>
        <v>4</v>
      </c>
      <c r="F1225" s="1" t="s">
        <v>10</v>
      </c>
      <c r="G1225">
        <v>6</v>
      </c>
      <c r="H1225">
        <v>92</v>
      </c>
      <c r="I1225">
        <v>46</v>
      </c>
      <c r="J1225">
        <f>Table2[[#This Row],[Hits]]/Table2[[#This Row],[Points]]*100</f>
        <v>6.5217391304347823</v>
      </c>
      <c r="K1225">
        <f>VLOOKUP(Table2[[#This Row],[Site]],'Site Info'!$A$1:$C$11,2, FALSE)</f>
        <v>17.7</v>
      </c>
      <c r="L1225">
        <f>VLOOKUP(Table2[[#This Row],[Site]],'Site Info'!$A$1:$C$11,3, FALSE)</f>
        <v>10</v>
      </c>
      <c r="M1225" t="str">
        <f>VLOOKUP(Table2[[#This Row],[Species]],'Species Table'!$A$1:$D$68,3, FALSE)</f>
        <v>Annual</v>
      </c>
      <c r="O1225" s="15">
        <f>IF(SUMPRODUCT(($A$2:$A1225=A1225)*($B$2:$B1225=B1225)*($F$2:$F1225=F1225))&gt;1,0,1)</f>
        <v>0</v>
      </c>
      <c r="P1225" s="15">
        <f>IF(SUMPRODUCT(($A$2:$A1225=A1225)*($B$2:$B1225=B1225)*($D$2:$D1225=D1225))&gt;1,0,1)</f>
        <v>1</v>
      </c>
    </row>
    <row r="1226" spans="1:16" x14ac:dyDescent="0.35">
      <c r="A1226" t="s">
        <v>18</v>
      </c>
      <c r="B1226">
        <v>2016</v>
      </c>
      <c r="C1226" s="1" t="s">
        <v>37</v>
      </c>
      <c r="D1226">
        <v>1.1000000000000001</v>
      </c>
      <c r="E1226">
        <f>INT(Table2[[#This Row],[Transect]])</f>
        <v>1</v>
      </c>
      <c r="F1226" s="1" t="s">
        <v>11</v>
      </c>
      <c r="G1226">
        <v>20</v>
      </c>
      <c r="H1226">
        <v>200</v>
      </c>
      <c r="I1226">
        <v>100</v>
      </c>
      <c r="J1226">
        <f>Table2[[#This Row],[Hits]]/Table2[[#This Row],[Points]]*100</f>
        <v>10</v>
      </c>
      <c r="K1226">
        <f>VLOOKUP(Table2[[#This Row],[Site]],'Site Info'!$A$1:$C$11,2, FALSE)</f>
        <v>15</v>
      </c>
      <c r="L1226">
        <f>VLOOKUP(Table2[[#This Row],[Site]],'Site Info'!$A$1:$C$11,3, FALSE)</f>
        <v>12</v>
      </c>
      <c r="M1226" t="str">
        <f>VLOOKUP(Table2[[#This Row],[Species]],'Species Table'!$A$1:$D$68,3, FALSE)</f>
        <v>Perennial</v>
      </c>
      <c r="O1226" s="15">
        <f>IF(SUMPRODUCT(($A$2:$A1226=A1226)*($B$2:$B1226=B1226)*($F$2:$F1226=F1226))&gt;1,0,1)</f>
        <v>1</v>
      </c>
      <c r="P1226" s="15">
        <f>IF(SUMPRODUCT(($A$2:$A1226=A1226)*($B$2:$B1226=B1226)*($D$2:$D1226=D1226))&gt;1,0,1)</f>
        <v>1</v>
      </c>
    </row>
    <row r="1227" spans="1:16" hidden="1" x14ac:dyDescent="0.35">
      <c r="A1227" t="s">
        <v>18</v>
      </c>
      <c r="B1227">
        <v>2016</v>
      </c>
      <c r="C1227" s="1" t="s">
        <v>37</v>
      </c>
      <c r="D1227">
        <v>1.1000000000000001</v>
      </c>
      <c r="E1227">
        <f>INT(Table2[[#This Row],[Transect]])</f>
        <v>1</v>
      </c>
      <c r="F1227" s="1" t="s">
        <v>10</v>
      </c>
      <c r="G1227">
        <v>13</v>
      </c>
      <c r="H1227">
        <v>200</v>
      </c>
      <c r="I1227">
        <v>100</v>
      </c>
      <c r="J1227">
        <f>Table2[[#This Row],[Hits]]/Table2[[#This Row],[Points]]*100</f>
        <v>6.5</v>
      </c>
      <c r="K1227">
        <f>VLOOKUP(Table2[[#This Row],[Site]],'Site Info'!$A$1:$C$11,2, FALSE)</f>
        <v>15</v>
      </c>
      <c r="L1227">
        <f>VLOOKUP(Table2[[#This Row],[Site]],'Site Info'!$A$1:$C$11,3, FALSE)</f>
        <v>12</v>
      </c>
      <c r="M1227" t="str">
        <f>VLOOKUP(Table2[[#This Row],[Species]],'Species Table'!$A$1:$D$68,3, FALSE)</f>
        <v>Annual</v>
      </c>
      <c r="O1227" s="15">
        <f>IF(SUMPRODUCT(($A$2:$A1227=A1227)*($B$2:$B1227=B1227)*($F$2:$F1227=F1227))&gt;1,0,1)</f>
        <v>1</v>
      </c>
      <c r="P1227" s="15">
        <f>IF(SUMPRODUCT(($A$2:$A1227=A1227)*($B$2:$B1227=B1227)*($D$2:$D1227=D1227))&gt;1,0,1)</f>
        <v>0</v>
      </c>
    </row>
    <row r="1228" spans="1:16" x14ac:dyDescent="0.35">
      <c r="A1228" t="s">
        <v>18</v>
      </c>
      <c r="B1228">
        <v>2016</v>
      </c>
      <c r="C1228" s="1" t="s">
        <v>38</v>
      </c>
      <c r="D1228">
        <v>1.2</v>
      </c>
      <c r="E1228">
        <f>INT(Table2[[#This Row],[Transect]])</f>
        <v>1</v>
      </c>
      <c r="F1228" s="1" t="s">
        <v>11</v>
      </c>
      <c r="G1228">
        <v>10</v>
      </c>
      <c r="H1228">
        <v>200</v>
      </c>
      <c r="I1228">
        <v>100</v>
      </c>
      <c r="J1228">
        <f>Table2[[#This Row],[Hits]]/Table2[[#This Row],[Points]]*100</f>
        <v>5</v>
      </c>
      <c r="K1228">
        <f>VLOOKUP(Table2[[#This Row],[Site]],'Site Info'!$A$1:$C$11,2, FALSE)</f>
        <v>15</v>
      </c>
      <c r="L1228">
        <f>VLOOKUP(Table2[[#This Row],[Site]],'Site Info'!$A$1:$C$11,3, FALSE)</f>
        <v>12</v>
      </c>
      <c r="M1228" t="str">
        <f>VLOOKUP(Table2[[#This Row],[Species]],'Species Table'!$A$1:$D$68,3, FALSE)</f>
        <v>Perennial</v>
      </c>
      <c r="O1228" s="15">
        <f>IF(SUMPRODUCT(($A$2:$A1228=A1228)*($B$2:$B1228=B1228)*($F$2:$F1228=F1228))&gt;1,0,1)</f>
        <v>0</v>
      </c>
      <c r="P1228" s="15">
        <f>IF(SUMPRODUCT(($A$2:$A1228=A1228)*($B$2:$B1228=B1228)*($D$2:$D1228=D1228))&gt;1,0,1)</f>
        <v>1</v>
      </c>
    </row>
    <row r="1229" spans="1:16" hidden="1" x14ac:dyDescent="0.35">
      <c r="A1229" t="s">
        <v>18</v>
      </c>
      <c r="B1229">
        <v>2016</v>
      </c>
      <c r="C1229" s="1" t="s">
        <v>38</v>
      </c>
      <c r="D1229">
        <v>1.2</v>
      </c>
      <c r="E1229">
        <f>INT(Table2[[#This Row],[Transect]])</f>
        <v>1</v>
      </c>
      <c r="F1229" s="1" t="s">
        <v>10</v>
      </c>
      <c r="G1229">
        <v>16</v>
      </c>
      <c r="H1229">
        <v>200</v>
      </c>
      <c r="I1229">
        <v>100</v>
      </c>
      <c r="J1229">
        <f>Table2[[#This Row],[Hits]]/Table2[[#This Row],[Points]]*100</f>
        <v>8</v>
      </c>
      <c r="K1229">
        <f>VLOOKUP(Table2[[#This Row],[Site]],'Site Info'!$A$1:$C$11,2, FALSE)</f>
        <v>15</v>
      </c>
      <c r="L1229">
        <f>VLOOKUP(Table2[[#This Row],[Site]],'Site Info'!$A$1:$C$11,3, FALSE)</f>
        <v>12</v>
      </c>
      <c r="M1229" t="str">
        <f>VLOOKUP(Table2[[#This Row],[Species]],'Species Table'!$A$1:$D$68,3, FALSE)</f>
        <v>Annual</v>
      </c>
      <c r="O1229" s="15">
        <f>IF(SUMPRODUCT(($A$2:$A1229=A1229)*($B$2:$B1229=B1229)*($F$2:$F1229=F1229))&gt;1,0,1)</f>
        <v>0</v>
      </c>
      <c r="P1229" s="15">
        <f>IF(SUMPRODUCT(($A$2:$A1229=A1229)*($B$2:$B1229=B1229)*($D$2:$D1229=D1229))&gt;1,0,1)</f>
        <v>0</v>
      </c>
    </row>
    <row r="1230" spans="1:16" x14ac:dyDescent="0.35">
      <c r="A1230" t="s">
        <v>18</v>
      </c>
      <c r="B1230">
        <v>2016</v>
      </c>
      <c r="C1230" s="1" t="s">
        <v>83</v>
      </c>
      <c r="D1230">
        <v>1.3</v>
      </c>
      <c r="E1230">
        <f>INT(Table2[[#This Row],[Transect]])</f>
        <v>1</v>
      </c>
      <c r="F1230" s="1" t="s">
        <v>11</v>
      </c>
      <c r="G1230">
        <v>17</v>
      </c>
      <c r="H1230">
        <v>200</v>
      </c>
      <c r="I1230">
        <v>100</v>
      </c>
      <c r="J1230">
        <f>Table2[[#This Row],[Hits]]/Table2[[#This Row],[Points]]*100</f>
        <v>8.5</v>
      </c>
      <c r="K1230">
        <f>VLOOKUP(Table2[[#This Row],[Site]],'Site Info'!$A$1:$C$11,2, FALSE)</f>
        <v>15</v>
      </c>
      <c r="L1230">
        <f>VLOOKUP(Table2[[#This Row],[Site]],'Site Info'!$A$1:$C$11,3, FALSE)</f>
        <v>12</v>
      </c>
      <c r="M1230" t="str">
        <f>VLOOKUP(Table2[[#This Row],[Species]],'Species Table'!$A$1:$D$68,3, FALSE)</f>
        <v>Perennial</v>
      </c>
      <c r="O1230" s="15">
        <f>IF(SUMPRODUCT(($A$2:$A1230=A1230)*($B$2:$B1230=B1230)*($F$2:$F1230=F1230))&gt;1,0,1)</f>
        <v>0</v>
      </c>
      <c r="P1230" s="15">
        <f>IF(SUMPRODUCT(($A$2:$A1230=A1230)*($B$2:$B1230=B1230)*($D$2:$D1230=D1230))&gt;1,0,1)</f>
        <v>1</v>
      </c>
    </row>
    <row r="1231" spans="1:16" hidden="1" x14ac:dyDescent="0.35">
      <c r="A1231" t="s">
        <v>18</v>
      </c>
      <c r="B1231">
        <v>2016</v>
      </c>
      <c r="C1231" s="1" t="s">
        <v>83</v>
      </c>
      <c r="D1231">
        <v>1.3</v>
      </c>
      <c r="E1231">
        <f>INT(Table2[[#This Row],[Transect]])</f>
        <v>1</v>
      </c>
      <c r="F1231" s="1" t="s">
        <v>10</v>
      </c>
      <c r="G1231">
        <v>10</v>
      </c>
      <c r="H1231">
        <v>200</v>
      </c>
      <c r="I1231">
        <v>100</v>
      </c>
      <c r="J1231">
        <f>Table2[[#This Row],[Hits]]/Table2[[#This Row],[Points]]*100</f>
        <v>5</v>
      </c>
      <c r="K1231">
        <f>VLOOKUP(Table2[[#This Row],[Site]],'Site Info'!$A$1:$C$11,2, FALSE)</f>
        <v>15</v>
      </c>
      <c r="L1231">
        <f>VLOOKUP(Table2[[#This Row],[Site]],'Site Info'!$A$1:$C$11,3, FALSE)</f>
        <v>12</v>
      </c>
      <c r="M1231" t="str">
        <f>VLOOKUP(Table2[[#This Row],[Species]],'Species Table'!$A$1:$D$68,3, FALSE)</f>
        <v>Annual</v>
      </c>
      <c r="O1231" s="15">
        <f>IF(SUMPRODUCT(($A$2:$A1231=A1231)*($B$2:$B1231=B1231)*($F$2:$F1231=F1231))&gt;1,0,1)</f>
        <v>0</v>
      </c>
      <c r="P1231" s="15">
        <f>IF(SUMPRODUCT(($A$2:$A1231=A1231)*($B$2:$B1231=B1231)*($D$2:$D1231=D1231))&gt;1,0,1)</f>
        <v>0</v>
      </c>
    </row>
    <row r="1232" spans="1:16" x14ac:dyDescent="0.35">
      <c r="A1232" t="s">
        <v>18</v>
      </c>
      <c r="B1232">
        <v>2016</v>
      </c>
      <c r="C1232" s="1" t="s">
        <v>39</v>
      </c>
      <c r="D1232">
        <v>1.4</v>
      </c>
      <c r="E1232">
        <f>INT(Table2[[#This Row],[Transect]])</f>
        <v>1</v>
      </c>
      <c r="F1232" s="1" t="s">
        <v>11</v>
      </c>
      <c r="G1232">
        <v>34</v>
      </c>
      <c r="H1232">
        <v>200</v>
      </c>
      <c r="I1232">
        <v>100</v>
      </c>
      <c r="J1232">
        <f>Table2[[#This Row],[Hits]]/Table2[[#This Row],[Points]]*100</f>
        <v>17</v>
      </c>
      <c r="K1232">
        <f>VLOOKUP(Table2[[#This Row],[Site]],'Site Info'!$A$1:$C$11,2, FALSE)</f>
        <v>15</v>
      </c>
      <c r="L1232">
        <f>VLOOKUP(Table2[[#This Row],[Site]],'Site Info'!$A$1:$C$11,3, FALSE)</f>
        <v>12</v>
      </c>
      <c r="M1232" t="str">
        <f>VLOOKUP(Table2[[#This Row],[Species]],'Species Table'!$A$1:$D$68,3, FALSE)</f>
        <v>Perennial</v>
      </c>
      <c r="O1232" s="15">
        <f>IF(SUMPRODUCT(($A$2:$A1232=A1232)*($B$2:$B1232=B1232)*($F$2:$F1232=F1232))&gt;1,0,1)</f>
        <v>0</v>
      </c>
      <c r="P1232" s="15">
        <f>IF(SUMPRODUCT(($A$2:$A1232=A1232)*($B$2:$B1232=B1232)*($D$2:$D1232=D1232))&gt;1,0,1)</f>
        <v>1</v>
      </c>
    </row>
    <row r="1233" spans="1:16" hidden="1" x14ac:dyDescent="0.35">
      <c r="A1233" t="s">
        <v>18</v>
      </c>
      <c r="B1233">
        <v>2016</v>
      </c>
      <c r="C1233" s="1" t="s">
        <v>39</v>
      </c>
      <c r="D1233">
        <v>1.4</v>
      </c>
      <c r="E1233">
        <f>INT(Table2[[#This Row],[Transect]])</f>
        <v>1</v>
      </c>
      <c r="F1233" s="1" t="s">
        <v>10</v>
      </c>
      <c r="G1233">
        <v>6</v>
      </c>
      <c r="H1233">
        <v>200</v>
      </c>
      <c r="I1233">
        <v>100</v>
      </c>
      <c r="J1233">
        <f>Table2[[#This Row],[Hits]]/Table2[[#This Row],[Points]]*100</f>
        <v>3</v>
      </c>
      <c r="K1233">
        <f>VLOOKUP(Table2[[#This Row],[Site]],'Site Info'!$A$1:$C$11,2, FALSE)</f>
        <v>15</v>
      </c>
      <c r="L1233">
        <f>VLOOKUP(Table2[[#This Row],[Site]],'Site Info'!$A$1:$C$11,3, FALSE)</f>
        <v>12</v>
      </c>
      <c r="M1233" t="str">
        <f>VLOOKUP(Table2[[#This Row],[Species]],'Species Table'!$A$1:$D$68,3, FALSE)</f>
        <v>Annual</v>
      </c>
      <c r="O1233" s="15">
        <f>IF(SUMPRODUCT(($A$2:$A1233=A1233)*($B$2:$B1233=B1233)*($F$2:$F1233=F1233))&gt;1,0,1)</f>
        <v>0</v>
      </c>
      <c r="P1233" s="15">
        <f>IF(SUMPRODUCT(($A$2:$A1233=A1233)*($B$2:$B1233=B1233)*($D$2:$D1233=D1233))&gt;1,0,1)</f>
        <v>0</v>
      </c>
    </row>
    <row r="1234" spans="1:16" x14ac:dyDescent="0.35">
      <c r="A1234" t="s">
        <v>18</v>
      </c>
      <c r="B1234">
        <v>2016</v>
      </c>
      <c r="C1234" s="1" t="s">
        <v>84</v>
      </c>
      <c r="D1234">
        <v>1.5</v>
      </c>
      <c r="E1234">
        <f>INT(Table2[[#This Row],[Transect]])</f>
        <v>1</v>
      </c>
      <c r="F1234" s="1" t="s">
        <v>11</v>
      </c>
      <c r="G1234">
        <v>18</v>
      </c>
      <c r="H1234">
        <v>200</v>
      </c>
      <c r="I1234">
        <v>100</v>
      </c>
      <c r="J1234">
        <f>Table2[[#This Row],[Hits]]/Table2[[#This Row],[Points]]*100</f>
        <v>9</v>
      </c>
      <c r="K1234">
        <f>VLOOKUP(Table2[[#This Row],[Site]],'Site Info'!$A$1:$C$11,2, FALSE)</f>
        <v>15</v>
      </c>
      <c r="L1234">
        <f>VLOOKUP(Table2[[#This Row],[Site]],'Site Info'!$A$1:$C$11,3, FALSE)</f>
        <v>12</v>
      </c>
      <c r="M1234" t="str">
        <f>VLOOKUP(Table2[[#This Row],[Species]],'Species Table'!$A$1:$D$68,3, FALSE)</f>
        <v>Perennial</v>
      </c>
      <c r="O1234" s="15">
        <f>IF(SUMPRODUCT(($A$2:$A1234=A1234)*($B$2:$B1234=B1234)*($F$2:$F1234=F1234))&gt;1,0,1)</f>
        <v>0</v>
      </c>
      <c r="P1234" s="15">
        <f>IF(SUMPRODUCT(($A$2:$A1234=A1234)*($B$2:$B1234=B1234)*($D$2:$D1234=D1234))&gt;1,0,1)</f>
        <v>1</v>
      </c>
    </row>
    <row r="1235" spans="1:16" hidden="1" x14ac:dyDescent="0.35">
      <c r="A1235" t="s">
        <v>18</v>
      </c>
      <c r="B1235">
        <v>2016</v>
      </c>
      <c r="C1235" s="1" t="s">
        <v>84</v>
      </c>
      <c r="D1235">
        <v>1.5</v>
      </c>
      <c r="E1235">
        <f>INT(Table2[[#This Row],[Transect]])</f>
        <v>1</v>
      </c>
      <c r="F1235" s="1" t="s">
        <v>10</v>
      </c>
      <c r="G1235">
        <v>8</v>
      </c>
      <c r="H1235">
        <v>200</v>
      </c>
      <c r="I1235">
        <v>100</v>
      </c>
      <c r="J1235">
        <f>Table2[[#This Row],[Hits]]/Table2[[#This Row],[Points]]*100</f>
        <v>4</v>
      </c>
      <c r="K1235">
        <f>VLOOKUP(Table2[[#This Row],[Site]],'Site Info'!$A$1:$C$11,2, FALSE)</f>
        <v>15</v>
      </c>
      <c r="L1235">
        <f>VLOOKUP(Table2[[#This Row],[Site]],'Site Info'!$A$1:$C$11,3, FALSE)</f>
        <v>12</v>
      </c>
      <c r="M1235" t="str">
        <f>VLOOKUP(Table2[[#This Row],[Species]],'Species Table'!$A$1:$D$68,3, FALSE)</f>
        <v>Annual</v>
      </c>
      <c r="O1235" s="15">
        <f>IF(SUMPRODUCT(($A$2:$A1235=A1235)*($B$2:$B1235=B1235)*($F$2:$F1235=F1235))&gt;1,0,1)</f>
        <v>0</v>
      </c>
      <c r="P1235" s="15">
        <f>IF(SUMPRODUCT(($A$2:$A1235=A1235)*($B$2:$B1235=B1235)*($D$2:$D1235=D1235))&gt;1,0,1)</f>
        <v>0</v>
      </c>
    </row>
    <row r="1236" spans="1:16" x14ac:dyDescent="0.35">
      <c r="A1236" t="s">
        <v>18</v>
      </c>
      <c r="B1236">
        <v>2016</v>
      </c>
      <c r="C1236" s="1" t="s">
        <v>43</v>
      </c>
      <c r="D1236">
        <v>2.1</v>
      </c>
      <c r="E1236">
        <f>INT(Table2[[#This Row],[Transect]])</f>
        <v>2</v>
      </c>
      <c r="F1236" s="1" t="s">
        <v>11</v>
      </c>
      <c r="G1236">
        <v>10</v>
      </c>
      <c r="H1236">
        <v>200</v>
      </c>
      <c r="I1236">
        <v>100</v>
      </c>
      <c r="J1236">
        <f>Table2[[#This Row],[Hits]]/Table2[[#This Row],[Points]]*100</f>
        <v>5</v>
      </c>
      <c r="K1236">
        <f>VLOOKUP(Table2[[#This Row],[Site]],'Site Info'!$A$1:$C$11,2, FALSE)</f>
        <v>15</v>
      </c>
      <c r="L1236">
        <f>VLOOKUP(Table2[[#This Row],[Site]],'Site Info'!$A$1:$C$11,3, FALSE)</f>
        <v>12</v>
      </c>
      <c r="M1236" t="str">
        <f>VLOOKUP(Table2[[#This Row],[Species]],'Species Table'!$A$1:$D$68,3, FALSE)</f>
        <v>Perennial</v>
      </c>
      <c r="O1236" s="15">
        <f>IF(SUMPRODUCT(($A$2:$A1236=A1236)*($B$2:$B1236=B1236)*($F$2:$F1236=F1236))&gt;1,0,1)</f>
        <v>0</v>
      </c>
      <c r="P1236" s="15">
        <f>IF(SUMPRODUCT(($A$2:$A1236=A1236)*($B$2:$B1236=B1236)*($D$2:$D1236=D1236))&gt;1,0,1)</f>
        <v>1</v>
      </c>
    </row>
    <row r="1237" spans="1:16" hidden="1" x14ac:dyDescent="0.35">
      <c r="A1237" t="s">
        <v>18</v>
      </c>
      <c r="B1237">
        <v>2016</v>
      </c>
      <c r="C1237" s="1" t="s">
        <v>43</v>
      </c>
      <c r="D1237">
        <v>2.1</v>
      </c>
      <c r="E1237">
        <f>INT(Table2[[#This Row],[Transect]])</f>
        <v>2</v>
      </c>
      <c r="F1237" s="1" t="s">
        <v>10</v>
      </c>
      <c r="G1237">
        <v>9</v>
      </c>
      <c r="H1237">
        <v>200</v>
      </c>
      <c r="I1237">
        <v>100</v>
      </c>
      <c r="J1237">
        <f>Table2[[#This Row],[Hits]]/Table2[[#This Row],[Points]]*100</f>
        <v>4.5</v>
      </c>
      <c r="K1237">
        <f>VLOOKUP(Table2[[#This Row],[Site]],'Site Info'!$A$1:$C$11,2, FALSE)</f>
        <v>15</v>
      </c>
      <c r="L1237">
        <f>VLOOKUP(Table2[[#This Row],[Site]],'Site Info'!$A$1:$C$11,3, FALSE)</f>
        <v>12</v>
      </c>
      <c r="M1237" t="str">
        <f>VLOOKUP(Table2[[#This Row],[Species]],'Species Table'!$A$1:$D$68,3, FALSE)</f>
        <v>Annual</v>
      </c>
      <c r="O1237" s="15">
        <f>IF(SUMPRODUCT(($A$2:$A1237=A1237)*($B$2:$B1237=B1237)*($F$2:$F1237=F1237))&gt;1,0,1)</f>
        <v>0</v>
      </c>
      <c r="P1237" s="15">
        <f>IF(SUMPRODUCT(($A$2:$A1237=A1237)*($B$2:$B1237=B1237)*($D$2:$D1237=D1237))&gt;1,0,1)</f>
        <v>0</v>
      </c>
    </row>
    <row r="1238" spans="1:16" x14ac:dyDescent="0.35">
      <c r="A1238" t="s">
        <v>18</v>
      </c>
      <c r="B1238">
        <v>2016</v>
      </c>
      <c r="C1238" s="1" t="s">
        <v>44</v>
      </c>
      <c r="D1238">
        <v>2.2000000000000002</v>
      </c>
      <c r="E1238">
        <f>INT(Table2[[#This Row],[Transect]])</f>
        <v>2</v>
      </c>
      <c r="F1238" s="1" t="s">
        <v>11</v>
      </c>
      <c r="G1238">
        <v>8</v>
      </c>
      <c r="H1238">
        <v>200</v>
      </c>
      <c r="I1238">
        <v>100</v>
      </c>
      <c r="J1238">
        <f>Table2[[#This Row],[Hits]]/Table2[[#This Row],[Points]]*100</f>
        <v>4</v>
      </c>
      <c r="K1238">
        <f>VLOOKUP(Table2[[#This Row],[Site]],'Site Info'!$A$1:$C$11,2, FALSE)</f>
        <v>15</v>
      </c>
      <c r="L1238">
        <f>VLOOKUP(Table2[[#This Row],[Site]],'Site Info'!$A$1:$C$11,3, FALSE)</f>
        <v>12</v>
      </c>
      <c r="M1238" t="str">
        <f>VLOOKUP(Table2[[#This Row],[Species]],'Species Table'!$A$1:$D$68,3, FALSE)</f>
        <v>Perennial</v>
      </c>
      <c r="O1238" s="15">
        <f>IF(SUMPRODUCT(($A$2:$A1238=A1238)*($B$2:$B1238=B1238)*($F$2:$F1238=F1238))&gt;1,0,1)</f>
        <v>0</v>
      </c>
      <c r="P1238" s="15">
        <f>IF(SUMPRODUCT(($A$2:$A1238=A1238)*($B$2:$B1238=B1238)*($D$2:$D1238=D1238))&gt;1,0,1)</f>
        <v>1</v>
      </c>
    </row>
    <row r="1239" spans="1:16" hidden="1" x14ac:dyDescent="0.35">
      <c r="A1239" t="s">
        <v>18</v>
      </c>
      <c r="B1239">
        <v>2016</v>
      </c>
      <c r="C1239" s="1" t="s">
        <v>44</v>
      </c>
      <c r="D1239">
        <v>2.2000000000000002</v>
      </c>
      <c r="E1239">
        <f>INT(Table2[[#This Row],[Transect]])</f>
        <v>2</v>
      </c>
      <c r="F1239" s="1" t="s">
        <v>10</v>
      </c>
      <c r="G1239">
        <v>8</v>
      </c>
      <c r="H1239">
        <v>200</v>
      </c>
      <c r="I1239">
        <v>100</v>
      </c>
      <c r="J1239">
        <f>Table2[[#This Row],[Hits]]/Table2[[#This Row],[Points]]*100</f>
        <v>4</v>
      </c>
      <c r="K1239">
        <f>VLOOKUP(Table2[[#This Row],[Site]],'Site Info'!$A$1:$C$11,2, FALSE)</f>
        <v>15</v>
      </c>
      <c r="L1239">
        <f>VLOOKUP(Table2[[#This Row],[Site]],'Site Info'!$A$1:$C$11,3, FALSE)</f>
        <v>12</v>
      </c>
      <c r="M1239" t="str">
        <f>VLOOKUP(Table2[[#This Row],[Species]],'Species Table'!$A$1:$D$68,3, FALSE)</f>
        <v>Annual</v>
      </c>
      <c r="O1239" s="15">
        <f>IF(SUMPRODUCT(($A$2:$A1239=A1239)*($B$2:$B1239=B1239)*($F$2:$F1239=F1239))&gt;1,0,1)</f>
        <v>0</v>
      </c>
      <c r="P1239" s="15">
        <f>IF(SUMPRODUCT(($A$2:$A1239=A1239)*($B$2:$B1239=B1239)*($D$2:$D1239=D1239))&gt;1,0,1)</f>
        <v>0</v>
      </c>
    </row>
    <row r="1240" spans="1:16" x14ac:dyDescent="0.35">
      <c r="A1240" t="s">
        <v>18</v>
      </c>
      <c r="B1240">
        <v>2016</v>
      </c>
      <c r="C1240" s="1" t="s">
        <v>45</v>
      </c>
      <c r="D1240">
        <v>2.2999999999999998</v>
      </c>
      <c r="E1240">
        <f>INT(Table2[[#This Row],[Transect]])</f>
        <v>2</v>
      </c>
      <c r="F1240" s="1" t="s">
        <v>11</v>
      </c>
      <c r="G1240">
        <v>15</v>
      </c>
      <c r="H1240">
        <v>200</v>
      </c>
      <c r="I1240">
        <v>100</v>
      </c>
      <c r="J1240">
        <f>Table2[[#This Row],[Hits]]/Table2[[#This Row],[Points]]*100</f>
        <v>7.5</v>
      </c>
      <c r="K1240">
        <f>VLOOKUP(Table2[[#This Row],[Site]],'Site Info'!$A$1:$C$11,2, FALSE)</f>
        <v>15</v>
      </c>
      <c r="L1240">
        <f>VLOOKUP(Table2[[#This Row],[Site]],'Site Info'!$A$1:$C$11,3, FALSE)</f>
        <v>12</v>
      </c>
      <c r="M1240" t="str">
        <f>VLOOKUP(Table2[[#This Row],[Species]],'Species Table'!$A$1:$D$68,3, FALSE)</f>
        <v>Perennial</v>
      </c>
      <c r="O1240" s="15">
        <f>IF(SUMPRODUCT(($A$2:$A1240=A1240)*($B$2:$B1240=B1240)*($F$2:$F1240=F1240))&gt;1,0,1)</f>
        <v>0</v>
      </c>
      <c r="P1240" s="15">
        <f>IF(SUMPRODUCT(($A$2:$A1240=A1240)*($B$2:$B1240=B1240)*($D$2:$D1240=D1240))&gt;1,0,1)</f>
        <v>1</v>
      </c>
    </row>
    <row r="1241" spans="1:16" hidden="1" x14ac:dyDescent="0.35">
      <c r="A1241" t="s">
        <v>18</v>
      </c>
      <c r="B1241">
        <v>2016</v>
      </c>
      <c r="C1241" s="1" t="s">
        <v>45</v>
      </c>
      <c r="D1241">
        <v>2.2999999999999998</v>
      </c>
      <c r="E1241">
        <f>INT(Table2[[#This Row],[Transect]])</f>
        <v>2</v>
      </c>
      <c r="F1241" s="1" t="s">
        <v>10</v>
      </c>
      <c r="G1241">
        <v>20</v>
      </c>
      <c r="H1241">
        <v>200</v>
      </c>
      <c r="I1241">
        <v>100</v>
      </c>
      <c r="J1241">
        <f>Table2[[#This Row],[Hits]]/Table2[[#This Row],[Points]]*100</f>
        <v>10</v>
      </c>
      <c r="K1241">
        <f>VLOOKUP(Table2[[#This Row],[Site]],'Site Info'!$A$1:$C$11,2, FALSE)</f>
        <v>15</v>
      </c>
      <c r="L1241">
        <f>VLOOKUP(Table2[[#This Row],[Site]],'Site Info'!$A$1:$C$11,3, FALSE)</f>
        <v>12</v>
      </c>
      <c r="M1241" t="str">
        <f>VLOOKUP(Table2[[#This Row],[Species]],'Species Table'!$A$1:$D$68,3, FALSE)</f>
        <v>Annual</v>
      </c>
      <c r="O1241" s="15">
        <f>IF(SUMPRODUCT(($A$2:$A1241=A1241)*($B$2:$B1241=B1241)*($F$2:$F1241=F1241))&gt;1,0,1)</f>
        <v>0</v>
      </c>
      <c r="P1241" s="15">
        <f>IF(SUMPRODUCT(($A$2:$A1241=A1241)*($B$2:$B1241=B1241)*($D$2:$D1241=D1241))&gt;1,0,1)</f>
        <v>0</v>
      </c>
    </row>
    <row r="1242" spans="1:16" x14ac:dyDescent="0.35">
      <c r="A1242" t="s">
        <v>18</v>
      </c>
      <c r="B1242">
        <v>2016</v>
      </c>
      <c r="C1242" s="1" t="s">
        <v>46</v>
      </c>
      <c r="D1242">
        <v>2.4</v>
      </c>
      <c r="E1242">
        <f>INT(Table2[[#This Row],[Transect]])</f>
        <v>2</v>
      </c>
      <c r="F1242" s="1" t="s">
        <v>11</v>
      </c>
      <c r="G1242">
        <v>25</v>
      </c>
      <c r="H1242">
        <v>200</v>
      </c>
      <c r="I1242">
        <v>100</v>
      </c>
      <c r="J1242">
        <f>Table2[[#This Row],[Hits]]/Table2[[#This Row],[Points]]*100</f>
        <v>12.5</v>
      </c>
      <c r="K1242">
        <f>VLOOKUP(Table2[[#This Row],[Site]],'Site Info'!$A$1:$C$11,2, FALSE)</f>
        <v>15</v>
      </c>
      <c r="L1242">
        <f>VLOOKUP(Table2[[#This Row],[Site]],'Site Info'!$A$1:$C$11,3, FALSE)</f>
        <v>12</v>
      </c>
      <c r="M1242" t="str">
        <f>VLOOKUP(Table2[[#This Row],[Species]],'Species Table'!$A$1:$D$68,3, FALSE)</f>
        <v>Perennial</v>
      </c>
      <c r="O1242" s="15">
        <f>IF(SUMPRODUCT(($A$2:$A1242=A1242)*($B$2:$B1242=B1242)*($F$2:$F1242=F1242))&gt;1,0,1)</f>
        <v>0</v>
      </c>
      <c r="P1242" s="15">
        <f>IF(SUMPRODUCT(($A$2:$A1242=A1242)*($B$2:$B1242=B1242)*($D$2:$D1242=D1242))&gt;1,0,1)</f>
        <v>1</v>
      </c>
    </row>
    <row r="1243" spans="1:16" hidden="1" x14ac:dyDescent="0.35">
      <c r="A1243" t="s">
        <v>18</v>
      </c>
      <c r="B1243">
        <v>2016</v>
      </c>
      <c r="C1243" s="1" t="s">
        <v>46</v>
      </c>
      <c r="D1243">
        <v>2.4</v>
      </c>
      <c r="E1243">
        <f>INT(Table2[[#This Row],[Transect]])</f>
        <v>2</v>
      </c>
      <c r="F1243" s="1" t="s">
        <v>10</v>
      </c>
      <c r="G1243">
        <v>6</v>
      </c>
      <c r="H1243">
        <v>200</v>
      </c>
      <c r="I1243">
        <v>100</v>
      </c>
      <c r="J1243">
        <f>Table2[[#This Row],[Hits]]/Table2[[#This Row],[Points]]*100</f>
        <v>3</v>
      </c>
      <c r="K1243">
        <f>VLOOKUP(Table2[[#This Row],[Site]],'Site Info'!$A$1:$C$11,2, FALSE)</f>
        <v>15</v>
      </c>
      <c r="L1243">
        <f>VLOOKUP(Table2[[#This Row],[Site]],'Site Info'!$A$1:$C$11,3, FALSE)</f>
        <v>12</v>
      </c>
      <c r="M1243" t="str">
        <f>VLOOKUP(Table2[[#This Row],[Species]],'Species Table'!$A$1:$D$68,3, FALSE)</f>
        <v>Annual</v>
      </c>
      <c r="O1243" s="15">
        <f>IF(SUMPRODUCT(($A$2:$A1243=A1243)*($B$2:$B1243=B1243)*($F$2:$F1243=F1243))&gt;1,0,1)</f>
        <v>0</v>
      </c>
      <c r="P1243" s="15">
        <f>IF(SUMPRODUCT(($A$2:$A1243=A1243)*($B$2:$B1243=B1243)*($D$2:$D1243=D1243))&gt;1,0,1)</f>
        <v>0</v>
      </c>
    </row>
    <row r="1244" spans="1:16" x14ac:dyDescent="0.35">
      <c r="A1244" t="s">
        <v>18</v>
      </c>
      <c r="B1244">
        <v>2016</v>
      </c>
      <c r="C1244" s="1" t="s">
        <v>47</v>
      </c>
      <c r="D1244">
        <v>2.5</v>
      </c>
      <c r="E1244">
        <f>INT(Table2[[#This Row],[Transect]])</f>
        <v>2</v>
      </c>
      <c r="F1244" s="1" t="s">
        <v>11</v>
      </c>
      <c r="G1244">
        <v>16</v>
      </c>
      <c r="H1244">
        <v>200</v>
      </c>
      <c r="I1244">
        <v>100</v>
      </c>
      <c r="J1244">
        <f>Table2[[#This Row],[Hits]]/Table2[[#This Row],[Points]]*100</f>
        <v>8</v>
      </c>
      <c r="K1244">
        <f>VLOOKUP(Table2[[#This Row],[Site]],'Site Info'!$A$1:$C$11,2, FALSE)</f>
        <v>15</v>
      </c>
      <c r="L1244">
        <f>VLOOKUP(Table2[[#This Row],[Site]],'Site Info'!$A$1:$C$11,3, FALSE)</f>
        <v>12</v>
      </c>
      <c r="M1244" t="str">
        <f>VLOOKUP(Table2[[#This Row],[Species]],'Species Table'!$A$1:$D$68,3, FALSE)</f>
        <v>Perennial</v>
      </c>
      <c r="O1244" s="15">
        <f>IF(SUMPRODUCT(($A$2:$A1244=A1244)*($B$2:$B1244=B1244)*($F$2:$F1244=F1244))&gt;1,0,1)</f>
        <v>0</v>
      </c>
      <c r="P1244" s="15">
        <f>IF(SUMPRODUCT(($A$2:$A1244=A1244)*($B$2:$B1244=B1244)*($D$2:$D1244=D1244))&gt;1,0,1)</f>
        <v>1</v>
      </c>
    </row>
    <row r="1245" spans="1:16" hidden="1" x14ac:dyDescent="0.35">
      <c r="A1245" t="s">
        <v>18</v>
      </c>
      <c r="B1245">
        <v>2016</v>
      </c>
      <c r="C1245" s="1" t="s">
        <v>47</v>
      </c>
      <c r="D1245">
        <v>2.5</v>
      </c>
      <c r="E1245">
        <f>INT(Table2[[#This Row],[Transect]])</f>
        <v>2</v>
      </c>
      <c r="F1245" s="1" t="s">
        <v>10</v>
      </c>
      <c r="G1245">
        <v>10</v>
      </c>
      <c r="H1245">
        <v>200</v>
      </c>
      <c r="I1245">
        <v>100</v>
      </c>
      <c r="J1245">
        <f>Table2[[#This Row],[Hits]]/Table2[[#This Row],[Points]]*100</f>
        <v>5</v>
      </c>
      <c r="K1245">
        <f>VLOOKUP(Table2[[#This Row],[Site]],'Site Info'!$A$1:$C$11,2, FALSE)</f>
        <v>15</v>
      </c>
      <c r="L1245">
        <f>VLOOKUP(Table2[[#This Row],[Site]],'Site Info'!$A$1:$C$11,3, FALSE)</f>
        <v>12</v>
      </c>
      <c r="M1245" t="str">
        <f>VLOOKUP(Table2[[#This Row],[Species]],'Species Table'!$A$1:$D$68,3, FALSE)</f>
        <v>Annual</v>
      </c>
      <c r="O1245" s="15">
        <f>IF(SUMPRODUCT(($A$2:$A1245=A1245)*($B$2:$B1245=B1245)*($F$2:$F1245=F1245))&gt;1,0,1)</f>
        <v>0</v>
      </c>
      <c r="P1245" s="15">
        <f>IF(SUMPRODUCT(($A$2:$A1245=A1245)*($B$2:$B1245=B1245)*($D$2:$D1245=D1245))&gt;1,0,1)</f>
        <v>0</v>
      </c>
    </row>
    <row r="1246" spans="1:16" x14ac:dyDescent="0.35">
      <c r="A1246" t="s">
        <v>18</v>
      </c>
      <c r="B1246">
        <v>2016</v>
      </c>
      <c r="C1246" s="1" t="s">
        <v>48</v>
      </c>
      <c r="D1246">
        <v>2.6</v>
      </c>
      <c r="E1246">
        <f>INT(Table2[[#This Row],[Transect]])</f>
        <v>2</v>
      </c>
      <c r="F1246" s="1" t="s">
        <v>11</v>
      </c>
      <c r="G1246">
        <v>12</v>
      </c>
      <c r="H1246">
        <v>200</v>
      </c>
      <c r="I1246">
        <v>100</v>
      </c>
      <c r="J1246">
        <f>Table2[[#This Row],[Hits]]/Table2[[#This Row],[Points]]*100</f>
        <v>6</v>
      </c>
      <c r="K1246">
        <f>VLOOKUP(Table2[[#This Row],[Site]],'Site Info'!$A$1:$C$11,2, FALSE)</f>
        <v>15</v>
      </c>
      <c r="L1246">
        <f>VLOOKUP(Table2[[#This Row],[Site]],'Site Info'!$A$1:$C$11,3, FALSE)</f>
        <v>12</v>
      </c>
      <c r="M1246" t="str">
        <f>VLOOKUP(Table2[[#This Row],[Species]],'Species Table'!$A$1:$D$68,3, FALSE)</f>
        <v>Perennial</v>
      </c>
      <c r="O1246" s="15">
        <f>IF(SUMPRODUCT(($A$2:$A1246=A1246)*($B$2:$B1246=B1246)*($F$2:$F1246=F1246))&gt;1,0,1)</f>
        <v>0</v>
      </c>
      <c r="P1246" s="15">
        <f>IF(SUMPRODUCT(($A$2:$A1246=A1246)*($B$2:$B1246=B1246)*($D$2:$D1246=D1246))&gt;1,0,1)</f>
        <v>1</v>
      </c>
    </row>
    <row r="1247" spans="1:16" hidden="1" x14ac:dyDescent="0.35">
      <c r="A1247" t="s">
        <v>18</v>
      </c>
      <c r="B1247">
        <v>2016</v>
      </c>
      <c r="C1247" s="1" t="s">
        <v>48</v>
      </c>
      <c r="D1247">
        <v>2.6</v>
      </c>
      <c r="E1247">
        <f>INT(Table2[[#This Row],[Transect]])</f>
        <v>2</v>
      </c>
      <c r="F1247" s="1" t="s">
        <v>10</v>
      </c>
      <c r="G1247">
        <v>2</v>
      </c>
      <c r="H1247">
        <v>200</v>
      </c>
      <c r="I1247">
        <v>100</v>
      </c>
      <c r="J1247">
        <f>Table2[[#This Row],[Hits]]/Table2[[#This Row],[Points]]*100</f>
        <v>1</v>
      </c>
      <c r="K1247">
        <f>VLOOKUP(Table2[[#This Row],[Site]],'Site Info'!$A$1:$C$11,2, FALSE)</f>
        <v>15</v>
      </c>
      <c r="L1247">
        <f>VLOOKUP(Table2[[#This Row],[Site]],'Site Info'!$A$1:$C$11,3, FALSE)</f>
        <v>12</v>
      </c>
      <c r="M1247" t="str">
        <f>VLOOKUP(Table2[[#This Row],[Species]],'Species Table'!$A$1:$D$68,3, FALSE)</f>
        <v>Annual</v>
      </c>
      <c r="O1247" s="15">
        <f>IF(SUMPRODUCT(($A$2:$A1247=A1247)*($B$2:$B1247=B1247)*($F$2:$F1247=F1247))&gt;1,0,1)</f>
        <v>0</v>
      </c>
      <c r="P1247" s="15">
        <f>IF(SUMPRODUCT(($A$2:$A1247=A1247)*($B$2:$B1247=B1247)*($D$2:$D1247=D1247))&gt;1,0,1)</f>
        <v>0</v>
      </c>
    </row>
    <row r="1248" spans="1:16" x14ac:dyDescent="0.35">
      <c r="A1248" t="s">
        <v>18</v>
      </c>
      <c r="B1248">
        <v>2016</v>
      </c>
      <c r="C1248" s="1" t="s">
        <v>125</v>
      </c>
      <c r="D1248">
        <v>2.7</v>
      </c>
      <c r="E1248">
        <f>INT(Table2[[#This Row],[Transect]])</f>
        <v>2</v>
      </c>
      <c r="F1248" s="1" t="s">
        <v>11</v>
      </c>
      <c r="G1248">
        <v>16</v>
      </c>
      <c r="H1248">
        <v>200</v>
      </c>
      <c r="I1248">
        <v>100</v>
      </c>
      <c r="J1248">
        <f>Table2[[#This Row],[Hits]]/Table2[[#This Row],[Points]]*100</f>
        <v>8</v>
      </c>
      <c r="K1248">
        <f>VLOOKUP(Table2[[#This Row],[Site]],'Site Info'!$A$1:$C$11,2, FALSE)</f>
        <v>15</v>
      </c>
      <c r="L1248">
        <f>VLOOKUP(Table2[[#This Row],[Site]],'Site Info'!$A$1:$C$11,3, FALSE)</f>
        <v>12</v>
      </c>
      <c r="M1248" t="str">
        <f>VLOOKUP(Table2[[#This Row],[Species]],'Species Table'!$A$1:$D$68,3, FALSE)</f>
        <v>Perennial</v>
      </c>
      <c r="O1248" s="15">
        <f>IF(SUMPRODUCT(($A$2:$A1248=A1248)*($B$2:$B1248=B1248)*($F$2:$F1248=F1248))&gt;1,0,1)</f>
        <v>0</v>
      </c>
      <c r="P1248" s="15">
        <f>IF(SUMPRODUCT(($A$2:$A1248=A1248)*($B$2:$B1248=B1248)*($D$2:$D1248=D1248))&gt;1,0,1)</f>
        <v>1</v>
      </c>
    </row>
    <row r="1249" spans="1:16" hidden="1" x14ac:dyDescent="0.35">
      <c r="A1249" t="s">
        <v>18</v>
      </c>
      <c r="B1249">
        <v>2016</v>
      </c>
      <c r="C1249" s="1" t="s">
        <v>125</v>
      </c>
      <c r="D1249">
        <v>2.7</v>
      </c>
      <c r="E1249">
        <f>INT(Table2[[#This Row],[Transect]])</f>
        <v>2</v>
      </c>
      <c r="F1249" s="1" t="s">
        <v>10</v>
      </c>
      <c r="G1249">
        <v>3</v>
      </c>
      <c r="H1249">
        <v>200</v>
      </c>
      <c r="I1249">
        <v>100</v>
      </c>
      <c r="J1249">
        <f>Table2[[#This Row],[Hits]]/Table2[[#This Row],[Points]]*100</f>
        <v>1.5</v>
      </c>
      <c r="K1249">
        <f>VLOOKUP(Table2[[#This Row],[Site]],'Site Info'!$A$1:$C$11,2, FALSE)</f>
        <v>15</v>
      </c>
      <c r="L1249">
        <f>VLOOKUP(Table2[[#This Row],[Site]],'Site Info'!$A$1:$C$11,3, FALSE)</f>
        <v>12</v>
      </c>
      <c r="M1249" t="str">
        <f>VLOOKUP(Table2[[#This Row],[Species]],'Species Table'!$A$1:$D$68,3, FALSE)</f>
        <v>Annual</v>
      </c>
      <c r="O1249" s="15">
        <f>IF(SUMPRODUCT(($A$2:$A1249=A1249)*($B$2:$B1249=B1249)*($F$2:$F1249=F1249))&gt;1,0,1)</f>
        <v>0</v>
      </c>
      <c r="P1249" s="15">
        <f>IF(SUMPRODUCT(($A$2:$A1249=A1249)*($B$2:$B1249=B1249)*($D$2:$D1249=D1249))&gt;1,0,1)</f>
        <v>0</v>
      </c>
    </row>
    <row r="1250" spans="1:16" x14ac:dyDescent="0.35">
      <c r="A1250" t="s">
        <v>18</v>
      </c>
      <c r="B1250">
        <v>2016</v>
      </c>
      <c r="C1250" s="1" t="s">
        <v>85</v>
      </c>
      <c r="D1250">
        <v>2.8</v>
      </c>
      <c r="E1250">
        <f>INT(Table2[[#This Row],[Transect]])</f>
        <v>2</v>
      </c>
      <c r="F1250" s="1" t="s">
        <v>11</v>
      </c>
      <c r="G1250">
        <v>26</v>
      </c>
      <c r="H1250">
        <v>200</v>
      </c>
      <c r="I1250">
        <v>100</v>
      </c>
      <c r="J1250">
        <f>Table2[[#This Row],[Hits]]/Table2[[#This Row],[Points]]*100</f>
        <v>13</v>
      </c>
      <c r="K1250">
        <f>VLOOKUP(Table2[[#This Row],[Site]],'Site Info'!$A$1:$C$11,2, FALSE)</f>
        <v>15</v>
      </c>
      <c r="L1250">
        <f>VLOOKUP(Table2[[#This Row],[Site]],'Site Info'!$A$1:$C$11,3, FALSE)</f>
        <v>12</v>
      </c>
      <c r="M1250" t="str">
        <f>VLOOKUP(Table2[[#This Row],[Species]],'Species Table'!$A$1:$D$68,3, FALSE)</f>
        <v>Perennial</v>
      </c>
      <c r="O1250" s="15">
        <f>IF(SUMPRODUCT(($A$2:$A1250=A1250)*($B$2:$B1250=B1250)*($F$2:$F1250=F1250))&gt;1,0,1)</f>
        <v>0</v>
      </c>
      <c r="P1250" s="15">
        <f>IF(SUMPRODUCT(($A$2:$A1250=A1250)*($B$2:$B1250=B1250)*($D$2:$D1250=D1250))&gt;1,0,1)</f>
        <v>1</v>
      </c>
    </row>
    <row r="1251" spans="1:16" hidden="1" x14ac:dyDescent="0.35">
      <c r="A1251" t="s">
        <v>18</v>
      </c>
      <c r="B1251">
        <v>2016</v>
      </c>
      <c r="C1251" s="1" t="s">
        <v>85</v>
      </c>
      <c r="D1251">
        <v>2.8</v>
      </c>
      <c r="E1251">
        <f>INT(Table2[[#This Row],[Transect]])</f>
        <v>2</v>
      </c>
      <c r="F1251" s="1" t="s">
        <v>10</v>
      </c>
      <c r="G1251">
        <v>6</v>
      </c>
      <c r="H1251">
        <v>200</v>
      </c>
      <c r="I1251">
        <v>100</v>
      </c>
      <c r="J1251">
        <f>Table2[[#This Row],[Hits]]/Table2[[#This Row],[Points]]*100</f>
        <v>3</v>
      </c>
      <c r="K1251">
        <f>VLOOKUP(Table2[[#This Row],[Site]],'Site Info'!$A$1:$C$11,2, FALSE)</f>
        <v>15</v>
      </c>
      <c r="L1251">
        <f>VLOOKUP(Table2[[#This Row],[Site]],'Site Info'!$A$1:$C$11,3, FALSE)</f>
        <v>12</v>
      </c>
      <c r="M1251" t="str">
        <f>VLOOKUP(Table2[[#This Row],[Species]],'Species Table'!$A$1:$D$68,3, FALSE)</f>
        <v>Annual</v>
      </c>
      <c r="O1251" s="15">
        <f>IF(SUMPRODUCT(($A$2:$A1251=A1251)*($B$2:$B1251=B1251)*($F$2:$F1251=F1251))&gt;1,0,1)</f>
        <v>0</v>
      </c>
      <c r="P1251" s="15">
        <f>IF(SUMPRODUCT(($A$2:$A1251=A1251)*($B$2:$B1251=B1251)*($D$2:$D1251=D1251))&gt;1,0,1)</f>
        <v>0</v>
      </c>
    </row>
    <row r="1252" spans="1:16" x14ac:dyDescent="0.35">
      <c r="A1252" t="s">
        <v>18</v>
      </c>
      <c r="B1252">
        <v>2016</v>
      </c>
      <c r="C1252" s="1" t="s">
        <v>85</v>
      </c>
      <c r="D1252">
        <v>2.8</v>
      </c>
      <c r="E1252">
        <f>INT(Table2[[#This Row],[Transect]])</f>
        <v>2</v>
      </c>
      <c r="F1252" s="1" t="s">
        <v>170</v>
      </c>
      <c r="G1252">
        <v>4</v>
      </c>
      <c r="H1252">
        <v>200</v>
      </c>
      <c r="I1252">
        <v>100</v>
      </c>
      <c r="J1252">
        <f>Table2[[#This Row],[Hits]]/Table2[[#This Row],[Points]]*100</f>
        <v>2</v>
      </c>
      <c r="K1252">
        <f>VLOOKUP(Table2[[#This Row],[Site]],'Site Info'!$A$1:$C$11,2, FALSE)</f>
        <v>15</v>
      </c>
      <c r="L1252">
        <f>VLOOKUP(Table2[[#This Row],[Site]],'Site Info'!$A$1:$C$11,3, FALSE)</f>
        <v>12</v>
      </c>
      <c r="M1252" t="str">
        <f>VLOOKUP(Table2[[#This Row],[Species]],'Species Table'!$A$1:$D$68,3, FALSE)</f>
        <v>Perennial</v>
      </c>
      <c r="O1252" s="15">
        <f>IF(SUMPRODUCT(($A$2:$A1252=A1252)*($B$2:$B1252=B1252)*($F$2:$F1252=F1252))&gt;1,0,1)</f>
        <v>1</v>
      </c>
      <c r="P1252" s="15">
        <f>IF(SUMPRODUCT(($A$2:$A1252=A1252)*($B$2:$B1252=B1252)*($D$2:$D1252=D1252))&gt;1,0,1)</f>
        <v>0</v>
      </c>
    </row>
    <row r="1253" spans="1:16" x14ac:dyDescent="0.35">
      <c r="A1253" t="s">
        <v>18</v>
      </c>
      <c r="B1253">
        <v>2016</v>
      </c>
      <c r="C1253" s="1" t="s">
        <v>50</v>
      </c>
      <c r="D1253">
        <v>3.1</v>
      </c>
      <c r="E1253">
        <f>INT(Table2[[#This Row],[Transect]])</f>
        <v>3</v>
      </c>
      <c r="F1253" s="1" t="s">
        <v>11</v>
      </c>
      <c r="G1253">
        <v>5</v>
      </c>
      <c r="H1253">
        <v>200</v>
      </c>
      <c r="I1253">
        <v>100</v>
      </c>
      <c r="J1253">
        <f>Table2[[#This Row],[Hits]]/Table2[[#This Row],[Points]]*100</f>
        <v>2.5</v>
      </c>
      <c r="K1253">
        <f>VLOOKUP(Table2[[#This Row],[Site]],'Site Info'!$A$1:$C$11,2, FALSE)</f>
        <v>15</v>
      </c>
      <c r="L1253">
        <f>VLOOKUP(Table2[[#This Row],[Site]],'Site Info'!$A$1:$C$11,3, FALSE)</f>
        <v>12</v>
      </c>
      <c r="M1253" t="str">
        <f>VLOOKUP(Table2[[#This Row],[Species]],'Species Table'!$A$1:$D$68,3, FALSE)</f>
        <v>Perennial</v>
      </c>
      <c r="O1253" s="15">
        <f>IF(SUMPRODUCT(($A$2:$A1253=A1253)*($B$2:$B1253=B1253)*($F$2:$F1253=F1253))&gt;1,0,1)</f>
        <v>0</v>
      </c>
      <c r="P1253" s="15">
        <f>IF(SUMPRODUCT(($A$2:$A1253=A1253)*($B$2:$B1253=B1253)*($D$2:$D1253=D1253))&gt;1,0,1)</f>
        <v>1</v>
      </c>
    </row>
    <row r="1254" spans="1:16" hidden="1" x14ac:dyDescent="0.35">
      <c r="A1254" t="s">
        <v>18</v>
      </c>
      <c r="B1254">
        <v>2016</v>
      </c>
      <c r="C1254" s="1" t="s">
        <v>50</v>
      </c>
      <c r="D1254">
        <v>3.1</v>
      </c>
      <c r="E1254">
        <f>INT(Table2[[#This Row],[Transect]])</f>
        <v>3</v>
      </c>
      <c r="F1254" s="1" t="s">
        <v>10</v>
      </c>
      <c r="G1254">
        <v>19</v>
      </c>
      <c r="H1254">
        <v>200</v>
      </c>
      <c r="I1254">
        <v>100</v>
      </c>
      <c r="J1254">
        <f>Table2[[#This Row],[Hits]]/Table2[[#This Row],[Points]]*100</f>
        <v>9.5</v>
      </c>
      <c r="K1254">
        <f>VLOOKUP(Table2[[#This Row],[Site]],'Site Info'!$A$1:$C$11,2, FALSE)</f>
        <v>15</v>
      </c>
      <c r="L1254">
        <f>VLOOKUP(Table2[[#This Row],[Site]],'Site Info'!$A$1:$C$11,3, FALSE)</f>
        <v>12</v>
      </c>
      <c r="M1254" t="str">
        <f>VLOOKUP(Table2[[#This Row],[Species]],'Species Table'!$A$1:$D$68,3, FALSE)</f>
        <v>Annual</v>
      </c>
      <c r="O1254" s="15">
        <f>IF(SUMPRODUCT(($A$2:$A1254=A1254)*($B$2:$B1254=B1254)*($F$2:$F1254=F1254))&gt;1,0,1)</f>
        <v>0</v>
      </c>
      <c r="P1254" s="15">
        <f>IF(SUMPRODUCT(($A$2:$A1254=A1254)*($B$2:$B1254=B1254)*($D$2:$D1254=D1254))&gt;1,0,1)</f>
        <v>0</v>
      </c>
    </row>
    <row r="1255" spans="1:16" x14ac:dyDescent="0.35">
      <c r="A1255" t="s">
        <v>18</v>
      </c>
      <c r="B1255">
        <v>2016</v>
      </c>
      <c r="C1255" s="1" t="s">
        <v>51</v>
      </c>
      <c r="D1255">
        <v>3.2</v>
      </c>
      <c r="E1255">
        <f>INT(Table2[[#This Row],[Transect]])</f>
        <v>3</v>
      </c>
      <c r="F1255" s="1" t="s">
        <v>11</v>
      </c>
      <c r="G1255">
        <v>16</v>
      </c>
      <c r="H1255">
        <v>200</v>
      </c>
      <c r="I1255">
        <v>100</v>
      </c>
      <c r="J1255">
        <f>Table2[[#This Row],[Hits]]/Table2[[#This Row],[Points]]*100</f>
        <v>8</v>
      </c>
      <c r="K1255">
        <f>VLOOKUP(Table2[[#This Row],[Site]],'Site Info'!$A$1:$C$11,2, FALSE)</f>
        <v>15</v>
      </c>
      <c r="L1255">
        <f>VLOOKUP(Table2[[#This Row],[Site]],'Site Info'!$A$1:$C$11,3, FALSE)</f>
        <v>12</v>
      </c>
      <c r="M1255" t="str">
        <f>VLOOKUP(Table2[[#This Row],[Species]],'Species Table'!$A$1:$D$68,3, FALSE)</f>
        <v>Perennial</v>
      </c>
      <c r="O1255" s="15">
        <f>IF(SUMPRODUCT(($A$2:$A1255=A1255)*($B$2:$B1255=B1255)*($F$2:$F1255=F1255))&gt;1,0,1)</f>
        <v>0</v>
      </c>
      <c r="P1255" s="15">
        <f>IF(SUMPRODUCT(($A$2:$A1255=A1255)*($B$2:$B1255=B1255)*($D$2:$D1255=D1255))&gt;1,0,1)</f>
        <v>1</v>
      </c>
    </row>
    <row r="1256" spans="1:16" hidden="1" x14ac:dyDescent="0.35">
      <c r="A1256" t="s">
        <v>18</v>
      </c>
      <c r="B1256">
        <v>2016</v>
      </c>
      <c r="C1256" s="1" t="s">
        <v>51</v>
      </c>
      <c r="D1256">
        <v>3.2</v>
      </c>
      <c r="E1256">
        <f>INT(Table2[[#This Row],[Transect]])</f>
        <v>3</v>
      </c>
      <c r="F1256" s="1" t="s">
        <v>10</v>
      </c>
      <c r="G1256">
        <v>11</v>
      </c>
      <c r="H1256">
        <v>200</v>
      </c>
      <c r="I1256">
        <v>100</v>
      </c>
      <c r="J1256">
        <f>Table2[[#This Row],[Hits]]/Table2[[#This Row],[Points]]*100</f>
        <v>5.5</v>
      </c>
      <c r="K1256">
        <f>VLOOKUP(Table2[[#This Row],[Site]],'Site Info'!$A$1:$C$11,2, FALSE)</f>
        <v>15</v>
      </c>
      <c r="L1256">
        <f>VLOOKUP(Table2[[#This Row],[Site]],'Site Info'!$A$1:$C$11,3, FALSE)</f>
        <v>12</v>
      </c>
      <c r="M1256" t="str">
        <f>VLOOKUP(Table2[[#This Row],[Species]],'Species Table'!$A$1:$D$68,3, FALSE)</f>
        <v>Annual</v>
      </c>
      <c r="O1256" s="15">
        <f>IF(SUMPRODUCT(($A$2:$A1256=A1256)*($B$2:$B1256=B1256)*($F$2:$F1256=F1256))&gt;1,0,1)</f>
        <v>0</v>
      </c>
      <c r="P1256" s="15">
        <f>IF(SUMPRODUCT(($A$2:$A1256=A1256)*($B$2:$B1256=B1256)*($D$2:$D1256=D1256))&gt;1,0,1)</f>
        <v>0</v>
      </c>
    </row>
    <row r="1257" spans="1:16" x14ac:dyDescent="0.35">
      <c r="A1257" t="s">
        <v>18</v>
      </c>
      <c r="B1257">
        <v>2016</v>
      </c>
      <c r="C1257" s="1" t="s">
        <v>52</v>
      </c>
      <c r="D1257">
        <v>3.3</v>
      </c>
      <c r="E1257">
        <f>INT(Table2[[#This Row],[Transect]])</f>
        <v>3</v>
      </c>
      <c r="F1257" s="1" t="s">
        <v>11</v>
      </c>
      <c r="G1257">
        <v>1</v>
      </c>
      <c r="H1257">
        <v>200</v>
      </c>
      <c r="I1257">
        <v>100</v>
      </c>
      <c r="J1257">
        <f>Table2[[#This Row],[Hits]]/Table2[[#This Row],[Points]]*100</f>
        <v>0.5</v>
      </c>
      <c r="K1257">
        <f>VLOOKUP(Table2[[#This Row],[Site]],'Site Info'!$A$1:$C$11,2, FALSE)</f>
        <v>15</v>
      </c>
      <c r="L1257">
        <f>VLOOKUP(Table2[[#This Row],[Site]],'Site Info'!$A$1:$C$11,3, FALSE)</f>
        <v>12</v>
      </c>
      <c r="M1257" t="str">
        <f>VLOOKUP(Table2[[#This Row],[Species]],'Species Table'!$A$1:$D$68,3, FALSE)</f>
        <v>Perennial</v>
      </c>
      <c r="O1257" s="15">
        <f>IF(SUMPRODUCT(($A$2:$A1257=A1257)*($B$2:$B1257=B1257)*($F$2:$F1257=F1257))&gt;1,0,1)</f>
        <v>0</v>
      </c>
      <c r="P1257" s="15">
        <f>IF(SUMPRODUCT(($A$2:$A1257=A1257)*($B$2:$B1257=B1257)*($D$2:$D1257=D1257))&gt;1,0,1)</f>
        <v>1</v>
      </c>
    </row>
    <row r="1258" spans="1:16" hidden="1" x14ac:dyDescent="0.35">
      <c r="A1258" t="s">
        <v>18</v>
      </c>
      <c r="B1258">
        <v>2016</v>
      </c>
      <c r="C1258" s="1" t="s">
        <v>52</v>
      </c>
      <c r="D1258">
        <v>3.3</v>
      </c>
      <c r="E1258">
        <f>INT(Table2[[#This Row],[Transect]])</f>
        <v>3</v>
      </c>
      <c r="F1258" s="1" t="s">
        <v>171</v>
      </c>
      <c r="G1258">
        <v>1</v>
      </c>
      <c r="H1258">
        <v>200</v>
      </c>
      <c r="I1258">
        <v>100</v>
      </c>
      <c r="J1258">
        <f>Table2[[#This Row],[Hits]]/Table2[[#This Row],[Points]]*100</f>
        <v>0.5</v>
      </c>
      <c r="K1258">
        <f>VLOOKUP(Table2[[#This Row],[Site]],'Site Info'!$A$1:$C$11,2, FALSE)</f>
        <v>15</v>
      </c>
      <c r="L1258">
        <f>VLOOKUP(Table2[[#This Row],[Site]],'Site Info'!$A$1:$C$11,3, FALSE)</f>
        <v>12</v>
      </c>
      <c r="M1258" t="str">
        <f>VLOOKUP(Table2[[#This Row],[Species]],'Species Table'!$A$1:$D$68,3, FALSE)</f>
        <v>Annual</v>
      </c>
      <c r="O1258" s="15">
        <f>IF(SUMPRODUCT(($A$2:$A1258=A1258)*($B$2:$B1258=B1258)*($F$2:$F1258=F1258))&gt;1,0,1)</f>
        <v>1</v>
      </c>
      <c r="P1258" s="15">
        <f>IF(SUMPRODUCT(($A$2:$A1258=A1258)*($B$2:$B1258=B1258)*($D$2:$D1258=D1258))&gt;1,0,1)</f>
        <v>0</v>
      </c>
    </row>
    <row r="1259" spans="1:16" hidden="1" x14ac:dyDescent="0.35">
      <c r="A1259" t="s">
        <v>18</v>
      </c>
      <c r="B1259">
        <v>2016</v>
      </c>
      <c r="C1259" s="1" t="s">
        <v>52</v>
      </c>
      <c r="D1259">
        <v>3.3</v>
      </c>
      <c r="E1259">
        <f>INT(Table2[[#This Row],[Transect]])</f>
        <v>3</v>
      </c>
      <c r="F1259" s="1" t="s">
        <v>10</v>
      </c>
      <c r="G1259">
        <v>11</v>
      </c>
      <c r="H1259">
        <v>200</v>
      </c>
      <c r="I1259">
        <v>100</v>
      </c>
      <c r="J1259">
        <f>Table2[[#This Row],[Hits]]/Table2[[#This Row],[Points]]*100</f>
        <v>5.5</v>
      </c>
      <c r="K1259">
        <f>VLOOKUP(Table2[[#This Row],[Site]],'Site Info'!$A$1:$C$11,2, FALSE)</f>
        <v>15</v>
      </c>
      <c r="L1259">
        <f>VLOOKUP(Table2[[#This Row],[Site]],'Site Info'!$A$1:$C$11,3, FALSE)</f>
        <v>12</v>
      </c>
      <c r="M1259" t="str">
        <f>VLOOKUP(Table2[[#This Row],[Species]],'Species Table'!$A$1:$D$68,3, FALSE)</f>
        <v>Annual</v>
      </c>
      <c r="O1259" s="15">
        <f>IF(SUMPRODUCT(($A$2:$A1259=A1259)*($B$2:$B1259=B1259)*($F$2:$F1259=F1259))&gt;1,0,1)</f>
        <v>0</v>
      </c>
      <c r="P1259" s="15">
        <f>IF(SUMPRODUCT(($A$2:$A1259=A1259)*($B$2:$B1259=B1259)*($D$2:$D1259=D1259))&gt;1,0,1)</f>
        <v>0</v>
      </c>
    </row>
    <row r="1260" spans="1:16" x14ac:dyDescent="0.35">
      <c r="A1260" t="s">
        <v>18</v>
      </c>
      <c r="B1260">
        <v>2016</v>
      </c>
      <c r="C1260" s="1" t="s">
        <v>101</v>
      </c>
      <c r="D1260">
        <v>3.4</v>
      </c>
      <c r="E1260">
        <f>INT(Table2[[#This Row],[Transect]])</f>
        <v>3</v>
      </c>
      <c r="F1260" s="1" t="s">
        <v>11</v>
      </c>
      <c r="G1260">
        <v>12</v>
      </c>
      <c r="H1260">
        <v>200</v>
      </c>
      <c r="I1260">
        <v>100</v>
      </c>
      <c r="J1260">
        <f>Table2[[#This Row],[Hits]]/Table2[[#This Row],[Points]]*100</f>
        <v>6</v>
      </c>
      <c r="K1260">
        <f>VLOOKUP(Table2[[#This Row],[Site]],'Site Info'!$A$1:$C$11,2, FALSE)</f>
        <v>15</v>
      </c>
      <c r="L1260">
        <f>VLOOKUP(Table2[[#This Row],[Site]],'Site Info'!$A$1:$C$11,3, FALSE)</f>
        <v>12</v>
      </c>
      <c r="M1260" t="str">
        <f>VLOOKUP(Table2[[#This Row],[Species]],'Species Table'!$A$1:$D$68,3, FALSE)</f>
        <v>Perennial</v>
      </c>
      <c r="O1260" s="15">
        <f>IF(SUMPRODUCT(($A$2:$A1260=A1260)*($B$2:$B1260=B1260)*($F$2:$F1260=F1260))&gt;1,0,1)</f>
        <v>0</v>
      </c>
      <c r="P1260" s="15">
        <f>IF(SUMPRODUCT(($A$2:$A1260=A1260)*($B$2:$B1260=B1260)*($D$2:$D1260=D1260))&gt;1,0,1)</f>
        <v>1</v>
      </c>
    </row>
    <row r="1261" spans="1:16" hidden="1" x14ac:dyDescent="0.35">
      <c r="A1261" t="s">
        <v>18</v>
      </c>
      <c r="B1261">
        <v>2016</v>
      </c>
      <c r="C1261" s="1" t="s">
        <v>101</v>
      </c>
      <c r="D1261">
        <v>3.4</v>
      </c>
      <c r="E1261">
        <f>INT(Table2[[#This Row],[Transect]])</f>
        <v>3</v>
      </c>
      <c r="F1261" s="1" t="s">
        <v>171</v>
      </c>
      <c r="G1261">
        <v>1</v>
      </c>
      <c r="H1261">
        <v>200</v>
      </c>
      <c r="I1261">
        <v>100</v>
      </c>
      <c r="J1261">
        <f>Table2[[#This Row],[Hits]]/Table2[[#This Row],[Points]]*100</f>
        <v>0.5</v>
      </c>
      <c r="K1261">
        <f>VLOOKUP(Table2[[#This Row],[Site]],'Site Info'!$A$1:$C$11,2, FALSE)</f>
        <v>15</v>
      </c>
      <c r="L1261">
        <f>VLOOKUP(Table2[[#This Row],[Site]],'Site Info'!$A$1:$C$11,3, FALSE)</f>
        <v>12</v>
      </c>
      <c r="M1261" t="str">
        <f>VLOOKUP(Table2[[#This Row],[Species]],'Species Table'!$A$1:$D$68,3, FALSE)</f>
        <v>Annual</v>
      </c>
      <c r="O1261" s="15">
        <f>IF(SUMPRODUCT(($A$2:$A1261=A1261)*($B$2:$B1261=B1261)*($F$2:$F1261=F1261))&gt;1,0,1)</f>
        <v>0</v>
      </c>
      <c r="P1261" s="15">
        <f>IF(SUMPRODUCT(($A$2:$A1261=A1261)*($B$2:$B1261=B1261)*($D$2:$D1261=D1261))&gt;1,0,1)</f>
        <v>0</v>
      </c>
    </row>
    <row r="1262" spans="1:16" hidden="1" x14ac:dyDescent="0.35">
      <c r="A1262" t="s">
        <v>18</v>
      </c>
      <c r="B1262">
        <v>2016</v>
      </c>
      <c r="C1262" s="1" t="s">
        <v>101</v>
      </c>
      <c r="D1262">
        <v>3.4</v>
      </c>
      <c r="E1262">
        <f>INT(Table2[[#This Row],[Transect]])</f>
        <v>3</v>
      </c>
      <c r="F1262" s="1" t="s">
        <v>10</v>
      </c>
      <c r="G1262">
        <v>29</v>
      </c>
      <c r="H1262">
        <v>200</v>
      </c>
      <c r="I1262">
        <v>100</v>
      </c>
      <c r="J1262">
        <f>Table2[[#This Row],[Hits]]/Table2[[#This Row],[Points]]*100</f>
        <v>14.499999999999998</v>
      </c>
      <c r="K1262">
        <f>VLOOKUP(Table2[[#This Row],[Site]],'Site Info'!$A$1:$C$11,2, FALSE)</f>
        <v>15</v>
      </c>
      <c r="L1262">
        <f>VLOOKUP(Table2[[#This Row],[Site]],'Site Info'!$A$1:$C$11,3, FALSE)</f>
        <v>12</v>
      </c>
      <c r="M1262" t="str">
        <f>VLOOKUP(Table2[[#This Row],[Species]],'Species Table'!$A$1:$D$68,3, FALSE)</f>
        <v>Annual</v>
      </c>
      <c r="O1262" s="15">
        <f>IF(SUMPRODUCT(($A$2:$A1262=A1262)*($B$2:$B1262=B1262)*($F$2:$F1262=F1262))&gt;1,0,1)</f>
        <v>0</v>
      </c>
      <c r="P1262" s="15">
        <f>IF(SUMPRODUCT(($A$2:$A1262=A1262)*($B$2:$B1262=B1262)*($D$2:$D1262=D1262))&gt;1,0,1)</f>
        <v>0</v>
      </c>
    </row>
    <row r="1263" spans="1:16" x14ac:dyDescent="0.35">
      <c r="A1263" t="s">
        <v>18</v>
      </c>
      <c r="B1263">
        <v>2016</v>
      </c>
      <c r="C1263" s="1" t="s">
        <v>102</v>
      </c>
      <c r="D1263">
        <v>3.5</v>
      </c>
      <c r="E1263">
        <f>INT(Table2[[#This Row],[Transect]])</f>
        <v>3</v>
      </c>
      <c r="F1263" s="1" t="s">
        <v>11</v>
      </c>
      <c r="G1263">
        <v>1</v>
      </c>
      <c r="H1263">
        <v>200</v>
      </c>
      <c r="I1263">
        <v>100</v>
      </c>
      <c r="J1263">
        <f>Table2[[#This Row],[Hits]]/Table2[[#This Row],[Points]]*100</f>
        <v>0.5</v>
      </c>
      <c r="K1263">
        <f>VLOOKUP(Table2[[#This Row],[Site]],'Site Info'!$A$1:$C$11,2, FALSE)</f>
        <v>15</v>
      </c>
      <c r="L1263">
        <f>VLOOKUP(Table2[[#This Row],[Site]],'Site Info'!$A$1:$C$11,3, FALSE)</f>
        <v>12</v>
      </c>
      <c r="M1263" t="str">
        <f>VLOOKUP(Table2[[#This Row],[Species]],'Species Table'!$A$1:$D$68,3, FALSE)</f>
        <v>Perennial</v>
      </c>
      <c r="O1263" s="15">
        <f>IF(SUMPRODUCT(($A$2:$A1263=A1263)*($B$2:$B1263=B1263)*($F$2:$F1263=F1263))&gt;1,0,1)</f>
        <v>0</v>
      </c>
      <c r="P1263" s="15">
        <f>IF(SUMPRODUCT(($A$2:$A1263=A1263)*($B$2:$B1263=B1263)*($D$2:$D1263=D1263))&gt;1,0,1)</f>
        <v>1</v>
      </c>
    </row>
    <row r="1264" spans="1:16" hidden="1" x14ac:dyDescent="0.35">
      <c r="A1264" t="s">
        <v>18</v>
      </c>
      <c r="B1264">
        <v>2016</v>
      </c>
      <c r="C1264" s="1" t="s">
        <v>102</v>
      </c>
      <c r="D1264">
        <v>3.5</v>
      </c>
      <c r="E1264">
        <f>INT(Table2[[#This Row],[Transect]])</f>
        <v>3</v>
      </c>
      <c r="F1264" s="1" t="s">
        <v>10</v>
      </c>
      <c r="G1264">
        <v>8</v>
      </c>
      <c r="H1264">
        <v>200</v>
      </c>
      <c r="I1264">
        <v>100</v>
      </c>
      <c r="J1264">
        <f>Table2[[#This Row],[Hits]]/Table2[[#This Row],[Points]]*100</f>
        <v>4</v>
      </c>
      <c r="K1264">
        <f>VLOOKUP(Table2[[#This Row],[Site]],'Site Info'!$A$1:$C$11,2, FALSE)</f>
        <v>15</v>
      </c>
      <c r="L1264">
        <f>VLOOKUP(Table2[[#This Row],[Site]],'Site Info'!$A$1:$C$11,3, FALSE)</f>
        <v>12</v>
      </c>
      <c r="M1264" t="str">
        <f>VLOOKUP(Table2[[#This Row],[Species]],'Species Table'!$A$1:$D$68,3, FALSE)</f>
        <v>Annual</v>
      </c>
      <c r="O1264" s="15">
        <f>IF(SUMPRODUCT(($A$2:$A1264=A1264)*($B$2:$B1264=B1264)*($F$2:$F1264=F1264))&gt;1,0,1)</f>
        <v>0</v>
      </c>
      <c r="P1264" s="15">
        <f>IF(SUMPRODUCT(($A$2:$A1264=A1264)*($B$2:$B1264=B1264)*($D$2:$D1264=D1264))&gt;1,0,1)</f>
        <v>0</v>
      </c>
    </row>
    <row r="1265" spans="1:16" x14ac:dyDescent="0.35">
      <c r="A1265" t="s">
        <v>18</v>
      </c>
      <c r="B1265">
        <v>2016</v>
      </c>
      <c r="C1265" s="1" t="s">
        <v>53</v>
      </c>
      <c r="D1265">
        <v>3.6</v>
      </c>
      <c r="E1265">
        <f>INT(Table2[[#This Row],[Transect]])</f>
        <v>3</v>
      </c>
      <c r="F1265" s="1" t="s">
        <v>11</v>
      </c>
      <c r="G1265">
        <v>6</v>
      </c>
      <c r="H1265">
        <v>200</v>
      </c>
      <c r="I1265">
        <v>100</v>
      </c>
      <c r="J1265">
        <f>Table2[[#This Row],[Hits]]/Table2[[#This Row],[Points]]*100</f>
        <v>3</v>
      </c>
      <c r="K1265">
        <f>VLOOKUP(Table2[[#This Row],[Site]],'Site Info'!$A$1:$C$11,2, FALSE)</f>
        <v>15</v>
      </c>
      <c r="L1265">
        <f>VLOOKUP(Table2[[#This Row],[Site]],'Site Info'!$A$1:$C$11,3, FALSE)</f>
        <v>12</v>
      </c>
      <c r="M1265" t="str">
        <f>VLOOKUP(Table2[[#This Row],[Species]],'Species Table'!$A$1:$D$68,3, FALSE)</f>
        <v>Perennial</v>
      </c>
      <c r="O1265" s="15">
        <f>IF(SUMPRODUCT(($A$2:$A1265=A1265)*($B$2:$B1265=B1265)*($F$2:$F1265=F1265))&gt;1,0,1)</f>
        <v>0</v>
      </c>
      <c r="P1265" s="15">
        <f>IF(SUMPRODUCT(($A$2:$A1265=A1265)*($B$2:$B1265=B1265)*($D$2:$D1265=D1265))&gt;1,0,1)</f>
        <v>1</v>
      </c>
    </row>
    <row r="1266" spans="1:16" hidden="1" x14ac:dyDescent="0.35">
      <c r="A1266" t="s">
        <v>18</v>
      </c>
      <c r="B1266">
        <v>2016</v>
      </c>
      <c r="C1266" s="1" t="s">
        <v>53</v>
      </c>
      <c r="D1266">
        <v>3.6</v>
      </c>
      <c r="E1266">
        <f>INT(Table2[[#This Row],[Transect]])</f>
        <v>3</v>
      </c>
      <c r="F1266" s="1" t="s">
        <v>10</v>
      </c>
      <c r="G1266">
        <v>2</v>
      </c>
      <c r="H1266">
        <v>200</v>
      </c>
      <c r="I1266">
        <v>100</v>
      </c>
      <c r="J1266">
        <f>Table2[[#This Row],[Hits]]/Table2[[#This Row],[Points]]*100</f>
        <v>1</v>
      </c>
      <c r="K1266">
        <f>VLOOKUP(Table2[[#This Row],[Site]],'Site Info'!$A$1:$C$11,2, FALSE)</f>
        <v>15</v>
      </c>
      <c r="L1266">
        <f>VLOOKUP(Table2[[#This Row],[Site]],'Site Info'!$A$1:$C$11,3, FALSE)</f>
        <v>12</v>
      </c>
      <c r="M1266" t="str">
        <f>VLOOKUP(Table2[[#This Row],[Species]],'Species Table'!$A$1:$D$68,3, FALSE)</f>
        <v>Annual</v>
      </c>
      <c r="O1266" s="15">
        <f>IF(SUMPRODUCT(($A$2:$A1266=A1266)*($B$2:$B1266=B1266)*($F$2:$F1266=F1266))&gt;1,0,1)</f>
        <v>0</v>
      </c>
      <c r="P1266" s="15">
        <f>IF(SUMPRODUCT(($A$2:$A1266=A1266)*($B$2:$B1266=B1266)*($D$2:$D1266=D1266))&gt;1,0,1)</f>
        <v>0</v>
      </c>
    </row>
    <row r="1267" spans="1:16" x14ac:dyDescent="0.35">
      <c r="A1267" t="s">
        <v>18</v>
      </c>
      <c r="B1267">
        <v>2016</v>
      </c>
      <c r="C1267" s="1" t="s">
        <v>54</v>
      </c>
      <c r="D1267">
        <v>3.7</v>
      </c>
      <c r="E1267">
        <f>INT(Table2[[#This Row],[Transect]])</f>
        <v>3</v>
      </c>
      <c r="F1267" s="1" t="s">
        <v>31</v>
      </c>
      <c r="G1267">
        <v>1</v>
      </c>
      <c r="H1267">
        <v>200</v>
      </c>
      <c r="I1267">
        <v>100</v>
      </c>
      <c r="J1267">
        <f>Table2[[#This Row],[Hits]]/Table2[[#This Row],[Points]]*100</f>
        <v>0.5</v>
      </c>
      <c r="K1267">
        <f>VLOOKUP(Table2[[#This Row],[Site]],'Site Info'!$A$1:$C$11,2, FALSE)</f>
        <v>15</v>
      </c>
      <c r="L1267">
        <f>VLOOKUP(Table2[[#This Row],[Site]],'Site Info'!$A$1:$C$11,3, FALSE)</f>
        <v>12</v>
      </c>
      <c r="M1267" t="str">
        <f>VLOOKUP(Table2[[#This Row],[Species]],'Species Table'!$A$1:$D$68,3, FALSE)</f>
        <v>Perennial</v>
      </c>
      <c r="O1267" s="15">
        <f>IF(SUMPRODUCT(($A$2:$A1267=A1267)*($B$2:$B1267=B1267)*($F$2:$F1267=F1267))&gt;1,0,1)</f>
        <v>1</v>
      </c>
      <c r="P1267" s="15">
        <f>IF(SUMPRODUCT(($A$2:$A1267=A1267)*($B$2:$B1267=B1267)*($D$2:$D1267=D1267))&gt;1,0,1)</f>
        <v>1</v>
      </c>
    </row>
    <row r="1268" spans="1:16" x14ac:dyDescent="0.35">
      <c r="A1268" t="s">
        <v>18</v>
      </c>
      <c r="B1268">
        <v>2016</v>
      </c>
      <c r="C1268" s="1" t="s">
        <v>54</v>
      </c>
      <c r="D1268">
        <v>3.7</v>
      </c>
      <c r="E1268">
        <f>INT(Table2[[#This Row],[Transect]])</f>
        <v>3</v>
      </c>
      <c r="F1268" s="1" t="s">
        <v>11</v>
      </c>
      <c r="G1268">
        <v>20</v>
      </c>
      <c r="H1268">
        <v>200</v>
      </c>
      <c r="I1268">
        <v>100</v>
      </c>
      <c r="J1268">
        <f>Table2[[#This Row],[Hits]]/Table2[[#This Row],[Points]]*100</f>
        <v>10</v>
      </c>
      <c r="K1268">
        <f>VLOOKUP(Table2[[#This Row],[Site]],'Site Info'!$A$1:$C$11,2, FALSE)</f>
        <v>15</v>
      </c>
      <c r="L1268">
        <f>VLOOKUP(Table2[[#This Row],[Site]],'Site Info'!$A$1:$C$11,3, FALSE)</f>
        <v>12</v>
      </c>
      <c r="M1268" t="str">
        <f>VLOOKUP(Table2[[#This Row],[Species]],'Species Table'!$A$1:$D$68,3, FALSE)</f>
        <v>Perennial</v>
      </c>
      <c r="O1268" s="15">
        <f>IF(SUMPRODUCT(($A$2:$A1268=A1268)*($B$2:$B1268=B1268)*($F$2:$F1268=F1268))&gt;1,0,1)</f>
        <v>0</v>
      </c>
      <c r="P1268" s="15">
        <f>IF(SUMPRODUCT(($A$2:$A1268=A1268)*($B$2:$B1268=B1268)*($D$2:$D1268=D1268))&gt;1,0,1)</f>
        <v>0</v>
      </c>
    </row>
    <row r="1269" spans="1:16" hidden="1" x14ac:dyDescent="0.35">
      <c r="A1269" t="s">
        <v>18</v>
      </c>
      <c r="B1269">
        <v>2016</v>
      </c>
      <c r="C1269" s="1" t="s">
        <v>54</v>
      </c>
      <c r="D1269">
        <v>3.7</v>
      </c>
      <c r="E1269">
        <f>INT(Table2[[#This Row],[Transect]])</f>
        <v>3</v>
      </c>
      <c r="F1269" s="1" t="s">
        <v>10</v>
      </c>
      <c r="G1269">
        <v>7</v>
      </c>
      <c r="H1269">
        <v>200</v>
      </c>
      <c r="I1269">
        <v>100</v>
      </c>
      <c r="J1269">
        <f>Table2[[#This Row],[Hits]]/Table2[[#This Row],[Points]]*100</f>
        <v>3.5000000000000004</v>
      </c>
      <c r="K1269">
        <f>VLOOKUP(Table2[[#This Row],[Site]],'Site Info'!$A$1:$C$11,2, FALSE)</f>
        <v>15</v>
      </c>
      <c r="L1269">
        <f>VLOOKUP(Table2[[#This Row],[Site]],'Site Info'!$A$1:$C$11,3, FALSE)</f>
        <v>12</v>
      </c>
      <c r="M1269" t="str">
        <f>VLOOKUP(Table2[[#This Row],[Species]],'Species Table'!$A$1:$D$68,3, FALSE)</f>
        <v>Annual</v>
      </c>
      <c r="O1269" s="15">
        <f>IF(SUMPRODUCT(($A$2:$A1269=A1269)*($B$2:$B1269=B1269)*($F$2:$F1269=F1269))&gt;1,0,1)</f>
        <v>0</v>
      </c>
      <c r="P1269" s="15">
        <f>IF(SUMPRODUCT(($A$2:$A1269=A1269)*($B$2:$B1269=B1269)*($D$2:$D1269=D1269))&gt;1,0,1)</f>
        <v>0</v>
      </c>
    </row>
    <row r="1270" spans="1:16" x14ac:dyDescent="0.35">
      <c r="A1270" t="s">
        <v>18</v>
      </c>
      <c r="B1270">
        <v>2016</v>
      </c>
      <c r="C1270" s="1" t="s">
        <v>55</v>
      </c>
      <c r="D1270">
        <v>4.0999999999999996</v>
      </c>
      <c r="E1270">
        <f>INT(Table2[[#This Row],[Transect]])</f>
        <v>4</v>
      </c>
      <c r="F1270" s="1" t="s">
        <v>11</v>
      </c>
      <c r="G1270">
        <v>19</v>
      </c>
      <c r="H1270">
        <v>200</v>
      </c>
      <c r="I1270">
        <v>100</v>
      </c>
      <c r="J1270">
        <f>Table2[[#This Row],[Hits]]/Table2[[#This Row],[Points]]*100</f>
        <v>9.5</v>
      </c>
      <c r="K1270">
        <f>VLOOKUP(Table2[[#This Row],[Site]],'Site Info'!$A$1:$C$11,2, FALSE)</f>
        <v>15</v>
      </c>
      <c r="L1270">
        <f>VLOOKUP(Table2[[#This Row],[Site]],'Site Info'!$A$1:$C$11,3, FALSE)</f>
        <v>12</v>
      </c>
      <c r="M1270" t="str">
        <f>VLOOKUP(Table2[[#This Row],[Species]],'Species Table'!$A$1:$D$68,3, FALSE)</f>
        <v>Perennial</v>
      </c>
      <c r="O1270" s="15">
        <f>IF(SUMPRODUCT(($A$2:$A1270=A1270)*($B$2:$B1270=B1270)*($F$2:$F1270=F1270))&gt;1,0,1)</f>
        <v>0</v>
      </c>
      <c r="P1270" s="15">
        <f>IF(SUMPRODUCT(($A$2:$A1270=A1270)*($B$2:$B1270=B1270)*($D$2:$D1270=D1270))&gt;1,0,1)</f>
        <v>1</v>
      </c>
    </row>
    <row r="1271" spans="1:16" hidden="1" x14ac:dyDescent="0.35">
      <c r="A1271" t="s">
        <v>18</v>
      </c>
      <c r="B1271">
        <v>2016</v>
      </c>
      <c r="C1271" s="1" t="s">
        <v>55</v>
      </c>
      <c r="D1271">
        <v>4.0999999999999996</v>
      </c>
      <c r="E1271">
        <f>INT(Table2[[#This Row],[Transect]])</f>
        <v>4</v>
      </c>
      <c r="F1271" s="1" t="s">
        <v>10</v>
      </c>
      <c r="G1271">
        <v>11</v>
      </c>
      <c r="H1271">
        <v>200</v>
      </c>
      <c r="I1271">
        <v>100</v>
      </c>
      <c r="J1271">
        <f>Table2[[#This Row],[Hits]]/Table2[[#This Row],[Points]]*100</f>
        <v>5.5</v>
      </c>
      <c r="K1271">
        <f>VLOOKUP(Table2[[#This Row],[Site]],'Site Info'!$A$1:$C$11,2, FALSE)</f>
        <v>15</v>
      </c>
      <c r="L1271">
        <f>VLOOKUP(Table2[[#This Row],[Site]],'Site Info'!$A$1:$C$11,3, FALSE)</f>
        <v>12</v>
      </c>
      <c r="M1271" t="str">
        <f>VLOOKUP(Table2[[#This Row],[Species]],'Species Table'!$A$1:$D$68,3, FALSE)</f>
        <v>Annual</v>
      </c>
      <c r="O1271" s="15">
        <f>IF(SUMPRODUCT(($A$2:$A1271=A1271)*($B$2:$B1271=B1271)*($F$2:$F1271=F1271))&gt;1,0,1)</f>
        <v>0</v>
      </c>
      <c r="P1271" s="15">
        <f>IF(SUMPRODUCT(($A$2:$A1271=A1271)*($B$2:$B1271=B1271)*($D$2:$D1271=D1271))&gt;1,0,1)</f>
        <v>0</v>
      </c>
    </row>
    <row r="1272" spans="1:16" x14ac:dyDescent="0.35">
      <c r="A1272" t="s">
        <v>18</v>
      </c>
      <c r="B1272">
        <v>2016</v>
      </c>
      <c r="C1272" s="1" t="s">
        <v>56</v>
      </c>
      <c r="D1272">
        <v>4.2</v>
      </c>
      <c r="E1272">
        <f>INT(Table2[[#This Row],[Transect]])</f>
        <v>4</v>
      </c>
      <c r="F1272" s="1" t="s">
        <v>11</v>
      </c>
      <c r="G1272">
        <v>8</v>
      </c>
      <c r="H1272">
        <v>200</v>
      </c>
      <c r="I1272">
        <v>100</v>
      </c>
      <c r="J1272">
        <f>Table2[[#This Row],[Hits]]/Table2[[#This Row],[Points]]*100</f>
        <v>4</v>
      </c>
      <c r="K1272">
        <f>VLOOKUP(Table2[[#This Row],[Site]],'Site Info'!$A$1:$C$11,2, FALSE)</f>
        <v>15</v>
      </c>
      <c r="L1272">
        <f>VLOOKUP(Table2[[#This Row],[Site]],'Site Info'!$A$1:$C$11,3, FALSE)</f>
        <v>12</v>
      </c>
      <c r="M1272" t="str">
        <f>VLOOKUP(Table2[[#This Row],[Species]],'Species Table'!$A$1:$D$68,3, FALSE)</f>
        <v>Perennial</v>
      </c>
      <c r="O1272" s="15">
        <f>IF(SUMPRODUCT(($A$2:$A1272=A1272)*($B$2:$B1272=B1272)*($F$2:$F1272=F1272))&gt;1,0,1)</f>
        <v>0</v>
      </c>
      <c r="P1272" s="15">
        <f>IF(SUMPRODUCT(($A$2:$A1272=A1272)*($B$2:$B1272=B1272)*($D$2:$D1272=D1272))&gt;1,0,1)</f>
        <v>1</v>
      </c>
    </row>
    <row r="1273" spans="1:16" hidden="1" x14ac:dyDescent="0.35">
      <c r="A1273" t="s">
        <v>18</v>
      </c>
      <c r="B1273">
        <v>2016</v>
      </c>
      <c r="C1273" s="1" t="s">
        <v>56</v>
      </c>
      <c r="D1273">
        <v>4.2</v>
      </c>
      <c r="E1273">
        <f>INT(Table2[[#This Row],[Transect]])</f>
        <v>4</v>
      </c>
      <c r="F1273" s="1" t="s">
        <v>10</v>
      </c>
      <c r="G1273">
        <v>11</v>
      </c>
      <c r="H1273">
        <v>200</v>
      </c>
      <c r="I1273">
        <v>100</v>
      </c>
      <c r="J1273">
        <f>Table2[[#This Row],[Hits]]/Table2[[#This Row],[Points]]*100</f>
        <v>5.5</v>
      </c>
      <c r="K1273">
        <f>VLOOKUP(Table2[[#This Row],[Site]],'Site Info'!$A$1:$C$11,2, FALSE)</f>
        <v>15</v>
      </c>
      <c r="L1273">
        <f>VLOOKUP(Table2[[#This Row],[Site]],'Site Info'!$A$1:$C$11,3, FALSE)</f>
        <v>12</v>
      </c>
      <c r="M1273" t="str">
        <f>VLOOKUP(Table2[[#This Row],[Species]],'Species Table'!$A$1:$D$68,3, FALSE)</f>
        <v>Annual</v>
      </c>
      <c r="O1273" s="15">
        <f>IF(SUMPRODUCT(($A$2:$A1273=A1273)*($B$2:$B1273=B1273)*($F$2:$F1273=F1273))&gt;1,0,1)</f>
        <v>0</v>
      </c>
      <c r="P1273" s="15">
        <f>IF(SUMPRODUCT(($A$2:$A1273=A1273)*($B$2:$B1273=B1273)*($D$2:$D1273=D1273))&gt;1,0,1)</f>
        <v>0</v>
      </c>
    </row>
    <row r="1274" spans="1:16" x14ac:dyDescent="0.35">
      <c r="A1274" t="s">
        <v>18</v>
      </c>
      <c r="B1274">
        <v>2016</v>
      </c>
      <c r="C1274" s="1" t="s">
        <v>57</v>
      </c>
      <c r="D1274">
        <v>4.3</v>
      </c>
      <c r="E1274">
        <f>INT(Table2[[#This Row],[Transect]])</f>
        <v>4</v>
      </c>
      <c r="F1274" s="1" t="s">
        <v>11</v>
      </c>
      <c r="G1274">
        <v>14</v>
      </c>
      <c r="H1274">
        <v>200</v>
      </c>
      <c r="I1274">
        <v>100</v>
      </c>
      <c r="J1274">
        <f>Table2[[#This Row],[Hits]]/Table2[[#This Row],[Points]]*100</f>
        <v>7.0000000000000009</v>
      </c>
      <c r="K1274">
        <f>VLOOKUP(Table2[[#This Row],[Site]],'Site Info'!$A$1:$C$11,2, FALSE)</f>
        <v>15</v>
      </c>
      <c r="L1274">
        <f>VLOOKUP(Table2[[#This Row],[Site]],'Site Info'!$A$1:$C$11,3, FALSE)</f>
        <v>12</v>
      </c>
      <c r="M1274" t="str">
        <f>VLOOKUP(Table2[[#This Row],[Species]],'Species Table'!$A$1:$D$68,3, FALSE)</f>
        <v>Perennial</v>
      </c>
      <c r="O1274" s="15">
        <f>IF(SUMPRODUCT(($A$2:$A1274=A1274)*($B$2:$B1274=B1274)*($F$2:$F1274=F1274))&gt;1,0,1)</f>
        <v>0</v>
      </c>
      <c r="P1274" s="15">
        <f>IF(SUMPRODUCT(($A$2:$A1274=A1274)*($B$2:$B1274=B1274)*($D$2:$D1274=D1274))&gt;1,0,1)</f>
        <v>1</v>
      </c>
    </row>
    <row r="1275" spans="1:16" hidden="1" x14ac:dyDescent="0.35">
      <c r="A1275" t="s">
        <v>18</v>
      </c>
      <c r="B1275">
        <v>2016</v>
      </c>
      <c r="C1275" s="1" t="s">
        <v>57</v>
      </c>
      <c r="D1275">
        <v>4.3</v>
      </c>
      <c r="E1275">
        <f>INT(Table2[[#This Row],[Transect]])</f>
        <v>4</v>
      </c>
      <c r="F1275" s="1" t="s">
        <v>10</v>
      </c>
      <c r="G1275">
        <v>21</v>
      </c>
      <c r="H1275">
        <v>200</v>
      </c>
      <c r="I1275">
        <v>100</v>
      </c>
      <c r="J1275">
        <f>Table2[[#This Row],[Hits]]/Table2[[#This Row],[Points]]*100</f>
        <v>10.5</v>
      </c>
      <c r="K1275">
        <f>VLOOKUP(Table2[[#This Row],[Site]],'Site Info'!$A$1:$C$11,2, FALSE)</f>
        <v>15</v>
      </c>
      <c r="L1275">
        <f>VLOOKUP(Table2[[#This Row],[Site]],'Site Info'!$A$1:$C$11,3, FALSE)</f>
        <v>12</v>
      </c>
      <c r="M1275" t="str">
        <f>VLOOKUP(Table2[[#This Row],[Species]],'Species Table'!$A$1:$D$68,3, FALSE)</f>
        <v>Annual</v>
      </c>
      <c r="O1275" s="15">
        <f>IF(SUMPRODUCT(($A$2:$A1275=A1275)*($B$2:$B1275=B1275)*($F$2:$F1275=F1275))&gt;1,0,1)</f>
        <v>0</v>
      </c>
      <c r="P1275" s="15">
        <f>IF(SUMPRODUCT(($A$2:$A1275=A1275)*($B$2:$B1275=B1275)*($D$2:$D1275=D1275))&gt;1,0,1)</f>
        <v>0</v>
      </c>
    </row>
    <row r="1276" spans="1:16" x14ac:dyDescent="0.35">
      <c r="A1276" t="s">
        <v>18</v>
      </c>
      <c r="B1276">
        <v>2016</v>
      </c>
      <c r="C1276" s="1" t="s">
        <v>58</v>
      </c>
      <c r="D1276">
        <v>4.4000000000000004</v>
      </c>
      <c r="E1276">
        <f>INT(Table2[[#This Row],[Transect]])</f>
        <v>4</v>
      </c>
      <c r="F1276" s="1" t="s">
        <v>11</v>
      </c>
      <c r="G1276">
        <v>16</v>
      </c>
      <c r="H1276">
        <v>200</v>
      </c>
      <c r="I1276">
        <v>100</v>
      </c>
      <c r="J1276">
        <f>Table2[[#This Row],[Hits]]/Table2[[#This Row],[Points]]*100</f>
        <v>8</v>
      </c>
      <c r="K1276">
        <f>VLOOKUP(Table2[[#This Row],[Site]],'Site Info'!$A$1:$C$11,2, FALSE)</f>
        <v>15</v>
      </c>
      <c r="L1276">
        <f>VLOOKUP(Table2[[#This Row],[Site]],'Site Info'!$A$1:$C$11,3, FALSE)</f>
        <v>12</v>
      </c>
      <c r="M1276" t="str">
        <f>VLOOKUP(Table2[[#This Row],[Species]],'Species Table'!$A$1:$D$68,3, FALSE)</f>
        <v>Perennial</v>
      </c>
      <c r="O1276" s="15">
        <f>IF(SUMPRODUCT(($A$2:$A1276=A1276)*($B$2:$B1276=B1276)*($F$2:$F1276=F1276))&gt;1,0,1)</f>
        <v>0</v>
      </c>
      <c r="P1276" s="15">
        <f>IF(SUMPRODUCT(($A$2:$A1276=A1276)*($B$2:$B1276=B1276)*($D$2:$D1276=D1276))&gt;1,0,1)</f>
        <v>1</v>
      </c>
    </row>
    <row r="1277" spans="1:16" hidden="1" x14ac:dyDescent="0.35">
      <c r="A1277" t="s">
        <v>18</v>
      </c>
      <c r="B1277">
        <v>2016</v>
      </c>
      <c r="C1277" s="1" t="s">
        <v>58</v>
      </c>
      <c r="D1277">
        <v>4.4000000000000004</v>
      </c>
      <c r="E1277">
        <f>INT(Table2[[#This Row],[Transect]])</f>
        <v>4</v>
      </c>
      <c r="F1277" s="1" t="s">
        <v>10</v>
      </c>
      <c r="G1277">
        <v>13</v>
      </c>
      <c r="H1277">
        <v>200</v>
      </c>
      <c r="I1277">
        <v>100</v>
      </c>
      <c r="J1277">
        <f>Table2[[#This Row],[Hits]]/Table2[[#This Row],[Points]]*100</f>
        <v>6.5</v>
      </c>
      <c r="K1277">
        <f>VLOOKUP(Table2[[#This Row],[Site]],'Site Info'!$A$1:$C$11,2, FALSE)</f>
        <v>15</v>
      </c>
      <c r="L1277">
        <f>VLOOKUP(Table2[[#This Row],[Site]],'Site Info'!$A$1:$C$11,3, FALSE)</f>
        <v>12</v>
      </c>
      <c r="M1277" t="str">
        <f>VLOOKUP(Table2[[#This Row],[Species]],'Species Table'!$A$1:$D$68,3, FALSE)</f>
        <v>Annual</v>
      </c>
      <c r="O1277" s="15">
        <f>IF(SUMPRODUCT(($A$2:$A1277=A1277)*($B$2:$B1277=B1277)*($F$2:$F1277=F1277))&gt;1,0,1)</f>
        <v>0</v>
      </c>
      <c r="P1277" s="15">
        <f>IF(SUMPRODUCT(($A$2:$A1277=A1277)*($B$2:$B1277=B1277)*($D$2:$D1277=D1277))&gt;1,0,1)</f>
        <v>0</v>
      </c>
    </row>
    <row r="1278" spans="1:16" x14ac:dyDescent="0.35">
      <c r="A1278" t="s">
        <v>18</v>
      </c>
      <c r="B1278">
        <v>2016</v>
      </c>
      <c r="C1278" s="1" t="s">
        <v>59</v>
      </c>
      <c r="D1278">
        <v>4.5</v>
      </c>
      <c r="E1278">
        <f>INT(Table2[[#This Row],[Transect]])</f>
        <v>4</v>
      </c>
      <c r="F1278" s="1" t="s">
        <v>11</v>
      </c>
      <c r="G1278">
        <v>20</v>
      </c>
      <c r="H1278">
        <v>200</v>
      </c>
      <c r="I1278">
        <v>100</v>
      </c>
      <c r="J1278">
        <f>Table2[[#This Row],[Hits]]/Table2[[#This Row],[Points]]*100</f>
        <v>10</v>
      </c>
      <c r="K1278">
        <f>VLOOKUP(Table2[[#This Row],[Site]],'Site Info'!$A$1:$C$11,2, FALSE)</f>
        <v>15</v>
      </c>
      <c r="L1278">
        <f>VLOOKUP(Table2[[#This Row],[Site]],'Site Info'!$A$1:$C$11,3, FALSE)</f>
        <v>12</v>
      </c>
      <c r="M1278" t="str">
        <f>VLOOKUP(Table2[[#This Row],[Species]],'Species Table'!$A$1:$D$68,3, FALSE)</f>
        <v>Perennial</v>
      </c>
      <c r="O1278" s="15">
        <f>IF(SUMPRODUCT(($A$2:$A1278=A1278)*($B$2:$B1278=B1278)*($F$2:$F1278=F1278))&gt;1,0,1)</f>
        <v>0</v>
      </c>
      <c r="P1278" s="15">
        <f>IF(SUMPRODUCT(($A$2:$A1278=A1278)*($B$2:$B1278=B1278)*($D$2:$D1278=D1278))&gt;1,0,1)</f>
        <v>1</v>
      </c>
    </row>
    <row r="1279" spans="1:16" hidden="1" x14ac:dyDescent="0.35">
      <c r="A1279" t="s">
        <v>18</v>
      </c>
      <c r="B1279">
        <v>2016</v>
      </c>
      <c r="C1279" s="1" t="s">
        <v>59</v>
      </c>
      <c r="D1279">
        <v>4.5</v>
      </c>
      <c r="E1279">
        <f>INT(Table2[[#This Row],[Transect]])</f>
        <v>4</v>
      </c>
      <c r="F1279" s="1" t="s">
        <v>10</v>
      </c>
      <c r="G1279">
        <v>20</v>
      </c>
      <c r="H1279">
        <v>200</v>
      </c>
      <c r="I1279">
        <v>100</v>
      </c>
      <c r="J1279">
        <f>Table2[[#This Row],[Hits]]/Table2[[#This Row],[Points]]*100</f>
        <v>10</v>
      </c>
      <c r="K1279">
        <f>VLOOKUP(Table2[[#This Row],[Site]],'Site Info'!$A$1:$C$11,2, FALSE)</f>
        <v>15</v>
      </c>
      <c r="L1279">
        <f>VLOOKUP(Table2[[#This Row],[Site]],'Site Info'!$A$1:$C$11,3, FALSE)</f>
        <v>12</v>
      </c>
      <c r="M1279" t="str">
        <f>VLOOKUP(Table2[[#This Row],[Species]],'Species Table'!$A$1:$D$68,3, FALSE)</f>
        <v>Annual</v>
      </c>
      <c r="O1279" s="15">
        <f>IF(SUMPRODUCT(($A$2:$A1279=A1279)*($B$2:$B1279=B1279)*($F$2:$F1279=F1279))&gt;1,0,1)</f>
        <v>0</v>
      </c>
      <c r="P1279" s="15">
        <f>IF(SUMPRODUCT(($A$2:$A1279=A1279)*($B$2:$B1279=B1279)*($D$2:$D1279=D1279))&gt;1,0,1)</f>
        <v>0</v>
      </c>
    </row>
    <row r="1280" spans="1:16" x14ac:dyDescent="0.35">
      <c r="A1280" t="s">
        <v>18</v>
      </c>
      <c r="B1280">
        <v>2016</v>
      </c>
      <c r="C1280" s="1" t="s">
        <v>60</v>
      </c>
      <c r="D1280">
        <v>4.5999999999999996</v>
      </c>
      <c r="E1280">
        <f>INT(Table2[[#This Row],[Transect]])</f>
        <v>4</v>
      </c>
      <c r="F1280" s="1" t="s">
        <v>11</v>
      </c>
      <c r="G1280">
        <v>3</v>
      </c>
      <c r="H1280">
        <v>200</v>
      </c>
      <c r="I1280">
        <v>100</v>
      </c>
      <c r="J1280">
        <f>Table2[[#This Row],[Hits]]/Table2[[#This Row],[Points]]*100</f>
        <v>1.5</v>
      </c>
      <c r="K1280">
        <f>VLOOKUP(Table2[[#This Row],[Site]],'Site Info'!$A$1:$C$11,2, FALSE)</f>
        <v>15</v>
      </c>
      <c r="L1280">
        <f>VLOOKUP(Table2[[#This Row],[Site]],'Site Info'!$A$1:$C$11,3, FALSE)</f>
        <v>12</v>
      </c>
      <c r="M1280" t="str">
        <f>VLOOKUP(Table2[[#This Row],[Species]],'Species Table'!$A$1:$D$68,3, FALSE)</f>
        <v>Perennial</v>
      </c>
      <c r="O1280" s="15">
        <f>IF(SUMPRODUCT(($A$2:$A1280=A1280)*($B$2:$B1280=B1280)*($F$2:$F1280=F1280))&gt;1,0,1)</f>
        <v>0</v>
      </c>
      <c r="P1280" s="15">
        <f>IF(SUMPRODUCT(($A$2:$A1280=A1280)*($B$2:$B1280=B1280)*($D$2:$D1280=D1280))&gt;1,0,1)</f>
        <v>1</v>
      </c>
    </row>
    <row r="1281" spans="1:16" hidden="1" x14ac:dyDescent="0.35">
      <c r="A1281" t="s">
        <v>18</v>
      </c>
      <c r="B1281">
        <v>2016</v>
      </c>
      <c r="C1281" s="1" t="s">
        <v>60</v>
      </c>
      <c r="D1281">
        <v>4.5999999999999996</v>
      </c>
      <c r="E1281">
        <f>INT(Table2[[#This Row],[Transect]])</f>
        <v>4</v>
      </c>
      <c r="F1281" s="1" t="s">
        <v>10</v>
      </c>
      <c r="G1281">
        <v>21</v>
      </c>
      <c r="H1281">
        <v>200</v>
      </c>
      <c r="I1281">
        <v>100</v>
      </c>
      <c r="J1281">
        <f>Table2[[#This Row],[Hits]]/Table2[[#This Row],[Points]]*100</f>
        <v>10.5</v>
      </c>
      <c r="K1281">
        <f>VLOOKUP(Table2[[#This Row],[Site]],'Site Info'!$A$1:$C$11,2, FALSE)</f>
        <v>15</v>
      </c>
      <c r="L1281">
        <f>VLOOKUP(Table2[[#This Row],[Site]],'Site Info'!$A$1:$C$11,3, FALSE)</f>
        <v>12</v>
      </c>
      <c r="M1281" t="str">
        <f>VLOOKUP(Table2[[#This Row],[Species]],'Species Table'!$A$1:$D$68,3, FALSE)</f>
        <v>Annual</v>
      </c>
      <c r="O1281" s="15">
        <f>IF(SUMPRODUCT(($A$2:$A1281=A1281)*($B$2:$B1281=B1281)*($F$2:$F1281=F1281))&gt;1,0,1)</f>
        <v>0</v>
      </c>
      <c r="P1281" s="15">
        <f>IF(SUMPRODUCT(($A$2:$A1281=A1281)*($B$2:$B1281=B1281)*($D$2:$D1281=D1281))&gt;1,0,1)</f>
        <v>0</v>
      </c>
    </row>
    <row r="1282" spans="1:16" x14ac:dyDescent="0.35">
      <c r="A1282" t="s">
        <v>18</v>
      </c>
      <c r="B1282">
        <v>2016</v>
      </c>
      <c r="C1282" s="1" t="s">
        <v>61</v>
      </c>
      <c r="D1282">
        <v>4.7</v>
      </c>
      <c r="E1282">
        <f>INT(Table2[[#This Row],[Transect]])</f>
        <v>4</v>
      </c>
      <c r="F1282" s="1" t="s">
        <v>11</v>
      </c>
      <c r="G1282">
        <v>8</v>
      </c>
      <c r="H1282">
        <v>200</v>
      </c>
      <c r="I1282">
        <v>100</v>
      </c>
      <c r="J1282">
        <f>Table2[[#This Row],[Hits]]/Table2[[#This Row],[Points]]*100</f>
        <v>4</v>
      </c>
      <c r="K1282">
        <f>VLOOKUP(Table2[[#This Row],[Site]],'Site Info'!$A$1:$C$11,2, FALSE)</f>
        <v>15</v>
      </c>
      <c r="L1282">
        <f>VLOOKUP(Table2[[#This Row],[Site]],'Site Info'!$A$1:$C$11,3, FALSE)</f>
        <v>12</v>
      </c>
      <c r="M1282" t="str">
        <f>VLOOKUP(Table2[[#This Row],[Species]],'Species Table'!$A$1:$D$68,3, FALSE)</f>
        <v>Perennial</v>
      </c>
      <c r="O1282" s="15">
        <f>IF(SUMPRODUCT(($A$2:$A1282=A1282)*($B$2:$B1282=B1282)*($F$2:$F1282=F1282))&gt;1,0,1)</f>
        <v>0</v>
      </c>
      <c r="P1282" s="15">
        <f>IF(SUMPRODUCT(($A$2:$A1282=A1282)*($B$2:$B1282=B1282)*($D$2:$D1282=D1282))&gt;1,0,1)</f>
        <v>1</v>
      </c>
    </row>
    <row r="1283" spans="1:16" hidden="1" x14ac:dyDescent="0.35">
      <c r="A1283" t="s">
        <v>18</v>
      </c>
      <c r="B1283">
        <v>2016</v>
      </c>
      <c r="C1283" s="1" t="s">
        <v>61</v>
      </c>
      <c r="D1283">
        <v>4.7</v>
      </c>
      <c r="E1283">
        <f>INT(Table2[[#This Row],[Transect]])</f>
        <v>4</v>
      </c>
      <c r="F1283" s="1" t="s">
        <v>10</v>
      </c>
      <c r="G1283">
        <v>11</v>
      </c>
      <c r="H1283">
        <v>200</v>
      </c>
      <c r="I1283">
        <v>100</v>
      </c>
      <c r="J1283">
        <f>Table2[[#This Row],[Hits]]/Table2[[#This Row],[Points]]*100</f>
        <v>5.5</v>
      </c>
      <c r="K1283">
        <f>VLOOKUP(Table2[[#This Row],[Site]],'Site Info'!$A$1:$C$11,2, FALSE)</f>
        <v>15</v>
      </c>
      <c r="L1283">
        <f>VLOOKUP(Table2[[#This Row],[Site]],'Site Info'!$A$1:$C$11,3, FALSE)</f>
        <v>12</v>
      </c>
      <c r="M1283" t="str">
        <f>VLOOKUP(Table2[[#This Row],[Species]],'Species Table'!$A$1:$D$68,3, FALSE)</f>
        <v>Annual</v>
      </c>
      <c r="O1283" s="15">
        <f>IF(SUMPRODUCT(($A$2:$A1283=A1283)*($B$2:$B1283=B1283)*($F$2:$F1283=F1283))&gt;1,0,1)</f>
        <v>0</v>
      </c>
      <c r="P1283" s="15">
        <f>IF(SUMPRODUCT(($A$2:$A1283=A1283)*($B$2:$B1283=B1283)*($D$2:$D1283=D1283))&gt;1,0,1)</f>
        <v>0</v>
      </c>
    </row>
    <row r="1284" spans="1:16" x14ac:dyDescent="0.35">
      <c r="A1284" t="s">
        <v>18</v>
      </c>
      <c r="B1284">
        <v>2016</v>
      </c>
      <c r="C1284" s="1" t="s">
        <v>62</v>
      </c>
      <c r="D1284">
        <v>5.0999999999999996</v>
      </c>
      <c r="E1284">
        <f>INT(Table2[[#This Row],[Transect]])</f>
        <v>5</v>
      </c>
      <c r="F1284" s="1" t="s">
        <v>12</v>
      </c>
      <c r="G1284">
        <v>1</v>
      </c>
      <c r="H1284">
        <v>200</v>
      </c>
      <c r="I1284">
        <v>100</v>
      </c>
      <c r="J1284">
        <f>Table2[[#This Row],[Hits]]/Table2[[#This Row],[Points]]*100</f>
        <v>0.5</v>
      </c>
      <c r="K1284">
        <f>VLOOKUP(Table2[[#This Row],[Site]],'Site Info'!$A$1:$C$11,2, FALSE)</f>
        <v>15</v>
      </c>
      <c r="L1284">
        <f>VLOOKUP(Table2[[#This Row],[Site]],'Site Info'!$A$1:$C$11,3, FALSE)</f>
        <v>12</v>
      </c>
      <c r="M1284" t="str">
        <f>VLOOKUP(Table2[[#This Row],[Species]],'Species Table'!$A$1:$D$68,3, FALSE)</f>
        <v>Perennial</v>
      </c>
      <c r="O1284" s="15">
        <f>IF(SUMPRODUCT(($A$2:$A1284=A1284)*($B$2:$B1284=B1284)*($F$2:$F1284=F1284))&gt;1,0,1)</f>
        <v>1</v>
      </c>
      <c r="P1284" s="15">
        <f>IF(SUMPRODUCT(($A$2:$A1284=A1284)*($B$2:$B1284=B1284)*($D$2:$D1284=D1284))&gt;1,0,1)</f>
        <v>1</v>
      </c>
    </row>
    <row r="1285" spans="1:16" x14ac:dyDescent="0.35">
      <c r="A1285" t="s">
        <v>18</v>
      </c>
      <c r="B1285">
        <v>2016</v>
      </c>
      <c r="C1285" s="1" t="s">
        <v>62</v>
      </c>
      <c r="D1285">
        <v>5.0999999999999996</v>
      </c>
      <c r="E1285">
        <f>INT(Table2[[#This Row],[Transect]])</f>
        <v>5</v>
      </c>
      <c r="F1285" s="1" t="s">
        <v>11</v>
      </c>
      <c r="G1285">
        <v>3</v>
      </c>
      <c r="H1285">
        <v>200</v>
      </c>
      <c r="I1285">
        <v>100</v>
      </c>
      <c r="J1285">
        <f>Table2[[#This Row],[Hits]]/Table2[[#This Row],[Points]]*100</f>
        <v>1.5</v>
      </c>
      <c r="K1285">
        <f>VLOOKUP(Table2[[#This Row],[Site]],'Site Info'!$A$1:$C$11,2, FALSE)</f>
        <v>15</v>
      </c>
      <c r="L1285">
        <f>VLOOKUP(Table2[[#This Row],[Site]],'Site Info'!$A$1:$C$11,3, FALSE)</f>
        <v>12</v>
      </c>
      <c r="M1285" t="str">
        <f>VLOOKUP(Table2[[#This Row],[Species]],'Species Table'!$A$1:$D$68,3, FALSE)</f>
        <v>Perennial</v>
      </c>
      <c r="O1285" s="15">
        <f>IF(SUMPRODUCT(($A$2:$A1285=A1285)*($B$2:$B1285=B1285)*($F$2:$F1285=F1285))&gt;1,0,1)</f>
        <v>0</v>
      </c>
      <c r="P1285" s="15">
        <f>IF(SUMPRODUCT(($A$2:$A1285=A1285)*($B$2:$B1285=B1285)*($D$2:$D1285=D1285))&gt;1,0,1)</f>
        <v>0</v>
      </c>
    </row>
    <row r="1286" spans="1:16" hidden="1" x14ac:dyDescent="0.35">
      <c r="A1286" t="s">
        <v>18</v>
      </c>
      <c r="B1286">
        <v>2016</v>
      </c>
      <c r="C1286" s="1" t="s">
        <v>62</v>
      </c>
      <c r="D1286">
        <v>5.0999999999999996</v>
      </c>
      <c r="E1286">
        <f>INT(Table2[[#This Row],[Transect]])</f>
        <v>5</v>
      </c>
      <c r="F1286" s="1" t="s">
        <v>10</v>
      </c>
      <c r="G1286">
        <v>3</v>
      </c>
      <c r="H1286">
        <v>200</v>
      </c>
      <c r="I1286">
        <v>100</v>
      </c>
      <c r="J1286">
        <f>Table2[[#This Row],[Hits]]/Table2[[#This Row],[Points]]*100</f>
        <v>1.5</v>
      </c>
      <c r="K1286">
        <f>VLOOKUP(Table2[[#This Row],[Site]],'Site Info'!$A$1:$C$11,2, FALSE)</f>
        <v>15</v>
      </c>
      <c r="L1286">
        <f>VLOOKUP(Table2[[#This Row],[Site]],'Site Info'!$A$1:$C$11,3, FALSE)</f>
        <v>12</v>
      </c>
      <c r="M1286" t="str">
        <f>VLOOKUP(Table2[[#This Row],[Species]],'Species Table'!$A$1:$D$68,3, FALSE)</f>
        <v>Annual</v>
      </c>
      <c r="O1286" s="15">
        <f>IF(SUMPRODUCT(($A$2:$A1286=A1286)*($B$2:$B1286=B1286)*($F$2:$F1286=F1286))&gt;1,0,1)</f>
        <v>0</v>
      </c>
      <c r="P1286" s="15">
        <f>IF(SUMPRODUCT(($A$2:$A1286=A1286)*($B$2:$B1286=B1286)*($D$2:$D1286=D1286))&gt;1,0,1)</f>
        <v>0</v>
      </c>
    </row>
    <row r="1287" spans="1:16" x14ac:dyDescent="0.35">
      <c r="A1287" t="s">
        <v>18</v>
      </c>
      <c r="B1287">
        <v>2016</v>
      </c>
      <c r="C1287" s="1" t="s">
        <v>63</v>
      </c>
      <c r="D1287">
        <v>5.2</v>
      </c>
      <c r="E1287">
        <f>INT(Table2[[#This Row],[Transect]])</f>
        <v>5</v>
      </c>
      <c r="F1287" s="1" t="s">
        <v>11</v>
      </c>
      <c r="G1287">
        <v>11</v>
      </c>
      <c r="H1287">
        <v>200</v>
      </c>
      <c r="I1287">
        <v>100</v>
      </c>
      <c r="J1287">
        <f>Table2[[#This Row],[Hits]]/Table2[[#This Row],[Points]]*100</f>
        <v>5.5</v>
      </c>
      <c r="K1287">
        <f>VLOOKUP(Table2[[#This Row],[Site]],'Site Info'!$A$1:$C$11,2, FALSE)</f>
        <v>15</v>
      </c>
      <c r="L1287">
        <f>VLOOKUP(Table2[[#This Row],[Site]],'Site Info'!$A$1:$C$11,3, FALSE)</f>
        <v>12</v>
      </c>
      <c r="M1287" t="str">
        <f>VLOOKUP(Table2[[#This Row],[Species]],'Species Table'!$A$1:$D$68,3, FALSE)</f>
        <v>Perennial</v>
      </c>
      <c r="O1287" s="15">
        <f>IF(SUMPRODUCT(($A$2:$A1287=A1287)*($B$2:$B1287=B1287)*($F$2:$F1287=F1287))&gt;1,0,1)</f>
        <v>0</v>
      </c>
      <c r="P1287" s="15">
        <f>IF(SUMPRODUCT(($A$2:$A1287=A1287)*($B$2:$B1287=B1287)*($D$2:$D1287=D1287))&gt;1,0,1)</f>
        <v>1</v>
      </c>
    </row>
    <row r="1288" spans="1:16" hidden="1" x14ac:dyDescent="0.35">
      <c r="A1288" t="s">
        <v>18</v>
      </c>
      <c r="B1288">
        <v>2016</v>
      </c>
      <c r="C1288" s="1" t="s">
        <v>63</v>
      </c>
      <c r="D1288">
        <v>5.2</v>
      </c>
      <c r="E1288">
        <f>INT(Table2[[#This Row],[Transect]])</f>
        <v>5</v>
      </c>
      <c r="F1288" s="1" t="s">
        <v>10</v>
      </c>
      <c r="G1288">
        <v>13</v>
      </c>
      <c r="H1288">
        <v>200</v>
      </c>
      <c r="I1288">
        <v>100</v>
      </c>
      <c r="J1288">
        <f>Table2[[#This Row],[Hits]]/Table2[[#This Row],[Points]]*100</f>
        <v>6.5</v>
      </c>
      <c r="K1288">
        <f>VLOOKUP(Table2[[#This Row],[Site]],'Site Info'!$A$1:$C$11,2, FALSE)</f>
        <v>15</v>
      </c>
      <c r="L1288">
        <f>VLOOKUP(Table2[[#This Row],[Site]],'Site Info'!$A$1:$C$11,3, FALSE)</f>
        <v>12</v>
      </c>
      <c r="M1288" t="str">
        <f>VLOOKUP(Table2[[#This Row],[Species]],'Species Table'!$A$1:$D$68,3, FALSE)</f>
        <v>Annual</v>
      </c>
      <c r="O1288" s="15">
        <f>IF(SUMPRODUCT(($A$2:$A1288=A1288)*($B$2:$B1288=B1288)*($F$2:$F1288=F1288))&gt;1,0,1)</f>
        <v>0</v>
      </c>
      <c r="P1288" s="15">
        <f>IF(SUMPRODUCT(($A$2:$A1288=A1288)*($B$2:$B1288=B1288)*($D$2:$D1288=D1288))&gt;1,0,1)</f>
        <v>0</v>
      </c>
    </row>
    <row r="1289" spans="1:16" x14ac:dyDescent="0.35">
      <c r="A1289" t="s">
        <v>18</v>
      </c>
      <c r="B1289">
        <v>2016</v>
      </c>
      <c r="C1289" s="1" t="s">
        <v>63</v>
      </c>
      <c r="D1289">
        <v>5.2</v>
      </c>
      <c r="E1289">
        <f>INT(Table2[[#This Row],[Transect]])</f>
        <v>5</v>
      </c>
      <c r="F1289" s="1" t="s">
        <v>170</v>
      </c>
      <c r="G1289">
        <v>8</v>
      </c>
      <c r="H1289">
        <v>200</v>
      </c>
      <c r="I1289">
        <v>100</v>
      </c>
      <c r="J1289">
        <f>Table2[[#This Row],[Hits]]/Table2[[#This Row],[Points]]*100</f>
        <v>4</v>
      </c>
      <c r="K1289">
        <f>VLOOKUP(Table2[[#This Row],[Site]],'Site Info'!$A$1:$C$11,2, FALSE)</f>
        <v>15</v>
      </c>
      <c r="L1289">
        <f>VLOOKUP(Table2[[#This Row],[Site]],'Site Info'!$A$1:$C$11,3, FALSE)</f>
        <v>12</v>
      </c>
      <c r="M1289" t="str">
        <f>VLOOKUP(Table2[[#This Row],[Species]],'Species Table'!$A$1:$D$68,3, FALSE)</f>
        <v>Perennial</v>
      </c>
      <c r="O1289" s="15">
        <f>IF(SUMPRODUCT(($A$2:$A1289=A1289)*($B$2:$B1289=B1289)*($F$2:$F1289=F1289))&gt;1,0,1)</f>
        <v>0</v>
      </c>
      <c r="P1289" s="15">
        <f>IF(SUMPRODUCT(($A$2:$A1289=A1289)*($B$2:$B1289=B1289)*($D$2:$D1289=D1289))&gt;1,0,1)</f>
        <v>0</v>
      </c>
    </row>
    <row r="1290" spans="1:16" x14ac:dyDescent="0.35">
      <c r="A1290" t="s">
        <v>18</v>
      </c>
      <c r="B1290">
        <v>2016</v>
      </c>
      <c r="C1290" s="1" t="s">
        <v>64</v>
      </c>
      <c r="D1290">
        <v>5.3</v>
      </c>
      <c r="E1290">
        <f>INT(Table2[[#This Row],[Transect]])</f>
        <v>5</v>
      </c>
      <c r="F1290" s="1" t="s">
        <v>11</v>
      </c>
      <c r="G1290">
        <v>15</v>
      </c>
      <c r="H1290">
        <v>200</v>
      </c>
      <c r="I1290">
        <v>100</v>
      </c>
      <c r="J1290">
        <f>Table2[[#This Row],[Hits]]/Table2[[#This Row],[Points]]*100</f>
        <v>7.5</v>
      </c>
      <c r="K1290">
        <f>VLOOKUP(Table2[[#This Row],[Site]],'Site Info'!$A$1:$C$11,2, FALSE)</f>
        <v>15</v>
      </c>
      <c r="L1290">
        <f>VLOOKUP(Table2[[#This Row],[Site]],'Site Info'!$A$1:$C$11,3, FALSE)</f>
        <v>12</v>
      </c>
      <c r="M1290" t="str">
        <f>VLOOKUP(Table2[[#This Row],[Species]],'Species Table'!$A$1:$D$68,3, FALSE)</f>
        <v>Perennial</v>
      </c>
      <c r="O1290" s="15">
        <f>IF(SUMPRODUCT(($A$2:$A1290=A1290)*($B$2:$B1290=B1290)*($F$2:$F1290=F1290))&gt;1,0,1)</f>
        <v>0</v>
      </c>
      <c r="P1290" s="15">
        <f>IF(SUMPRODUCT(($A$2:$A1290=A1290)*($B$2:$B1290=B1290)*($D$2:$D1290=D1290))&gt;1,0,1)</f>
        <v>1</v>
      </c>
    </row>
    <row r="1291" spans="1:16" hidden="1" x14ac:dyDescent="0.35">
      <c r="A1291" t="s">
        <v>18</v>
      </c>
      <c r="B1291">
        <v>2016</v>
      </c>
      <c r="C1291" s="1" t="s">
        <v>64</v>
      </c>
      <c r="D1291">
        <v>5.3</v>
      </c>
      <c r="E1291">
        <f>INT(Table2[[#This Row],[Transect]])</f>
        <v>5</v>
      </c>
      <c r="F1291" s="1" t="s">
        <v>10</v>
      </c>
      <c r="G1291">
        <v>27</v>
      </c>
      <c r="H1291">
        <v>200</v>
      </c>
      <c r="I1291">
        <v>100</v>
      </c>
      <c r="J1291">
        <f>Table2[[#This Row],[Hits]]/Table2[[#This Row],[Points]]*100</f>
        <v>13.5</v>
      </c>
      <c r="K1291">
        <f>VLOOKUP(Table2[[#This Row],[Site]],'Site Info'!$A$1:$C$11,2, FALSE)</f>
        <v>15</v>
      </c>
      <c r="L1291">
        <f>VLOOKUP(Table2[[#This Row],[Site]],'Site Info'!$A$1:$C$11,3, FALSE)</f>
        <v>12</v>
      </c>
      <c r="M1291" t="str">
        <f>VLOOKUP(Table2[[#This Row],[Species]],'Species Table'!$A$1:$D$68,3, FALSE)</f>
        <v>Annual</v>
      </c>
      <c r="O1291" s="15">
        <f>IF(SUMPRODUCT(($A$2:$A1291=A1291)*($B$2:$B1291=B1291)*($F$2:$F1291=F1291))&gt;1,0,1)</f>
        <v>0</v>
      </c>
      <c r="P1291" s="15">
        <f>IF(SUMPRODUCT(($A$2:$A1291=A1291)*($B$2:$B1291=B1291)*($D$2:$D1291=D1291))&gt;1,0,1)</f>
        <v>0</v>
      </c>
    </row>
    <row r="1292" spans="1:16" x14ac:dyDescent="0.35">
      <c r="A1292" t="s">
        <v>18</v>
      </c>
      <c r="B1292">
        <v>2016</v>
      </c>
      <c r="C1292" s="1" t="s">
        <v>86</v>
      </c>
      <c r="D1292">
        <v>5.4</v>
      </c>
      <c r="E1292">
        <f>INT(Table2[[#This Row],[Transect]])</f>
        <v>5</v>
      </c>
      <c r="F1292" s="1" t="s">
        <v>11</v>
      </c>
      <c r="G1292">
        <v>13</v>
      </c>
      <c r="H1292">
        <v>200</v>
      </c>
      <c r="I1292">
        <v>100</v>
      </c>
      <c r="J1292">
        <f>Table2[[#This Row],[Hits]]/Table2[[#This Row],[Points]]*100</f>
        <v>6.5</v>
      </c>
      <c r="K1292">
        <f>VLOOKUP(Table2[[#This Row],[Site]],'Site Info'!$A$1:$C$11,2, FALSE)</f>
        <v>15</v>
      </c>
      <c r="L1292">
        <f>VLOOKUP(Table2[[#This Row],[Site]],'Site Info'!$A$1:$C$11,3, FALSE)</f>
        <v>12</v>
      </c>
      <c r="M1292" t="str">
        <f>VLOOKUP(Table2[[#This Row],[Species]],'Species Table'!$A$1:$D$68,3, FALSE)</f>
        <v>Perennial</v>
      </c>
      <c r="O1292" s="15">
        <f>IF(SUMPRODUCT(($A$2:$A1292=A1292)*($B$2:$B1292=B1292)*($F$2:$F1292=F1292))&gt;1,0,1)</f>
        <v>0</v>
      </c>
      <c r="P1292" s="15">
        <f>IF(SUMPRODUCT(($A$2:$A1292=A1292)*($B$2:$B1292=B1292)*($D$2:$D1292=D1292))&gt;1,0,1)</f>
        <v>1</v>
      </c>
    </row>
    <row r="1293" spans="1:16" hidden="1" x14ac:dyDescent="0.35">
      <c r="A1293" t="s">
        <v>18</v>
      </c>
      <c r="B1293">
        <v>2016</v>
      </c>
      <c r="C1293" s="1" t="s">
        <v>86</v>
      </c>
      <c r="D1293">
        <v>5.4</v>
      </c>
      <c r="E1293">
        <f>INT(Table2[[#This Row],[Transect]])</f>
        <v>5</v>
      </c>
      <c r="F1293" s="1" t="s">
        <v>10</v>
      </c>
      <c r="G1293">
        <v>29</v>
      </c>
      <c r="H1293">
        <v>200</v>
      </c>
      <c r="I1293">
        <v>100</v>
      </c>
      <c r="J1293">
        <f>Table2[[#This Row],[Hits]]/Table2[[#This Row],[Points]]*100</f>
        <v>14.499999999999998</v>
      </c>
      <c r="K1293">
        <f>VLOOKUP(Table2[[#This Row],[Site]],'Site Info'!$A$1:$C$11,2, FALSE)</f>
        <v>15</v>
      </c>
      <c r="L1293">
        <f>VLOOKUP(Table2[[#This Row],[Site]],'Site Info'!$A$1:$C$11,3, FALSE)</f>
        <v>12</v>
      </c>
      <c r="M1293" t="str">
        <f>VLOOKUP(Table2[[#This Row],[Species]],'Species Table'!$A$1:$D$68,3, FALSE)</f>
        <v>Annual</v>
      </c>
      <c r="O1293" s="15">
        <f>IF(SUMPRODUCT(($A$2:$A1293=A1293)*($B$2:$B1293=B1293)*($F$2:$F1293=F1293))&gt;1,0,1)</f>
        <v>0</v>
      </c>
      <c r="P1293" s="15">
        <f>IF(SUMPRODUCT(($A$2:$A1293=A1293)*($B$2:$B1293=B1293)*($D$2:$D1293=D1293))&gt;1,0,1)</f>
        <v>0</v>
      </c>
    </row>
    <row r="1294" spans="1:16" x14ac:dyDescent="0.35">
      <c r="A1294" t="s">
        <v>18</v>
      </c>
      <c r="B1294">
        <v>2016</v>
      </c>
      <c r="C1294" s="1" t="s">
        <v>65</v>
      </c>
      <c r="D1294">
        <v>5.5</v>
      </c>
      <c r="E1294">
        <f>INT(Table2[[#This Row],[Transect]])</f>
        <v>5</v>
      </c>
      <c r="F1294" s="1" t="s">
        <v>11</v>
      </c>
      <c r="G1294">
        <v>3</v>
      </c>
      <c r="H1294">
        <v>200</v>
      </c>
      <c r="I1294">
        <v>100</v>
      </c>
      <c r="J1294">
        <f>Table2[[#This Row],[Hits]]/Table2[[#This Row],[Points]]*100</f>
        <v>1.5</v>
      </c>
      <c r="K1294">
        <f>VLOOKUP(Table2[[#This Row],[Site]],'Site Info'!$A$1:$C$11,2, FALSE)</f>
        <v>15</v>
      </c>
      <c r="L1294">
        <f>VLOOKUP(Table2[[#This Row],[Site]],'Site Info'!$A$1:$C$11,3, FALSE)</f>
        <v>12</v>
      </c>
      <c r="M1294" t="str">
        <f>VLOOKUP(Table2[[#This Row],[Species]],'Species Table'!$A$1:$D$68,3, FALSE)</f>
        <v>Perennial</v>
      </c>
      <c r="O1294" s="15">
        <f>IF(SUMPRODUCT(($A$2:$A1294=A1294)*($B$2:$B1294=B1294)*($F$2:$F1294=F1294))&gt;1,0,1)</f>
        <v>0</v>
      </c>
      <c r="P1294" s="15">
        <f>IF(SUMPRODUCT(($A$2:$A1294=A1294)*($B$2:$B1294=B1294)*($D$2:$D1294=D1294))&gt;1,0,1)</f>
        <v>1</v>
      </c>
    </row>
    <row r="1295" spans="1:16" hidden="1" x14ac:dyDescent="0.35">
      <c r="A1295" t="s">
        <v>18</v>
      </c>
      <c r="B1295">
        <v>2016</v>
      </c>
      <c r="C1295" s="1" t="s">
        <v>65</v>
      </c>
      <c r="D1295">
        <v>5.5</v>
      </c>
      <c r="E1295">
        <f>INT(Table2[[#This Row],[Transect]])</f>
        <v>5</v>
      </c>
      <c r="F1295" s="1" t="s">
        <v>10</v>
      </c>
      <c r="G1295">
        <v>12</v>
      </c>
      <c r="H1295">
        <v>200</v>
      </c>
      <c r="I1295">
        <v>100</v>
      </c>
      <c r="J1295">
        <f>Table2[[#This Row],[Hits]]/Table2[[#This Row],[Points]]*100</f>
        <v>6</v>
      </c>
      <c r="K1295">
        <f>VLOOKUP(Table2[[#This Row],[Site]],'Site Info'!$A$1:$C$11,2, FALSE)</f>
        <v>15</v>
      </c>
      <c r="L1295">
        <f>VLOOKUP(Table2[[#This Row],[Site]],'Site Info'!$A$1:$C$11,3, FALSE)</f>
        <v>12</v>
      </c>
      <c r="M1295" t="str">
        <f>VLOOKUP(Table2[[#This Row],[Species]],'Species Table'!$A$1:$D$68,3, FALSE)</f>
        <v>Annual</v>
      </c>
      <c r="O1295" s="15">
        <f>IF(SUMPRODUCT(($A$2:$A1295=A1295)*($B$2:$B1295=B1295)*($F$2:$F1295=F1295))&gt;1,0,1)</f>
        <v>0</v>
      </c>
      <c r="P1295" s="15">
        <f>IF(SUMPRODUCT(($A$2:$A1295=A1295)*($B$2:$B1295=B1295)*($D$2:$D1295=D1295))&gt;1,0,1)</f>
        <v>0</v>
      </c>
    </row>
    <row r="1296" spans="1:16" x14ac:dyDescent="0.35">
      <c r="A1296" t="s">
        <v>18</v>
      </c>
      <c r="B1296">
        <v>2016</v>
      </c>
      <c r="C1296" s="1" t="s">
        <v>87</v>
      </c>
      <c r="D1296">
        <v>5.6</v>
      </c>
      <c r="E1296">
        <f>INT(Table2[[#This Row],[Transect]])</f>
        <v>5</v>
      </c>
      <c r="F1296" s="1" t="s">
        <v>11</v>
      </c>
      <c r="G1296">
        <v>10</v>
      </c>
      <c r="H1296">
        <v>200</v>
      </c>
      <c r="I1296">
        <v>100</v>
      </c>
      <c r="J1296">
        <f>Table2[[#This Row],[Hits]]/Table2[[#This Row],[Points]]*100</f>
        <v>5</v>
      </c>
      <c r="K1296">
        <f>VLOOKUP(Table2[[#This Row],[Site]],'Site Info'!$A$1:$C$11,2, FALSE)</f>
        <v>15</v>
      </c>
      <c r="L1296">
        <f>VLOOKUP(Table2[[#This Row],[Site]],'Site Info'!$A$1:$C$11,3, FALSE)</f>
        <v>12</v>
      </c>
      <c r="M1296" t="str">
        <f>VLOOKUP(Table2[[#This Row],[Species]],'Species Table'!$A$1:$D$68,3, FALSE)</f>
        <v>Perennial</v>
      </c>
      <c r="O1296" s="15">
        <f>IF(SUMPRODUCT(($A$2:$A1296=A1296)*($B$2:$B1296=B1296)*($F$2:$F1296=F1296))&gt;1,0,1)</f>
        <v>0</v>
      </c>
      <c r="P1296" s="15">
        <f>IF(SUMPRODUCT(($A$2:$A1296=A1296)*($B$2:$B1296=B1296)*($D$2:$D1296=D1296))&gt;1,0,1)</f>
        <v>1</v>
      </c>
    </row>
    <row r="1297" spans="1:16" hidden="1" x14ac:dyDescent="0.35">
      <c r="A1297" t="s">
        <v>18</v>
      </c>
      <c r="B1297">
        <v>2016</v>
      </c>
      <c r="C1297" s="1" t="s">
        <v>87</v>
      </c>
      <c r="D1297">
        <v>5.6</v>
      </c>
      <c r="E1297">
        <f>INT(Table2[[#This Row],[Transect]])</f>
        <v>5</v>
      </c>
      <c r="F1297" s="1" t="s">
        <v>10</v>
      </c>
      <c r="G1297">
        <v>19</v>
      </c>
      <c r="H1297">
        <v>200</v>
      </c>
      <c r="I1297">
        <v>100</v>
      </c>
      <c r="J1297">
        <f>Table2[[#This Row],[Hits]]/Table2[[#This Row],[Points]]*100</f>
        <v>9.5</v>
      </c>
      <c r="K1297">
        <f>VLOOKUP(Table2[[#This Row],[Site]],'Site Info'!$A$1:$C$11,2, FALSE)</f>
        <v>15</v>
      </c>
      <c r="L1297">
        <f>VLOOKUP(Table2[[#This Row],[Site]],'Site Info'!$A$1:$C$11,3, FALSE)</f>
        <v>12</v>
      </c>
      <c r="M1297" t="str">
        <f>VLOOKUP(Table2[[#This Row],[Species]],'Species Table'!$A$1:$D$68,3, FALSE)</f>
        <v>Annual</v>
      </c>
      <c r="O1297" s="15">
        <f>IF(SUMPRODUCT(($A$2:$A1297=A1297)*($B$2:$B1297=B1297)*($F$2:$F1297=F1297))&gt;1,0,1)</f>
        <v>0</v>
      </c>
      <c r="P1297" s="15">
        <f>IF(SUMPRODUCT(($A$2:$A1297=A1297)*($B$2:$B1297=B1297)*($D$2:$D1297=D1297))&gt;1,0,1)</f>
        <v>0</v>
      </c>
    </row>
    <row r="1298" spans="1:16" x14ac:dyDescent="0.35">
      <c r="A1298" t="s">
        <v>18</v>
      </c>
      <c r="B1298">
        <v>2016</v>
      </c>
      <c r="C1298" s="1" t="s">
        <v>67</v>
      </c>
      <c r="D1298">
        <v>6.1</v>
      </c>
      <c r="E1298">
        <f>INT(Table2[[#This Row],[Transect]])</f>
        <v>6</v>
      </c>
      <c r="F1298" s="1" t="s">
        <v>11</v>
      </c>
      <c r="G1298">
        <v>4</v>
      </c>
      <c r="H1298">
        <v>200</v>
      </c>
      <c r="I1298">
        <v>100</v>
      </c>
      <c r="J1298">
        <f>Table2[[#This Row],[Hits]]/Table2[[#This Row],[Points]]*100</f>
        <v>2</v>
      </c>
      <c r="K1298">
        <f>VLOOKUP(Table2[[#This Row],[Site]],'Site Info'!$A$1:$C$11,2, FALSE)</f>
        <v>15</v>
      </c>
      <c r="L1298">
        <f>VLOOKUP(Table2[[#This Row],[Site]],'Site Info'!$A$1:$C$11,3, FALSE)</f>
        <v>12</v>
      </c>
      <c r="M1298" t="str">
        <f>VLOOKUP(Table2[[#This Row],[Species]],'Species Table'!$A$1:$D$68,3, FALSE)</f>
        <v>Perennial</v>
      </c>
      <c r="O1298" s="15">
        <f>IF(SUMPRODUCT(($A$2:$A1298=A1298)*($B$2:$B1298=B1298)*($F$2:$F1298=F1298))&gt;1,0,1)</f>
        <v>0</v>
      </c>
      <c r="P1298" s="15">
        <f>IF(SUMPRODUCT(($A$2:$A1298=A1298)*($B$2:$B1298=B1298)*($D$2:$D1298=D1298))&gt;1,0,1)</f>
        <v>1</v>
      </c>
    </row>
    <row r="1299" spans="1:16" hidden="1" x14ac:dyDescent="0.35">
      <c r="A1299" t="s">
        <v>18</v>
      </c>
      <c r="B1299">
        <v>2016</v>
      </c>
      <c r="C1299" s="1" t="s">
        <v>67</v>
      </c>
      <c r="D1299">
        <v>6.1</v>
      </c>
      <c r="E1299">
        <f>INT(Table2[[#This Row],[Transect]])</f>
        <v>6</v>
      </c>
      <c r="F1299" s="1" t="s">
        <v>10</v>
      </c>
      <c r="G1299">
        <v>27</v>
      </c>
      <c r="H1299">
        <v>200</v>
      </c>
      <c r="I1299">
        <v>100</v>
      </c>
      <c r="J1299">
        <f>Table2[[#This Row],[Hits]]/Table2[[#This Row],[Points]]*100</f>
        <v>13.5</v>
      </c>
      <c r="K1299">
        <f>VLOOKUP(Table2[[#This Row],[Site]],'Site Info'!$A$1:$C$11,2, FALSE)</f>
        <v>15</v>
      </c>
      <c r="L1299">
        <f>VLOOKUP(Table2[[#This Row],[Site]],'Site Info'!$A$1:$C$11,3, FALSE)</f>
        <v>12</v>
      </c>
      <c r="M1299" t="str">
        <f>VLOOKUP(Table2[[#This Row],[Species]],'Species Table'!$A$1:$D$68,3, FALSE)</f>
        <v>Annual</v>
      </c>
      <c r="O1299" s="15">
        <f>IF(SUMPRODUCT(($A$2:$A1299=A1299)*($B$2:$B1299=B1299)*($F$2:$F1299=F1299))&gt;1,0,1)</f>
        <v>0</v>
      </c>
      <c r="P1299" s="15">
        <f>IF(SUMPRODUCT(($A$2:$A1299=A1299)*($B$2:$B1299=B1299)*($D$2:$D1299=D1299))&gt;1,0,1)</f>
        <v>0</v>
      </c>
    </row>
    <row r="1300" spans="1:16" x14ac:dyDescent="0.35">
      <c r="A1300" t="s">
        <v>18</v>
      </c>
      <c r="B1300">
        <v>2016</v>
      </c>
      <c r="C1300" s="1" t="s">
        <v>88</v>
      </c>
      <c r="D1300">
        <v>6.2</v>
      </c>
      <c r="E1300">
        <f>INT(Table2[[#This Row],[Transect]])</f>
        <v>6</v>
      </c>
      <c r="F1300" s="1" t="s">
        <v>11</v>
      </c>
      <c r="G1300">
        <v>10</v>
      </c>
      <c r="H1300">
        <v>200</v>
      </c>
      <c r="I1300">
        <v>100</v>
      </c>
      <c r="J1300">
        <f>Table2[[#This Row],[Hits]]/Table2[[#This Row],[Points]]*100</f>
        <v>5</v>
      </c>
      <c r="K1300">
        <f>VLOOKUP(Table2[[#This Row],[Site]],'Site Info'!$A$1:$C$11,2, FALSE)</f>
        <v>15</v>
      </c>
      <c r="L1300">
        <f>VLOOKUP(Table2[[#This Row],[Site]],'Site Info'!$A$1:$C$11,3, FALSE)</f>
        <v>12</v>
      </c>
      <c r="M1300" t="str">
        <f>VLOOKUP(Table2[[#This Row],[Species]],'Species Table'!$A$1:$D$68,3, FALSE)</f>
        <v>Perennial</v>
      </c>
      <c r="O1300" s="15">
        <f>IF(SUMPRODUCT(($A$2:$A1300=A1300)*($B$2:$B1300=B1300)*($F$2:$F1300=F1300))&gt;1,0,1)</f>
        <v>0</v>
      </c>
      <c r="P1300" s="15">
        <f>IF(SUMPRODUCT(($A$2:$A1300=A1300)*($B$2:$B1300=B1300)*($D$2:$D1300=D1300))&gt;1,0,1)</f>
        <v>1</v>
      </c>
    </row>
    <row r="1301" spans="1:16" hidden="1" x14ac:dyDescent="0.35">
      <c r="A1301" t="s">
        <v>18</v>
      </c>
      <c r="B1301">
        <v>2016</v>
      </c>
      <c r="C1301" s="1" t="s">
        <v>88</v>
      </c>
      <c r="D1301">
        <v>6.2</v>
      </c>
      <c r="E1301">
        <f>INT(Table2[[#This Row],[Transect]])</f>
        <v>6</v>
      </c>
      <c r="F1301" s="1" t="s">
        <v>10</v>
      </c>
      <c r="G1301">
        <v>20</v>
      </c>
      <c r="H1301">
        <v>200</v>
      </c>
      <c r="I1301">
        <v>100</v>
      </c>
      <c r="J1301">
        <f>Table2[[#This Row],[Hits]]/Table2[[#This Row],[Points]]*100</f>
        <v>10</v>
      </c>
      <c r="K1301">
        <f>VLOOKUP(Table2[[#This Row],[Site]],'Site Info'!$A$1:$C$11,2, FALSE)</f>
        <v>15</v>
      </c>
      <c r="L1301">
        <f>VLOOKUP(Table2[[#This Row],[Site]],'Site Info'!$A$1:$C$11,3, FALSE)</f>
        <v>12</v>
      </c>
      <c r="M1301" t="str">
        <f>VLOOKUP(Table2[[#This Row],[Species]],'Species Table'!$A$1:$D$68,3, FALSE)</f>
        <v>Annual</v>
      </c>
      <c r="O1301" s="15">
        <f>IF(SUMPRODUCT(($A$2:$A1301=A1301)*($B$2:$B1301=B1301)*($F$2:$F1301=F1301))&gt;1,0,1)</f>
        <v>0</v>
      </c>
      <c r="P1301" s="15">
        <f>IF(SUMPRODUCT(($A$2:$A1301=A1301)*($B$2:$B1301=B1301)*($D$2:$D1301=D1301))&gt;1,0,1)</f>
        <v>0</v>
      </c>
    </row>
    <row r="1302" spans="1:16" x14ac:dyDescent="0.35">
      <c r="A1302" t="s">
        <v>18</v>
      </c>
      <c r="B1302">
        <v>2016</v>
      </c>
      <c r="C1302" s="1" t="s">
        <v>68</v>
      </c>
      <c r="D1302">
        <v>6.3</v>
      </c>
      <c r="E1302">
        <f>INT(Table2[[#This Row],[Transect]])</f>
        <v>6</v>
      </c>
      <c r="F1302" s="1" t="s">
        <v>11</v>
      </c>
      <c r="G1302">
        <v>10</v>
      </c>
      <c r="H1302">
        <v>200</v>
      </c>
      <c r="I1302">
        <v>100</v>
      </c>
      <c r="J1302">
        <f>Table2[[#This Row],[Hits]]/Table2[[#This Row],[Points]]*100</f>
        <v>5</v>
      </c>
      <c r="K1302">
        <f>VLOOKUP(Table2[[#This Row],[Site]],'Site Info'!$A$1:$C$11,2, FALSE)</f>
        <v>15</v>
      </c>
      <c r="L1302">
        <f>VLOOKUP(Table2[[#This Row],[Site]],'Site Info'!$A$1:$C$11,3, FALSE)</f>
        <v>12</v>
      </c>
      <c r="M1302" t="str">
        <f>VLOOKUP(Table2[[#This Row],[Species]],'Species Table'!$A$1:$D$68,3, FALSE)</f>
        <v>Perennial</v>
      </c>
      <c r="O1302" s="15">
        <f>IF(SUMPRODUCT(($A$2:$A1302=A1302)*($B$2:$B1302=B1302)*($F$2:$F1302=F1302))&gt;1,0,1)</f>
        <v>0</v>
      </c>
      <c r="P1302" s="15">
        <f>IF(SUMPRODUCT(($A$2:$A1302=A1302)*($B$2:$B1302=B1302)*($D$2:$D1302=D1302))&gt;1,0,1)</f>
        <v>1</v>
      </c>
    </row>
    <row r="1303" spans="1:16" hidden="1" x14ac:dyDescent="0.35">
      <c r="A1303" t="s">
        <v>18</v>
      </c>
      <c r="B1303">
        <v>2016</v>
      </c>
      <c r="C1303" s="1" t="s">
        <v>68</v>
      </c>
      <c r="D1303">
        <v>6.3</v>
      </c>
      <c r="E1303">
        <f>INT(Table2[[#This Row],[Transect]])</f>
        <v>6</v>
      </c>
      <c r="F1303" s="1" t="s">
        <v>10</v>
      </c>
      <c r="G1303">
        <v>25</v>
      </c>
      <c r="H1303">
        <v>200</v>
      </c>
      <c r="I1303">
        <v>100</v>
      </c>
      <c r="J1303">
        <f>Table2[[#This Row],[Hits]]/Table2[[#This Row],[Points]]*100</f>
        <v>12.5</v>
      </c>
      <c r="K1303">
        <f>VLOOKUP(Table2[[#This Row],[Site]],'Site Info'!$A$1:$C$11,2, FALSE)</f>
        <v>15</v>
      </c>
      <c r="L1303">
        <f>VLOOKUP(Table2[[#This Row],[Site]],'Site Info'!$A$1:$C$11,3, FALSE)</f>
        <v>12</v>
      </c>
      <c r="M1303" t="str">
        <f>VLOOKUP(Table2[[#This Row],[Species]],'Species Table'!$A$1:$D$68,3, FALSE)</f>
        <v>Annual</v>
      </c>
      <c r="O1303" s="15">
        <f>IF(SUMPRODUCT(($A$2:$A1303=A1303)*($B$2:$B1303=B1303)*($F$2:$F1303=F1303))&gt;1,0,1)</f>
        <v>0</v>
      </c>
      <c r="P1303" s="15">
        <f>IF(SUMPRODUCT(($A$2:$A1303=A1303)*($B$2:$B1303=B1303)*($D$2:$D1303=D1303))&gt;1,0,1)</f>
        <v>0</v>
      </c>
    </row>
    <row r="1304" spans="1:16" x14ac:dyDescent="0.35">
      <c r="A1304" t="s">
        <v>18</v>
      </c>
      <c r="B1304">
        <v>2016</v>
      </c>
      <c r="C1304" s="1" t="s">
        <v>89</v>
      </c>
      <c r="D1304">
        <v>6.4</v>
      </c>
      <c r="E1304">
        <f>INT(Table2[[#This Row],[Transect]])</f>
        <v>6</v>
      </c>
      <c r="F1304" s="1" t="s">
        <v>11</v>
      </c>
      <c r="G1304">
        <v>5</v>
      </c>
      <c r="H1304">
        <v>200</v>
      </c>
      <c r="I1304">
        <v>100</v>
      </c>
      <c r="J1304">
        <f>Table2[[#This Row],[Hits]]/Table2[[#This Row],[Points]]*100</f>
        <v>2.5</v>
      </c>
      <c r="K1304">
        <f>VLOOKUP(Table2[[#This Row],[Site]],'Site Info'!$A$1:$C$11,2, FALSE)</f>
        <v>15</v>
      </c>
      <c r="L1304">
        <f>VLOOKUP(Table2[[#This Row],[Site]],'Site Info'!$A$1:$C$11,3, FALSE)</f>
        <v>12</v>
      </c>
      <c r="M1304" t="str">
        <f>VLOOKUP(Table2[[#This Row],[Species]],'Species Table'!$A$1:$D$68,3, FALSE)</f>
        <v>Perennial</v>
      </c>
      <c r="O1304" s="15">
        <f>IF(SUMPRODUCT(($A$2:$A1304=A1304)*($B$2:$B1304=B1304)*($F$2:$F1304=F1304))&gt;1,0,1)</f>
        <v>0</v>
      </c>
      <c r="P1304" s="15">
        <f>IF(SUMPRODUCT(($A$2:$A1304=A1304)*($B$2:$B1304=B1304)*($D$2:$D1304=D1304))&gt;1,0,1)</f>
        <v>1</v>
      </c>
    </row>
    <row r="1305" spans="1:16" hidden="1" x14ac:dyDescent="0.35">
      <c r="A1305" t="s">
        <v>18</v>
      </c>
      <c r="B1305">
        <v>2016</v>
      </c>
      <c r="C1305" s="1" t="s">
        <v>89</v>
      </c>
      <c r="D1305">
        <v>6.4</v>
      </c>
      <c r="E1305">
        <f>INT(Table2[[#This Row],[Transect]])</f>
        <v>6</v>
      </c>
      <c r="F1305" s="1" t="s">
        <v>10</v>
      </c>
      <c r="G1305">
        <v>31</v>
      </c>
      <c r="H1305">
        <v>200</v>
      </c>
      <c r="I1305">
        <v>100</v>
      </c>
      <c r="J1305">
        <f>Table2[[#This Row],[Hits]]/Table2[[#This Row],[Points]]*100</f>
        <v>15.5</v>
      </c>
      <c r="K1305">
        <f>VLOOKUP(Table2[[#This Row],[Site]],'Site Info'!$A$1:$C$11,2, FALSE)</f>
        <v>15</v>
      </c>
      <c r="L1305">
        <f>VLOOKUP(Table2[[#This Row],[Site]],'Site Info'!$A$1:$C$11,3, FALSE)</f>
        <v>12</v>
      </c>
      <c r="M1305" t="str">
        <f>VLOOKUP(Table2[[#This Row],[Species]],'Species Table'!$A$1:$D$68,3, FALSE)</f>
        <v>Annual</v>
      </c>
      <c r="O1305" s="15">
        <f>IF(SUMPRODUCT(($A$2:$A1305=A1305)*($B$2:$B1305=B1305)*($F$2:$F1305=F1305))&gt;1,0,1)</f>
        <v>0</v>
      </c>
      <c r="P1305" s="15">
        <f>IF(SUMPRODUCT(($A$2:$A1305=A1305)*($B$2:$B1305=B1305)*($D$2:$D1305=D1305))&gt;1,0,1)</f>
        <v>0</v>
      </c>
    </row>
    <row r="1306" spans="1:16" x14ac:dyDescent="0.35">
      <c r="A1306" t="s">
        <v>18</v>
      </c>
      <c r="B1306">
        <v>2016</v>
      </c>
      <c r="C1306" s="1" t="s">
        <v>126</v>
      </c>
      <c r="D1306">
        <v>6.5</v>
      </c>
      <c r="E1306">
        <f>INT(Table2[[#This Row],[Transect]])</f>
        <v>6</v>
      </c>
      <c r="F1306" s="1" t="s">
        <v>11</v>
      </c>
      <c r="G1306">
        <v>1</v>
      </c>
      <c r="H1306">
        <v>200</v>
      </c>
      <c r="I1306">
        <v>100</v>
      </c>
      <c r="J1306">
        <f>Table2[[#This Row],[Hits]]/Table2[[#This Row],[Points]]*100</f>
        <v>0.5</v>
      </c>
      <c r="K1306">
        <f>VLOOKUP(Table2[[#This Row],[Site]],'Site Info'!$A$1:$C$11,2, FALSE)</f>
        <v>15</v>
      </c>
      <c r="L1306">
        <f>VLOOKUP(Table2[[#This Row],[Site]],'Site Info'!$A$1:$C$11,3, FALSE)</f>
        <v>12</v>
      </c>
      <c r="M1306" t="str">
        <f>VLOOKUP(Table2[[#This Row],[Species]],'Species Table'!$A$1:$D$68,3, FALSE)</f>
        <v>Perennial</v>
      </c>
      <c r="O1306" s="15">
        <f>IF(SUMPRODUCT(($A$2:$A1306=A1306)*($B$2:$B1306=B1306)*($F$2:$F1306=F1306))&gt;1,0,1)</f>
        <v>0</v>
      </c>
      <c r="P1306" s="15">
        <f>IF(SUMPRODUCT(($A$2:$A1306=A1306)*($B$2:$B1306=B1306)*($D$2:$D1306=D1306))&gt;1,0,1)</f>
        <v>1</v>
      </c>
    </row>
    <row r="1307" spans="1:16" hidden="1" x14ac:dyDescent="0.35">
      <c r="A1307" t="s">
        <v>18</v>
      </c>
      <c r="B1307">
        <v>2016</v>
      </c>
      <c r="C1307" s="1" t="s">
        <v>126</v>
      </c>
      <c r="D1307">
        <v>6.5</v>
      </c>
      <c r="E1307">
        <f>INT(Table2[[#This Row],[Transect]])</f>
        <v>6</v>
      </c>
      <c r="F1307" s="1" t="s">
        <v>10</v>
      </c>
      <c r="G1307">
        <v>22</v>
      </c>
      <c r="H1307">
        <v>200</v>
      </c>
      <c r="I1307">
        <v>100</v>
      </c>
      <c r="J1307">
        <f>Table2[[#This Row],[Hits]]/Table2[[#This Row],[Points]]*100</f>
        <v>11</v>
      </c>
      <c r="K1307">
        <f>VLOOKUP(Table2[[#This Row],[Site]],'Site Info'!$A$1:$C$11,2, FALSE)</f>
        <v>15</v>
      </c>
      <c r="L1307">
        <f>VLOOKUP(Table2[[#This Row],[Site]],'Site Info'!$A$1:$C$11,3, FALSE)</f>
        <v>12</v>
      </c>
      <c r="M1307" t="str">
        <f>VLOOKUP(Table2[[#This Row],[Species]],'Species Table'!$A$1:$D$68,3, FALSE)</f>
        <v>Annual</v>
      </c>
      <c r="O1307" s="15">
        <f>IF(SUMPRODUCT(($A$2:$A1307=A1307)*($B$2:$B1307=B1307)*($F$2:$F1307=F1307))&gt;1,0,1)</f>
        <v>0</v>
      </c>
      <c r="P1307" s="15">
        <f>IF(SUMPRODUCT(($A$2:$A1307=A1307)*($B$2:$B1307=B1307)*($D$2:$D1307=D1307))&gt;1,0,1)</f>
        <v>0</v>
      </c>
    </row>
    <row r="1308" spans="1:16" x14ac:dyDescent="0.35">
      <c r="A1308" t="s">
        <v>18</v>
      </c>
      <c r="B1308">
        <v>2016</v>
      </c>
      <c r="C1308" s="1" t="s">
        <v>71</v>
      </c>
      <c r="D1308">
        <v>7.1</v>
      </c>
      <c r="E1308">
        <f>INT(Table2[[#This Row],[Transect]])</f>
        <v>7</v>
      </c>
      <c r="F1308" s="1" t="s">
        <v>12</v>
      </c>
      <c r="G1308">
        <v>4</v>
      </c>
      <c r="H1308">
        <v>200</v>
      </c>
      <c r="I1308">
        <v>100</v>
      </c>
      <c r="J1308">
        <f>Table2[[#This Row],[Hits]]/Table2[[#This Row],[Points]]*100</f>
        <v>2</v>
      </c>
      <c r="K1308">
        <f>VLOOKUP(Table2[[#This Row],[Site]],'Site Info'!$A$1:$C$11,2, FALSE)</f>
        <v>15</v>
      </c>
      <c r="L1308">
        <f>VLOOKUP(Table2[[#This Row],[Site]],'Site Info'!$A$1:$C$11,3, FALSE)</f>
        <v>12</v>
      </c>
      <c r="M1308" t="str">
        <f>VLOOKUP(Table2[[#This Row],[Species]],'Species Table'!$A$1:$D$68,3, FALSE)</f>
        <v>Perennial</v>
      </c>
      <c r="O1308" s="15">
        <f>IF(SUMPRODUCT(($A$2:$A1308=A1308)*($B$2:$B1308=B1308)*($F$2:$F1308=F1308))&gt;1,0,1)</f>
        <v>0</v>
      </c>
      <c r="P1308" s="15">
        <f>IF(SUMPRODUCT(($A$2:$A1308=A1308)*($B$2:$B1308=B1308)*($D$2:$D1308=D1308))&gt;1,0,1)</f>
        <v>1</v>
      </c>
    </row>
    <row r="1309" spans="1:16" hidden="1" x14ac:dyDescent="0.35">
      <c r="A1309" t="s">
        <v>18</v>
      </c>
      <c r="B1309">
        <v>2016</v>
      </c>
      <c r="C1309" s="1" t="s">
        <v>71</v>
      </c>
      <c r="D1309">
        <v>7.1</v>
      </c>
      <c r="E1309">
        <f>INT(Table2[[#This Row],[Transect]])</f>
        <v>7</v>
      </c>
      <c r="F1309" s="1" t="s">
        <v>10</v>
      </c>
      <c r="G1309">
        <v>14</v>
      </c>
      <c r="H1309">
        <v>200</v>
      </c>
      <c r="I1309">
        <v>100</v>
      </c>
      <c r="J1309">
        <f>Table2[[#This Row],[Hits]]/Table2[[#This Row],[Points]]*100</f>
        <v>7.0000000000000009</v>
      </c>
      <c r="K1309">
        <f>VLOOKUP(Table2[[#This Row],[Site]],'Site Info'!$A$1:$C$11,2, FALSE)</f>
        <v>15</v>
      </c>
      <c r="L1309">
        <f>VLOOKUP(Table2[[#This Row],[Site]],'Site Info'!$A$1:$C$11,3, FALSE)</f>
        <v>12</v>
      </c>
      <c r="M1309" t="str">
        <f>VLOOKUP(Table2[[#This Row],[Species]],'Species Table'!$A$1:$D$68,3, FALSE)</f>
        <v>Annual</v>
      </c>
      <c r="O1309" s="15">
        <f>IF(SUMPRODUCT(($A$2:$A1309=A1309)*($B$2:$B1309=B1309)*($F$2:$F1309=F1309))&gt;1,0,1)</f>
        <v>0</v>
      </c>
      <c r="P1309" s="15">
        <f>IF(SUMPRODUCT(($A$2:$A1309=A1309)*($B$2:$B1309=B1309)*($D$2:$D1309=D1309))&gt;1,0,1)</f>
        <v>0</v>
      </c>
    </row>
    <row r="1310" spans="1:16" x14ac:dyDescent="0.35">
      <c r="A1310" t="s">
        <v>18</v>
      </c>
      <c r="B1310">
        <v>2016</v>
      </c>
      <c r="C1310" s="1" t="s">
        <v>72</v>
      </c>
      <c r="D1310">
        <v>7.2</v>
      </c>
      <c r="E1310">
        <f>INT(Table2[[#This Row],[Transect]])</f>
        <v>7</v>
      </c>
      <c r="F1310" s="1" t="s">
        <v>11</v>
      </c>
      <c r="G1310">
        <v>4</v>
      </c>
      <c r="H1310">
        <v>200</v>
      </c>
      <c r="I1310">
        <v>100</v>
      </c>
      <c r="J1310">
        <f>Table2[[#This Row],[Hits]]/Table2[[#This Row],[Points]]*100</f>
        <v>2</v>
      </c>
      <c r="K1310">
        <f>VLOOKUP(Table2[[#This Row],[Site]],'Site Info'!$A$1:$C$11,2, FALSE)</f>
        <v>15</v>
      </c>
      <c r="L1310">
        <f>VLOOKUP(Table2[[#This Row],[Site]],'Site Info'!$A$1:$C$11,3, FALSE)</f>
        <v>12</v>
      </c>
      <c r="M1310" t="str">
        <f>VLOOKUP(Table2[[#This Row],[Species]],'Species Table'!$A$1:$D$68,3, FALSE)</f>
        <v>Perennial</v>
      </c>
      <c r="O1310" s="15">
        <f>IF(SUMPRODUCT(($A$2:$A1310=A1310)*($B$2:$B1310=B1310)*($F$2:$F1310=F1310))&gt;1,0,1)</f>
        <v>0</v>
      </c>
      <c r="P1310" s="15">
        <f>IF(SUMPRODUCT(($A$2:$A1310=A1310)*($B$2:$B1310=B1310)*($D$2:$D1310=D1310))&gt;1,0,1)</f>
        <v>1</v>
      </c>
    </row>
    <row r="1311" spans="1:16" hidden="1" x14ac:dyDescent="0.35">
      <c r="A1311" t="s">
        <v>18</v>
      </c>
      <c r="B1311">
        <v>2016</v>
      </c>
      <c r="C1311" s="1" t="s">
        <v>72</v>
      </c>
      <c r="D1311">
        <v>7.2</v>
      </c>
      <c r="E1311">
        <f>INT(Table2[[#This Row],[Transect]])</f>
        <v>7</v>
      </c>
      <c r="F1311" s="1" t="s">
        <v>10</v>
      </c>
      <c r="G1311">
        <v>30</v>
      </c>
      <c r="H1311">
        <v>200</v>
      </c>
      <c r="I1311">
        <v>100</v>
      </c>
      <c r="J1311">
        <f>Table2[[#This Row],[Hits]]/Table2[[#This Row],[Points]]*100</f>
        <v>15</v>
      </c>
      <c r="K1311">
        <f>VLOOKUP(Table2[[#This Row],[Site]],'Site Info'!$A$1:$C$11,2, FALSE)</f>
        <v>15</v>
      </c>
      <c r="L1311">
        <f>VLOOKUP(Table2[[#This Row],[Site]],'Site Info'!$A$1:$C$11,3, FALSE)</f>
        <v>12</v>
      </c>
      <c r="M1311" t="str">
        <f>VLOOKUP(Table2[[#This Row],[Species]],'Species Table'!$A$1:$D$68,3, FALSE)</f>
        <v>Annual</v>
      </c>
      <c r="O1311" s="15">
        <f>IF(SUMPRODUCT(($A$2:$A1311=A1311)*($B$2:$B1311=B1311)*($F$2:$F1311=F1311))&gt;1,0,1)</f>
        <v>0</v>
      </c>
      <c r="P1311" s="15">
        <f>IF(SUMPRODUCT(($A$2:$A1311=A1311)*($B$2:$B1311=B1311)*($D$2:$D1311=D1311))&gt;1,0,1)</f>
        <v>0</v>
      </c>
    </row>
    <row r="1312" spans="1:16" x14ac:dyDescent="0.35">
      <c r="A1312" t="s">
        <v>18</v>
      </c>
      <c r="B1312">
        <v>2016</v>
      </c>
      <c r="C1312" s="1" t="s">
        <v>73</v>
      </c>
      <c r="D1312">
        <v>7.3</v>
      </c>
      <c r="E1312">
        <f>INT(Table2[[#This Row],[Transect]])</f>
        <v>7</v>
      </c>
      <c r="F1312" s="1" t="s">
        <v>11</v>
      </c>
      <c r="G1312">
        <v>16</v>
      </c>
      <c r="H1312">
        <v>200</v>
      </c>
      <c r="I1312">
        <v>100</v>
      </c>
      <c r="J1312">
        <f>Table2[[#This Row],[Hits]]/Table2[[#This Row],[Points]]*100</f>
        <v>8</v>
      </c>
      <c r="K1312">
        <f>VLOOKUP(Table2[[#This Row],[Site]],'Site Info'!$A$1:$C$11,2, FALSE)</f>
        <v>15</v>
      </c>
      <c r="L1312">
        <f>VLOOKUP(Table2[[#This Row],[Site]],'Site Info'!$A$1:$C$11,3, FALSE)</f>
        <v>12</v>
      </c>
      <c r="M1312" t="str">
        <f>VLOOKUP(Table2[[#This Row],[Species]],'Species Table'!$A$1:$D$68,3, FALSE)</f>
        <v>Perennial</v>
      </c>
      <c r="O1312" s="15">
        <f>IF(SUMPRODUCT(($A$2:$A1312=A1312)*($B$2:$B1312=B1312)*($F$2:$F1312=F1312))&gt;1,0,1)</f>
        <v>0</v>
      </c>
      <c r="P1312" s="15">
        <f>IF(SUMPRODUCT(($A$2:$A1312=A1312)*($B$2:$B1312=B1312)*($D$2:$D1312=D1312))&gt;1,0,1)</f>
        <v>1</v>
      </c>
    </row>
    <row r="1313" spans="1:16" hidden="1" x14ac:dyDescent="0.35">
      <c r="A1313" t="s">
        <v>18</v>
      </c>
      <c r="B1313">
        <v>2016</v>
      </c>
      <c r="C1313" s="1" t="s">
        <v>73</v>
      </c>
      <c r="D1313">
        <v>7.3</v>
      </c>
      <c r="E1313">
        <f>INT(Table2[[#This Row],[Transect]])</f>
        <v>7</v>
      </c>
      <c r="F1313" s="1" t="s">
        <v>10</v>
      </c>
      <c r="G1313">
        <v>7</v>
      </c>
      <c r="H1313">
        <v>200</v>
      </c>
      <c r="I1313">
        <v>100</v>
      </c>
      <c r="J1313">
        <f>Table2[[#This Row],[Hits]]/Table2[[#This Row],[Points]]*100</f>
        <v>3.5000000000000004</v>
      </c>
      <c r="K1313">
        <f>VLOOKUP(Table2[[#This Row],[Site]],'Site Info'!$A$1:$C$11,2, FALSE)</f>
        <v>15</v>
      </c>
      <c r="L1313">
        <f>VLOOKUP(Table2[[#This Row],[Site]],'Site Info'!$A$1:$C$11,3, FALSE)</f>
        <v>12</v>
      </c>
      <c r="M1313" t="str">
        <f>VLOOKUP(Table2[[#This Row],[Species]],'Species Table'!$A$1:$D$68,3, FALSE)</f>
        <v>Annual</v>
      </c>
      <c r="O1313" s="15">
        <f>IF(SUMPRODUCT(($A$2:$A1313=A1313)*($B$2:$B1313=B1313)*($F$2:$F1313=F1313))&gt;1,0,1)</f>
        <v>0</v>
      </c>
      <c r="P1313" s="15">
        <f>IF(SUMPRODUCT(($A$2:$A1313=A1313)*($B$2:$B1313=B1313)*($D$2:$D1313=D1313))&gt;1,0,1)</f>
        <v>0</v>
      </c>
    </row>
    <row r="1314" spans="1:16" x14ac:dyDescent="0.35">
      <c r="A1314" t="s">
        <v>18</v>
      </c>
      <c r="B1314">
        <v>2016</v>
      </c>
      <c r="C1314" s="1" t="s">
        <v>73</v>
      </c>
      <c r="D1314">
        <v>7.3</v>
      </c>
      <c r="E1314">
        <f>INT(Table2[[#This Row],[Transect]])</f>
        <v>7</v>
      </c>
      <c r="F1314" s="1" t="s">
        <v>170</v>
      </c>
      <c r="G1314">
        <v>2</v>
      </c>
      <c r="H1314">
        <v>200</v>
      </c>
      <c r="I1314">
        <v>100</v>
      </c>
      <c r="J1314">
        <f>Table2[[#This Row],[Hits]]/Table2[[#This Row],[Points]]*100</f>
        <v>1</v>
      </c>
      <c r="K1314">
        <f>VLOOKUP(Table2[[#This Row],[Site]],'Site Info'!$A$1:$C$11,2, FALSE)</f>
        <v>15</v>
      </c>
      <c r="L1314">
        <f>VLOOKUP(Table2[[#This Row],[Site]],'Site Info'!$A$1:$C$11,3, FALSE)</f>
        <v>12</v>
      </c>
      <c r="M1314" t="str">
        <f>VLOOKUP(Table2[[#This Row],[Species]],'Species Table'!$A$1:$D$68,3, FALSE)</f>
        <v>Perennial</v>
      </c>
      <c r="O1314" s="15">
        <f>IF(SUMPRODUCT(($A$2:$A1314=A1314)*($B$2:$B1314=B1314)*($F$2:$F1314=F1314))&gt;1,0,1)</f>
        <v>0</v>
      </c>
      <c r="P1314" s="15">
        <f>IF(SUMPRODUCT(($A$2:$A1314=A1314)*($B$2:$B1314=B1314)*($D$2:$D1314=D1314))&gt;1,0,1)</f>
        <v>0</v>
      </c>
    </row>
    <row r="1315" spans="1:16" x14ac:dyDescent="0.35">
      <c r="A1315" t="s">
        <v>18</v>
      </c>
      <c r="B1315">
        <v>2016</v>
      </c>
      <c r="C1315" s="1" t="s">
        <v>90</v>
      </c>
      <c r="D1315">
        <v>7.4</v>
      </c>
      <c r="E1315">
        <f>INT(Table2[[#This Row],[Transect]])</f>
        <v>7</v>
      </c>
      <c r="F1315" s="1" t="s">
        <v>11</v>
      </c>
      <c r="G1315">
        <v>11</v>
      </c>
      <c r="H1315">
        <v>200</v>
      </c>
      <c r="I1315">
        <v>100</v>
      </c>
      <c r="J1315">
        <f>Table2[[#This Row],[Hits]]/Table2[[#This Row],[Points]]*100</f>
        <v>5.5</v>
      </c>
      <c r="K1315">
        <f>VLOOKUP(Table2[[#This Row],[Site]],'Site Info'!$A$1:$C$11,2, FALSE)</f>
        <v>15</v>
      </c>
      <c r="L1315">
        <f>VLOOKUP(Table2[[#This Row],[Site]],'Site Info'!$A$1:$C$11,3, FALSE)</f>
        <v>12</v>
      </c>
      <c r="M1315" t="str">
        <f>VLOOKUP(Table2[[#This Row],[Species]],'Species Table'!$A$1:$D$68,3, FALSE)</f>
        <v>Perennial</v>
      </c>
      <c r="O1315" s="15">
        <f>IF(SUMPRODUCT(($A$2:$A1315=A1315)*($B$2:$B1315=B1315)*($F$2:$F1315=F1315))&gt;1,0,1)</f>
        <v>0</v>
      </c>
      <c r="P1315" s="15">
        <f>IF(SUMPRODUCT(($A$2:$A1315=A1315)*($B$2:$B1315=B1315)*($D$2:$D1315=D1315))&gt;1,0,1)</f>
        <v>1</v>
      </c>
    </row>
    <row r="1316" spans="1:16" hidden="1" x14ac:dyDescent="0.35">
      <c r="A1316" t="s">
        <v>18</v>
      </c>
      <c r="B1316">
        <v>2016</v>
      </c>
      <c r="C1316" s="1" t="s">
        <v>90</v>
      </c>
      <c r="D1316">
        <v>7.4</v>
      </c>
      <c r="E1316">
        <f>INT(Table2[[#This Row],[Transect]])</f>
        <v>7</v>
      </c>
      <c r="F1316" s="1" t="s">
        <v>10</v>
      </c>
      <c r="G1316">
        <v>6</v>
      </c>
      <c r="H1316">
        <v>200</v>
      </c>
      <c r="I1316">
        <v>100</v>
      </c>
      <c r="J1316">
        <f>Table2[[#This Row],[Hits]]/Table2[[#This Row],[Points]]*100</f>
        <v>3</v>
      </c>
      <c r="K1316">
        <f>VLOOKUP(Table2[[#This Row],[Site]],'Site Info'!$A$1:$C$11,2, FALSE)</f>
        <v>15</v>
      </c>
      <c r="L1316">
        <f>VLOOKUP(Table2[[#This Row],[Site]],'Site Info'!$A$1:$C$11,3, FALSE)</f>
        <v>12</v>
      </c>
      <c r="M1316" t="str">
        <f>VLOOKUP(Table2[[#This Row],[Species]],'Species Table'!$A$1:$D$68,3, FALSE)</f>
        <v>Annual</v>
      </c>
      <c r="O1316" s="15">
        <f>IF(SUMPRODUCT(($A$2:$A1316=A1316)*($B$2:$B1316=B1316)*($F$2:$F1316=F1316))&gt;1,0,1)</f>
        <v>0</v>
      </c>
      <c r="P1316" s="15">
        <f>IF(SUMPRODUCT(($A$2:$A1316=A1316)*($B$2:$B1316=B1316)*($D$2:$D1316=D1316))&gt;1,0,1)</f>
        <v>0</v>
      </c>
    </row>
    <row r="1317" spans="1:16" x14ac:dyDescent="0.35">
      <c r="A1317" t="s">
        <v>105</v>
      </c>
      <c r="B1317">
        <v>2016</v>
      </c>
      <c r="C1317" s="1" t="s">
        <v>37</v>
      </c>
      <c r="D1317">
        <v>1.1000000000000001</v>
      </c>
      <c r="E1317">
        <f>INT(Table2[[#This Row],[Transect]])</f>
        <v>1</v>
      </c>
      <c r="F1317" s="1" t="s">
        <v>12</v>
      </c>
      <c r="G1317">
        <v>2</v>
      </c>
      <c r="H1317">
        <v>200</v>
      </c>
      <c r="I1317">
        <v>100</v>
      </c>
      <c r="J1317">
        <f>Table2[[#This Row],[Hits]]/Table2[[#This Row],[Points]]*100</f>
        <v>1</v>
      </c>
      <c r="K1317">
        <f>VLOOKUP(Table2[[#This Row],[Site]],'Site Info'!$A$1:$C$11,2, FALSE)</f>
        <v>17</v>
      </c>
      <c r="L1317">
        <f>VLOOKUP(Table2[[#This Row],[Site]],'Site Info'!$A$1:$C$11,3, FALSE)</f>
        <v>4</v>
      </c>
      <c r="M1317" t="str">
        <f>VLOOKUP(Table2[[#This Row],[Species]],'Species Table'!$A$1:$D$68,3, FALSE)</f>
        <v>Perennial</v>
      </c>
      <c r="O1317" s="15">
        <f>IF(SUMPRODUCT(($A$2:$A1317=A1317)*($B$2:$B1317=B1317)*($F$2:$F1317=F1317))&gt;1,0,1)</f>
        <v>1</v>
      </c>
      <c r="P1317" s="15">
        <f>IF(SUMPRODUCT(($A$2:$A1317=A1317)*($B$2:$B1317=B1317)*($D$2:$D1317=D1317))&gt;1,0,1)</f>
        <v>1</v>
      </c>
    </row>
    <row r="1318" spans="1:16" x14ac:dyDescent="0.35">
      <c r="A1318" t="s">
        <v>105</v>
      </c>
      <c r="B1318">
        <v>2016</v>
      </c>
      <c r="C1318" s="1" t="s">
        <v>37</v>
      </c>
      <c r="D1318">
        <v>1.1000000000000001</v>
      </c>
      <c r="E1318">
        <f>INT(Table2[[#This Row],[Transect]])</f>
        <v>1</v>
      </c>
      <c r="F1318" s="1" t="s">
        <v>6</v>
      </c>
      <c r="G1318">
        <v>30</v>
      </c>
      <c r="H1318">
        <v>200</v>
      </c>
      <c r="I1318">
        <v>100</v>
      </c>
      <c r="J1318">
        <f>Table2[[#This Row],[Hits]]/Table2[[#This Row],[Points]]*100</f>
        <v>15</v>
      </c>
      <c r="K1318">
        <f>VLOOKUP(Table2[[#This Row],[Site]],'Site Info'!$A$1:$C$11,2, FALSE)</f>
        <v>17</v>
      </c>
      <c r="L1318">
        <f>VLOOKUP(Table2[[#This Row],[Site]],'Site Info'!$A$1:$C$11,3, FALSE)</f>
        <v>4</v>
      </c>
      <c r="M1318" t="str">
        <f>VLOOKUP(Table2[[#This Row],[Species]],'Species Table'!$A$1:$D$68,3, FALSE)</f>
        <v>Perennial</v>
      </c>
      <c r="O1318" s="15">
        <f>IF(SUMPRODUCT(($A$2:$A1318=A1318)*($B$2:$B1318=B1318)*($F$2:$F1318=F1318))&gt;1,0,1)</f>
        <v>1</v>
      </c>
      <c r="P1318" s="15">
        <f>IF(SUMPRODUCT(($A$2:$A1318=A1318)*($B$2:$B1318=B1318)*($D$2:$D1318=D1318))&gt;1,0,1)</f>
        <v>0</v>
      </c>
    </row>
    <row r="1319" spans="1:16" x14ac:dyDescent="0.35">
      <c r="A1319" t="s">
        <v>105</v>
      </c>
      <c r="B1319">
        <v>2016</v>
      </c>
      <c r="C1319" s="1" t="s">
        <v>38</v>
      </c>
      <c r="D1319">
        <v>1.2</v>
      </c>
      <c r="E1319">
        <f>INT(Table2[[#This Row],[Transect]])</f>
        <v>1</v>
      </c>
      <c r="F1319" s="1" t="s">
        <v>11</v>
      </c>
      <c r="G1319">
        <v>1</v>
      </c>
      <c r="H1319">
        <v>200</v>
      </c>
      <c r="I1319">
        <v>100</v>
      </c>
      <c r="J1319">
        <f>Table2[[#This Row],[Hits]]/Table2[[#This Row],[Points]]*100</f>
        <v>0.5</v>
      </c>
      <c r="K1319">
        <f>VLOOKUP(Table2[[#This Row],[Site]],'Site Info'!$A$1:$C$11,2, FALSE)</f>
        <v>17</v>
      </c>
      <c r="L1319">
        <f>VLOOKUP(Table2[[#This Row],[Site]],'Site Info'!$A$1:$C$11,3, FALSE)</f>
        <v>4</v>
      </c>
      <c r="M1319" t="str">
        <f>VLOOKUP(Table2[[#This Row],[Species]],'Species Table'!$A$1:$D$68,3, FALSE)</f>
        <v>Perennial</v>
      </c>
      <c r="O1319" s="15">
        <f>IF(SUMPRODUCT(($A$2:$A1319=A1319)*($B$2:$B1319=B1319)*($F$2:$F1319=F1319))&gt;1,0,1)</f>
        <v>1</v>
      </c>
      <c r="P1319" s="15">
        <f>IF(SUMPRODUCT(($A$2:$A1319=A1319)*($B$2:$B1319=B1319)*($D$2:$D1319=D1319))&gt;1,0,1)</f>
        <v>1</v>
      </c>
    </row>
    <row r="1320" spans="1:16" hidden="1" x14ac:dyDescent="0.35">
      <c r="A1320" t="s">
        <v>105</v>
      </c>
      <c r="B1320">
        <v>2016</v>
      </c>
      <c r="C1320" s="1" t="s">
        <v>38</v>
      </c>
      <c r="D1320">
        <v>1.2</v>
      </c>
      <c r="E1320">
        <f>INT(Table2[[#This Row],[Transect]])</f>
        <v>1</v>
      </c>
      <c r="F1320" s="1" t="s">
        <v>10</v>
      </c>
      <c r="G1320">
        <v>5</v>
      </c>
      <c r="H1320">
        <v>200</v>
      </c>
      <c r="I1320">
        <v>100</v>
      </c>
      <c r="J1320">
        <f>Table2[[#This Row],[Hits]]/Table2[[#This Row],[Points]]*100</f>
        <v>2.5</v>
      </c>
      <c r="K1320">
        <f>VLOOKUP(Table2[[#This Row],[Site]],'Site Info'!$A$1:$C$11,2, FALSE)</f>
        <v>17</v>
      </c>
      <c r="L1320">
        <f>VLOOKUP(Table2[[#This Row],[Site]],'Site Info'!$A$1:$C$11,3, FALSE)</f>
        <v>4</v>
      </c>
      <c r="M1320" t="str">
        <f>VLOOKUP(Table2[[#This Row],[Species]],'Species Table'!$A$1:$D$68,3, FALSE)</f>
        <v>Annual</v>
      </c>
      <c r="O1320" s="15">
        <f>IF(SUMPRODUCT(($A$2:$A1320=A1320)*($B$2:$B1320=B1320)*($F$2:$F1320=F1320))&gt;1,0,1)</f>
        <v>1</v>
      </c>
      <c r="P1320" s="15">
        <f>IF(SUMPRODUCT(($A$2:$A1320=A1320)*($B$2:$B1320=B1320)*($D$2:$D1320=D1320))&gt;1,0,1)</f>
        <v>0</v>
      </c>
    </row>
    <row r="1321" spans="1:16" x14ac:dyDescent="0.35">
      <c r="A1321" t="s">
        <v>105</v>
      </c>
      <c r="B1321">
        <v>2016</v>
      </c>
      <c r="C1321" s="1" t="s">
        <v>83</v>
      </c>
      <c r="D1321">
        <v>1.3</v>
      </c>
      <c r="E1321">
        <f>INT(Table2[[#This Row],[Transect]])</f>
        <v>1</v>
      </c>
      <c r="F1321" s="1" t="s">
        <v>11</v>
      </c>
      <c r="G1321">
        <v>9</v>
      </c>
      <c r="H1321">
        <v>200</v>
      </c>
      <c r="I1321">
        <v>100</v>
      </c>
      <c r="J1321">
        <f>Table2[[#This Row],[Hits]]/Table2[[#This Row],[Points]]*100</f>
        <v>4.5</v>
      </c>
      <c r="K1321">
        <f>VLOOKUP(Table2[[#This Row],[Site]],'Site Info'!$A$1:$C$11,2, FALSE)</f>
        <v>17</v>
      </c>
      <c r="L1321">
        <f>VLOOKUP(Table2[[#This Row],[Site]],'Site Info'!$A$1:$C$11,3, FALSE)</f>
        <v>4</v>
      </c>
      <c r="M1321" t="str">
        <f>VLOOKUP(Table2[[#This Row],[Species]],'Species Table'!$A$1:$D$68,3, FALSE)</f>
        <v>Perennial</v>
      </c>
      <c r="O1321" s="15">
        <f>IF(SUMPRODUCT(($A$2:$A1321=A1321)*($B$2:$B1321=B1321)*($F$2:$F1321=F1321))&gt;1,0,1)</f>
        <v>0</v>
      </c>
      <c r="P1321" s="15">
        <f>IF(SUMPRODUCT(($A$2:$A1321=A1321)*($B$2:$B1321=B1321)*($D$2:$D1321=D1321))&gt;1,0,1)</f>
        <v>1</v>
      </c>
    </row>
    <row r="1322" spans="1:16" hidden="1" x14ac:dyDescent="0.35">
      <c r="A1322" t="s">
        <v>105</v>
      </c>
      <c r="B1322">
        <v>2016</v>
      </c>
      <c r="C1322" s="1" t="s">
        <v>83</v>
      </c>
      <c r="D1322">
        <v>1.3</v>
      </c>
      <c r="E1322">
        <f>INT(Table2[[#This Row],[Transect]])</f>
        <v>1</v>
      </c>
      <c r="F1322" s="1" t="s">
        <v>10</v>
      </c>
      <c r="G1322">
        <v>1</v>
      </c>
      <c r="H1322">
        <v>200</v>
      </c>
      <c r="I1322">
        <v>100</v>
      </c>
      <c r="J1322">
        <f>Table2[[#This Row],[Hits]]/Table2[[#This Row],[Points]]*100</f>
        <v>0.5</v>
      </c>
      <c r="K1322">
        <f>VLOOKUP(Table2[[#This Row],[Site]],'Site Info'!$A$1:$C$11,2, FALSE)</f>
        <v>17</v>
      </c>
      <c r="L1322">
        <f>VLOOKUP(Table2[[#This Row],[Site]],'Site Info'!$A$1:$C$11,3, FALSE)</f>
        <v>4</v>
      </c>
      <c r="M1322" t="str">
        <f>VLOOKUP(Table2[[#This Row],[Species]],'Species Table'!$A$1:$D$68,3, FALSE)</f>
        <v>Annual</v>
      </c>
      <c r="O1322" s="15">
        <f>IF(SUMPRODUCT(($A$2:$A1322=A1322)*($B$2:$B1322=B1322)*($F$2:$F1322=F1322))&gt;1,0,1)</f>
        <v>0</v>
      </c>
      <c r="P1322" s="15">
        <f>IF(SUMPRODUCT(($A$2:$A1322=A1322)*($B$2:$B1322=B1322)*($D$2:$D1322=D1322))&gt;1,0,1)</f>
        <v>0</v>
      </c>
    </row>
    <row r="1323" spans="1:16" hidden="1" x14ac:dyDescent="0.35">
      <c r="A1323" t="s">
        <v>105</v>
      </c>
      <c r="B1323">
        <v>2016</v>
      </c>
      <c r="C1323" s="1" t="s">
        <v>39</v>
      </c>
      <c r="D1323">
        <v>1.4</v>
      </c>
      <c r="E1323">
        <f>INT(Table2[[#This Row],[Transect]])</f>
        <v>1</v>
      </c>
      <c r="F1323" s="1" t="s">
        <v>10</v>
      </c>
      <c r="G1323">
        <v>14</v>
      </c>
      <c r="H1323">
        <v>200</v>
      </c>
      <c r="I1323">
        <v>100</v>
      </c>
      <c r="J1323">
        <f>Table2[[#This Row],[Hits]]/Table2[[#This Row],[Points]]*100</f>
        <v>7.0000000000000009</v>
      </c>
      <c r="K1323">
        <f>VLOOKUP(Table2[[#This Row],[Site]],'Site Info'!$A$1:$C$11,2, FALSE)</f>
        <v>17</v>
      </c>
      <c r="L1323">
        <f>VLOOKUP(Table2[[#This Row],[Site]],'Site Info'!$A$1:$C$11,3, FALSE)</f>
        <v>4</v>
      </c>
      <c r="M1323" t="str">
        <f>VLOOKUP(Table2[[#This Row],[Species]],'Species Table'!$A$1:$D$68,3, FALSE)</f>
        <v>Annual</v>
      </c>
      <c r="O1323" s="15">
        <f>IF(SUMPRODUCT(($A$2:$A1323=A1323)*($B$2:$B1323=B1323)*($F$2:$F1323=F1323))&gt;1,0,1)</f>
        <v>0</v>
      </c>
      <c r="P1323" s="15">
        <f>IF(SUMPRODUCT(($A$2:$A1323=A1323)*($B$2:$B1323=B1323)*($D$2:$D1323=D1323))&gt;1,0,1)</f>
        <v>1</v>
      </c>
    </row>
    <row r="1324" spans="1:16" x14ac:dyDescent="0.35">
      <c r="A1324" t="s">
        <v>105</v>
      </c>
      <c r="B1324">
        <v>2016</v>
      </c>
      <c r="C1324" s="1" t="s">
        <v>40</v>
      </c>
      <c r="D1324">
        <v>1.5</v>
      </c>
      <c r="E1324">
        <f>INT(Table2[[#This Row],[Transect]])</f>
        <v>1</v>
      </c>
      <c r="F1324" s="1" t="s">
        <v>31</v>
      </c>
      <c r="G1324">
        <v>2</v>
      </c>
      <c r="H1324">
        <v>200</v>
      </c>
      <c r="I1324">
        <v>100</v>
      </c>
      <c r="J1324">
        <f>Table2[[#This Row],[Hits]]/Table2[[#This Row],[Points]]*100</f>
        <v>1</v>
      </c>
      <c r="K1324">
        <f>VLOOKUP(Table2[[#This Row],[Site]],'Site Info'!$A$1:$C$11,2, FALSE)</f>
        <v>17</v>
      </c>
      <c r="L1324">
        <f>VLOOKUP(Table2[[#This Row],[Site]],'Site Info'!$A$1:$C$11,3, FALSE)</f>
        <v>4</v>
      </c>
      <c r="M1324" t="str">
        <f>VLOOKUP(Table2[[#This Row],[Species]],'Species Table'!$A$1:$D$68,3, FALSE)</f>
        <v>Perennial</v>
      </c>
      <c r="O1324" s="15">
        <f>IF(SUMPRODUCT(($A$2:$A1324=A1324)*($B$2:$B1324=B1324)*($F$2:$F1324=F1324))&gt;1,0,1)</f>
        <v>1</v>
      </c>
      <c r="P1324" s="15">
        <f>IF(SUMPRODUCT(($A$2:$A1324=A1324)*($B$2:$B1324=B1324)*($D$2:$D1324=D1324))&gt;1,0,1)</f>
        <v>1</v>
      </c>
    </row>
    <row r="1325" spans="1:16" hidden="1" x14ac:dyDescent="0.35">
      <c r="A1325" t="s">
        <v>105</v>
      </c>
      <c r="B1325">
        <v>2016</v>
      </c>
      <c r="C1325" s="1" t="s">
        <v>40</v>
      </c>
      <c r="D1325">
        <v>1.5</v>
      </c>
      <c r="E1325">
        <f>INT(Table2[[#This Row],[Transect]])</f>
        <v>1</v>
      </c>
      <c r="F1325" s="1" t="s">
        <v>10</v>
      </c>
      <c r="G1325">
        <v>4</v>
      </c>
      <c r="H1325">
        <v>200</v>
      </c>
      <c r="I1325">
        <v>100</v>
      </c>
      <c r="J1325">
        <f>Table2[[#This Row],[Hits]]/Table2[[#This Row],[Points]]*100</f>
        <v>2</v>
      </c>
      <c r="K1325">
        <f>VLOOKUP(Table2[[#This Row],[Site]],'Site Info'!$A$1:$C$11,2, FALSE)</f>
        <v>17</v>
      </c>
      <c r="L1325">
        <f>VLOOKUP(Table2[[#This Row],[Site]],'Site Info'!$A$1:$C$11,3, FALSE)</f>
        <v>4</v>
      </c>
      <c r="M1325" t="str">
        <f>VLOOKUP(Table2[[#This Row],[Species]],'Species Table'!$A$1:$D$68,3, FALSE)</f>
        <v>Annual</v>
      </c>
      <c r="O1325" s="15">
        <f>IF(SUMPRODUCT(($A$2:$A1325=A1325)*($B$2:$B1325=B1325)*($F$2:$F1325=F1325))&gt;1,0,1)</f>
        <v>0</v>
      </c>
      <c r="P1325" s="15">
        <f>IF(SUMPRODUCT(($A$2:$A1325=A1325)*($B$2:$B1325=B1325)*($D$2:$D1325=D1325))&gt;1,0,1)</f>
        <v>0</v>
      </c>
    </row>
    <row r="1326" spans="1:16" x14ac:dyDescent="0.35">
      <c r="A1326" t="s">
        <v>105</v>
      </c>
      <c r="B1326">
        <v>2016</v>
      </c>
      <c r="C1326" s="1" t="s">
        <v>100</v>
      </c>
      <c r="D1326">
        <v>1.6</v>
      </c>
      <c r="E1326">
        <f>INT(Table2[[#This Row],[Transect]])</f>
        <v>1</v>
      </c>
      <c r="F1326" s="1" t="s">
        <v>31</v>
      </c>
      <c r="G1326">
        <v>5</v>
      </c>
      <c r="H1326">
        <v>171</v>
      </c>
      <c r="I1326">
        <v>85.5</v>
      </c>
      <c r="J1326">
        <f>Table2[[#This Row],[Hits]]/Table2[[#This Row],[Points]]*100</f>
        <v>2.9239766081871341</v>
      </c>
      <c r="K1326">
        <f>VLOOKUP(Table2[[#This Row],[Site]],'Site Info'!$A$1:$C$11,2, FALSE)</f>
        <v>17</v>
      </c>
      <c r="L1326">
        <f>VLOOKUP(Table2[[#This Row],[Site]],'Site Info'!$A$1:$C$11,3, FALSE)</f>
        <v>4</v>
      </c>
      <c r="M1326" t="str">
        <f>VLOOKUP(Table2[[#This Row],[Species]],'Species Table'!$A$1:$D$68,3, FALSE)</f>
        <v>Perennial</v>
      </c>
      <c r="O1326" s="15">
        <f>IF(SUMPRODUCT(($A$2:$A1326=A1326)*($B$2:$B1326=B1326)*($F$2:$F1326=F1326))&gt;1,0,1)</f>
        <v>0</v>
      </c>
      <c r="P1326" s="15">
        <f>IF(SUMPRODUCT(($A$2:$A1326=A1326)*($B$2:$B1326=B1326)*($D$2:$D1326=D1326))&gt;1,0,1)</f>
        <v>1</v>
      </c>
    </row>
    <row r="1327" spans="1:16" x14ac:dyDescent="0.35">
      <c r="A1327" t="s">
        <v>105</v>
      </c>
      <c r="B1327">
        <v>2016</v>
      </c>
      <c r="C1327" s="1" t="s">
        <v>100</v>
      </c>
      <c r="D1327">
        <v>1.6</v>
      </c>
      <c r="E1327">
        <f>INT(Table2[[#This Row],[Transect]])</f>
        <v>1</v>
      </c>
      <c r="F1327" s="1" t="s">
        <v>11</v>
      </c>
      <c r="G1327">
        <v>5</v>
      </c>
      <c r="H1327">
        <v>171</v>
      </c>
      <c r="I1327">
        <v>85.5</v>
      </c>
      <c r="J1327">
        <f>Table2[[#This Row],[Hits]]/Table2[[#This Row],[Points]]*100</f>
        <v>2.9239766081871341</v>
      </c>
      <c r="K1327">
        <f>VLOOKUP(Table2[[#This Row],[Site]],'Site Info'!$A$1:$C$11,2, FALSE)</f>
        <v>17</v>
      </c>
      <c r="L1327">
        <f>VLOOKUP(Table2[[#This Row],[Site]],'Site Info'!$A$1:$C$11,3, FALSE)</f>
        <v>4</v>
      </c>
      <c r="M1327" t="str">
        <f>VLOOKUP(Table2[[#This Row],[Species]],'Species Table'!$A$1:$D$68,3, FALSE)</f>
        <v>Perennial</v>
      </c>
      <c r="O1327" s="15">
        <f>IF(SUMPRODUCT(($A$2:$A1327=A1327)*($B$2:$B1327=B1327)*($F$2:$F1327=F1327))&gt;1,0,1)</f>
        <v>0</v>
      </c>
      <c r="P1327" s="15">
        <f>IF(SUMPRODUCT(($A$2:$A1327=A1327)*($B$2:$B1327=B1327)*($D$2:$D1327=D1327))&gt;1,0,1)</f>
        <v>0</v>
      </c>
    </row>
    <row r="1328" spans="1:16" x14ac:dyDescent="0.35">
      <c r="A1328" t="s">
        <v>105</v>
      </c>
      <c r="B1328">
        <v>2016</v>
      </c>
      <c r="C1328" s="1" t="s">
        <v>43</v>
      </c>
      <c r="D1328">
        <v>2.1</v>
      </c>
      <c r="E1328">
        <f>INT(Table2[[#This Row],[Transect]])</f>
        <v>2</v>
      </c>
      <c r="F1328" s="1" t="s">
        <v>12</v>
      </c>
      <c r="G1328">
        <v>4</v>
      </c>
      <c r="H1328">
        <v>200</v>
      </c>
      <c r="I1328">
        <v>100</v>
      </c>
      <c r="J1328">
        <f>Table2[[#This Row],[Hits]]/Table2[[#This Row],[Points]]*100</f>
        <v>2</v>
      </c>
      <c r="K1328">
        <f>VLOOKUP(Table2[[#This Row],[Site]],'Site Info'!$A$1:$C$11,2, FALSE)</f>
        <v>17</v>
      </c>
      <c r="L1328">
        <f>VLOOKUP(Table2[[#This Row],[Site]],'Site Info'!$A$1:$C$11,3, FALSE)</f>
        <v>4</v>
      </c>
      <c r="M1328" t="str">
        <f>VLOOKUP(Table2[[#This Row],[Species]],'Species Table'!$A$1:$D$68,3, FALSE)</f>
        <v>Perennial</v>
      </c>
      <c r="O1328" s="15">
        <f>IF(SUMPRODUCT(($A$2:$A1328=A1328)*($B$2:$B1328=B1328)*($F$2:$F1328=F1328))&gt;1,0,1)</f>
        <v>0</v>
      </c>
      <c r="P1328" s="15">
        <f>IF(SUMPRODUCT(($A$2:$A1328=A1328)*($B$2:$B1328=B1328)*($D$2:$D1328=D1328))&gt;1,0,1)</f>
        <v>1</v>
      </c>
    </row>
    <row r="1329" spans="1:16" x14ac:dyDescent="0.35">
      <c r="A1329" t="s">
        <v>105</v>
      </c>
      <c r="B1329">
        <v>2016</v>
      </c>
      <c r="C1329" s="1" t="s">
        <v>43</v>
      </c>
      <c r="D1329">
        <v>2.1</v>
      </c>
      <c r="E1329">
        <f>INT(Table2[[#This Row],[Transect]])</f>
        <v>2</v>
      </c>
      <c r="F1329" s="1" t="s">
        <v>6</v>
      </c>
      <c r="G1329">
        <v>5</v>
      </c>
      <c r="H1329">
        <v>200</v>
      </c>
      <c r="I1329">
        <v>100</v>
      </c>
      <c r="J1329">
        <f>Table2[[#This Row],[Hits]]/Table2[[#This Row],[Points]]*100</f>
        <v>2.5</v>
      </c>
      <c r="K1329">
        <f>VLOOKUP(Table2[[#This Row],[Site]],'Site Info'!$A$1:$C$11,2, FALSE)</f>
        <v>17</v>
      </c>
      <c r="L1329">
        <f>VLOOKUP(Table2[[#This Row],[Site]],'Site Info'!$A$1:$C$11,3, FALSE)</f>
        <v>4</v>
      </c>
      <c r="M1329" t="str">
        <f>VLOOKUP(Table2[[#This Row],[Species]],'Species Table'!$A$1:$D$68,3, FALSE)</f>
        <v>Perennial</v>
      </c>
      <c r="O1329" s="15">
        <f>IF(SUMPRODUCT(($A$2:$A1329=A1329)*($B$2:$B1329=B1329)*($F$2:$F1329=F1329))&gt;1,0,1)</f>
        <v>0</v>
      </c>
      <c r="P1329" s="15">
        <f>IF(SUMPRODUCT(($A$2:$A1329=A1329)*($B$2:$B1329=B1329)*($D$2:$D1329=D1329))&gt;1,0,1)</f>
        <v>0</v>
      </c>
    </row>
    <row r="1330" spans="1:16" hidden="1" x14ac:dyDescent="0.35">
      <c r="A1330" t="s">
        <v>105</v>
      </c>
      <c r="B1330">
        <v>2016</v>
      </c>
      <c r="C1330" s="1" t="s">
        <v>43</v>
      </c>
      <c r="D1330">
        <v>2.1</v>
      </c>
      <c r="E1330">
        <f>INT(Table2[[#This Row],[Transect]])</f>
        <v>2</v>
      </c>
      <c r="F1330" s="1" t="s">
        <v>10</v>
      </c>
      <c r="G1330">
        <v>1</v>
      </c>
      <c r="H1330">
        <v>200</v>
      </c>
      <c r="I1330">
        <v>100</v>
      </c>
      <c r="J1330">
        <f>Table2[[#This Row],[Hits]]/Table2[[#This Row],[Points]]*100</f>
        <v>0.5</v>
      </c>
      <c r="K1330">
        <f>VLOOKUP(Table2[[#This Row],[Site]],'Site Info'!$A$1:$C$11,2, FALSE)</f>
        <v>17</v>
      </c>
      <c r="L1330">
        <f>VLOOKUP(Table2[[#This Row],[Site]],'Site Info'!$A$1:$C$11,3, FALSE)</f>
        <v>4</v>
      </c>
      <c r="M1330" t="str">
        <f>VLOOKUP(Table2[[#This Row],[Species]],'Species Table'!$A$1:$D$68,3, FALSE)</f>
        <v>Annual</v>
      </c>
      <c r="O1330" s="15">
        <f>IF(SUMPRODUCT(($A$2:$A1330=A1330)*($B$2:$B1330=B1330)*($F$2:$F1330=F1330))&gt;1,0,1)</f>
        <v>0</v>
      </c>
      <c r="P1330" s="15">
        <f>IF(SUMPRODUCT(($A$2:$A1330=A1330)*($B$2:$B1330=B1330)*($D$2:$D1330=D1330))&gt;1,0,1)</f>
        <v>0</v>
      </c>
    </row>
    <row r="1331" spans="1:16" x14ac:dyDescent="0.35">
      <c r="A1331" t="s">
        <v>105</v>
      </c>
      <c r="B1331">
        <v>2016</v>
      </c>
      <c r="C1331" s="1" t="s">
        <v>44</v>
      </c>
      <c r="D1331">
        <v>2.2000000000000002</v>
      </c>
      <c r="E1331">
        <f>INT(Table2[[#This Row],[Transect]])</f>
        <v>2</v>
      </c>
      <c r="F1331" s="1" t="s">
        <v>6</v>
      </c>
      <c r="G1331">
        <v>1</v>
      </c>
      <c r="H1331">
        <v>200</v>
      </c>
      <c r="I1331">
        <v>100</v>
      </c>
      <c r="J1331">
        <f>Table2[[#This Row],[Hits]]/Table2[[#This Row],[Points]]*100</f>
        <v>0.5</v>
      </c>
      <c r="K1331">
        <f>VLOOKUP(Table2[[#This Row],[Site]],'Site Info'!$A$1:$C$11,2, FALSE)</f>
        <v>17</v>
      </c>
      <c r="L1331">
        <f>VLOOKUP(Table2[[#This Row],[Site]],'Site Info'!$A$1:$C$11,3, FALSE)</f>
        <v>4</v>
      </c>
      <c r="M1331" t="str">
        <f>VLOOKUP(Table2[[#This Row],[Species]],'Species Table'!$A$1:$D$68,3, FALSE)</f>
        <v>Perennial</v>
      </c>
      <c r="O1331" s="15">
        <f>IF(SUMPRODUCT(($A$2:$A1331=A1331)*($B$2:$B1331=B1331)*($F$2:$F1331=F1331))&gt;1,0,1)</f>
        <v>0</v>
      </c>
      <c r="P1331" s="15">
        <f>IF(SUMPRODUCT(($A$2:$A1331=A1331)*($B$2:$B1331=B1331)*($D$2:$D1331=D1331))&gt;1,0,1)</f>
        <v>1</v>
      </c>
    </row>
    <row r="1332" spans="1:16" hidden="1" x14ac:dyDescent="0.35">
      <c r="A1332" t="s">
        <v>105</v>
      </c>
      <c r="B1332">
        <v>2016</v>
      </c>
      <c r="C1332" s="1" t="s">
        <v>44</v>
      </c>
      <c r="D1332">
        <v>2.2000000000000002</v>
      </c>
      <c r="E1332">
        <f>INT(Table2[[#This Row],[Transect]])</f>
        <v>2</v>
      </c>
      <c r="F1332" s="1" t="s">
        <v>10</v>
      </c>
      <c r="G1332">
        <v>18</v>
      </c>
      <c r="H1332">
        <v>200</v>
      </c>
      <c r="I1332">
        <v>100</v>
      </c>
      <c r="J1332">
        <f>Table2[[#This Row],[Hits]]/Table2[[#This Row],[Points]]*100</f>
        <v>9</v>
      </c>
      <c r="K1332">
        <f>VLOOKUP(Table2[[#This Row],[Site]],'Site Info'!$A$1:$C$11,2, FALSE)</f>
        <v>17</v>
      </c>
      <c r="L1332">
        <f>VLOOKUP(Table2[[#This Row],[Site]],'Site Info'!$A$1:$C$11,3, FALSE)</f>
        <v>4</v>
      </c>
      <c r="M1332" t="str">
        <f>VLOOKUP(Table2[[#This Row],[Species]],'Species Table'!$A$1:$D$68,3, FALSE)</f>
        <v>Annual</v>
      </c>
      <c r="O1332" s="15">
        <f>IF(SUMPRODUCT(($A$2:$A1332=A1332)*($B$2:$B1332=B1332)*($F$2:$F1332=F1332))&gt;1,0,1)</f>
        <v>0</v>
      </c>
      <c r="P1332" s="15">
        <f>IF(SUMPRODUCT(($A$2:$A1332=A1332)*($B$2:$B1332=B1332)*($D$2:$D1332=D1332))&gt;1,0,1)</f>
        <v>0</v>
      </c>
    </row>
    <row r="1333" spans="1:16" x14ac:dyDescent="0.35">
      <c r="A1333" t="s">
        <v>105</v>
      </c>
      <c r="B1333">
        <v>2016</v>
      </c>
      <c r="C1333" s="1" t="s">
        <v>45</v>
      </c>
      <c r="D1333">
        <v>2.2999999999999998</v>
      </c>
      <c r="E1333">
        <f>INT(Table2[[#This Row],[Transect]])</f>
        <v>2</v>
      </c>
      <c r="F1333" s="1" t="s">
        <v>12</v>
      </c>
      <c r="G1333">
        <v>5</v>
      </c>
      <c r="H1333">
        <v>200</v>
      </c>
      <c r="I1333">
        <v>100</v>
      </c>
      <c r="J1333">
        <f>Table2[[#This Row],[Hits]]/Table2[[#This Row],[Points]]*100</f>
        <v>2.5</v>
      </c>
      <c r="K1333">
        <f>VLOOKUP(Table2[[#This Row],[Site]],'Site Info'!$A$1:$C$11,2, FALSE)</f>
        <v>17</v>
      </c>
      <c r="L1333">
        <f>VLOOKUP(Table2[[#This Row],[Site]],'Site Info'!$A$1:$C$11,3, FALSE)</f>
        <v>4</v>
      </c>
      <c r="M1333" t="str">
        <f>VLOOKUP(Table2[[#This Row],[Species]],'Species Table'!$A$1:$D$68,3, FALSE)</f>
        <v>Perennial</v>
      </c>
      <c r="O1333" s="15">
        <f>IF(SUMPRODUCT(($A$2:$A1333=A1333)*($B$2:$B1333=B1333)*($F$2:$F1333=F1333))&gt;1,0,1)</f>
        <v>0</v>
      </c>
      <c r="P1333" s="15">
        <f>IF(SUMPRODUCT(($A$2:$A1333=A1333)*($B$2:$B1333=B1333)*($D$2:$D1333=D1333))&gt;1,0,1)</f>
        <v>1</v>
      </c>
    </row>
    <row r="1334" spans="1:16" hidden="1" x14ac:dyDescent="0.35">
      <c r="A1334" t="s">
        <v>105</v>
      </c>
      <c r="B1334">
        <v>2016</v>
      </c>
      <c r="C1334" s="1" t="s">
        <v>45</v>
      </c>
      <c r="D1334">
        <v>2.2999999999999998</v>
      </c>
      <c r="E1334">
        <f>INT(Table2[[#This Row],[Transect]])</f>
        <v>2</v>
      </c>
      <c r="F1334" s="1" t="s">
        <v>10</v>
      </c>
      <c r="G1334">
        <v>44</v>
      </c>
      <c r="H1334">
        <v>200</v>
      </c>
      <c r="I1334">
        <v>100</v>
      </c>
      <c r="J1334">
        <f>Table2[[#This Row],[Hits]]/Table2[[#This Row],[Points]]*100</f>
        <v>22</v>
      </c>
      <c r="K1334">
        <f>VLOOKUP(Table2[[#This Row],[Site]],'Site Info'!$A$1:$C$11,2, FALSE)</f>
        <v>17</v>
      </c>
      <c r="L1334">
        <f>VLOOKUP(Table2[[#This Row],[Site]],'Site Info'!$A$1:$C$11,3, FALSE)</f>
        <v>4</v>
      </c>
      <c r="M1334" t="str">
        <f>VLOOKUP(Table2[[#This Row],[Species]],'Species Table'!$A$1:$D$68,3, FALSE)</f>
        <v>Annual</v>
      </c>
      <c r="O1334" s="15">
        <f>IF(SUMPRODUCT(($A$2:$A1334=A1334)*($B$2:$B1334=B1334)*($F$2:$F1334=F1334))&gt;1,0,1)</f>
        <v>0</v>
      </c>
      <c r="P1334" s="15">
        <f>IF(SUMPRODUCT(($A$2:$A1334=A1334)*($B$2:$B1334=B1334)*($D$2:$D1334=D1334))&gt;1,0,1)</f>
        <v>0</v>
      </c>
    </row>
    <row r="1335" spans="1:16" hidden="1" x14ac:dyDescent="0.35">
      <c r="A1335" t="s">
        <v>105</v>
      </c>
      <c r="B1335">
        <v>2016</v>
      </c>
      <c r="C1335" s="1" t="s">
        <v>46</v>
      </c>
      <c r="D1335">
        <v>2.4</v>
      </c>
      <c r="E1335">
        <f>INT(Table2[[#This Row],[Transect]])</f>
        <v>2</v>
      </c>
      <c r="F1335" s="1" t="s">
        <v>10</v>
      </c>
      <c r="G1335">
        <v>27</v>
      </c>
      <c r="H1335">
        <v>200</v>
      </c>
      <c r="I1335">
        <v>100</v>
      </c>
      <c r="J1335">
        <f>Table2[[#This Row],[Hits]]/Table2[[#This Row],[Points]]*100</f>
        <v>13.5</v>
      </c>
      <c r="K1335">
        <f>VLOOKUP(Table2[[#This Row],[Site]],'Site Info'!$A$1:$C$11,2, FALSE)</f>
        <v>17</v>
      </c>
      <c r="L1335">
        <f>VLOOKUP(Table2[[#This Row],[Site]],'Site Info'!$A$1:$C$11,3, FALSE)</f>
        <v>4</v>
      </c>
      <c r="M1335" t="str">
        <f>VLOOKUP(Table2[[#This Row],[Species]],'Species Table'!$A$1:$D$68,3, FALSE)</f>
        <v>Annual</v>
      </c>
      <c r="O1335" s="15">
        <f>IF(SUMPRODUCT(($A$2:$A1335=A1335)*($B$2:$B1335=B1335)*($F$2:$F1335=F1335))&gt;1,0,1)</f>
        <v>0</v>
      </c>
      <c r="P1335" s="15">
        <f>IF(SUMPRODUCT(($A$2:$A1335=A1335)*($B$2:$B1335=B1335)*($D$2:$D1335=D1335))&gt;1,0,1)</f>
        <v>1</v>
      </c>
    </row>
    <row r="1336" spans="1:16" hidden="1" x14ac:dyDescent="0.35">
      <c r="A1336" t="s">
        <v>105</v>
      </c>
      <c r="B1336">
        <v>2016</v>
      </c>
      <c r="C1336" s="1" t="s">
        <v>47</v>
      </c>
      <c r="D1336">
        <v>2.5</v>
      </c>
      <c r="E1336">
        <f>INT(Table2[[#This Row],[Transect]])</f>
        <v>2</v>
      </c>
      <c r="F1336" s="1" t="s">
        <v>10</v>
      </c>
      <c r="G1336">
        <v>12</v>
      </c>
      <c r="H1336">
        <v>200</v>
      </c>
      <c r="I1336">
        <v>100</v>
      </c>
      <c r="J1336">
        <f>Table2[[#This Row],[Hits]]/Table2[[#This Row],[Points]]*100</f>
        <v>6</v>
      </c>
      <c r="K1336">
        <f>VLOOKUP(Table2[[#This Row],[Site]],'Site Info'!$A$1:$C$11,2, FALSE)</f>
        <v>17</v>
      </c>
      <c r="L1336">
        <f>VLOOKUP(Table2[[#This Row],[Site]],'Site Info'!$A$1:$C$11,3, FALSE)</f>
        <v>4</v>
      </c>
      <c r="M1336" t="str">
        <f>VLOOKUP(Table2[[#This Row],[Species]],'Species Table'!$A$1:$D$68,3, FALSE)</f>
        <v>Annual</v>
      </c>
      <c r="O1336" s="15">
        <f>IF(SUMPRODUCT(($A$2:$A1336=A1336)*($B$2:$B1336=B1336)*($F$2:$F1336=F1336))&gt;1,0,1)</f>
        <v>0</v>
      </c>
      <c r="P1336" s="15">
        <f>IF(SUMPRODUCT(($A$2:$A1336=A1336)*($B$2:$B1336=B1336)*($D$2:$D1336=D1336))&gt;1,0,1)</f>
        <v>1</v>
      </c>
    </row>
    <row r="1337" spans="1:16" x14ac:dyDescent="0.35">
      <c r="A1337" t="s">
        <v>105</v>
      </c>
      <c r="B1337">
        <v>2016</v>
      </c>
      <c r="C1337" s="1" t="s">
        <v>48</v>
      </c>
      <c r="D1337">
        <v>2.6</v>
      </c>
      <c r="E1337">
        <f>INT(Table2[[#This Row],[Transect]])</f>
        <v>2</v>
      </c>
      <c r="F1337" s="1" t="s">
        <v>11</v>
      </c>
      <c r="G1337">
        <v>14</v>
      </c>
      <c r="H1337">
        <v>200</v>
      </c>
      <c r="I1337">
        <v>100</v>
      </c>
      <c r="J1337">
        <f>Table2[[#This Row],[Hits]]/Table2[[#This Row],[Points]]*100</f>
        <v>7.0000000000000009</v>
      </c>
      <c r="K1337">
        <f>VLOOKUP(Table2[[#This Row],[Site]],'Site Info'!$A$1:$C$11,2, FALSE)</f>
        <v>17</v>
      </c>
      <c r="L1337">
        <f>VLOOKUP(Table2[[#This Row],[Site]],'Site Info'!$A$1:$C$11,3, FALSE)</f>
        <v>4</v>
      </c>
      <c r="M1337" t="str">
        <f>VLOOKUP(Table2[[#This Row],[Species]],'Species Table'!$A$1:$D$68,3, FALSE)</f>
        <v>Perennial</v>
      </c>
      <c r="O1337" s="15">
        <f>IF(SUMPRODUCT(($A$2:$A1337=A1337)*($B$2:$B1337=B1337)*($F$2:$F1337=F1337))&gt;1,0,1)</f>
        <v>0</v>
      </c>
      <c r="P1337" s="15">
        <f>IF(SUMPRODUCT(($A$2:$A1337=A1337)*($B$2:$B1337=B1337)*($D$2:$D1337=D1337))&gt;1,0,1)</f>
        <v>1</v>
      </c>
    </row>
    <row r="1338" spans="1:16" hidden="1" x14ac:dyDescent="0.35">
      <c r="A1338" t="s">
        <v>105</v>
      </c>
      <c r="B1338">
        <v>2016</v>
      </c>
      <c r="C1338" s="1" t="s">
        <v>48</v>
      </c>
      <c r="D1338">
        <v>2.6</v>
      </c>
      <c r="E1338">
        <f>INT(Table2[[#This Row],[Transect]])</f>
        <v>2</v>
      </c>
      <c r="F1338" s="1" t="s">
        <v>10</v>
      </c>
      <c r="G1338">
        <v>5</v>
      </c>
      <c r="H1338">
        <v>200</v>
      </c>
      <c r="I1338">
        <v>100</v>
      </c>
      <c r="J1338">
        <f>Table2[[#This Row],[Hits]]/Table2[[#This Row],[Points]]*100</f>
        <v>2.5</v>
      </c>
      <c r="K1338">
        <f>VLOOKUP(Table2[[#This Row],[Site]],'Site Info'!$A$1:$C$11,2, FALSE)</f>
        <v>17</v>
      </c>
      <c r="L1338">
        <f>VLOOKUP(Table2[[#This Row],[Site]],'Site Info'!$A$1:$C$11,3, FALSE)</f>
        <v>4</v>
      </c>
      <c r="M1338" t="str">
        <f>VLOOKUP(Table2[[#This Row],[Species]],'Species Table'!$A$1:$D$68,3, FALSE)</f>
        <v>Annual</v>
      </c>
      <c r="O1338" s="15">
        <f>IF(SUMPRODUCT(($A$2:$A1338=A1338)*($B$2:$B1338=B1338)*($F$2:$F1338=F1338))&gt;1,0,1)</f>
        <v>0</v>
      </c>
      <c r="P1338" s="15">
        <f>IF(SUMPRODUCT(($A$2:$A1338=A1338)*($B$2:$B1338=B1338)*($D$2:$D1338=D1338))&gt;1,0,1)</f>
        <v>0</v>
      </c>
    </row>
    <row r="1339" spans="1:16" x14ac:dyDescent="0.35">
      <c r="A1339" t="s">
        <v>105</v>
      </c>
      <c r="B1339">
        <v>2016</v>
      </c>
      <c r="C1339" s="1" t="s">
        <v>49</v>
      </c>
      <c r="D1339">
        <v>2.7</v>
      </c>
      <c r="E1339">
        <f>INT(Table2[[#This Row],[Transect]])</f>
        <v>2</v>
      </c>
      <c r="F1339" s="1" t="s">
        <v>3</v>
      </c>
      <c r="G1339">
        <v>9</v>
      </c>
      <c r="H1339">
        <v>77</v>
      </c>
      <c r="I1339">
        <v>38.5</v>
      </c>
      <c r="J1339">
        <f>Table2[[#This Row],[Hits]]/Table2[[#This Row],[Points]]*100</f>
        <v>11.688311688311687</v>
      </c>
      <c r="K1339">
        <f>VLOOKUP(Table2[[#This Row],[Site]],'Site Info'!$A$1:$C$11,2, FALSE)</f>
        <v>17</v>
      </c>
      <c r="L1339">
        <f>VLOOKUP(Table2[[#This Row],[Site]],'Site Info'!$A$1:$C$11,3, FALSE)</f>
        <v>4</v>
      </c>
      <c r="M1339" t="str">
        <f>VLOOKUP(Table2[[#This Row],[Species]],'Species Table'!$A$1:$D$68,3, FALSE)</f>
        <v>Perennial</v>
      </c>
      <c r="O1339" s="15">
        <f>IF(SUMPRODUCT(($A$2:$A1339=A1339)*($B$2:$B1339=B1339)*($F$2:$F1339=F1339))&gt;1,0,1)</f>
        <v>1</v>
      </c>
      <c r="P1339" s="15">
        <f>IF(SUMPRODUCT(($A$2:$A1339=A1339)*($B$2:$B1339=B1339)*($D$2:$D1339=D1339))&gt;1,0,1)</f>
        <v>1</v>
      </c>
    </row>
    <row r="1340" spans="1:16" x14ac:dyDescent="0.35">
      <c r="A1340" t="s">
        <v>105</v>
      </c>
      <c r="B1340">
        <v>2016</v>
      </c>
      <c r="C1340" s="1" t="s">
        <v>49</v>
      </c>
      <c r="D1340">
        <v>2.7</v>
      </c>
      <c r="E1340">
        <f>INT(Table2[[#This Row],[Transect]])</f>
        <v>2</v>
      </c>
      <c r="F1340" s="1" t="s">
        <v>11</v>
      </c>
      <c r="G1340">
        <v>2</v>
      </c>
      <c r="H1340">
        <v>77</v>
      </c>
      <c r="I1340">
        <v>38.5</v>
      </c>
      <c r="J1340">
        <f>Table2[[#This Row],[Hits]]/Table2[[#This Row],[Points]]*100</f>
        <v>2.5974025974025974</v>
      </c>
      <c r="K1340">
        <f>VLOOKUP(Table2[[#This Row],[Site]],'Site Info'!$A$1:$C$11,2, FALSE)</f>
        <v>17</v>
      </c>
      <c r="L1340">
        <f>VLOOKUP(Table2[[#This Row],[Site]],'Site Info'!$A$1:$C$11,3, FALSE)</f>
        <v>4</v>
      </c>
      <c r="M1340" t="str">
        <f>VLOOKUP(Table2[[#This Row],[Species]],'Species Table'!$A$1:$D$68,3, FALSE)</f>
        <v>Perennial</v>
      </c>
      <c r="O1340" s="15">
        <f>IF(SUMPRODUCT(($A$2:$A1340=A1340)*($B$2:$B1340=B1340)*($F$2:$F1340=F1340))&gt;1,0,1)</f>
        <v>0</v>
      </c>
      <c r="P1340" s="15">
        <f>IF(SUMPRODUCT(($A$2:$A1340=A1340)*($B$2:$B1340=B1340)*($D$2:$D1340=D1340))&gt;1,0,1)</f>
        <v>0</v>
      </c>
    </row>
    <row r="1341" spans="1:16" x14ac:dyDescent="0.35">
      <c r="A1341" t="s">
        <v>105</v>
      </c>
      <c r="B1341">
        <v>2016</v>
      </c>
      <c r="C1341" s="1" t="s">
        <v>50</v>
      </c>
      <c r="D1341">
        <v>3.1</v>
      </c>
      <c r="E1341">
        <f>INT(Table2[[#This Row],[Transect]])</f>
        <v>3</v>
      </c>
      <c r="F1341" s="1" t="s">
        <v>12</v>
      </c>
      <c r="G1341">
        <v>4</v>
      </c>
      <c r="H1341">
        <v>200</v>
      </c>
      <c r="I1341">
        <v>100</v>
      </c>
      <c r="J1341">
        <f>Table2[[#This Row],[Hits]]/Table2[[#This Row],[Points]]*100</f>
        <v>2</v>
      </c>
      <c r="K1341">
        <f>VLOOKUP(Table2[[#This Row],[Site]],'Site Info'!$A$1:$C$11,2, FALSE)</f>
        <v>17</v>
      </c>
      <c r="L1341">
        <f>VLOOKUP(Table2[[#This Row],[Site]],'Site Info'!$A$1:$C$11,3, FALSE)</f>
        <v>4</v>
      </c>
      <c r="M1341" t="str">
        <f>VLOOKUP(Table2[[#This Row],[Species]],'Species Table'!$A$1:$D$68,3, FALSE)</f>
        <v>Perennial</v>
      </c>
      <c r="O1341" s="15">
        <f>IF(SUMPRODUCT(($A$2:$A1341=A1341)*($B$2:$B1341=B1341)*($F$2:$F1341=F1341))&gt;1,0,1)</f>
        <v>0</v>
      </c>
      <c r="P1341" s="15">
        <f>IF(SUMPRODUCT(($A$2:$A1341=A1341)*($B$2:$B1341=B1341)*($D$2:$D1341=D1341))&gt;1,0,1)</f>
        <v>1</v>
      </c>
    </row>
    <row r="1342" spans="1:16" x14ac:dyDescent="0.35">
      <c r="A1342" t="s">
        <v>105</v>
      </c>
      <c r="B1342">
        <v>2016</v>
      </c>
      <c r="C1342" s="1" t="s">
        <v>50</v>
      </c>
      <c r="D1342">
        <v>3.1</v>
      </c>
      <c r="E1342">
        <f>INT(Table2[[#This Row],[Transect]])</f>
        <v>3</v>
      </c>
      <c r="F1342" s="1" t="s">
        <v>6</v>
      </c>
      <c r="G1342">
        <v>29</v>
      </c>
      <c r="H1342">
        <v>200</v>
      </c>
      <c r="I1342">
        <v>100</v>
      </c>
      <c r="J1342">
        <f>Table2[[#This Row],[Hits]]/Table2[[#This Row],[Points]]*100</f>
        <v>14.499999999999998</v>
      </c>
      <c r="K1342">
        <f>VLOOKUP(Table2[[#This Row],[Site]],'Site Info'!$A$1:$C$11,2, FALSE)</f>
        <v>17</v>
      </c>
      <c r="L1342">
        <f>VLOOKUP(Table2[[#This Row],[Site]],'Site Info'!$A$1:$C$11,3, FALSE)</f>
        <v>4</v>
      </c>
      <c r="M1342" t="str">
        <f>VLOOKUP(Table2[[#This Row],[Species]],'Species Table'!$A$1:$D$68,3, FALSE)</f>
        <v>Perennial</v>
      </c>
      <c r="O1342" s="15">
        <f>IF(SUMPRODUCT(($A$2:$A1342=A1342)*($B$2:$B1342=B1342)*($F$2:$F1342=F1342))&gt;1,0,1)</f>
        <v>0</v>
      </c>
      <c r="P1342" s="15">
        <f>IF(SUMPRODUCT(($A$2:$A1342=A1342)*($B$2:$B1342=B1342)*($D$2:$D1342=D1342))&gt;1,0,1)</f>
        <v>0</v>
      </c>
    </row>
    <row r="1343" spans="1:16" x14ac:dyDescent="0.35">
      <c r="A1343" t="s">
        <v>105</v>
      </c>
      <c r="B1343">
        <v>2016</v>
      </c>
      <c r="C1343" s="1" t="s">
        <v>50</v>
      </c>
      <c r="D1343">
        <v>3.1</v>
      </c>
      <c r="E1343">
        <f>INT(Table2[[#This Row],[Transect]])</f>
        <v>3</v>
      </c>
      <c r="F1343" s="1" t="s">
        <v>11</v>
      </c>
      <c r="G1343">
        <v>8</v>
      </c>
      <c r="H1343">
        <v>200</v>
      </c>
      <c r="I1343">
        <v>100</v>
      </c>
      <c r="J1343">
        <f>Table2[[#This Row],[Hits]]/Table2[[#This Row],[Points]]*100</f>
        <v>4</v>
      </c>
      <c r="K1343">
        <f>VLOOKUP(Table2[[#This Row],[Site]],'Site Info'!$A$1:$C$11,2, FALSE)</f>
        <v>17</v>
      </c>
      <c r="L1343">
        <f>VLOOKUP(Table2[[#This Row],[Site]],'Site Info'!$A$1:$C$11,3, FALSE)</f>
        <v>4</v>
      </c>
      <c r="M1343" t="str">
        <f>VLOOKUP(Table2[[#This Row],[Species]],'Species Table'!$A$1:$D$68,3, FALSE)</f>
        <v>Perennial</v>
      </c>
      <c r="O1343" s="15">
        <f>IF(SUMPRODUCT(($A$2:$A1343=A1343)*($B$2:$B1343=B1343)*($F$2:$F1343=F1343))&gt;1,0,1)</f>
        <v>0</v>
      </c>
      <c r="P1343" s="15">
        <f>IF(SUMPRODUCT(($A$2:$A1343=A1343)*($B$2:$B1343=B1343)*($D$2:$D1343=D1343))&gt;1,0,1)</f>
        <v>0</v>
      </c>
    </row>
    <row r="1344" spans="1:16" hidden="1" x14ac:dyDescent="0.35">
      <c r="A1344" t="s">
        <v>105</v>
      </c>
      <c r="B1344">
        <v>2016</v>
      </c>
      <c r="C1344" s="1" t="s">
        <v>50</v>
      </c>
      <c r="D1344">
        <v>3.1</v>
      </c>
      <c r="E1344">
        <f>INT(Table2[[#This Row],[Transect]])</f>
        <v>3</v>
      </c>
      <c r="F1344" s="1" t="s">
        <v>10</v>
      </c>
      <c r="G1344">
        <v>2</v>
      </c>
      <c r="H1344">
        <v>200</v>
      </c>
      <c r="I1344">
        <v>100</v>
      </c>
      <c r="J1344">
        <f>Table2[[#This Row],[Hits]]/Table2[[#This Row],[Points]]*100</f>
        <v>1</v>
      </c>
      <c r="K1344">
        <f>VLOOKUP(Table2[[#This Row],[Site]],'Site Info'!$A$1:$C$11,2, FALSE)</f>
        <v>17</v>
      </c>
      <c r="L1344">
        <f>VLOOKUP(Table2[[#This Row],[Site]],'Site Info'!$A$1:$C$11,3, FALSE)</f>
        <v>4</v>
      </c>
      <c r="M1344" t="str">
        <f>VLOOKUP(Table2[[#This Row],[Species]],'Species Table'!$A$1:$D$68,3, FALSE)</f>
        <v>Annual</v>
      </c>
      <c r="O1344" s="15">
        <f>IF(SUMPRODUCT(($A$2:$A1344=A1344)*($B$2:$B1344=B1344)*($F$2:$F1344=F1344))&gt;1,0,1)</f>
        <v>0</v>
      </c>
      <c r="P1344" s="15">
        <f>IF(SUMPRODUCT(($A$2:$A1344=A1344)*($B$2:$B1344=B1344)*($D$2:$D1344=D1344))&gt;1,0,1)</f>
        <v>0</v>
      </c>
    </row>
    <row r="1345" spans="1:16" x14ac:dyDescent="0.35">
      <c r="A1345" t="s">
        <v>105</v>
      </c>
      <c r="B1345">
        <v>2016</v>
      </c>
      <c r="C1345" s="1" t="s">
        <v>51</v>
      </c>
      <c r="D1345">
        <v>3.2</v>
      </c>
      <c r="E1345">
        <f>INT(Table2[[#This Row],[Transect]])</f>
        <v>3</v>
      </c>
      <c r="F1345" s="1" t="s">
        <v>31</v>
      </c>
      <c r="G1345">
        <v>1</v>
      </c>
      <c r="H1345">
        <v>200</v>
      </c>
      <c r="I1345">
        <v>100</v>
      </c>
      <c r="J1345">
        <f>Table2[[#This Row],[Hits]]/Table2[[#This Row],[Points]]*100</f>
        <v>0.5</v>
      </c>
      <c r="K1345">
        <f>VLOOKUP(Table2[[#This Row],[Site]],'Site Info'!$A$1:$C$11,2, FALSE)</f>
        <v>17</v>
      </c>
      <c r="L1345">
        <f>VLOOKUP(Table2[[#This Row],[Site]],'Site Info'!$A$1:$C$11,3, FALSE)</f>
        <v>4</v>
      </c>
      <c r="M1345" t="str">
        <f>VLOOKUP(Table2[[#This Row],[Species]],'Species Table'!$A$1:$D$68,3, FALSE)</f>
        <v>Perennial</v>
      </c>
      <c r="O1345" s="15">
        <f>IF(SUMPRODUCT(($A$2:$A1345=A1345)*($B$2:$B1345=B1345)*($F$2:$F1345=F1345))&gt;1,0,1)</f>
        <v>0</v>
      </c>
      <c r="P1345" s="15">
        <f>IF(SUMPRODUCT(($A$2:$A1345=A1345)*($B$2:$B1345=B1345)*($D$2:$D1345=D1345))&gt;1,0,1)</f>
        <v>1</v>
      </c>
    </row>
    <row r="1346" spans="1:16" x14ac:dyDescent="0.35">
      <c r="A1346" t="s">
        <v>105</v>
      </c>
      <c r="B1346">
        <v>2016</v>
      </c>
      <c r="C1346" s="1" t="s">
        <v>51</v>
      </c>
      <c r="D1346">
        <v>3.2</v>
      </c>
      <c r="E1346">
        <f>INT(Table2[[#This Row],[Transect]])</f>
        <v>3</v>
      </c>
      <c r="F1346" s="1" t="s">
        <v>12</v>
      </c>
      <c r="G1346">
        <v>16</v>
      </c>
      <c r="H1346">
        <v>200</v>
      </c>
      <c r="I1346">
        <v>100</v>
      </c>
      <c r="J1346">
        <f>Table2[[#This Row],[Hits]]/Table2[[#This Row],[Points]]*100</f>
        <v>8</v>
      </c>
      <c r="K1346">
        <f>VLOOKUP(Table2[[#This Row],[Site]],'Site Info'!$A$1:$C$11,2, FALSE)</f>
        <v>17</v>
      </c>
      <c r="L1346">
        <f>VLOOKUP(Table2[[#This Row],[Site]],'Site Info'!$A$1:$C$11,3, FALSE)</f>
        <v>4</v>
      </c>
      <c r="M1346" t="str">
        <f>VLOOKUP(Table2[[#This Row],[Species]],'Species Table'!$A$1:$D$68,3, FALSE)</f>
        <v>Perennial</v>
      </c>
      <c r="O1346" s="15">
        <f>IF(SUMPRODUCT(($A$2:$A1346=A1346)*($B$2:$B1346=B1346)*($F$2:$F1346=F1346))&gt;1,0,1)</f>
        <v>0</v>
      </c>
      <c r="P1346" s="15">
        <f>IF(SUMPRODUCT(($A$2:$A1346=A1346)*($B$2:$B1346=B1346)*($D$2:$D1346=D1346))&gt;1,0,1)</f>
        <v>0</v>
      </c>
    </row>
    <row r="1347" spans="1:16" x14ac:dyDescent="0.35">
      <c r="A1347" t="s">
        <v>105</v>
      </c>
      <c r="B1347">
        <v>2016</v>
      </c>
      <c r="C1347" s="1" t="s">
        <v>51</v>
      </c>
      <c r="D1347">
        <v>3.2</v>
      </c>
      <c r="E1347">
        <f>INT(Table2[[#This Row],[Transect]])</f>
        <v>3</v>
      </c>
      <c r="F1347" s="1" t="s">
        <v>3</v>
      </c>
      <c r="G1347">
        <v>2</v>
      </c>
      <c r="H1347">
        <v>200</v>
      </c>
      <c r="I1347">
        <v>100</v>
      </c>
      <c r="J1347">
        <f>Table2[[#This Row],[Hits]]/Table2[[#This Row],[Points]]*100</f>
        <v>1</v>
      </c>
      <c r="K1347">
        <f>VLOOKUP(Table2[[#This Row],[Site]],'Site Info'!$A$1:$C$11,2, FALSE)</f>
        <v>17</v>
      </c>
      <c r="L1347">
        <f>VLOOKUP(Table2[[#This Row],[Site]],'Site Info'!$A$1:$C$11,3, FALSE)</f>
        <v>4</v>
      </c>
      <c r="M1347" t="str">
        <f>VLOOKUP(Table2[[#This Row],[Species]],'Species Table'!$A$1:$D$68,3, FALSE)</f>
        <v>Perennial</v>
      </c>
      <c r="O1347" s="15">
        <f>IF(SUMPRODUCT(($A$2:$A1347=A1347)*($B$2:$B1347=B1347)*($F$2:$F1347=F1347))&gt;1,0,1)</f>
        <v>0</v>
      </c>
      <c r="P1347" s="15">
        <f>IF(SUMPRODUCT(($A$2:$A1347=A1347)*($B$2:$B1347=B1347)*($D$2:$D1347=D1347))&gt;1,0,1)</f>
        <v>0</v>
      </c>
    </row>
    <row r="1348" spans="1:16" x14ac:dyDescent="0.35">
      <c r="A1348" t="s">
        <v>105</v>
      </c>
      <c r="B1348">
        <v>2016</v>
      </c>
      <c r="C1348" s="1" t="s">
        <v>51</v>
      </c>
      <c r="D1348">
        <v>3.2</v>
      </c>
      <c r="E1348">
        <f>INT(Table2[[#This Row],[Transect]])</f>
        <v>3</v>
      </c>
      <c r="F1348" s="1" t="s">
        <v>11</v>
      </c>
      <c r="G1348">
        <v>4</v>
      </c>
      <c r="H1348">
        <v>200</v>
      </c>
      <c r="I1348">
        <v>100</v>
      </c>
      <c r="J1348">
        <f>Table2[[#This Row],[Hits]]/Table2[[#This Row],[Points]]*100</f>
        <v>2</v>
      </c>
      <c r="K1348">
        <f>VLOOKUP(Table2[[#This Row],[Site]],'Site Info'!$A$1:$C$11,2, FALSE)</f>
        <v>17</v>
      </c>
      <c r="L1348">
        <f>VLOOKUP(Table2[[#This Row],[Site]],'Site Info'!$A$1:$C$11,3, FALSE)</f>
        <v>4</v>
      </c>
      <c r="M1348" t="str">
        <f>VLOOKUP(Table2[[#This Row],[Species]],'Species Table'!$A$1:$D$68,3, FALSE)</f>
        <v>Perennial</v>
      </c>
      <c r="O1348" s="15">
        <f>IF(SUMPRODUCT(($A$2:$A1348=A1348)*($B$2:$B1348=B1348)*($F$2:$F1348=F1348))&gt;1,0,1)</f>
        <v>0</v>
      </c>
      <c r="P1348" s="15">
        <f>IF(SUMPRODUCT(($A$2:$A1348=A1348)*($B$2:$B1348=B1348)*($D$2:$D1348=D1348))&gt;1,0,1)</f>
        <v>0</v>
      </c>
    </row>
    <row r="1349" spans="1:16" hidden="1" x14ac:dyDescent="0.35">
      <c r="A1349" t="s">
        <v>105</v>
      </c>
      <c r="B1349">
        <v>2016</v>
      </c>
      <c r="C1349" s="1" t="s">
        <v>51</v>
      </c>
      <c r="D1349">
        <v>3.2</v>
      </c>
      <c r="E1349">
        <f>INT(Table2[[#This Row],[Transect]])</f>
        <v>3</v>
      </c>
      <c r="F1349" s="1" t="s">
        <v>10</v>
      </c>
      <c r="G1349">
        <v>7</v>
      </c>
      <c r="H1349">
        <v>200</v>
      </c>
      <c r="I1349">
        <v>100</v>
      </c>
      <c r="J1349">
        <f>Table2[[#This Row],[Hits]]/Table2[[#This Row],[Points]]*100</f>
        <v>3.5000000000000004</v>
      </c>
      <c r="K1349">
        <f>VLOOKUP(Table2[[#This Row],[Site]],'Site Info'!$A$1:$C$11,2, FALSE)</f>
        <v>17</v>
      </c>
      <c r="L1349">
        <f>VLOOKUP(Table2[[#This Row],[Site]],'Site Info'!$A$1:$C$11,3, FALSE)</f>
        <v>4</v>
      </c>
      <c r="M1349" t="str">
        <f>VLOOKUP(Table2[[#This Row],[Species]],'Species Table'!$A$1:$D$68,3, FALSE)</f>
        <v>Annual</v>
      </c>
      <c r="O1349" s="15">
        <f>IF(SUMPRODUCT(($A$2:$A1349=A1349)*($B$2:$B1349=B1349)*($F$2:$F1349=F1349))&gt;1,0,1)</f>
        <v>0</v>
      </c>
      <c r="P1349" s="15">
        <f>IF(SUMPRODUCT(($A$2:$A1349=A1349)*($B$2:$B1349=B1349)*($D$2:$D1349=D1349))&gt;1,0,1)</f>
        <v>0</v>
      </c>
    </row>
    <row r="1350" spans="1:16" x14ac:dyDescent="0.35">
      <c r="A1350" t="s">
        <v>105</v>
      </c>
      <c r="B1350">
        <v>2016</v>
      </c>
      <c r="C1350" s="1" t="s">
        <v>52</v>
      </c>
      <c r="D1350">
        <v>3.3</v>
      </c>
      <c r="E1350">
        <f>INT(Table2[[#This Row],[Transect]])</f>
        <v>3</v>
      </c>
      <c r="F1350" s="1" t="s">
        <v>12</v>
      </c>
      <c r="G1350">
        <v>1</v>
      </c>
      <c r="H1350">
        <v>200</v>
      </c>
      <c r="I1350">
        <v>100</v>
      </c>
      <c r="J1350">
        <f>Table2[[#This Row],[Hits]]/Table2[[#This Row],[Points]]*100</f>
        <v>0.5</v>
      </c>
      <c r="K1350">
        <f>VLOOKUP(Table2[[#This Row],[Site]],'Site Info'!$A$1:$C$11,2, FALSE)</f>
        <v>17</v>
      </c>
      <c r="L1350">
        <f>VLOOKUP(Table2[[#This Row],[Site]],'Site Info'!$A$1:$C$11,3, FALSE)</f>
        <v>4</v>
      </c>
      <c r="M1350" t="str">
        <f>VLOOKUP(Table2[[#This Row],[Species]],'Species Table'!$A$1:$D$68,3, FALSE)</f>
        <v>Perennial</v>
      </c>
      <c r="O1350" s="15">
        <f>IF(SUMPRODUCT(($A$2:$A1350=A1350)*($B$2:$B1350=B1350)*($F$2:$F1350=F1350))&gt;1,0,1)</f>
        <v>0</v>
      </c>
      <c r="P1350" s="15">
        <f>IF(SUMPRODUCT(($A$2:$A1350=A1350)*($B$2:$B1350=B1350)*($D$2:$D1350=D1350))&gt;1,0,1)</f>
        <v>1</v>
      </c>
    </row>
    <row r="1351" spans="1:16" x14ac:dyDescent="0.35">
      <c r="A1351" t="s">
        <v>105</v>
      </c>
      <c r="B1351">
        <v>2016</v>
      </c>
      <c r="C1351" s="1" t="s">
        <v>52</v>
      </c>
      <c r="D1351">
        <v>3.3</v>
      </c>
      <c r="E1351">
        <f>INT(Table2[[#This Row],[Transect]])</f>
        <v>3</v>
      </c>
      <c r="F1351" s="1" t="s">
        <v>11</v>
      </c>
      <c r="G1351">
        <v>5</v>
      </c>
      <c r="H1351">
        <v>200</v>
      </c>
      <c r="I1351">
        <v>100</v>
      </c>
      <c r="J1351">
        <f>Table2[[#This Row],[Hits]]/Table2[[#This Row],[Points]]*100</f>
        <v>2.5</v>
      </c>
      <c r="K1351">
        <f>VLOOKUP(Table2[[#This Row],[Site]],'Site Info'!$A$1:$C$11,2, FALSE)</f>
        <v>17</v>
      </c>
      <c r="L1351">
        <f>VLOOKUP(Table2[[#This Row],[Site]],'Site Info'!$A$1:$C$11,3, FALSE)</f>
        <v>4</v>
      </c>
      <c r="M1351" t="str">
        <f>VLOOKUP(Table2[[#This Row],[Species]],'Species Table'!$A$1:$D$68,3, FALSE)</f>
        <v>Perennial</v>
      </c>
      <c r="O1351" s="15">
        <f>IF(SUMPRODUCT(($A$2:$A1351=A1351)*($B$2:$B1351=B1351)*($F$2:$F1351=F1351))&gt;1,0,1)</f>
        <v>0</v>
      </c>
      <c r="P1351" s="15">
        <f>IF(SUMPRODUCT(($A$2:$A1351=A1351)*($B$2:$B1351=B1351)*($D$2:$D1351=D1351))&gt;1,0,1)</f>
        <v>0</v>
      </c>
    </row>
    <row r="1352" spans="1:16" hidden="1" x14ac:dyDescent="0.35">
      <c r="A1352" t="s">
        <v>105</v>
      </c>
      <c r="B1352">
        <v>2016</v>
      </c>
      <c r="C1352" s="1" t="s">
        <v>52</v>
      </c>
      <c r="D1352">
        <v>3.3</v>
      </c>
      <c r="E1352">
        <f>INT(Table2[[#This Row],[Transect]])</f>
        <v>3</v>
      </c>
      <c r="F1352" s="1" t="s">
        <v>10</v>
      </c>
      <c r="G1352">
        <v>20</v>
      </c>
      <c r="H1352">
        <v>200</v>
      </c>
      <c r="I1352">
        <v>100</v>
      </c>
      <c r="J1352">
        <f>Table2[[#This Row],[Hits]]/Table2[[#This Row],[Points]]*100</f>
        <v>10</v>
      </c>
      <c r="K1352">
        <f>VLOOKUP(Table2[[#This Row],[Site]],'Site Info'!$A$1:$C$11,2, FALSE)</f>
        <v>17</v>
      </c>
      <c r="L1352">
        <f>VLOOKUP(Table2[[#This Row],[Site]],'Site Info'!$A$1:$C$11,3, FALSE)</f>
        <v>4</v>
      </c>
      <c r="M1352" t="str">
        <f>VLOOKUP(Table2[[#This Row],[Species]],'Species Table'!$A$1:$D$68,3, FALSE)</f>
        <v>Annual</v>
      </c>
      <c r="O1352" s="15">
        <f>IF(SUMPRODUCT(($A$2:$A1352=A1352)*($B$2:$B1352=B1352)*($F$2:$F1352=F1352))&gt;1,0,1)</f>
        <v>0</v>
      </c>
      <c r="P1352" s="15">
        <f>IF(SUMPRODUCT(($A$2:$A1352=A1352)*($B$2:$B1352=B1352)*($D$2:$D1352=D1352))&gt;1,0,1)</f>
        <v>0</v>
      </c>
    </row>
    <row r="1353" spans="1:16" x14ac:dyDescent="0.35">
      <c r="A1353" t="s">
        <v>105</v>
      </c>
      <c r="B1353">
        <v>2016</v>
      </c>
      <c r="C1353" s="1" t="s">
        <v>101</v>
      </c>
      <c r="D1353">
        <v>3.4</v>
      </c>
      <c r="E1353">
        <f>INT(Table2[[#This Row],[Transect]])</f>
        <v>3</v>
      </c>
      <c r="F1353" s="1" t="s">
        <v>11</v>
      </c>
      <c r="G1353">
        <v>10</v>
      </c>
      <c r="H1353">
        <v>200</v>
      </c>
      <c r="I1353">
        <v>100</v>
      </c>
      <c r="J1353">
        <f>Table2[[#This Row],[Hits]]/Table2[[#This Row],[Points]]*100</f>
        <v>5</v>
      </c>
      <c r="K1353">
        <f>VLOOKUP(Table2[[#This Row],[Site]],'Site Info'!$A$1:$C$11,2, FALSE)</f>
        <v>17</v>
      </c>
      <c r="L1353">
        <f>VLOOKUP(Table2[[#This Row],[Site]],'Site Info'!$A$1:$C$11,3, FALSE)</f>
        <v>4</v>
      </c>
      <c r="M1353" t="str">
        <f>VLOOKUP(Table2[[#This Row],[Species]],'Species Table'!$A$1:$D$68,3, FALSE)</f>
        <v>Perennial</v>
      </c>
      <c r="O1353" s="15">
        <f>IF(SUMPRODUCT(($A$2:$A1353=A1353)*($B$2:$B1353=B1353)*($F$2:$F1353=F1353))&gt;1,0,1)</f>
        <v>0</v>
      </c>
      <c r="P1353" s="15">
        <f>IF(SUMPRODUCT(($A$2:$A1353=A1353)*($B$2:$B1353=B1353)*($D$2:$D1353=D1353))&gt;1,0,1)</f>
        <v>1</v>
      </c>
    </row>
    <row r="1354" spans="1:16" x14ac:dyDescent="0.35">
      <c r="A1354" t="s">
        <v>105</v>
      </c>
      <c r="B1354">
        <v>2016</v>
      </c>
      <c r="C1354" s="1" t="s">
        <v>102</v>
      </c>
      <c r="D1354">
        <v>3.5</v>
      </c>
      <c r="E1354">
        <f>INT(Table2[[#This Row],[Transect]])</f>
        <v>3</v>
      </c>
      <c r="F1354" s="1" t="s">
        <v>11</v>
      </c>
      <c r="G1354">
        <v>4</v>
      </c>
      <c r="H1354">
        <v>200</v>
      </c>
      <c r="I1354">
        <v>100</v>
      </c>
      <c r="J1354">
        <f>Table2[[#This Row],[Hits]]/Table2[[#This Row],[Points]]*100</f>
        <v>2</v>
      </c>
      <c r="K1354">
        <f>VLOOKUP(Table2[[#This Row],[Site]],'Site Info'!$A$1:$C$11,2, FALSE)</f>
        <v>17</v>
      </c>
      <c r="L1354">
        <f>VLOOKUP(Table2[[#This Row],[Site]],'Site Info'!$A$1:$C$11,3, FALSE)</f>
        <v>4</v>
      </c>
      <c r="M1354" t="str">
        <f>VLOOKUP(Table2[[#This Row],[Species]],'Species Table'!$A$1:$D$68,3, FALSE)</f>
        <v>Perennial</v>
      </c>
      <c r="O1354" s="15">
        <f>IF(SUMPRODUCT(($A$2:$A1354=A1354)*($B$2:$B1354=B1354)*($F$2:$F1354=F1354))&gt;1,0,1)</f>
        <v>0</v>
      </c>
      <c r="P1354" s="15">
        <f>IF(SUMPRODUCT(($A$2:$A1354=A1354)*($B$2:$B1354=B1354)*($D$2:$D1354=D1354))&gt;1,0,1)</f>
        <v>1</v>
      </c>
    </row>
    <row r="1355" spans="1:16" hidden="1" x14ac:dyDescent="0.35">
      <c r="A1355" t="s">
        <v>105</v>
      </c>
      <c r="B1355">
        <v>2016</v>
      </c>
      <c r="C1355" s="1" t="s">
        <v>102</v>
      </c>
      <c r="D1355">
        <v>3.5</v>
      </c>
      <c r="E1355">
        <f>INT(Table2[[#This Row],[Transect]])</f>
        <v>3</v>
      </c>
      <c r="F1355" s="1" t="s">
        <v>10</v>
      </c>
      <c r="G1355">
        <v>2</v>
      </c>
      <c r="H1355">
        <v>200</v>
      </c>
      <c r="I1355">
        <v>100</v>
      </c>
      <c r="J1355">
        <f>Table2[[#This Row],[Hits]]/Table2[[#This Row],[Points]]*100</f>
        <v>1</v>
      </c>
      <c r="K1355">
        <f>VLOOKUP(Table2[[#This Row],[Site]],'Site Info'!$A$1:$C$11,2, FALSE)</f>
        <v>17</v>
      </c>
      <c r="L1355">
        <f>VLOOKUP(Table2[[#This Row],[Site]],'Site Info'!$A$1:$C$11,3, FALSE)</f>
        <v>4</v>
      </c>
      <c r="M1355" t="str">
        <f>VLOOKUP(Table2[[#This Row],[Species]],'Species Table'!$A$1:$D$68,3, FALSE)</f>
        <v>Annual</v>
      </c>
      <c r="O1355" s="15">
        <f>IF(SUMPRODUCT(($A$2:$A1355=A1355)*($B$2:$B1355=B1355)*($F$2:$F1355=F1355))&gt;1,0,1)</f>
        <v>0</v>
      </c>
      <c r="P1355" s="15">
        <f>IF(SUMPRODUCT(($A$2:$A1355=A1355)*($B$2:$B1355=B1355)*($D$2:$D1355=D1355))&gt;1,0,1)</f>
        <v>0</v>
      </c>
    </row>
    <row r="1356" spans="1:16" x14ac:dyDescent="0.35">
      <c r="A1356" t="s">
        <v>105</v>
      </c>
      <c r="B1356">
        <v>2016</v>
      </c>
      <c r="C1356" s="1" t="s">
        <v>53</v>
      </c>
      <c r="D1356">
        <v>3.6</v>
      </c>
      <c r="E1356">
        <f>INT(Table2[[#This Row],[Transect]])</f>
        <v>3</v>
      </c>
      <c r="F1356" s="1" t="s">
        <v>3</v>
      </c>
      <c r="G1356">
        <v>7</v>
      </c>
      <c r="H1356">
        <v>200</v>
      </c>
      <c r="I1356">
        <v>100</v>
      </c>
      <c r="J1356">
        <f>Table2[[#This Row],[Hits]]/Table2[[#This Row],[Points]]*100</f>
        <v>3.5000000000000004</v>
      </c>
      <c r="K1356">
        <f>VLOOKUP(Table2[[#This Row],[Site]],'Site Info'!$A$1:$C$11,2, FALSE)</f>
        <v>17</v>
      </c>
      <c r="L1356">
        <f>VLOOKUP(Table2[[#This Row],[Site]],'Site Info'!$A$1:$C$11,3, FALSE)</f>
        <v>4</v>
      </c>
      <c r="M1356" t="str">
        <f>VLOOKUP(Table2[[#This Row],[Species]],'Species Table'!$A$1:$D$68,3, FALSE)</f>
        <v>Perennial</v>
      </c>
      <c r="O1356" s="15">
        <f>IF(SUMPRODUCT(($A$2:$A1356=A1356)*($B$2:$B1356=B1356)*($F$2:$F1356=F1356))&gt;1,0,1)</f>
        <v>0</v>
      </c>
      <c r="P1356" s="15">
        <f>IF(SUMPRODUCT(($A$2:$A1356=A1356)*($B$2:$B1356=B1356)*($D$2:$D1356=D1356))&gt;1,0,1)</f>
        <v>1</v>
      </c>
    </row>
    <row r="1357" spans="1:16" hidden="1" x14ac:dyDescent="0.35">
      <c r="A1357" t="s">
        <v>105</v>
      </c>
      <c r="B1357">
        <v>2016</v>
      </c>
      <c r="C1357" s="1" t="s">
        <v>53</v>
      </c>
      <c r="D1357">
        <v>3.6</v>
      </c>
      <c r="E1357">
        <f>INT(Table2[[#This Row],[Transect]])</f>
        <v>3</v>
      </c>
      <c r="F1357" s="1" t="s">
        <v>10</v>
      </c>
      <c r="G1357">
        <v>5</v>
      </c>
      <c r="H1357">
        <v>200</v>
      </c>
      <c r="I1357">
        <v>100</v>
      </c>
      <c r="J1357">
        <f>Table2[[#This Row],[Hits]]/Table2[[#This Row],[Points]]*100</f>
        <v>2.5</v>
      </c>
      <c r="K1357">
        <f>VLOOKUP(Table2[[#This Row],[Site]],'Site Info'!$A$1:$C$11,2, FALSE)</f>
        <v>17</v>
      </c>
      <c r="L1357">
        <f>VLOOKUP(Table2[[#This Row],[Site]],'Site Info'!$A$1:$C$11,3, FALSE)</f>
        <v>4</v>
      </c>
      <c r="M1357" t="str">
        <f>VLOOKUP(Table2[[#This Row],[Species]],'Species Table'!$A$1:$D$68,3, FALSE)</f>
        <v>Annual</v>
      </c>
      <c r="O1357" s="15">
        <f>IF(SUMPRODUCT(($A$2:$A1357=A1357)*($B$2:$B1357=B1357)*($F$2:$F1357=F1357))&gt;1,0,1)</f>
        <v>0</v>
      </c>
      <c r="P1357" s="15">
        <f>IF(SUMPRODUCT(($A$2:$A1357=A1357)*($B$2:$B1357=B1357)*($D$2:$D1357=D1357))&gt;1,0,1)</f>
        <v>0</v>
      </c>
    </row>
    <row r="1358" spans="1:16" x14ac:dyDescent="0.35">
      <c r="A1358" t="s">
        <v>105</v>
      </c>
      <c r="B1358">
        <v>2016</v>
      </c>
      <c r="C1358" s="1" t="s">
        <v>54</v>
      </c>
      <c r="D1358">
        <v>3.7</v>
      </c>
      <c r="E1358">
        <f>INT(Table2[[#This Row],[Transect]])</f>
        <v>3</v>
      </c>
      <c r="F1358" s="1" t="s">
        <v>3</v>
      </c>
      <c r="G1358">
        <v>4</v>
      </c>
      <c r="H1358">
        <v>47</v>
      </c>
      <c r="I1358">
        <v>23.5</v>
      </c>
      <c r="J1358">
        <f>Table2[[#This Row],[Hits]]/Table2[[#This Row],[Points]]*100</f>
        <v>8.5106382978723403</v>
      </c>
      <c r="K1358">
        <f>VLOOKUP(Table2[[#This Row],[Site]],'Site Info'!$A$1:$C$11,2, FALSE)</f>
        <v>17</v>
      </c>
      <c r="L1358">
        <f>VLOOKUP(Table2[[#This Row],[Site]],'Site Info'!$A$1:$C$11,3, FALSE)</f>
        <v>4</v>
      </c>
      <c r="M1358" t="str">
        <f>VLOOKUP(Table2[[#This Row],[Species]],'Species Table'!$A$1:$D$68,3, FALSE)</f>
        <v>Perennial</v>
      </c>
      <c r="O1358" s="15">
        <f>IF(SUMPRODUCT(($A$2:$A1358=A1358)*($B$2:$B1358=B1358)*($F$2:$F1358=F1358))&gt;1,0,1)</f>
        <v>0</v>
      </c>
      <c r="P1358" s="15">
        <f>IF(SUMPRODUCT(($A$2:$A1358=A1358)*($B$2:$B1358=B1358)*($D$2:$D1358=D1358))&gt;1,0,1)</f>
        <v>1</v>
      </c>
    </row>
    <row r="1359" spans="1:16" x14ac:dyDescent="0.35">
      <c r="A1359" t="s">
        <v>105</v>
      </c>
      <c r="B1359">
        <v>2016</v>
      </c>
      <c r="C1359" s="1" t="s">
        <v>55</v>
      </c>
      <c r="D1359">
        <v>4.0999999999999996</v>
      </c>
      <c r="E1359">
        <f>INT(Table2[[#This Row],[Transect]])</f>
        <v>4</v>
      </c>
      <c r="F1359" s="1" t="s">
        <v>12</v>
      </c>
      <c r="G1359">
        <v>5</v>
      </c>
      <c r="H1359">
        <v>200</v>
      </c>
      <c r="I1359">
        <v>100</v>
      </c>
      <c r="J1359">
        <f>Table2[[#This Row],[Hits]]/Table2[[#This Row],[Points]]*100</f>
        <v>2.5</v>
      </c>
      <c r="K1359">
        <f>VLOOKUP(Table2[[#This Row],[Site]],'Site Info'!$A$1:$C$11,2, FALSE)</f>
        <v>17</v>
      </c>
      <c r="L1359">
        <f>VLOOKUP(Table2[[#This Row],[Site]],'Site Info'!$A$1:$C$11,3, FALSE)</f>
        <v>4</v>
      </c>
      <c r="M1359" t="str">
        <f>VLOOKUP(Table2[[#This Row],[Species]],'Species Table'!$A$1:$D$68,3, FALSE)</f>
        <v>Perennial</v>
      </c>
      <c r="O1359" s="15">
        <f>IF(SUMPRODUCT(($A$2:$A1359=A1359)*($B$2:$B1359=B1359)*($F$2:$F1359=F1359))&gt;1,0,1)</f>
        <v>0</v>
      </c>
      <c r="P1359" s="15">
        <f>IF(SUMPRODUCT(($A$2:$A1359=A1359)*($B$2:$B1359=B1359)*($D$2:$D1359=D1359))&gt;1,0,1)</f>
        <v>1</v>
      </c>
    </row>
    <row r="1360" spans="1:16" x14ac:dyDescent="0.35">
      <c r="A1360" t="s">
        <v>105</v>
      </c>
      <c r="B1360">
        <v>2016</v>
      </c>
      <c r="C1360" s="1" t="s">
        <v>55</v>
      </c>
      <c r="D1360">
        <v>4.0999999999999996</v>
      </c>
      <c r="E1360">
        <f>INT(Table2[[#This Row],[Transect]])</f>
        <v>4</v>
      </c>
      <c r="F1360" s="1" t="s">
        <v>11</v>
      </c>
      <c r="G1360">
        <v>6</v>
      </c>
      <c r="H1360">
        <v>200</v>
      </c>
      <c r="I1360">
        <v>100</v>
      </c>
      <c r="J1360">
        <f>Table2[[#This Row],[Hits]]/Table2[[#This Row],[Points]]*100</f>
        <v>3</v>
      </c>
      <c r="K1360">
        <f>VLOOKUP(Table2[[#This Row],[Site]],'Site Info'!$A$1:$C$11,2, FALSE)</f>
        <v>17</v>
      </c>
      <c r="L1360">
        <f>VLOOKUP(Table2[[#This Row],[Site]],'Site Info'!$A$1:$C$11,3, FALSE)</f>
        <v>4</v>
      </c>
      <c r="M1360" t="str">
        <f>VLOOKUP(Table2[[#This Row],[Species]],'Species Table'!$A$1:$D$68,3, FALSE)</f>
        <v>Perennial</v>
      </c>
      <c r="O1360" s="15">
        <f>IF(SUMPRODUCT(($A$2:$A1360=A1360)*($B$2:$B1360=B1360)*($F$2:$F1360=F1360))&gt;1,0,1)</f>
        <v>0</v>
      </c>
      <c r="P1360" s="15">
        <f>IF(SUMPRODUCT(($A$2:$A1360=A1360)*($B$2:$B1360=B1360)*($D$2:$D1360=D1360))&gt;1,0,1)</f>
        <v>0</v>
      </c>
    </row>
    <row r="1361" spans="1:16" x14ac:dyDescent="0.35">
      <c r="A1361" t="s">
        <v>105</v>
      </c>
      <c r="B1361">
        <v>2016</v>
      </c>
      <c r="C1361" s="1" t="s">
        <v>103</v>
      </c>
      <c r="D1361">
        <v>4.2</v>
      </c>
      <c r="E1361">
        <f>INT(Table2[[#This Row],[Transect]])</f>
        <v>4</v>
      </c>
      <c r="F1361" s="1" t="s">
        <v>3</v>
      </c>
      <c r="G1361">
        <v>22</v>
      </c>
      <c r="H1361">
        <v>200</v>
      </c>
      <c r="I1361">
        <v>100</v>
      </c>
      <c r="J1361">
        <f>Table2[[#This Row],[Hits]]/Table2[[#This Row],[Points]]*100</f>
        <v>11</v>
      </c>
      <c r="K1361">
        <f>VLOOKUP(Table2[[#This Row],[Site]],'Site Info'!$A$1:$C$11,2, FALSE)</f>
        <v>17</v>
      </c>
      <c r="L1361">
        <f>VLOOKUP(Table2[[#This Row],[Site]],'Site Info'!$A$1:$C$11,3, FALSE)</f>
        <v>4</v>
      </c>
      <c r="M1361" t="str">
        <f>VLOOKUP(Table2[[#This Row],[Species]],'Species Table'!$A$1:$D$68,3, FALSE)</f>
        <v>Perennial</v>
      </c>
      <c r="O1361" s="15">
        <f>IF(SUMPRODUCT(($A$2:$A1361=A1361)*($B$2:$B1361=B1361)*($F$2:$F1361=F1361))&gt;1,0,1)</f>
        <v>0</v>
      </c>
      <c r="P1361" s="15">
        <f>IF(SUMPRODUCT(($A$2:$A1361=A1361)*($B$2:$B1361=B1361)*($D$2:$D1361=D1361))&gt;1,0,1)</f>
        <v>1</v>
      </c>
    </row>
    <row r="1362" spans="1:16" x14ac:dyDescent="0.35">
      <c r="A1362" t="s">
        <v>105</v>
      </c>
      <c r="B1362">
        <v>2016</v>
      </c>
      <c r="C1362" s="1" t="s">
        <v>104</v>
      </c>
      <c r="D1362">
        <v>5.0999999999999996</v>
      </c>
      <c r="E1362">
        <f>INT(Table2[[#This Row],[Transect]])</f>
        <v>5</v>
      </c>
      <c r="F1362" s="1" t="s">
        <v>3</v>
      </c>
      <c r="G1362">
        <v>38</v>
      </c>
      <c r="H1362">
        <v>164</v>
      </c>
      <c r="I1362">
        <v>82</v>
      </c>
      <c r="J1362">
        <f>Table2[[#This Row],[Hits]]/Table2[[#This Row],[Points]]*100</f>
        <v>23.170731707317074</v>
      </c>
      <c r="K1362">
        <f>VLOOKUP(Table2[[#This Row],[Site]],'Site Info'!$A$1:$C$11,2, FALSE)</f>
        <v>17</v>
      </c>
      <c r="L1362">
        <f>VLOOKUP(Table2[[#This Row],[Site]],'Site Info'!$A$1:$C$11,3, FALSE)</f>
        <v>4</v>
      </c>
      <c r="M1362" t="str">
        <f>VLOOKUP(Table2[[#This Row],[Species]],'Species Table'!$A$1:$D$68,3, FALSE)</f>
        <v>Perennial</v>
      </c>
      <c r="O1362" s="15">
        <f>IF(SUMPRODUCT(($A$2:$A1362=A1362)*($B$2:$B1362=B1362)*($F$2:$F1362=F1362))&gt;1,0,1)</f>
        <v>0</v>
      </c>
      <c r="P1362" s="15">
        <f>IF(SUMPRODUCT(($A$2:$A1362=A1362)*($B$2:$B1362=B1362)*($D$2:$D1362=D1362))&gt;1,0,1)</f>
        <v>1</v>
      </c>
    </row>
    <row r="1363" spans="1:16" x14ac:dyDescent="0.35">
      <c r="A1363" t="s">
        <v>105</v>
      </c>
      <c r="B1363">
        <v>2016</v>
      </c>
      <c r="C1363" s="1" t="s">
        <v>104</v>
      </c>
      <c r="D1363">
        <v>5.0999999999999996</v>
      </c>
      <c r="E1363">
        <f>INT(Table2[[#This Row],[Transect]])</f>
        <v>5</v>
      </c>
      <c r="F1363" s="1" t="s">
        <v>11</v>
      </c>
      <c r="G1363">
        <v>5</v>
      </c>
      <c r="H1363">
        <v>164</v>
      </c>
      <c r="I1363">
        <v>82</v>
      </c>
      <c r="J1363">
        <f>Table2[[#This Row],[Hits]]/Table2[[#This Row],[Points]]*100</f>
        <v>3.0487804878048781</v>
      </c>
      <c r="K1363">
        <f>VLOOKUP(Table2[[#This Row],[Site]],'Site Info'!$A$1:$C$11,2, FALSE)</f>
        <v>17</v>
      </c>
      <c r="L1363">
        <f>VLOOKUP(Table2[[#This Row],[Site]],'Site Info'!$A$1:$C$11,3, FALSE)</f>
        <v>4</v>
      </c>
      <c r="M1363" t="str">
        <f>VLOOKUP(Table2[[#This Row],[Species]],'Species Table'!$A$1:$D$68,3, FALSE)</f>
        <v>Perennial</v>
      </c>
      <c r="O1363" s="15">
        <f>IF(SUMPRODUCT(($A$2:$A1363=A1363)*($B$2:$B1363=B1363)*($F$2:$F1363=F1363))&gt;1,0,1)</f>
        <v>0</v>
      </c>
      <c r="P1363" s="15">
        <f>IF(SUMPRODUCT(($A$2:$A1363=A1363)*($B$2:$B1363=B1363)*($D$2:$D1363=D1363))&gt;1,0,1)</f>
        <v>0</v>
      </c>
    </row>
    <row r="1364" spans="1:16" x14ac:dyDescent="0.35">
      <c r="A1364" t="s">
        <v>105</v>
      </c>
      <c r="B1364">
        <v>2016</v>
      </c>
      <c r="C1364" s="1" t="s">
        <v>104</v>
      </c>
      <c r="D1364">
        <v>5.0999999999999996</v>
      </c>
      <c r="E1364">
        <f>INT(Table2[[#This Row],[Transect]])</f>
        <v>5</v>
      </c>
      <c r="F1364" s="1" t="s">
        <v>97</v>
      </c>
      <c r="G1364">
        <v>1</v>
      </c>
      <c r="H1364">
        <v>164</v>
      </c>
      <c r="I1364">
        <v>82</v>
      </c>
      <c r="J1364">
        <f>Table2[[#This Row],[Hits]]/Table2[[#This Row],[Points]]*100</f>
        <v>0.6097560975609756</v>
      </c>
      <c r="K1364">
        <f>VLOOKUP(Table2[[#This Row],[Site]],'Site Info'!$A$1:$C$11,2, FALSE)</f>
        <v>17</v>
      </c>
      <c r="L1364">
        <f>VLOOKUP(Table2[[#This Row],[Site]],'Site Info'!$A$1:$C$11,3, FALSE)</f>
        <v>4</v>
      </c>
      <c r="M1364" t="str">
        <f>VLOOKUP(Table2[[#This Row],[Species]],'Species Table'!$A$1:$D$68,3, FALSE)</f>
        <v>Perennial</v>
      </c>
      <c r="O1364" s="15">
        <f>IF(SUMPRODUCT(($A$2:$A1364=A1364)*($B$2:$B1364=B1364)*($F$2:$F1364=F1364))&gt;1,0,1)</f>
        <v>1</v>
      </c>
      <c r="P1364" s="15">
        <f>IF(SUMPRODUCT(($A$2:$A1364=A1364)*($B$2:$B1364=B1364)*($D$2:$D1364=D1364))&gt;1,0,1)</f>
        <v>0</v>
      </c>
    </row>
    <row r="1365" spans="1:16" x14ac:dyDescent="0.35">
      <c r="A1365" t="s">
        <v>105</v>
      </c>
      <c r="B1365">
        <v>2016</v>
      </c>
      <c r="C1365" s="1" t="s">
        <v>104</v>
      </c>
      <c r="D1365">
        <v>5.0999999999999996</v>
      </c>
      <c r="E1365">
        <f>INT(Table2[[#This Row],[Transect]])</f>
        <v>5</v>
      </c>
      <c r="F1365" s="1" t="s">
        <v>2</v>
      </c>
      <c r="G1365">
        <v>1</v>
      </c>
      <c r="H1365">
        <v>164</v>
      </c>
      <c r="I1365">
        <v>82</v>
      </c>
      <c r="J1365">
        <f>Table2[[#This Row],[Hits]]/Table2[[#This Row],[Points]]*100</f>
        <v>0.6097560975609756</v>
      </c>
      <c r="K1365">
        <f>VLOOKUP(Table2[[#This Row],[Site]],'Site Info'!$A$1:$C$11,2, FALSE)</f>
        <v>17</v>
      </c>
      <c r="L1365">
        <f>VLOOKUP(Table2[[#This Row],[Site]],'Site Info'!$A$1:$C$11,3, FALSE)</f>
        <v>4</v>
      </c>
      <c r="M1365" t="str">
        <f>VLOOKUP(Table2[[#This Row],[Species]],'Species Table'!$A$1:$D$68,3, FALSE)</f>
        <v>Perennial</v>
      </c>
      <c r="O1365" s="15">
        <f>IF(SUMPRODUCT(($A$2:$A1365=A1365)*($B$2:$B1365=B1365)*($F$2:$F1365=F1365))&gt;1,0,1)</f>
        <v>1</v>
      </c>
      <c r="P1365" s="15">
        <f>IF(SUMPRODUCT(($A$2:$A1365=A1365)*($B$2:$B1365=B1365)*($D$2:$D1365=D1365))&gt;1,0,1)</f>
        <v>0</v>
      </c>
    </row>
    <row r="1366" spans="1:16" x14ac:dyDescent="0.35">
      <c r="A1366" t="s">
        <v>138</v>
      </c>
      <c r="B1366">
        <v>2016</v>
      </c>
      <c r="C1366" s="1" t="s">
        <v>82</v>
      </c>
      <c r="D1366">
        <v>1.1000000000000001</v>
      </c>
      <c r="E1366">
        <f>INT(Table2[[#This Row],[Transect]])</f>
        <v>1</v>
      </c>
      <c r="F1366" s="1" t="s">
        <v>29</v>
      </c>
      <c r="G1366">
        <v>1</v>
      </c>
      <c r="H1366">
        <f t="shared" ref="H1366:H1404" si="6">I1366*2</f>
        <v>118</v>
      </c>
      <c r="I1366">
        <v>59</v>
      </c>
      <c r="J1366">
        <f>Table2[[#This Row],[Hits]]/Table2[[#This Row],[Points]]*100</f>
        <v>0.84745762711864403</v>
      </c>
      <c r="K1366">
        <f>VLOOKUP(Table2[[#This Row],[Site]],'Site Info'!$A$1:$C$11,2, FALSE)</f>
        <v>11.5</v>
      </c>
      <c r="L1366">
        <f>VLOOKUP(Table2[[#This Row],[Site]],'Site Info'!$A$1:$C$11,3, FALSE)</f>
        <v>11</v>
      </c>
      <c r="M1366" t="str">
        <f>VLOOKUP(Table2[[#This Row],[Species]],'Species Table'!$A$1:$D$68,3, FALSE)</f>
        <v>Perennial</v>
      </c>
      <c r="O1366" s="15">
        <f>IF(SUMPRODUCT(($A$2:$A1366=A1366)*($B$2:$B1366=B1366)*($F$2:$F1366=F1366))&gt;1,0,1)</f>
        <v>1</v>
      </c>
      <c r="P1366" s="15">
        <f>IF(SUMPRODUCT(($A$2:$A1366=A1366)*($B$2:$B1366=B1366)*($D$2:$D1366=D1366))&gt;1,0,1)</f>
        <v>1</v>
      </c>
    </row>
    <row r="1367" spans="1:16" hidden="1" x14ac:dyDescent="0.35">
      <c r="A1367" t="s">
        <v>138</v>
      </c>
      <c r="B1367">
        <v>2016</v>
      </c>
      <c r="C1367" s="1" t="s">
        <v>82</v>
      </c>
      <c r="D1367">
        <v>1.1000000000000001</v>
      </c>
      <c r="E1367">
        <f>INT(Table2[[#This Row],[Transect]])</f>
        <v>1</v>
      </c>
      <c r="F1367" s="1" t="s">
        <v>10</v>
      </c>
      <c r="G1367">
        <v>1</v>
      </c>
      <c r="H1367">
        <f t="shared" si="6"/>
        <v>118</v>
      </c>
      <c r="I1367">
        <v>59</v>
      </c>
      <c r="J1367">
        <f>Table2[[#This Row],[Hits]]/Table2[[#This Row],[Points]]*100</f>
        <v>0.84745762711864403</v>
      </c>
      <c r="K1367">
        <f>VLOOKUP(Table2[[#This Row],[Site]],'Site Info'!$A$1:$C$11,2, FALSE)</f>
        <v>11.5</v>
      </c>
      <c r="L1367">
        <f>VLOOKUP(Table2[[#This Row],[Site]],'Site Info'!$A$1:$C$11,3, FALSE)</f>
        <v>11</v>
      </c>
      <c r="M1367" t="str">
        <f>VLOOKUP(Table2[[#This Row],[Species]],'Species Table'!$A$1:$D$68,3, FALSE)</f>
        <v>Annual</v>
      </c>
      <c r="O1367" s="15">
        <f>IF(SUMPRODUCT(($A$2:$A1367=A1367)*($B$2:$B1367=B1367)*($F$2:$F1367=F1367))&gt;1,0,1)</f>
        <v>1</v>
      </c>
      <c r="P1367" s="15">
        <f>IF(SUMPRODUCT(($A$2:$A1367=A1367)*($B$2:$B1367=B1367)*($D$2:$D1367=D1367))&gt;1,0,1)</f>
        <v>0</v>
      </c>
    </row>
    <row r="1368" spans="1:16" x14ac:dyDescent="0.35">
      <c r="A1368" t="s">
        <v>138</v>
      </c>
      <c r="B1368">
        <v>2016</v>
      </c>
      <c r="C1368" s="1" t="s">
        <v>108</v>
      </c>
      <c r="D1368">
        <v>1.2</v>
      </c>
      <c r="E1368">
        <f>INT(Table2[[#This Row],[Transect]])</f>
        <v>1</v>
      </c>
      <c r="F1368" s="1" t="s">
        <v>3</v>
      </c>
      <c r="G1368">
        <v>2</v>
      </c>
      <c r="H1368">
        <f t="shared" si="6"/>
        <v>200</v>
      </c>
      <c r="I1368">
        <v>100</v>
      </c>
      <c r="J1368">
        <f>Table2[[#This Row],[Hits]]/Table2[[#This Row],[Points]]*100</f>
        <v>1</v>
      </c>
      <c r="K1368">
        <f>VLOOKUP(Table2[[#This Row],[Site]],'Site Info'!$A$1:$C$11,2, FALSE)</f>
        <v>11.5</v>
      </c>
      <c r="L1368">
        <f>VLOOKUP(Table2[[#This Row],[Site]],'Site Info'!$A$1:$C$11,3, FALSE)</f>
        <v>11</v>
      </c>
      <c r="M1368" t="str">
        <f>VLOOKUP(Table2[[#This Row],[Species]],'Species Table'!$A$1:$D$68,3, FALSE)</f>
        <v>Perennial</v>
      </c>
      <c r="O1368" s="15">
        <f>IF(SUMPRODUCT(($A$2:$A1368=A1368)*($B$2:$B1368=B1368)*($F$2:$F1368=F1368))&gt;1,0,1)</f>
        <v>1</v>
      </c>
      <c r="P1368" s="15">
        <f>IF(SUMPRODUCT(($A$2:$A1368=A1368)*($B$2:$B1368=B1368)*($D$2:$D1368=D1368))&gt;1,0,1)</f>
        <v>1</v>
      </c>
    </row>
    <row r="1369" spans="1:16" x14ac:dyDescent="0.35">
      <c r="A1369" t="s">
        <v>138</v>
      </c>
      <c r="B1369">
        <v>2016</v>
      </c>
      <c r="C1369" s="1" t="s">
        <v>108</v>
      </c>
      <c r="D1369">
        <v>1.2</v>
      </c>
      <c r="E1369">
        <f>INT(Table2[[#This Row],[Transect]])</f>
        <v>1</v>
      </c>
      <c r="F1369" s="1" t="s">
        <v>11</v>
      </c>
      <c r="G1369">
        <v>15</v>
      </c>
      <c r="H1369">
        <f t="shared" si="6"/>
        <v>200</v>
      </c>
      <c r="I1369">
        <v>100</v>
      </c>
      <c r="J1369">
        <f>Table2[[#This Row],[Hits]]/Table2[[#This Row],[Points]]*100</f>
        <v>7.5</v>
      </c>
      <c r="K1369">
        <f>VLOOKUP(Table2[[#This Row],[Site]],'Site Info'!$A$1:$C$11,2, FALSE)</f>
        <v>11.5</v>
      </c>
      <c r="L1369">
        <f>VLOOKUP(Table2[[#This Row],[Site]],'Site Info'!$A$1:$C$11,3, FALSE)</f>
        <v>11</v>
      </c>
      <c r="M1369" t="str">
        <f>VLOOKUP(Table2[[#This Row],[Species]],'Species Table'!$A$1:$D$68,3, FALSE)</f>
        <v>Perennial</v>
      </c>
      <c r="O1369" s="15">
        <f>IF(SUMPRODUCT(($A$2:$A1369=A1369)*($B$2:$B1369=B1369)*($F$2:$F1369=F1369))&gt;1,0,1)</f>
        <v>1</v>
      </c>
      <c r="P1369" s="15">
        <f>IF(SUMPRODUCT(($A$2:$A1369=A1369)*($B$2:$B1369=B1369)*($D$2:$D1369=D1369))&gt;1,0,1)</f>
        <v>0</v>
      </c>
    </row>
    <row r="1370" spans="1:16" hidden="1" x14ac:dyDescent="0.35">
      <c r="A1370" t="s">
        <v>138</v>
      </c>
      <c r="B1370">
        <v>2016</v>
      </c>
      <c r="C1370" s="1" t="s">
        <v>108</v>
      </c>
      <c r="D1370">
        <v>1.2</v>
      </c>
      <c r="E1370">
        <f>INT(Table2[[#This Row],[Transect]])</f>
        <v>1</v>
      </c>
      <c r="F1370" s="1" t="s">
        <v>10</v>
      </c>
      <c r="G1370">
        <v>30</v>
      </c>
      <c r="H1370">
        <f t="shared" si="6"/>
        <v>200</v>
      </c>
      <c r="I1370">
        <v>100</v>
      </c>
      <c r="J1370">
        <f>Table2[[#This Row],[Hits]]/Table2[[#This Row],[Points]]*100</f>
        <v>15</v>
      </c>
      <c r="K1370">
        <f>VLOOKUP(Table2[[#This Row],[Site]],'Site Info'!$A$1:$C$11,2, FALSE)</f>
        <v>11.5</v>
      </c>
      <c r="L1370">
        <f>VLOOKUP(Table2[[#This Row],[Site]],'Site Info'!$A$1:$C$11,3, FALSE)</f>
        <v>11</v>
      </c>
      <c r="M1370" t="str">
        <f>VLOOKUP(Table2[[#This Row],[Species]],'Species Table'!$A$1:$D$68,3, FALSE)</f>
        <v>Annual</v>
      </c>
      <c r="O1370" s="15">
        <f>IF(SUMPRODUCT(($A$2:$A1370=A1370)*($B$2:$B1370=B1370)*($F$2:$F1370=F1370))&gt;1,0,1)</f>
        <v>0</v>
      </c>
      <c r="P1370" s="15">
        <f>IF(SUMPRODUCT(($A$2:$A1370=A1370)*($B$2:$B1370=B1370)*($D$2:$D1370=D1370))&gt;1,0,1)</f>
        <v>0</v>
      </c>
    </row>
    <row r="1371" spans="1:16" x14ac:dyDescent="0.35">
      <c r="A1371" t="s">
        <v>138</v>
      </c>
      <c r="B1371">
        <v>2016</v>
      </c>
      <c r="C1371" s="1" t="s">
        <v>109</v>
      </c>
      <c r="D1371">
        <v>2.1</v>
      </c>
      <c r="E1371">
        <f>INT(Table2[[#This Row],[Transect]])</f>
        <v>2</v>
      </c>
      <c r="F1371" s="1" t="s">
        <v>11</v>
      </c>
      <c r="G1371">
        <v>4</v>
      </c>
      <c r="H1371">
        <f t="shared" si="6"/>
        <v>150</v>
      </c>
      <c r="I1371">
        <v>75</v>
      </c>
      <c r="J1371">
        <f>Table2[[#This Row],[Hits]]/Table2[[#This Row],[Points]]*100</f>
        <v>2.666666666666667</v>
      </c>
      <c r="K1371">
        <f>VLOOKUP(Table2[[#This Row],[Site]],'Site Info'!$A$1:$C$11,2, FALSE)</f>
        <v>11.5</v>
      </c>
      <c r="L1371">
        <f>VLOOKUP(Table2[[#This Row],[Site]],'Site Info'!$A$1:$C$11,3, FALSE)</f>
        <v>11</v>
      </c>
      <c r="M1371" t="str">
        <f>VLOOKUP(Table2[[#This Row],[Species]],'Species Table'!$A$1:$D$68,3, FALSE)</f>
        <v>Perennial</v>
      </c>
      <c r="O1371" s="15">
        <f>IF(SUMPRODUCT(($A$2:$A1371=A1371)*($B$2:$B1371=B1371)*($F$2:$F1371=F1371))&gt;1,0,1)</f>
        <v>0</v>
      </c>
      <c r="P1371" s="15">
        <f>IF(SUMPRODUCT(($A$2:$A1371=A1371)*($B$2:$B1371=B1371)*($D$2:$D1371=D1371))&gt;1,0,1)</f>
        <v>1</v>
      </c>
    </row>
    <row r="1372" spans="1:16" x14ac:dyDescent="0.35">
      <c r="A1372" t="s">
        <v>138</v>
      </c>
      <c r="B1372">
        <v>2016</v>
      </c>
      <c r="C1372" s="1" t="s">
        <v>109</v>
      </c>
      <c r="D1372">
        <v>2.1</v>
      </c>
      <c r="E1372">
        <f>INT(Table2[[#This Row],[Transect]])</f>
        <v>2</v>
      </c>
      <c r="F1372" s="1" t="s">
        <v>29</v>
      </c>
      <c r="G1372">
        <v>1</v>
      </c>
      <c r="H1372">
        <f t="shared" si="6"/>
        <v>150</v>
      </c>
      <c r="I1372">
        <v>75</v>
      </c>
      <c r="J1372">
        <f>Table2[[#This Row],[Hits]]/Table2[[#This Row],[Points]]*100</f>
        <v>0.66666666666666674</v>
      </c>
      <c r="K1372">
        <f>VLOOKUP(Table2[[#This Row],[Site]],'Site Info'!$A$1:$C$11,2, FALSE)</f>
        <v>11.5</v>
      </c>
      <c r="L1372">
        <f>VLOOKUP(Table2[[#This Row],[Site]],'Site Info'!$A$1:$C$11,3, FALSE)</f>
        <v>11</v>
      </c>
      <c r="M1372" t="str">
        <f>VLOOKUP(Table2[[#This Row],[Species]],'Species Table'!$A$1:$D$68,3, FALSE)</f>
        <v>Perennial</v>
      </c>
      <c r="O1372" s="15">
        <f>IF(SUMPRODUCT(($A$2:$A1372=A1372)*($B$2:$B1372=B1372)*($F$2:$F1372=F1372))&gt;1,0,1)</f>
        <v>0</v>
      </c>
      <c r="P1372" s="15">
        <f>IF(SUMPRODUCT(($A$2:$A1372=A1372)*($B$2:$B1372=B1372)*($D$2:$D1372=D1372))&gt;1,0,1)</f>
        <v>0</v>
      </c>
    </row>
    <row r="1373" spans="1:16" hidden="1" x14ac:dyDescent="0.35">
      <c r="A1373" t="s">
        <v>138</v>
      </c>
      <c r="B1373">
        <v>2016</v>
      </c>
      <c r="C1373" s="1" t="s">
        <v>109</v>
      </c>
      <c r="D1373">
        <v>2.1</v>
      </c>
      <c r="E1373">
        <f>INT(Table2[[#This Row],[Transect]])</f>
        <v>2</v>
      </c>
      <c r="F1373" s="1" t="s">
        <v>10</v>
      </c>
      <c r="G1373">
        <v>8</v>
      </c>
      <c r="H1373">
        <f t="shared" si="6"/>
        <v>150</v>
      </c>
      <c r="I1373">
        <v>75</v>
      </c>
      <c r="J1373">
        <f>Table2[[#This Row],[Hits]]/Table2[[#This Row],[Points]]*100</f>
        <v>5.3333333333333339</v>
      </c>
      <c r="K1373">
        <f>VLOOKUP(Table2[[#This Row],[Site]],'Site Info'!$A$1:$C$11,2, FALSE)</f>
        <v>11.5</v>
      </c>
      <c r="L1373">
        <f>VLOOKUP(Table2[[#This Row],[Site]],'Site Info'!$A$1:$C$11,3, FALSE)</f>
        <v>11</v>
      </c>
      <c r="M1373" t="str">
        <f>VLOOKUP(Table2[[#This Row],[Species]],'Species Table'!$A$1:$D$68,3, FALSE)</f>
        <v>Annual</v>
      </c>
      <c r="O1373" s="15">
        <f>IF(SUMPRODUCT(($A$2:$A1373=A1373)*($B$2:$B1373=B1373)*($F$2:$F1373=F1373))&gt;1,0,1)</f>
        <v>0</v>
      </c>
      <c r="P1373" s="15">
        <f>IF(SUMPRODUCT(($A$2:$A1373=A1373)*($B$2:$B1373=B1373)*($D$2:$D1373=D1373))&gt;1,0,1)</f>
        <v>0</v>
      </c>
    </row>
    <row r="1374" spans="1:16" hidden="1" x14ac:dyDescent="0.35">
      <c r="A1374" t="s">
        <v>138</v>
      </c>
      <c r="B1374">
        <v>2016</v>
      </c>
      <c r="C1374" s="1" t="s">
        <v>110</v>
      </c>
      <c r="D1374">
        <v>2.2000000000000002</v>
      </c>
      <c r="E1374">
        <f>INT(Table2[[#This Row],[Transect]])</f>
        <v>2</v>
      </c>
      <c r="F1374" s="1" t="s">
        <v>10</v>
      </c>
      <c r="G1374">
        <v>9</v>
      </c>
      <c r="H1374">
        <f t="shared" si="6"/>
        <v>200</v>
      </c>
      <c r="I1374">
        <v>100</v>
      </c>
      <c r="J1374">
        <f>Table2[[#This Row],[Hits]]/Table2[[#This Row],[Points]]*100</f>
        <v>4.5</v>
      </c>
      <c r="K1374">
        <f>VLOOKUP(Table2[[#This Row],[Site]],'Site Info'!$A$1:$C$11,2, FALSE)</f>
        <v>11.5</v>
      </c>
      <c r="L1374">
        <f>VLOOKUP(Table2[[#This Row],[Site]],'Site Info'!$A$1:$C$11,3, FALSE)</f>
        <v>11</v>
      </c>
      <c r="M1374" t="str">
        <f>VLOOKUP(Table2[[#This Row],[Species]],'Species Table'!$A$1:$D$68,3, FALSE)</f>
        <v>Annual</v>
      </c>
      <c r="O1374" s="15">
        <f>IF(SUMPRODUCT(($A$2:$A1374=A1374)*($B$2:$B1374=B1374)*($F$2:$F1374=F1374))&gt;1,0,1)</f>
        <v>0</v>
      </c>
      <c r="P1374" s="15">
        <f>IF(SUMPRODUCT(($A$2:$A1374=A1374)*($B$2:$B1374=B1374)*($D$2:$D1374=D1374))&gt;1,0,1)</f>
        <v>1</v>
      </c>
    </row>
    <row r="1375" spans="1:16" x14ac:dyDescent="0.35">
      <c r="A1375" t="s">
        <v>138</v>
      </c>
      <c r="B1375">
        <v>2016</v>
      </c>
      <c r="C1375" s="1" t="s">
        <v>111</v>
      </c>
      <c r="D1375">
        <v>3.1</v>
      </c>
      <c r="E1375">
        <f>INT(Table2[[#This Row],[Transect]])</f>
        <v>3</v>
      </c>
      <c r="F1375" s="1" t="s">
        <v>11</v>
      </c>
      <c r="G1375">
        <v>2</v>
      </c>
      <c r="H1375">
        <f t="shared" si="6"/>
        <v>200</v>
      </c>
      <c r="I1375">
        <v>100</v>
      </c>
      <c r="J1375">
        <f>Table2[[#This Row],[Hits]]/Table2[[#This Row],[Points]]*100</f>
        <v>1</v>
      </c>
      <c r="K1375">
        <f>VLOOKUP(Table2[[#This Row],[Site]],'Site Info'!$A$1:$C$11,2, FALSE)</f>
        <v>11.5</v>
      </c>
      <c r="L1375">
        <f>VLOOKUP(Table2[[#This Row],[Site]],'Site Info'!$A$1:$C$11,3, FALSE)</f>
        <v>11</v>
      </c>
      <c r="M1375" t="str">
        <f>VLOOKUP(Table2[[#This Row],[Species]],'Species Table'!$A$1:$D$68,3, FALSE)</f>
        <v>Perennial</v>
      </c>
      <c r="O1375" s="15">
        <f>IF(SUMPRODUCT(($A$2:$A1375=A1375)*($B$2:$B1375=B1375)*($F$2:$F1375=F1375))&gt;1,0,1)</f>
        <v>0</v>
      </c>
      <c r="P1375" s="15">
        <f>IF(SUMPRODUCT(($A$2:$A1375=A1375)*($B$2:$B1375=B1375)*($D$2:$D1375=D1375))&gt;1,0,1)</f>
        <v>1</v>
      </c>
    </row>
    <row r="1376" spans="1:16" hidden="1" x14ac:dyDescent="0.35">
      <c r="A1376" t="s">
        <v>138</v>
      </c>
      <c r="B1376">
        <v>2016</v>
      </c>
      <c r="C1376" s="1" t="s">
        <v>111</v>
      </c>
      <c r="D1376">
        <v>3.1</v>
      </c>
      <c r="E1376">
        <f>INT(Table2[[#This Row],[Transect]])</f>
        <v>3</v>
      </c>
      <c r="F1376" s="1" t="s">
        <v>10</v>
      </c>
      <c r="G1376">
        <v>11</v>
      </c>
      <c r="H1376">
        <f t="shared" si="6"/>
        <v>200</v>
      </c>
      <c r="I1376">
        <v>100</v>
      </c>
      <c r="J1376">
        <f>Table2[[#This Row],[Hits]]/Table2[[#This Row],[Points]]*100</f>
        <v>5.5</v>
      </c>
      <c r="K1376">
        <f>VLOOKUP(Table2[[#This Row],[Site]],'Site Info'!$A$1:$C$11,2, FALSE)</f>
        <v>11.5</v>
      </c>
      <c r="L1376">
        <f>VLOOKUP(Table2[[#This Row],[Site]],'Site Info'!$A$1:$C$11,3, FALSE)</f>
        <v>11</v>
      </c>
      <c r="M1376" t="str">
        <f>VLOOKUP(Table2[[#This Row],[Species]],'Species Table'!$A$1:$D$68,3, FALSE)</f>
        <v>Annual</v>
      </c>
      <c r="O1376" s="15">
        <f>IF(SUMPRODUCT(($A$2:$A1376=A1376)*($B$2:$B1376=B1376)*($F$2:$F1376=F1376))&gt;1,0,1)</f>
        <v>0</v>
      </c>
      <c r="P1376" s="15">
        <f>IF(SUMPRODUCT(($A$2:$A1376=A1376)*($B$2:$B1376=B1376)*($D$2:$D1376=D1376))&gt;1,0,1)</f>
        <v>0</v>
      </c>
    </row>
    <row r="1377" spans="1:16" hidden="1" x14ac:dyDescent="0.35">
      <c r="A1377" t="s">
        <v>138</v>
      </c>
      <c r="B1377">
        <v>2016</v>
      </c>
      <c r="C1377" s="1" t="s">
        <v>112</v>
      </c>
      <c r="D1377">
        <v>3.2</v>
      </c>
      <c r="E1377">
        <f>INT(Table2[[#This Row],[Transect]])</f>
        <v>3</v>
      </c>
      <c r="F1377" s="1" t="s">
        <v>127</v>
      </c>
      <c r="G1377">
        <v>0</v>
      </c>
      <c r="H1377">
        <f t="shared" si="6"/>
        <v>200</v>
      </c>
      <c r="I1377">
        <v>100</v>
      </c>
      <c r="J1377">
        <f>Table2[[#This Row],[Hits]]/Table2[[#This Row],[Points]]*100</f>
        <v>0</v>
      </c>
      <c r="K1377">
        <f>VLOOKUP(Table2[[#This Row],[Site]],'Site Info'!$A$1:$C$11,2, FALSE)</f>
        <v>11.5</v>
      </c>
      <c r="L1377">
        <f>VLOOKUP(Table2[[#This Row],[Site]],'Site Info'!$A$1:$C$11,3, FALSE)</f>
        <v>11</v>
      </c>
      <c r="M1377" t="str">
        <f>VLOOKUP(Table2[[#This Row],[Species]],'Species Table'!$A$1:$D$68,3, FALSE)</f>
        <v>NA</v>
      </c>
      <c r="O1377" s="15">
        <f>IF(SUMPRODUCT(($A$2:$A1377=A1377)*($B$2:$B1377=B1377)*($F$2:$F1377=F1377))&gt;1,0,1)</f>
        <v>1</v>
      </c>
      <c r="P1377" s="15">
        <f>IF(SUMPRODUCT(($A$2:$A1377=A1377)*($B$2:$B1377=B1377)*($D$2:$D1377=D1377))&gt;1,0,1)</f>
        <v>1</v>
      </c>
    </row>
    <row r="1378" spans="1:16" x14ac:dyDescent="0.35">
      <c r="A1378" t="s">
        <v>138</v>
      </c>
      <c r="B1378">
        <v>2016</v>
      </c>
      <c r="C1378" s="1" t="s">
        <v>113</v>
      </c>
      <c r="D1378">
        <v>4.0999999999999996</v>
      </c>
      <c r="E1378">
        <f>INT(Table2[[#This Row],[Transect]])</f>
        <v>4</v>
      </c>
      <c r="F1378" s="1" t="s">
        <v>11</v>
      </c>
      <c r="G1378">
        <v>2</v>
      </c>
      <c r="H1378">
        <f t="shared" si="6"/>
        <v>200</v>
      </c>
      <c r="I1378">
        <v>100</v>
      </c>
      <c r="J1378">
        <f>Table2[[#This Row],[Hits]]/Table2[[#This Row],[Points]]*100</f>
        <v>1</v>
      </c>
      <c r="K1378">
        <f>VLOOKUP(Table2[[#This Row],[Site]],'Site Info'!$A$1:$C$11,2, FALSE)</f>
        <v>11.5</v>
      </c>
      <c r="L1378">
        <f>VLOOKUP(Table2[[#This Row],[Site]],'Site Info'!$A$1:$C$11,3, FALSE)</f>
        <v>11</v>
      </c>
      <c r="M1378" t="str">
        <f>VLOOKUP(Table2[[#This Row],[Species]],'Species Table'!$A$1:$D$68,3, FALSE)</f>
        <v>Perennial</v>
      </c>
      <c r="O1378" s="15">
        <f>IF(SUMPRODUCT(($A$2:$A1378=A1378)*($B$2:$B1378=B1378)*($F$2:$F1378=F1378))&gt;1,0,1)</f>
        <v>0</v>
      </c>
      <c r="P1378" s="15">
        <f>IF(SUMPRODUCT(($A$2:$A1378=A1378)*($B$2:$B1378=B1378)*($D$2:$D1378=D1378))&gt;1,0,1)</f>
        <v>1</v>
      </c>
    </row>
    <row r="1379" spans="1:16" x14ac:dyDescent="0.35">
      <c r="A1379" t="s">
        <v>138</v>
      </c>
      <c r="B1379">
        <v>2016</v>
      </c>
      <c r="C1379" s="1" t="s">
        <v>113</v>
      </c>
      <c r="D1379">
        <v>4.0999999999999996</v>
      </c>
      <c r="E1379">
        <f>INT(Table2[[#This Row],[Transect]])</f>
        <v>4</v>
      </c>
      <c r="F1379" s="1" t="s">
        <v>29</v>
      </c>
      <c r="G1379">
        <v>2</v>
      </c>
      <c r="H1379">
        <f t="shared" si="6"/>
        <v>200</v>
      </c>
      <c r="I1379">
        <v>100</v>
      </c>
      <c r="J1379">
        <f>Table2[[#This Row],[Hits]]/Table2[[#This Row],[Points]]*100</f>
        <v>1</v>
      </c>
      <c r="K1379">
        <f>VLOOKUP(Table2[[#This Row],[Site]],'Site Info'!$A$1:$C$11,2, FALSE)</f>
        <v>11.5</v>
      </c>
      <c r="L1379">
        <f>VLOOKUP(Table2[[#This Row],[Site]],'Site Info'!$A$1:$C$11,3, FALSE)</f>
        <v>11</v>
      </c>
      <c r="M1379" t="str">
        <f>VLOOKUP(Table2[[#This Row],[Species]],'Species Table'!$A$1:$D$68,3, FALSE)</f>
        <v>Perennial</v>
      </c>
      <c r="O1379" s="15">
        <f>IF(SUMPRODUCT(($A$2:$A1379=A1379)*($B$2:$B1379=B1379)*($F$2:$F1379=F1379))&gt;1,0,1)</f>
        <v>0</v>
      </c>
      <c r="P1379" s="15">
        <f>IF(SUMPRODUCT(($A$2:$A1379=A1379)*($B$2:$B1379=B1379)*($D$2:$D1379=D1379))&gt;1,0,1)</f>
        <v>0</v>
      </c>
    </row>
    <row r="1380" spans="1:16" hidden="1" x14ac:dyDescent="0.35">
      <c r="A1380" t="s">
        <v>138</v>
      </c>
      <c r="B1380">
        <v>2016</v>
      </c>
      <c r="C1380" s="1" t="s">
        <v>113</v>
      </c>
      <c r="D1380">
        <v>4.0999999999999996</v>
      </c>
      <c r="E1380">
        <f>INT(Table2[[#This Row],[Transect]])</f>
        <v>4</v>
      </c>
      <c r="F1380" s="1" t="s">
        <v>10</v>
      </c>
      <c r="G1380">
        <v>10</v>
      </c>
      <c r="H1380">
        <f t="shared" si="6"/>
        <v>200</v>
      </c>
      <c r="I1380">
        <v>100</v>
      </c>
      <c r="J1380">
        <f>Table2[[#This Row],[Hits]]/Table2[[#This Row],[Points]]*100</f>
        <v>5</v>
      </c>
      <c r="K1380">
        <f>VLOOKUP(Table2[[#This Row],[Site]],'Site Info'!$A$1:$C$11,2, FALSE)</f>
        <v>11.5</v>
      </c>
      <c r="L1380">
        <f>VLOOKUP(Table2[[#This Row],[Site]],'Site Info'!$A$1:$C$11,3, FALSE)</f>
        <v>11</v>
      </c>
      <c r="M1380" t="str">
        <f>VLOOKUP(Table2[[#This Row],[Species]],'Species Table'!$A$1:$D$68,3, FALSE)</f>
        <v>Annual</v>
      </c>
      <c r="O1380" s="15">
        <f>IF(SUMPRODUCT(($A$2:$A1380=A1380)*($B$2:$B1380=B1380)*($F$2:$F1380=F1380))&gt;1,0,1)</f>
        <v>0</v>
      </c>
      <c r="P1380" s="15">
        <f>IF(SUMPRODUCT(($A$2:$A1380=A1380)*($B$2:$B1380=B1380)*($D$2:$D1380=D1380))&gt;1,0,1)</f>
        <v>0</v>
      </c>
    </row>
    <row r="1381" spans="1:16" x14ac:dyDescent="0.35">
      <c r="A1381" t="s">
        <v>138</v>
      </c>
      <c r="B1381">
        <v>2016</v>
      </c>
      <c r="C1381" s="1" t="s">
        <v>62</v>
      </c>
      <c r="D1381">
        <v>5.0999999999999996</v>
      </c>
      <c r="E1381">
        <f>INT(Table2[[#This Row],[Transect]])</f>
        <v>5</v>
      </c>
      <c r="F1381" s="1" t="s">
        <v>6</v>
      </c>
      <c r="G1381">
        <v>1</v>
      </c>
      <c r="H1381">
        <f t="shared" si="6"/>
        <v>200</v>
      </c>
      <c r="I1381">
        <v>100</v>
      </c>
      <c r="J1381">
        <f>Table2[[#This Row],[Hits]]/Table2[[#This Row],[Points]]*100</f>
        <v>0.5</v>
      </c>
      <c r="K1381">
        <f>VLOOKUP(Table2[[#This Row],[Site]],'Site Info'!$A$1:$C$11,2, FALSE)</f>
        <v>11.5</v>
      </c>
      <c r="L1381">
        <f>VLOOKUP(Table2[[#This Row],[Site]],'Site Info'!$A$1:$C$11,3, FALSE)</f>
        <v>11</v>
      </c>
      <c r="M1381" t="str">
        <f>VLOOKUP(Table2[[#This Row],[Species]],'Species Table'!$A$1:$D$68,3, FALSE)</f>
        <v>Perennial</v>
      </c>
      <c r="O1381" s="15">
        <f>IF(SUMPRODUCT(($A$2:$A1381=A1381)*($B$2:$B1381=B1381)*($F$2:$F1381=F1381))&gt;1,0,1)</f>
        <v>1</v>
      </c>
      <c r="P1381" s="15">
        <f>IF(SUMPRODUCT(($A$2:$A1381=A1381)*($B$2:$B1381=B1381)*($D$2:$D1381=D1381))&gt;1,0,1)</f>
        <v>1</v>
      </c>
    </row>
    <row r="1382" spans="1:16" x14ac:dyDescent="0.35">
      <c r="A1382" t="s">
        <v>138</v>
      </c>
      <c r="B1382">
        <v>2016</v>
      </c>
      <c r="C1382" s="1" t="s">
        <v>62</v>
      </c>
      <c r="D1382">
        <v>5.0999999999999996</v>
      </c>
      <c r="E1382">
        <f>INT(Table2[[#This Row],[Transect]])</f>
        <v>5</v>
      </c>
      <c r="F1382" s="1" t="s">
        <v>172</v>
      </c>
      <c r="G1382">
        <v>1</v>
      </c>
      <c r="H1382">
        <f t="shared" si="6"/>
        <v>200</v>
      </c>
      <c r="I1382">
        <v>100</v>
      </c>
      <c r="J1382">
        <f>Table2[[#This Row],[Hits]]/Table2[[#This Row],[Points]]*100</f>
        <v>0.5</v>
      </c>
      <c r="K1382">
        <f>VLOOKUP(Table2[[#This Row],[Site]],'Site Info'!$A$1:$C$11,2, FALSE)</f>
        <v>11.5</v>
      </c>
      <c r="L1382">
        <f>VLOOKUP(Table2[[#This Row],[Site]],'Site Info'!$A$1:$C$11,3, FALSE)</f>
        <v>11</v>
      </c>
      <c r="M1382" t="str">
        <f>VLOOKUP(Table2[[#This Row],[Species]],'Species Table'!$A$1:$D$68,3, FALSE)</f>
        <v>Perennial</v>
      </c>
      <c r="O1382" s="15">
        <f>IF(SUMPRODUCT(($A$2:$A1382=A1382)*($B$2:$B1382=B1382)*($F$2:$F1382=F1382))&gt;1,0,1)</f>
        <v>1</v>
      </c>
      <c r="P1382" s="15">
        <f>IF(SUMPRODUCT(($A$2:$A1382=A1382)*($B$2:$B1382=B1382)*($D$2:$D1382=D1382))&gt;1,0,1)</f>
        <v>0</v>
      </c>
    </row>
    <row r="1383" spans="1:16" hidden="1" x14ac:dyDescent="0.35">
      <c r="A1383" t="s">
        <v>138</v>
      </c>
      <c r="B1383">
        <v>2016</v>
      </c>
      <c r="C1383" s="1" t="s">
        <v>62</v>
      </c>
      <c r="D1383">
        <v>5.0999999999999996</v>
      </c>
      <c r="E1383">
        <f>INT(Table2[[#This Row],[Transect]])</f>
        <v>5</v>
      </c>
      <c r="F1383" s="1" t="s">
        <v>10</v>
      </c>
      <c r="G1383">
        <v>4</v>
      </c>
      <c r="H1383">
        <f t="shared" si="6"/>
        <v>200</v>
      </c>
      <c r="I1383">
        <v>100</v>
      </c>
      <c r="J1383">
        <f>Table2[[#This Row],[Hits]]/Table2[[#This Row],[Points]]*100</f>
        <v>2</v>
      </c>
      <c r="K1383">
        <f>VLOOKUP(Table2[[#This Row],[Site]],'Site Info'!$A$1:$C$11,2, FALSE)</f>
        <v>11.5</v>
      </c>
      <c r="L1383">
        <f>VLOOKUP(Table2[[#This Row],[Site]],'Site Info'!$A$1:$C$11,3, FALSE)</f>
        <v>11</v>
      </c>
      <c r="M1383" t="str">
        <f>VLOOKUP(Table2[[#This Row],[Species]],'Species Table'!$A$1:$D$68,3, FALSE)</f>
        <v>Annual</v>
      </c>
      <c r="O1383" s="15">
        <f>IF(SUMPRODUCT(($A$2:$A1383=A1383)*($B$2:$B1383=B1383)*($F$2:$F1383=F1383))&gt;1,0,1)</f>
        <v>0</v>
      </c>
      <c r="P1383" s="15">
        <f>IF(SUMPRODUCT(($A$2:$A1383=A1383)*($B$2:$B1383=B1383)*($D$2:$D1383=D1383))&gt;1,0,1)</f>
        <v>0</v>
      </c>
    </row>
    <row r="1384" spans="1:16" x14ac:dyDescent="0.35">
      <c r="A1384" t="s">
        <v>138</v>
      </c>
      <c r="B1384">
        <v>2016</v>
      </c>
      <c r="C1384" s="1" t="s">
        <v>114</v>
      </c>
      <c r="D1384">
        <v>5.2</v>
      </c>
      <c r="E1384">
        <f>INT(Table2[[#This Row],[Transect]])</f>
        <v>5</v>
      </c>
      <c r="F1384" s="1" t="s">
        <v>12</v>
      </c>
      <c r="G1384">
        <v>13</v>
      </c>
      <c r="H1384">
        <f t="shared" si="6"/>
        <v>200</v>
      </c>
      <c r="I1384">
        <v>100</v>
      </c>
      <c r="J1384">
        <f>Table2[[#This Row],[Hits]]/Table2[[#This Row],[Points]]*100</f>
        <v>6.5</v>
      </c>
      <c r="K1384">
        <f>VLOOKUP(Table2[[#This Row],[Site]],'Site Info'!$A$1:$C$11,2, FALSE)</f>
        <v>11.5</v>
      </c>
      <c r="L1384">
        <f>VLOOKUP(Table2[[#This Row],[Site]],'Site Info'!$A$1:$C$11,3, FALSE)</f>
        <v>11</v>
      </c>
      <c r="M1384" t="str">
        <f>VLOOKUP(Table2[[#This Row],[Species]],'Species Table'!$A$1:$D$68,3, FALSE)</f>
        <v>Perennial</v>
      </c>
      <c r="O1384" s="15">
        <f>IF(SUMPRODUCT(($A$2:$A1384=A1384)*($B$2:$B1384=B1384)*($F$2:$F1384=F1384))&gt;1,0,1)</f>
        <v>1</v>
      </c>
      <c r="P1384" s="15">
        <f>IF(SUMPRODUCT(($A$2:$A1384=A1384)*($B$2:$B1384=B1384)*($D$2:$D1384=D1384))&gt;1,0,1)</f>
        <v>1</v>
      </c>
    </row>
    <row r="1385" spans="1:16" x14ac:dyDescent="0.35">
      <c r="A1385" t="s">
        <v>138</v>
      </c>
      <c r="B1385">
        <v>2016</v>
      </c>
      <c r="C1385" s="1" t="s">
        <v>114</v>
      </c>
      <c r="D1385">
        <v>5.2</v>
      </c>
      <c r="E1385">
        <f>INT(Table2[[#This Row],[Transect]])</f>
        <v>5</v>
      </c>
      <c r="F1385" s="1" t="s">
        <v>6</v>
      </c>
      <c r="G1385">
        <v>4</v>
      </c>
      <c r="H1385">
        <f t="shared" si="6"/>
        <v>200</v>
      </c>
      <c r="I1385">
        <v>100</v>
      </c>
      <c r="J1385">
        <f>Table2[[#This Row],[Hits]]/Table2[[#This Row],[Points]]*100</f>
        <v>2</v>
      </c>
      <c r="K1385">
        <f>VLOOKUP(Table2[[#This Row],[Site]],'Site Info'!$A$1:$C$11,2, FALSE)</f>
        <v>11.5</v>
      </c>
      <c r="L1385">
        <f>VLOOKUP(Table2[[#This Row],[Site]],'Site Info'!$A$1:$C$11,3, FALSE)</f>
        <v>11</v>
      </c>
      <c r="M1385" t="str">
        <f>VLOOKUP(Table2[[#This Row],[Species]],'Species Table'!$A$1:$D$68,3, FALSE)</f>
        <v>Perennial</v>
      </c>
      <c r="O1385" s="15">
        <f>IF(SUMPRODUCT(($A$2:$A1385=A1385)*($B$2:$B1385=B1385)*($F$2:$F1385=F1385))&gt;1,0,1)</f>
        <v>0</v>
      </c>
      <c r="P1385" s="15">
        <f>IF(SUMPRODUCT(($A$2:$A1385=A1385)*($B$2:$B1385=B1385)*($D$2:$D1385=D1385))&gt;1,0,1)</f>
        <v>0</v>
      </c>
    </row>
    <row r="1386" spans="1:16" hidden="1" x14ac:dyDescent="0.35">
      <c r="A1386" t="s">
        <v>138</v>
      </c>
      <c r="B1386">
        <v>2016</v>
      </c>
      <c r="C1386" s="1" t="s">
        <v>114</v>
      </c>
      <c r="D1386">
        <v>5.2</v>
      </c>
      <c r="E1386">
        <f>INT(Table2[[#This Row],[Transect]])</f>
        <v>5</v>
      </c>
      <c r="F1386" s="1" t="s">
        <v>10</v>
      </c>
      <c r="G1386">
        <v>6</v>
      </c>
      <c r="H1386">
        <f t="shared" si="6"/>
        <v>200</v>
      </c>
      <c r="I1386">
        <v>100</v>
      </c>
      <c r="J1386">
        <f>Table2[[#This Row],[Hits]]/Table2[[#This Row],[Points]]*100</f>
        <v>3</v>
      </c>
      <c r="K1386">
        <f>VLOOKUP(Table2[[#This Row],[Site]],'Site Info'!$A$1:$C$11,2, FALSE)</f>
        <v>11.5</v>
      </c>
      <c r="L1386">
        <f>VLOOKUP(Table2[[#This Row],[Site]],'Site Info'!$A$1:$C$11,3, FALSE)</f>
        <v>11</v>
      </c>
      <c r="M1386" t="str">
        <f>VLOOKUP(Table2[[#This Row],[Species]],'Species Table'!$A$1:$D$68,3, FALSE)</f>
        <v>Annual</v>
      </c>
      <c r="O1386" s="15">
        <f>IF(SUMPRODUCT(($A$2:$A1386=A1386)*($B$2:$B1386=B1386)*($F$2:$F1386=F1386))&gt;1,0,1)</f>
        <v>0</v>
      </c>
      <c r="P1386" s="15">
        <f>IF(SUMPRODUCT(($A$2:$A1386=A1386)*($B$2:$B1386=B1386)*($D$2:$D1386=D1386))&gt;1,0,1)</f>
        <v>0</v>
      </c>
    </row>
    <row r="1387" spans="1:16" hidden="1" x14ac:dyDescent="0.35">
      <c r="A1387" t="s">
        <v>138</v>
      </c>
      <c r="B1387">
        <v>2016</v>
      </c>
      <c r="C1387" s="1" t="s">
        <v>67</v>
      </c>
      <c r="D1387">
        <v>6.1</v>
      </c>
      <c r="E1387">
        <f>INT(Table2[[#This Row],[Transect]])</f>
        <v>6</v>
      </c>
      <c r="F1387" s="1" t="s">
        <v>10</v>
      </c>
      <c r="G1387">
        <v>4</v>
      </c>
      <c r="H1387">
        <f t="shared" si="6"/>
        <v>200</v>
      </c>
      <c r="I1387">
        <v>100</v>
      </c>
      <c r="J1387">
        <f>Table2[[#This Row],[Hits]]/Table2[[#This Row],[Points]]*100</f>
        <v>2</v>
      </c>
      <c r="K1387">
        <f>VLOOKUP(Table2[[#This Row],[Site]],'Site Info'!$A$1:$C$11,2, FALSE)</f>
        <v>11.5</v>
      </c>
      <c r="L1387">
        <f>VLOOKUP(Table2[[#This Row],[Site]],'Site Info'!$A$1:$C$11,3, FALSE)</f>
        <v>11</v>
      </c>
      <c r="M1387" t="str">
        <f>VLOOKUP(Table2[[#This Row],[Species]],'Species Table'!$A$1:$D$68,3, FALSE)</f>
        <v>Annual</v>
      </c>
      <c r="O1387" s="15">
        <f>IF(SUMPRODUCT(($A$2:$A1387=A1387)*($B$2:$B1387=B1387)*($F$2:$F1387=F1387))&gt;1,0,1)</f>
        <v>0</v>
      </c>
      <c r="P1387" s="15">
        <f>IF(SUMPRODUCT(($A$2:$A1387=A1387)*($B$2:$B1387=B1387)*($D$2:$D1387=D1387))&gt;1,0,1)</f>
        <v>1</v>
      </c>
    </row>
    <row r="1388" spans="1:16" hidden="1" x14ac:dyDescent="0.35">
      <c r="A1388" t="s">
        <v>138</v>
      </c>
      <c r="B1388">
        <v>2016</v>
      </c>
      <c r="C1388" s="1" t="s">
        <v>115</v>
      </c>
      <c r="D1388">
        <v>6.2</v>
      </c>
      <c r="E1388">
        <f>INT(Table2[[#This Row],[Transect]])</f>
        <v>6</v>
      </c>
      <c r="F1388" s="1" t="s">
        <v>10</v>
      </c>
      <c r="G1388">
        <v>5</v>
      </c>
      <c r="H1388">
        <f t="shared" si="6"/>
        <v>200</v>
      </c>
      <c r="I1388">
        <v>100</v>
      </c>
      <c r="J1388">
        <f>Table2[[#This Row],[Hits]]/Table2[[#This Row],[Points]]*100</f>
        <v>2.5</v>
      </c>
      <c r="K1388">
        <f>VLOOKUP(Table2[[#This Row],[Site]],'Site Info'!$A$1:$C$11,2, FALSE)</f>
        <v>11.5</v>
      </c>
      <c r="L1388">
        <f>VLOOKUP(Table2[[#This Row],[Site]],'Site Info'!$A$1:$C$11,3, FALSE)</f>
        <v>11</v>
      </c>
      <c r="M1388" t="str">
        <f>VLOOKUP(Table2[[#This Row],[Species]],'Species Table'!$A$1:$D$68,3, FALSE)</f>
        <v>Annual</v>
      </c>
      <c r="O1388" s="15">
        <f>IF(SUMPRODUCT(($A$2:$A1388=A1388)*($B$2:$B1388=B1388)*($F$2:$F1388=F1388))&gt;1,0,1)</f>
        <v>0</v>
      </c>
      <c r="P1388" s="15">
        <f>IF(SUMPRODUCT(($A$2:$A1388=A1388)*($B$2:$B1388=B1388)*($D$2:$D1388=D1388))&gt;1,0,1)</f>
        <v>1</v>
      </c>
    </row>
    <row r="1389" spans="1:16" hidden="1" x14ac:dyDescent="0.35">
      <c r="A1389" t="s">
        <v>138</v>
      </c>
      <c r="B1389">
        <v>2016</v>
      </c>
      <c r="C1389" s="1" t="s">
        <v>71</v>
      </c>
      <c r="D1389">
        <v>7.1</v>
      </c>
      <c r="E1389">
        <f>INT(Table2[[#This Row],[Transect]])</f>
        <v>7</v>
      </c>
      <c r="F1389" s="1" t="s">
        <v>10</v>
      </c>
      <c r="G1389">
        <v>3</v>
      </c>
      <c r="H1389">
        <f t="shared" si="6"/>
        <v>200</v>
      </c>
      <c r="I1389">
        <v>100</v>
      </c>
      <c r="J1389">
        <f>Table2[[#This Row],[Hits]]/Table2[[#This Row],[Points]]*100</f>
        <v>1.5</v>
      </c>
      <c r="K1389">
        <f>VLOOKUP(Table2[[#This Row],[Site]],'Site Info'!$A$1:$C$11,2, FALSE)</f>
        <v>11.5</v>
      </c>
      <c r="L1389">
        <f>VLOOKUP(Table2[[#This Row],[Site]],'Site Info'!$A$1:$C$11,3, FALSE)</f>
        <v>11</v>
      </c>
      <c r="M1389" t="str">
        <f>VLOOKUP(Table2[[#This Row],[Species]],'Species Table'!$A$1:$D$68,3, FALSE)</f>
        <v>Annual</v>
      </c>
      <c r="O1389" s="15">
        <f>IF(SUMPRODUCT(($A$2:$A1389=A1389)*($B$2:$B1389=B1389)*($F$2:$F1389=F1389))&gt;1,0,1)</f>
        <v>0</v>
      </c>
      <c r="P1389" s="15">
        <f>IF(SUMPRODUCT(($A$2:$A1389=A1389)*($B$2:$B1389=B1389)*($D$2:$D1389=D1389))&gt;1,0,1)</f>
        <v>1</v>
      </c>
    </row>
    <row r="1390" spans="1:16" hidden="1" x14ac:dyDescent="0.35">
      <c r="A1390" t="s">
        <v>138</v>
      </c>
      <c r="B1390">
        <v>2016</v>
      </c>
      <c r="C1390" s="1" t="s">
        <v>117</v>
      </c>
      <c r="D1390">
        <v>7.2</v>
      </c>
      <c r="E1390">
        <f>INT(Table2[[#This Row],[Transect]])</f>
        <v>7</v>
      </c>
      <c r="F1390" s="1" t="s">
        <v>127</v>
      </c>
      <c r="G1390">
        <v>0</v>
      </c>
      <c r="H1390">
        <f t="shared" si="6"/>
        <v>200</v>
      </c>
      <c r="I1390">
        <v>100</v>
      </c>
      <c r="J1390">
        <f>Table2[[#This Row],[Hits]]/Table2[[#This Row],[Points]]*100</f>
        <v>0</v>
      </c>
      <c r="K1390">
        <f>VLOOKUP(Table2[[#This Row],[Site]],'Site Info'!$A$1:$C$11,2, FALSE)</f>
        <v>11.5</v>
      </c>
      <c r="L1390">
        <f>VLOOKUP(Table2[[#This Row],[Site]],'Site Info'!$A$1:$C$11,3, FALSE)</f>
        <v>11</v>
      </c>
      <c r="M1390" t="str">
        <f>VLOOKUP(Table2[[#This Row],[Species]],'Species Table'!$A$1:$D$68,3, FALSE)</f>
        <v>NA</v>
      </c>
      <c r="O1390" s="15">
        <f>IF(SUMPRODUCT(($A$2:$A1390=A1390)*($B$2:$B1390=B1390)*($F$2:$F1390=F1390))&gt;1,0,1)</f>
        <v>0</v>
      </c>
      <c r="P1390" s="15">
        <f>IF(SUMPRODUCT(($A$2:$A1390=A1390)*($B$2:$B1390=B1390)*($D$2:$D1390=D1390))&gt;1,0,1)</f>
        <v>1</v>
      </c>
    </row>
    <row r="1391" spans="1:16" x14ac:dyDescent="0.35">
      <c r="A1391" t="s">
        <v>138</v>
      </c>
      <c r="B1391">
        <v>2016</v>
      </c>
      <c r="C1391" s="1" t="s">
        <v>77</v>
      </c>
      <c r="D1391">
        <v>8.1</v>
      </c>
      <c r="E1391">
        <f>INT(Table2[[#This Row],[Transect]])</f>
        <v>8</v>
      </c>
      <c r="F1391" s="1" t="s">
        <v>11</v>
      </c>
      <c r="G1391">
        <v>7</v>
      </c>
      <c r="H1391">
        <f t="shared" si="6"/>
        <v>200</v>
      </c>
      <c r="I1391">
        <v>100</v>
      </c>
      <c r="J1391">
        <f>Table2[[#This Row],[Hits]]/Table2[[#This Row],[Points]]*100</f>
        <v>3.5000000000000004</v>
      </c>
      <c r="K1391">
        <f>VLOOKUP(Table2[[#This Row],[Site]],'Site Info'!$A$1:$C$11,2, FALSE)</f>
        <v>11.5</v>
      </c>
      <c r="L1391">
        <f>VLOOKUP(Table2[[#This Row],[Site]],'Site Info'!$A$1:$C$11,3, FALSE)</f>
        <v>11</v>
      </c>
      <c r="M1391" t="str">
        <f>VLOOKUP(Table2[[#This Row],[Species]],'Species Table'!$A$1:$D$68,3, FALSE)</f>
        <v>Perennial</v>
      </c>
      <c r="O1391" s="15">
        <f>IF(SUMPRODUCT(($A$2:$A1391=A1391)*($B$2:$B1391=B1391)*($F$2:$F1391=F1391))&gt;1,0,1)</f>
        <v>0</v>
      </c>
      <c r="P1391" s="15">
        <f>IF(SUMPRODUCT(($A$2:$A1391=A1391)*($B$2:$B1391=B1391)*($D$2:$D1391=D1391))&gt;1,0,1)</f>
        <v>1</v>
      </c>
    </row>
    <row r="1392" spans="1:16" hidden="1" x14ac:dyDescent="0.35">
      <c r="A1392" t="s">
        <v>138</v>
      </c>
      <c r="B1392">
        <v>2016</v>
      </c>
      <c r="C1392" s="1" t="s">
        <v>77</v>
      </c>
      <c r="D1392">
        <v>8.1</v>
      </c>
      <c r="E1392">
        <f>INT(Table2[[#This Row],[Transect]])</f>
        <v>8</v>
      </c>
      <c r="F1392" s="1" t="s">
        <v>10</v>
      </c>
      <c r="G1392">
        <v>5</v>
      </c>
      <c r="H1392">
        <f t="shared" si="6"/>
        <v>200</v>
      </c>
      <c r="I1392">
        <v>100</v>
      </c>
      <c r="J1392">
        <f>Table2[[#This Row],[Hits]]/Table2[[#This Row],[Points]]*100</f>
        <v>2.5</v>
      </c>
      <c r="K1392">
        <f>VLOOKUP(Table2[[#This Row],[Site]],'Site Info'!$A$1:$C$11,2, FALSE)</f>
        <v>11.5</v>
      </c>
      <c r="L1392">
        <f>VLOOKUP(Table2[[#This Row],[Site]],'Site Info'!$A$1:$C$11,3, FALSE)</f>
        <v>11</v>
      </c>
      <c r="M1392" t="str">
        <f>VLOOKUP(Table2[[#This Row],[Species]],'Species Table'!$A$1:$D$68,3, FALSE)</f>
        <v>Annual</v>
      </c>
      <c r="O1392" s="15">
        <f>IF(SUMPRODUCT(($A$2:$A1392=A1392)*($B$2:$B1392=B1392)*($F$2:$F1392=F1392))&gt;1,0,1)</f>
        <v>0</v>
      </c>
      <c r="P1392" s="15">
        <f>IF(SUMPRODUCT(($A$2:$A1392=A1392)*($B$2:$B1392=B1392)*($D$2:$D1392=D1392))&gt;1,0,1)</f>
        <v>0</v>
      </c>
    </row>
    <row r="1393" spans="1:16" x14ac:dyDescent="0.35">
      <c r="A1393" t="s">
        <v>138</v>
      </c>
      <c r="B1393">
        <v>2016</v>
      </c>
      <c r="C1393" s="1" t="s">
        <v>77</v>
      </c>
      <c r="D1393">
        <v>8.1</v>
      </c>
      <c r="E1393">
        <f>INT(Table2[[#This Row],[Transect]])</f>
        <v>8</v>
      </c>
      <c r="F1393" s="1" t="s">
        <v>14</v>
      </c>
      <c r="G1393">
        <v>1</v>
      </c>
      <c r="H1393">
        <f t="shared" si="6"/>
        <v>200</v>
      </c>
      <c r="I1393">
        <v>100</v>
      </c>
      <c r="J1393">
        <f>Table2[[#This Row],[Hits]]/Table2[[#This Row],[Points]]*100</f>
        <v>0.5</v>
      </c>
      <c r="K1393">
        <f>VLOOKUP(Table2[[#This Row],[Site]],'Site Info'!$A$1:$C$11,2, FALSE)</f>
        <v>11.5</v>
      </c>
      <c r="L1393">
        <f>VLOOKUP(Table2[[#This Row],[Site]],'Site Info'!$A$1:$C$11,3, FALSE)</f>
        <v>11</v>
      </c>
      <c r="M1393" t="str">
        <f>VLOOKUP(Table2[[#This Row],[Species]],'Species Table'!$A$1:$D$68,3, FALSE)</f>
        <v>Perennial</v>
      </c>
      <c r="O1393" s="15">
        <f>IF(SUMPRODUCT(($A$2:$A1393=A1393)*($B$2:$B1393=B1393)*($F$2:$F1393=F1393))&gt;1,0,1)</f>
        <v>1</v>
      </c>
      <c r="P1393" s="15">
        <f>IF(SUMPRODUCT(($A$2:$A1393=A1393)*($B$2:$B1393=B1393)*($D$2:$D1393=D1393))&gt;1,0,1)</f>
        <v>0</v>
      </c>
    </row>
    <row r="1394" spans="1:16" x14ac:dyDescent="0.35">
      <c r="A1394" t="s">
        <v>138</v>
      </c>
      <c r="B1394">
        <v>2016</v>
      </c>
      <c r="C1394" s="1" t="s">
        <v>118</v>
      </c>
      <c r="D1394">
        <v>8.1999999999999993</v>
      </c>
      <c r="E1394">
        <f>INT(Table2[[#This Row],[Transect]])</f>
        <v>8</v>
      </c>
      <c r="F1394" s="1" t="s">
        <v>13</v>
      </c>
      <c r="G1394">
        <v>1</v>
      </c>
      <c r="H1394">
        <f t="shared" si="6"/>
        <v>200</v>
      </c>
      <c r="I1394">
        <v>100</v>
      </c>
      <c r="J1394">
        <f>Table2[[#This Row],[Hits]]/Table2[[#This Row],[Points]]*100</f>
        <v>0.5</v>
      </c>
      <c r="K1394">
        <f>VLOOKUP(Table2[[#This Row],[Site]],'Site Info'!$A$1:$C$11,2, FALSE)</f>
        <v>11.5</v>
      </c>
      <c r="L1394">
        <f>VLOOKUP(Table2[[#This Row],[Site]],'Site Info'!$A$1:$C$11,3, FALSE)</f>
        <v>11</v>
      </c>
      <c r="M1394" t="str">
        <f>VLOOKUP(Table2[[#This Row],[Species]],'Species Table'!$A$1:$D$68,3, FALSE)</f>
        <v>Perennial</v>
      </c>
      <c r="O1394" s="15">
        <f>IF(SUMPRODUCT(($A$2:$A1394=A1394)*($B$2:$B1394=B1394)*($F$2:$F1394=F1394))&gt;1,0,1)</f>
        <v>1</v>
      </c>
      <c r="P1394" s="15">
        <f>IF(SUMPRODUCT(($A$2:$A1394=A1394)*($B$2:$B1394=B1394)*($D$2:$D1394=D1394))&gt;1,0,1)</f>
        <v>1</v>
      </c>
    </row>
    <row r="1395" spans="1:16" x14ac:dyDescent="0.35">
      <c r="A1395" t="s">
        <v>138</v>
      </c>
      <c r="B1395">
        <v>2016</v>
      </c>
      <c r="C1395" s="1" t="s">
        <v>119</v>
      </c>
      <c r="D1395">
        <v>9.1</v>
      </c>
      <c r="E1395">
        <f>INT(Table2[[#This Row],[Transect]])</f>
        <v>9</v>
      </c>
      <c r="F1395" s="1" t="s">
        <v>175</v>
      </c>
      <c r="G1395">
        <v>6</v>
      </c>
      <c r="H1395">
        <f t="shared" si="6"/>
        <v>200</v>
      </c>
      <c r="I1395">
        <v>100</v>
      </c>
      <c r="J1395">
        <f>Table2[[#This Row],[Hits]]/Table2[[#This Row],[Points]]*100</f>
        <v>3</v>
      </c>
      <c r="K1395">
        <f>VLOOKUP(Table2[[#This Row],[Site]],'Site Info'!$A$1:$C$11,2, FALSE)</f>
        <v>11.5</v>
      </c>
      <c r="L1395">
        <f>VLOOKUP(Table2[[#This Row],[Site]],'Site Info'!$A$1:$C$11,3, FALSE)</f>
        <v>11</v>
      </c>
      <c r="M1395" t="str">
        <f>VLOOKUP(Table2[[#This Row],[Species]],'Species Table'!$A$1:$D$68,3, FALSE)</f>
        <v>Perennial</v>
      </c>
      <c r="O1395" s="15">
        <f>IF(SUMPRODUCT(($A$2:$A1395=A1395)*($B$2:$B1395=B1395)*($F$2:$F1395=F1395))&gt;1,0,1)</f>
        <v>1</v>
      </c>
      <c r="P1395" s="15">
        <f>IF(SUMPRODUCT(($A$2:$A1395=A1395)*($B$2:$B1395=B1395)*($D$2:$D1395=D1395))&gt;1,0,1)</f>
        <v>1</v>
      </c>
    </row>
    <row r="1396" spans="1:16" x14ac:dyDescent="0.35">
      <c r="A1396" t="s">
        <v>138</v>
      </c>
      <c r="B1396">
        <v>2016</v>
      </c>
      <c r="C1396" s="1" t="s">
        <v>119</v>
      </c>
      <c r="D1396">
        <v>9.1</v>
      </c>
      <c r="E1396">
        <f>INT(Table2[[#This Row],[Transect]])</f>
        <v>9</v>
      </c>
      <c r="F1396" s="1" t="s">
        <v>176</v>
      </c>
      <c r="G1396">
        <v>4</v>
      </c>
      <c r="H1396">
        <f t="shared" si="6"/>
        <v>200</v>
      </c>
      <c r="I1396">
        <v>100</v>
      </c>
      <c r="J1396">
        <f>Table2[[#This Row],[Hits]]/Table2[[#This Row],[Points]]*100</f>
        <v>2</v>
      </c>
      <c r="K1396">
        <f>VLOOKUP(Table2[[#This Row],[Site]],'Site Info'!$A$1:$C$11,2, FALSE)</f>
        <v>11.5</v>
      </c>
      <c r="L1396">
        <f>VLOOKUP(Table2[[#This Row],[Site]],'Site Info'!$A$1:$C$11,3, FALSE)</f>
        <v>11</v>
      </c>
      <c r="M1396" t="str">
        <f>VLOOKUP(Table2[[#This Row],[Species]],'Species Table'!$A$1:$D$68,3, FALSE)</f>
        <v>Perennial</v>
      </c>
      <c r="O1396" s="15">
        <f>IF(SUMPRODUCT(($A$2:$A1396=A1396)*($B$2:$B1396=B1396)*($F$2:$F1396=F1396))&gt;1,0,1)</f>
        <v>1</v>
      </c>
      <c r="P1396" s="15">
        <f>IF(SUMPRODUCT(($A$2:$A1396=A1396)*($B$2:$B1396=B1396)*($D$2:$D1396=D1396))&gt;1,0,1)</f>
        <v>0</v>
      </c>
    </row>
    <row r="1397" spans="1:16" x14ac:dyDescent="0.35">
      <c r="A1397" t="s">
        <v>138</v>
      </c>
      <c r="B1397">
        <v>2016</v>
      </c>
      <c r="C1397" s="1" t="s">
        <v>119</v>
      </c>
      <c r="D1397">
        <v>9.1</v>
      </c>
      <c r="E1397">
        <f>INT(Table2[[#This Row],[Transect]])</f>
        <v>9</v>
      </c>
      <c r="F1397" s="1" t="s">
        <v>173</v>
      </c>
      <c r="G1397">
        <v>7</v>
      </c>
      <c r="H1397">
        <f t="shared" si="6"/>
        <v>200</v>
      </c>
      <c r="I1397">
        <v>100</v>
      </c>
      <c r="J1397">
        <f>Table2[[#This Row],[Hits]]/Table2[[#This Row],[Points]]*100</f>
        <v>3.5000000000000004</v>
      </c>
      <c r="K1397">
        <f>VLOOKUP(Table2[[#This Row],[Site]],'Site Info'!$A$1:$C$11,2, FALSE)</f>
        <v>11.5</v>
      </c>
      <c r="L1397">
        <f>VLOOKUP(Table2[[#This Row],[Site]],'Site Info'!$A$1:$C$11,3, FALSE)</f>
        <v>11</v>
      </c>
      <c r="M1397" t="str">
        <f>VLOOKUP(Table2[[#This Row],[Species]],'Species Table'!$A$1:$D$68,3, FALSE)</f>
        <v>Perennial</v>
      </c>
      <c r="O1397" s="15">
        <f>IF(SUMPRODUCT(($A$2:$A1397=A1397)*($B$2:$B1397=B1397)*($F$2:$F1397=F1397))&gt;1,0,1)</f>
        <v>1</v>
      </c>
      <c r="P1397" s="15">
        <f>IF(SUMPRODUCT(($A$2:$A1397=A1397)*($B$2:$B1397=B1397)*($D$2:$D1397=D1397))&gt;1,0,1)</f>
        <v>0</v>
      </c>
    </row>
    <row r="1398" spans="1:16" x14ac:dyDescent="0.35">
      <c r="A1398" t="s">
        <v>138</v>
      </c>
      <c r="B1398">
        <v>2016</v>
      </c>
      <c r="C1398" s="1" t="s">
        <v>119</v>
      </c>
      <c r="D1398">
        <v>9.1</v>
      </c>
      <c r="E1398">
        <f>INT(Table2[[#This Row],[Transect]])</f>
        <v>9</v>
      </c>
      <c r="F1398" s="1" t="s">
        <v>11</v>
      </c>
      <c r="G1398">
        <v>17</v>
      </c>
      <c r="H1398">
        <f t="shared" si="6"/>
        <v>200</v>
      </c>
      <c r="I1398">
        <v>100</v>
      </c>
      <c r="J1398">
        <f>Table2[[#This Row],[Hits]]/Table2[[#This Row],[Points]]*100</f>
        <v>8.5</v>
      </c>
      <c r="K1398">
        <f>VLOOKUP(Table2[[#This Row],[Site]],'Site Info'!$A$1:$C$11,2, FALSE)</f>
        <v>11.5</v>
      </c>
      <c r="L1398">
        <f>VLOOKUP(Table2[[#This Row],[Site]],'Site Info'!$A$1:$C$11,3, FALSE)</f>
        <v>11</v>
      </c>
      <c r="M1398" t="str">
        <f>VLOOKUP(Table2[[#This Row],[Species]],'Species Table'!$A$1:$D$68,3, FALSE)</f>
        <v>Perennial</v>
      </c>
      <c r="O1398" s="15">
        <f>IF(SUMPRODUCT(($A$2:$A1398=A1398)*($B$2:$B1398=B1398)*($F$2:$F1398=F1398))&gt;1,0,1)</f>
        <v>0</v>
      </c>
      <c r="P1398" s="15">
        <f>IF(SUMPRODUCT(($A$2:$A1398=A1398)*($B$2:$B1398=B1398)*($D$2:$D1398=D1398))&gt;1,0,1)</f>
        <v>0</v>
      </c>
    </row>
    <row r="1399" spans="1:16" hidden="1" x14ac:dyDescent="0.35">
      <c r="A1399" t="s">
        <v>138</v>
      </c>
      <c r="B1399">
        <v>2016</v>
      </c>
      <c r="C1399" s="1" t="s">
        <v>119</v>
      </c>
      <c r="D1399">
        <v>9.1</v>
      </c>
      <c r="E1399">
        <f>INT(Table2[[#This Row],[Transect]])</f>
        <v>9</v>
      </c>
      <c r="F1399" s="1" t="s">
        <v>171</v>
      </c>
      <c r="G1399">
        <v>4</v>
      </c>
      <c r="H1399">
        <f t="shared" si="6"/>
        <v>200</v>
      </c>
      <c r="I1399">
        <v>100</v>
      </c>
      <c r="J1399">
        <f>Table2[[#This Row],[Hits]]/Table2[[#This Row],[Points]]*100</f>
        <v>2</v>
      </c>
      <c r="K1399">
        <f>VLOOKUP(Table2[[#This Row],[Site]],'Site Info'!$A$1:$C$11,2, FALSE)</f>
        <v>11.5</v>
      </c>
      <c r="L1399">
        <f>VLOOKUP(Table2[[#This Row],[Site]],'Site Info'!$A$1:$C$11,3, FALSE)</f>
        <v>11</v>
      </c>
      <c r="M1399" t="str">
        <f>VLOOKUP(Table2[[#This Row],[Species]],'Species Table'!$A$1:$D$68,3, FALSE)</f>
        <v>Annual</v>
      </c>
      <c r="O1399" s="15">
        <f>IF(SUMPRODUCT(($A$2:$A1399=A1399)*($B$2:$B1399=B1399)*($F$2:$F1399=F1399))&gt;1,0,1)</f>
        <v>1</v>
      </c>
      <c r="P1399" s="15">
        <f>IF(SUMPRODUCT(($A$2:$A1399=A1399)*($B$2:$B1399=B1399)*($D$2:$D1399=D1399))&gt;1,0,1)</f>
        <v>0</v>
      </c>
    </row>
    <row r="1400" spans="1:16" x14ac:dyDescent="0.35">
      <c r="A1400" t="s">
        <v>138</v>
      </c>
      <c r="B1400">
        <v>2016</v>
      </c>
      <c r="C1400" s="1" t="s">
        <v>119</v>
      </c>
      <c r="D1400">
        <v>9.1</v>
      </c>
      <c r="E1400">
        <f>INT(Table2[[#This Row],[Transect]])</f>
        <v>9</v>
      </c>
      <c r="F1400" s="1" t="s">
        <v>34</v>
      </c>
      <c r="G1400">
        <v>4</v>
      </c>
      <c r="H1400">
        <f t="shared" si="6"/>
        <v>200</v>
      </c>
      <c r="I1400">
        <v>100</v>
      </c>
      <c r="J1400">
        <f>Table2[[#This Row],[Hits]]/Table2[[#This Row],[Points]]*100</f>
        <v>2</v>
      </c>
      <c r="K1400">
        <f>VLOOKUP(Table2[[#This Row],[Site]],'Site Info'!$A$1:$C$11,2, FALSE)</f>
        <v>11.5</v>
      </c>
      <c r="L1400">
        <f>VLOOKUP(Table2[[#This Row],[Site]],'Site Info'!$A$1:$C$11,3, FALSE)</f>
        <v>11</v>
      </c>
      <c r="M1400" t="str">
        <f>VLOOKUP(Table2[[#This Row],[Species]],'Species Table'!$A$1:$D$68,3, FALSE)</f>
        <v>Perennial</v>
      </c>
      <c r="O1400" s="15">
        <f>IF(SUMPRODUCT(($A$2:$A1400=A1400)*($B$2:$B1400=B1400)*($F$2:$F1400=F1400))&gt;1,0,1)</f>
        <v>1</v>
      </c>
      <c r="P1400" s="15">
        <f>IF(SUMPRODUCT(($A$2:$A1400=A1400)*($B$2:$B1400=B1400)*($D$2:$D1400=D1400))&gt;1,0,1)</f>
        <v>0</v>
      </c>
    </row>
    <row r="1401" spans="1:16" x14ac:dyDescent="0.35">
      <c r="A1401" t="s">
        <v>138</v>
      </c>
      <c r="B1401">
        <v>2016</v>
      </c>
      <c r="C1401" s="1" t="s">
        <v>119</v>
      </c>
      <c r="D1401">
        <v>9.1</v>
      </c>
      <c r="E1401">
        <f>INT(Table2[[#This Row],[Transect]])</f>
        <v>9</v>
      </c>
      <c r="F1401" s="1" t="s">
        <v>174</v>
      </c>
      <c r="G1401">
        <v>5</v>
      </c>
      <c r="H1401">
        <f t="shared" si="6"/>
        <v>200</v>
      </c>
      <c r="I1401">
        <v>100</v>
      </c>
      <c r="J1401">
        <f>Table2[[#This Row],[Hits]]/Table2[[#This Row],[Points]]*100</f>
        <v>2.5</v>
      </c>
      <c r="K1401">
        <f>VLOOKUP(Table2[[#This Row],[Site]],'Site Info'!$A$1:$C$11,2, FALSE)</f>
        <v>11.5</v>
      </c>
      <c r="L1401">
        <f>VLOOKUP(Table2[[#This Row],[Site]],'Site Info'!$A$1:$C$11,3, FALSE)</f>
        <v>11</v>
      </c>
      <c r="M1401" t="str">
        <f>VLOOKUP(Table2[[#This Row],[Species]],'Species Table'!$A$1:$D$68,3, FALSE)</f>
        <v>Perennial</v>
      </c>
      <c r="O1401" s="15">
        <f>IF(SUMPRODUCT(($A$2:$A1401=A1401)*($B$2:$B1401=B1401)*($F$2:$F1401=F1401))&gt;1,0,1)</f>
        <v>1</v>
      </c>
      <c r="P1401" s="15">
        <f>IF(SUMPRODUCT(($A$2:$A1401=A1401)*($B$2:$B1401=B1401)*($D$2:$D1401=D1401))&gt;1,0,1)</f>
        <v>0</v>
      </c>
    </row>
    <row r="1402" spans="1:16" hidden="1" x14ac:dyDescent="0.35">
      <c r="A1402" t="s">
        <v>138</v>
      </c>
      <c r="B1402">
        <v>2016</v>
      </c>
      <c r="C1402" s="1" t="s">
        <v>119</v>
      </c>
      <c r="D1402">
        <v>9.1</v>
      </c>
      <c r="E1402">
        <f>INT(Table2[[#This Row],[Transect]])</f>
        <v>9</v>
      </c>
      <c r="F1402" s="1" t="s">
        <v>10</v>
      </c>
      <c r="G1402">
        <v>3</v>
      </c>
      <c r="H1402">
        <f t="shared" si="6"/>
        <v>200</v>
      </c>
      <c r="I1402">
        <v>100</v>
      </c>
      <c r="J1402">
        <f>Table2[[#This Row],[Hits]]/Table2[[#This Row],[Points]]*100</f>
        <v>1.5</v>
      </c>
      <c r="K1402">
        <f>VLOOKUP(Table2[[#This Row],[Site]],'Site Info'!$A$1:$C$11,2, FALSE)</f>
        <v>11.5</v>
      </c>
      <c r="L1402">
        <f>VLOOKUP(Table2[[#This Row],[Site]],'Site Info'!$A$1:$C$11,3, FALSE)</f>
        <v>11</v>
      </c>
      <c r="M1402" t="str">
        <f>VLOOKUP(Table2[[#This Row],[Species]],'Species Table'!$A$1:$D$68,3, FALSE)</f>
        <v>Annual</v>
      </c>
      <c r="O1402" s="15">
        <f>IF(SUMPRODUCT(($A$2:$A1402=A1402)*($B$2:$B1402=B1402)*($F$2:$F1402=F1402))&gt;1,0,1)</f>
        <v>0</v>
      </c>
      <c r="P1402" s="15">
        <f>IF(SUMPRODUCT(($A$2:$A1402=A1402)*($B$2:$B1402=B1402)*($D$2:$D1402=D1402))&gt;1,0,1)</f>
        <v>0</v>
      </c>
    </row>
    <row r="1403" spans="1:16" x14ac:dyDescent="0.35">
      <c r="A1403" t="s">
        <v>138</v>
      </c>
      <c r="B1403">
        <v>2016</v>
      </c>
      <c r="C1403" s="1" t="s">
        <v>120</v>
      </c>
      <c r="D1403">
        <v>9.1999999999999993</v>
      </c>
      <c r="E1403">
        <f>INT(Table2[[#This Row],[Transect]])</f>
        <v>9</v>
      </c>
      <c r="F1403" s="1" t="s">
        <v>29</v>
      </c>
      <c r="G1403">
        <v>3</v>
      </c>
      <c r="H1403">
        <f t="shared" si="6"/>
        <v>200</v>
      </c>
      <c r="I1403">
        <v>100</v>
      </c>
      <c r="J1403">
        <f>Table2[[#This Row],[Hits]]/Table2[[#This Row],[Points]]*100</f>
        <v>1.5</v>
      </c>
      <c r="K1403">
        <f>VLOOKUP(Table2[[#This Row],[Site]],'Site Info'!$A$1:$C$11,2, FALSE)</f>
        <v>11.5</v>
      </c>
      <c r="L1403">
        <f>VLOOKUP(Table2[[#This Row],[Site]],'Site Info'!$A$1:$C$11,3, FALSE)</f>
        <v>11</v>
      </c>
      <c r="M1403" t="str">
        <f>VLOOKUP(Table2[[#This Row],[Species]],'Species Table'!$A$1:$D$68,3, FALSE)</f>
        <v>Perennial</v>
      </c>
      <c r="O1403" s="15">
        <f>IF(SUMPRODUCT(($A$2:$A1403=A1403)*($B$2:$B1403=B1403)*($F$2:$F1403=F1403))&gt;1,0,1)</f>
        <v>0</v>
      </c>
      <c r="P1403" s="15">
        <f>IF(SUMPRODUCT(($A$2:$A1403=A1403)*($B$2:$B1403=B1403)*($D$2:$D1403=D1403))&gt;1,0,1)</f>
        <v>1</v>
      </c>
    </row>
    <row r="1404" spans="1:16" hidden="1" x14ac:dyDescent="0.35">
      <c r="A1404" t="s">
        <v>138</v>
      </c>
      <c r="B1404">
        <v>2016</v>
      </c>
      <c r="C1404" s="1" t="s">
        <v>120</v>
      </c>
      <c r="D1404">
        <v>9.1999999999999993</v>
      </c>
      <c r="E1404">
        <f>INT(Table2[[#This Row],[Transect]])</f>
        <v>9</v>
      </c>
      <c r="F1404" s="1" t="s">
        <v>10</v>
      </c>
      <c r="G1404">
        <v>13</v>
      </c>
      <c r="H1404">
        <f t="shared" si="6"/>
        <v>200</v>
      </c>
      <c r="I1404">
        <v>100</v>
      </c>
      <c r="J1404">
        <f>Table2[[#This Row],[Hits]]/Table2[[#This Row],[Points]]*100</f>
        <v>6.5</v>
      </c>
      <c r="K1404">
        <f>VLOOKUP(Table2[[#This Row],[Site]],'Site Info'!$A$1:$C$11,2, FALSE)</f>
        <v>11.5</v>
      </c>
      <c r="L1404">
        <f>VLOOKUP(Table2[[#This Row],[Site]],'Site Info'!$A$1:$C$11,3, FALSE)</f>
        <v>11</v>
      </c>
      <c r="M1404" t="str">
        <f>VLOOKUP(Table2[[#This Row],[Species]],'Species Table'!$A$1:$D$68,3, FALSE)</f>
        <v>Annual</v>
      </c>
      <c r="O1404" s="15">
        <f>IF(SUMPRODUCT(($A$2:$A1404=A1404)*($B$2:$B1404=B1404)*($F$2:$F1404=F1404))&gt;1,0,1)</f>
        <v>0</v>
      </c>
      <c r="P1404" s="15">
        <f>IF(SUMPRODUCT(($A$2:$A1404=A1404)*($B$2:$B1404=B1404)*($D$2:$D1404=D1404))&gt;1,0,1)</f>
        <v>0</v>
      </c>
    </row>
    <row r="1405" spans="1:16" x14ac:dyDescent="0.35">
      <c r="A1405" t="s">
        <v>21</v>
      </c>
      <c r="B1405">
        <v>2016</v>
      </c>
      <c r="C1405" s="1" t="s">
        <v>162</v>
      </c>
      <c r="D1405">
        <v>1.1000000000000001</v>
      </c>
      <c r="E1405">
        <f>INT(Table2[[#This Row],[Transect]])</f>
        <v>1</v>
      </c>
      <c r="F1405" s="1" t="s">
        <v>3</v>
      </c>
      <c r="G1405">
        <v>2</v>
      </c>
      <c r="H1405">
        <v>29</v>
      </c>
      <c r="I1405">
        <v>14.5</v>
      </c>
      <c r="J1405">
        <f>Table2[[#This Row],[Hits]]/Table2[[#This Row],[Points]]*100</f>
        <v>6.8965517241379306</v>
      </c>
      <c r="K1405">
        <f>VLOOKUP(Table2[[#This Row],[Site]],'Site Info'!$A$1:$C$11,2, FALSE)</f>
        <v>33</v>
      </c>
      <c r="L1405">
        <f>VLOOKUP(Table2[[#This Row],[Site]],'Site Info'!$A$1:$C$11,3, FALSE)</f>
        <v>3</v>
      </c>
      <c r="M1405" t="str">
        <f>VLOOKUP(Table2[[#This Row],[Species]],'Species Table'!$A$1:$D$68,3, FALSE)</f>
        <v>Perennial</v>
      </c>
      <c r="O1405" s="15">
        <f>IF(SUMPRODUCT(($A$2:$A1405=A1405)*($B$2:$B1405=B1405)*($F$2:$F1405=F1405))&gt;1,0,1)</f>
        <v>1</v>
      </c>
      <c r="P1405" s="15">
        <f>IF(SUMPRODUCT(($A$2:$A1405=A1405)*($B$2:$B1405=B1405)*($D$2:$D1405=D1405))&gt;1,0,1)</f>
        <v>1</v>
      </c>
    </row>
    <row r="1406" spans="1:16" hidden="1" x14ac:dyDescent="0.35">
      <c r="A1406" t="s">
        <v>21</v>
      </c>
      <c r="B1406">
        <v>2016</v>
      </c>
      <c r="C1406" s="1" t="s">
        <v>163</v>
      </c>
      <c r="D1406">
        <v>2.1</v>
      </c>
      <c r="E1406">
        <f>INT(Table2[[#This Row],[Transect]])</f>
        <v>2</v>
      </c>
      <c r="F1406" s="1" t="s">
        <v>127</v>
      </c>
      <c r="G1406">
        <v>0</v>
      </c>
      <c r="H1406">
        <v>32</v>
      </c>
      <c r="I1406">
        <v>16</v>
      </c>
      <c r="J1406">
        <f>Table2[[#This Row],[Hits]]/Table2[[#This Row],[Points]]*100</f>
        <v>0</v>
      </c>
      <c r="K1406">
        <f>VLOOKUP(Table2[[#This Row],[Site]],'Site Info'!$A$1:$C$11,2, FALSE)</f>
        <v>33</v>
      </c>
      <c r="L1406">
        <f>VLOOKUP(Table2[[#This Row],[Site]],'Site Info'!$A$1:$C$11,3, FALSE)</f>
        <v>3</v>
      </c>
      <c r="M1406" t="str">
        <f>VLOOKUP(Table2[[#This Row],[Species]],'Species Table'!$A$1:$D$68,3, FALSE)</f>
        <v>NA</v>
      </c>
      <c r="O1406" s="15">
        <f>IF(SUMPRODUCT(($A$2:$A1406=A1406)*($B$2:$B1406=B1406)*($F$2:$F1406=F1406))&gt;1,0,1)</f>
        <v>1</v>
      </c>
      <c r="P1406" s="15">
        <f>IF(SUMPRODUCT(($A$2:$A1406=A1406)*($B$2:$B1406=B1406)*($D$2:$D1406=D1406))&gt;1,0,1)</f>
        <v>1</v>
      </c>
    </row>
    <row r="1407" spans="1:16" hidden="1" x14ac:dyDescent="0.35">
      <c r="A1407" t="s">
        <v>21</v>
      </c>
      <c r="B1407">
        <v>2016</v>
      </c>
      <c r="C1407" s="1" t="s">
        <v>164</v>
      </c>
      <c r="D1407">
        <v>3.1</v>
      </c>
      <c r="E1407">
        <f>INT(Table2[[#This Row],[Transect]])</f>
        <v>3</v>
      </c>
      <c r="F1407" s="1" t="s">
        <v>127</v>
      </c>
      <c r="G1407">
        <v>0</v>
      </c>
      <c r="H1407">
        <v>36</v>
      </c>
      <c r="I1407">
        <v>18</v>
      </c>
      <c r="J1407">
        <f>Table2[[#This Row],[Hits]]/Table2[[#This Row],[Points]]*100</f>
        <v>0</v>
      </c>
      <c r="K1407">
        <f>VLOOKUP(Table2[[#This Row],[Site]],'Site Info'!$A$1:$C$11,2, FALSE)</f>
        <v>33</v>
      </c>
      <c r="L1407">
        <f>VLOOKUP(Table2[[#This Row],[Site]],'Site Info'!$A$1:$C$11,3, FALSE)</f>
        <v>3</v>
      </c>
      <c r="M1407" t="str">
        <f>VLOOKUP(Table2[[#This Row],[Species]],'Species Table'!$A$1:$D$68,3, FALSE)</f>
        <v>NA</v>
      </c>
      <c r="O1407" s="15">
        <f>IF(SUMPRODUCT(($A$2:$A1407=A1407)*($B$2:$B1407=B1407)*($F$2:$F1407=F1407))&gt;1,0,1)</f>
        <v>0</v>
      </c>
      <c r="P1407" s="15">
        <f>IF(SUMPRODUCT(($A$2:$A1407=A1407)*($B$2:$B1407=B1407)*($D$2:$D1407=D1407))&gt;1,0,1)</f>
        <v>1</v>
      </c>
    </row>
    <row r="1408" spans="1:16" hidden="1" x14ac:dyDescent="0.35">
      <c r="A1408" t="s">
        <v>21</v>
      </c>
      <c r="B1408">
        <v>2016</v>
      </c>
      <c r="C1408" s="1" t="s">
        <v>165</v>
      </c>
      <c r="D1408">
        <v>4.0999999999999996</v>
      </c>
      <c r="E1408">
        <f>INT(Table2[[#This Row],[Transect]])</f>
        <v>4</v>
      </c>
      <c r="F1408" s="1" t="s">
        <v>127</v>
      </c>
      <c r="G1408">
        <v>0</v>
      </c>
      <c r="H1408">
        <v>40</v>
      </c>
      <c r="I1408">
        <v>20</v>
      </c>
      <c r="J1408">
        <f>Table2[[#This Row],[Hits]]/Table2[[#This Row],[Points]]*100</f>
        <v>0</v>
      </c>
      <c r="K1408">
        <f>VLOOKUP(Table2[[#This Row],[Site]],'Site Info'!$A$1:$C$11,2, FALSE)</f>
        <v>33</v>
      </c>
      <c r="L1408">
        <f>VLOOKUP(Table2[[#This Row],[Site]],'Site Info'!$A$1:$C$11,3, FALSE)</f>
        <v>3</v>
      </c>
      <c r="M1408" t="str">
        <f>VLOOKUP(Table2[[#This Row],[Species]],'Species Table'!$A$1:$D$68,3, FALSE)</f>
        <v>NA</v>
      </c>
      <c r="O1408" s="15">
        <f>IF(SUMPRODUCT(($A$2:$A1408=A1408)*($B$2:$B1408=B1408)*($F$2:$F1408=F1408))&gt;1,0,1)</f>
        <v>0</v>
      </c>
      <c r="P1408" s="15">
        <f>IF(SUMPRODUCT(($A$2:$A1408=A1408)*($B$2:$B1408=B1408)*($D$2:$D1408=D1408))&gt;1,0,1)</f>
        <v>1</v>
      </c>
    </row>
    <row r="1409" spans="1:16" x14ac:dyDescent="0.35">
      <c r="A1409" t="s">
        <v>21</v>
      </c>
      <c r="B1409">
        <v>2016</v>
      </c>
      <c r="C1409" s="1" t="s">
        <v>177</v>
      </c>
      <c r="D1409">
        <v>5.0999999999999996</v>
      </c>
      <c r="E1409">
        <f>INT(Table2[[#This Row],[Transect]])</f>
        <v>5</v>
      </c>
      <c r="F1409" s="1" t="s">
        <v>3</v>
      </c>
      <c r="G1409">
        <v>1</v>
      </c>
      <c r="H1409">
        <v>44</v>
      </c>
      <c r="I1409">
        <v>22</v>
      </c>
      <c r="J1409">
        <f>Table2[[#This Row],[Hits]]/Table2[[#This Row],[Points]]*100</f>
        <v>2.2727272727272729</v>
      </c>
      <c r="K1409">
        <f>VLOOKUP(Table2[[#This Row],[Site]],'Site Info'!$A$1:$C$11,2, FALSE)</f>
        <v>33</v>
      </c>
      <c r="L1409">
        <f>VLOOKUP(Table2[[#This Row],[Site]],'Site Info'!$A$1:$C$11,3, FALSE)</f>
        <v>3</v>
      </c>
      <c r="M1409" t="str">
        <f>VLOOKUP(Table2[[#This Row],[Species]],'Species Table'!$A$1:$D$68,3, FALSE)</f>
        <v>Perennial</v>
      </c>
      <c r="O1409" s="15">
        <f>IF(SUMPRODUCT(($A$2:$A1409=A1409)*($B$2:$B1409=B1409)*($F$2:$F1409=F1409))&gt;1,0,1)</f>
        <v>0</v>
      </c>
      <c r="P1409" s="15">
        <f>IF(SUMPRODUCT(($A$2:$A1409=A1409)*($B$2:$B1409=B1409)*($D$2:$D1409=D1409))&gt;1,0,1)</f>
        <v>1</v>
      </c>
    </row>
    <row r="1410" spans="1:16" hidden="1" x14ac:dyDescent="0.35">
      <c r="A1410" t="s">
        <v>21</v>
      </c>
      <c r="B1410">
        <v>2016</v>
      </c>
      <c r="C1410" s="1" t="s">
        <v>178</v>
      </c>
      <c r="D1410">
        <v>6.1</v>
      </c>
      <c r="E1410">
        <f>INT(Table2[[#This Row],[Transect]])</f>
        <v>6</v>
      </c>
      <c r="F1410" s="1" t="s">
        <v>127</v>
      </c>
      <c r="G1410">
        <v>0</v>
      </c>
      <c r="H1410">
        <v>48</v>
      </c>
      <c r="I1410">
        <v>24</v>
      </c>
      <c r="J1410">
        <f>Table2[[#This Row],[Hits]]/Table2[[#This Row],[Points]]*100</f>
        <v>0</v>
      </c>
      <c r="K1410">
        <f>VLOOKUP(Table2[[#This Row],[Site]],'Site Info'!$A$1:$C$11,2, FALSE)</f>
        <v>33</v>
      </c>
      <c r="L1410">
        <f>VLOOKUP(Table2[[#This Row],[Site]],'Site Info'!$A$1:$C$11,3, FALSE)</f>
        <v>3</v>
      </c>
      <c r="M1410" t="str">
        <f>VLOOKUP(Table2[[#This Row],[Species]],'Species Table'!$A$1:$D$68,3, FALSE)</f>
        <v>NA</v>
      </c>
      <c r="O1410" s="15">
        <f>IF(SUMPRODUCT(($A$2:$A1410=A1410)*($B$2:$B1410=B1410)*($F$2:$F1410=F1410))&gt;1,0,1)</f>
        <v>0</v>
      </c>
      <c r="P1410" s="15">
        <f>IF(SUMPRODUCT(($A$2:$A1410=A1410)*($B$2:$B1410=B1410)*($D$2:$D1410=D1410))&gt;1,0,1)</f>
        <v>1</v>
      </c>
    </row>
    <row r="1411" spans="1:16" x14ac:dyDescent="0.35">
      <c r="A1411" t="s">
        <v>21</v>
      </c>
      <c r="B1411">
        <v>2016</v>
      </c>
      <c r="C1411" s="1" t="s">
        <v>179</v>
      </c>
      <c r="D1411">
        <v>7.1</v>
      </c>
      <c r="E1411">
        <f>INT(Table2[[#This Row],[Transect]])</f>
        <v>7</v>
      </c>
      <c r="F1411" s="1" t="s">
        <v>5</v>
      </c>
      <c r="G1411">
        <v>1</v>
      </c>
      <c r="H1411">
        <v>51</v>
      </c>
      <c r="I1411">
        <v>25.5</v>
      </c>
      <c r="J1411">
        <f>Table2[[#This Row],[Hits]]/Table2[[#This Row],[Points]]*100</f>
        <v>1.9607843137254901</v>
      </c>
      <c r="K1411">
        <f>VLOOKUP(Table2[[#This Row],[Site]],'Site Info'!$A$1:$C$11,2, FALSE)</f>
        <v>33</v>
      </c>
      <c r="L1411">
        <f>VLOOKUP(Table2[[#This Row],[Site]],'Site Info'!$A$1:$C$11,3, FALSE)</f>
        <v>3</v>
      </c>
      <c r="M1411" t="str">
        <f>VLOOKUP(Table2[[#This Row],[Species]],'Species Table'!$A$1:$D$68,3, FALSE)</f>
        <v>Perennial</v>
      </c>
      <c r="O1411" s="15">
        <f>IF(SUMPRODUCT(($A$2:$A1411=A1411)*($B$2:$B1411=B1411)*($F$2:$F1411=F1411))&gt;1,0,1)</f>
        <v>1</v>
      </c>
      <c r="P1411" s="15">
        <f>IF(SUMPRODUCT(($A$2:$A1411=A1411)*($B$2:$B1411=B1411)*($D$2:$D1411=D1411))&gt;1,0,1)</f>
        <v>1</v>
      </c>
    </row>
    <row r="1412" spans="1:16" x14ac:dyDescent="0.35">
      <c r="A1412" t="s">
        <v>21</v>
      </c>
      <c r="B1412">
        <v>2016</v>
      </c>
      <c r="C1412" s="1" t="s">
        <v>179</v>
      </c>
      <c r="D1412">
        <v>7.1</v>
      </c>
      <c r="E1412">
        <f>INT(Table2[[#This Row],[Transect]])</f>
        <v>7</v>
      </c>
      <c r="F1412" s="1" t="s">
        <v>3</v>
      </c>
      <c r="G1412">
        <v>1</v>
      </c>
      <c r="H1412">
        <v>51</v>
      </c>
      <c r="I1412">
        <v>25.5</v>
      </c>
      <c r="J1412">
        <f>Table2[[#This Row],[Hits]]/Table2[[#This Row],[Points]]*100</f>
        <v>1.9607843137254901</v>
      </c>
      <c r="K1412">
        <f>VLOOKUP(Table2[[#This Row],[Site]],'Site Info'!$A$1:$C$11,2, FALSE)</f>
        <v>33</v>
      </c>
      <c r="L1412">
        <f>VLOOKUP(Table2[[#This Row],[Site]],'Site Info'!$A$1:$C$11,3, FALSE)</f>
        <v>3</v>
      </c>
      <c r="M1412" t="str">
        <f>VLOOKUP(Table2[[#This Row],[Species]],'Species Table'!$A$1:$D$68,3, FALSE)</f>
        <v>Perennial</v>
      </c>
      <c r="O1412" s="15">
        <f>IF(SUMPRODUCT(($A$2:$A1412=A1412)*($B$2:$B1412=B1412)*($F$2:$F1412=F1412))&gt;1,0,1)</f>
        <v>0</v>
      </c>
      <c r="P1412" s="15">
        <f>IF(SUMPRODUCT(($A$2:$A1412=A1412)*($B$2:$B1412=B1412)*($D$2:$D1412=D1412))&gt;1,0,1)</f>
        <v>0</v>
      </c>
    </row>
    <row r="1413" spans="1:16" hidden="1" x14ac:dyDescent="0.35">
      <c r="A1413" t="s">
        <v>21</v>
      </c>
      <c r="B1413">
        <v>2016</v>
      </c>
      <c r="C1413" s="1" t="s">
        <v>180</v>
      </c>
      <c r="D1413">
        <v>8.1</v>
      </c>
      <c r="E1413">
        <f>INT(Table2[[#This Row],[Transect]])</f>
        <v>8</v>
      </c>
      <c r="F1413" s="1" t="s">
        <v>127</v>
      </c>
      <c r="G1413">
        <v>0</v>
      </c>
      <c r="H1413">
        <v>48</v>
      </c>
      <c r="I1413">
        <v>24</v>
      </c>
      <c r="J1413">
        <f>Table2[[#This Row],[Hits]]/Table2[[#This Row],[Points]]*100</f>
        <v>0</v>
      </c>
      <c r="K1413">
        <f>VLOOKUP(Table2[[#This Row],[Site]],'Site Info'!$A$1:$C$11,2, FALSE)</f>
        <v>33</v>
      </c>
      <c r="L1413">
        <f>VLOOKUP(Table2[[#This Row],[Site]],'Site Info'!$A$1:$C$11,3, FALSE)</f>
        <v>3</v>
      </c>
      <c r="M1413" t="str">
        <f>VLOOKUP(Table2[[#This Row],[Species]],'Species Table'!$A$1:$D$68,3, FALSE)</f>
        <v>NA</v>
      </c>
      <c r="O1413" s="15">
        <f>IF(SUMPRODUCT(($A$2:$A1413=A1413)*($B$2:$B1413=B1413)*($F$2:$F1413=F1413))&gt;1,0,1)</f>
        <v>0</v>
      </c>
      <c r="P1413" s="15">
        <f>IF(SUMPRODUCT(($A$2:$A1413=A1413)*($B$2:$B1413=B1413)*($D$2:$D1413=D1413))&gt;1,0,1)</f>
        <v>1</v>
      </c>
    </row>
    <row r="1414" spans="1:16" hidden="1" x14ac:dyDescent="0.35">
      <c r="A1414" t="s">
        <v>21</v>
      </c>
      <c r="B1414">
        <v>2016</v>
      </c>
      <c r="C1414" s="1" t="s">
        <v>182</v>
      </c>
      <c r="D1414">
        <v>9.1</v>
      </c>
      <c r="E1414">
        <f>INT(Table2[[#This Row],[Transect]])</f>
        <v>9</v>
      </c>
      <c r="F1414" s="1" t="s">
        <v>127</v>
      </c>
      <c r="G1414">
        <v>0</v>
      </c>
      <c r="H1414">
        <v>42</v>
      </c>
      <c r="I1414">
        <v>21</v>
      </c>
      <c r="J1414">
        <f>Table2[[#This Row],[Hits]]/Table2[[#This Row],[Points]]*100</f>
        <v>0</v>
      </c>
      <c r="K1414">
        <f>VLOOKUP(Table2[[#This Row],[Site]],'Site Info'!$A$1:$C$11,2, FALSE)</f>
        <v>33</v>
      </c>
      <c r="L1414">
        <f>VLOOKUP(Table2[[#This Row],[Site]],'Site Info'!$A$1:$C$11,3, FALSE)</f>
        <v>3</v>
      </c>
      <c r="M1414" t="str">
        <f>VLOOKUP(Table2[[#This Row],[Species]],'Species Table'!$A$1:$D$68,3, FALSE)</f>
        <v>NA</v>
      </c>
      <c r="O1414" s="15">
        <f>IF(SUMPRODUCT(($A$2:$A1414=A1414)*($B$2:$B1414=B1414)*($F$2:$F1414=F1414))&gt;1,0,1)</f>
        <v>0</v>
      </c>
      <c r="P1414" s="15">
        <f>IF(SUMPRODUCT(($A$2:$A1414=A1414)*($B$2:$B1414=B1414)*($D$2:$D1414=D1414))&gt;1,0,1)</f>
        <v>1</v>
      </c>
    </row>
    <row r="1415" spans="1:16" x14ac:dyDescent="0.35">
      <c r="A1415" t="s">
        <v>21</v>
      </c>
      <c r="B1415">
        <v>2016</v>
      </c>
      <c r="C1415" s="1" t="s">
        <v>181</v>
      </c>
      <c r="D1415">
        <v>10.1</v>
      </c>
      <c r="E1415">
        <f>INT(Table2[[#This Row],[Transect]])</f>
        <v>10</v>
      </c>
      <c r="F1415" s="1" t="s">
        <v>3</v>
      </c>
      <c r="G1415">
        <v>1</v>
      </c>
      <c r="H1415">
        <v>37</v>
      </c>
      <c r="I1415">
        <v>18.5</v>
      </c>
      <c r="J1415">
        <f>Table2[[#This Row],[Hits]]/Table2[[#This Row],[Points]]*100</f>
        <v>2.7027027027027026</v>
      </c>
      <c r="K1415">
        <f>VLOOKUP(Table2[[#This Row],[Site]],'Site Info'!$A$1:$C$11,2, FALSE)</f>
        <v>33</v>
      </c>
      <c r="L1415">
        <f>VLOOKUP(Table2[[#This Row],[Site]],'Site Info'!$A$1:$C$11,3, FALSE)</f>
        <v>3</v>
      </c>
      <c r="M1415" t="str">
        <f>VLOOKUP(Table2[[#This Row],[Species]],'Species Table'!$A$1:$D$68,3, FALSE)</f>
        <v>Perennial</v>
      </c>
      <c r="O1415" s="15">
        <f>IF(SUMPRODUCT(($A$2:$A1415=A1415)*($B$2:$B1415=B1415)*($F$2:$F1415=F1415))&gt;1,0,1)</f>
        <v>0</v>
      </c>
      <c r="P1415" s="15">
        <f>IF(SUMPRODUCT(($A$2:$A1415=A1415)*($B$2:$B1415=B1415)*($D$2:$D1415=D1415))&gt;1,0,1)</f>
        <v>1</v>
      </c>
    </row>
    <row r="1416" spans="1:16" hidden="1" x14ac:dyDescent="0.35">
      <c r="A1416" t="s">
        <v>21</v>
      </c>
      <c r="B1416">
        <v>2016</v>
      </c>
      <c r="C1416" s="1" t="s">
        <v>184</v>
      </c>
      <c r="D1416">
        <v>11.1</v>
      </c>
      <c r="E1416">
        <f>INT(Table2[[#This Row],[Transect]])</f>
        <v>11</v>
      </c>
      <c r="F1416" s="1" t="s">
        <v>127</v>
      </c>
      <c r="G1416">
        <v>0</v>
      </c>
      <c r="H1416">
        <v>32</v>
      </c>
      <c r="I1416">
        <v>16</v>
      </c>
      <c r="J1416">
        <f>Table2[[#This Row],[Hits]]/Table2[[#This Row],[Points]]*100</f>
        <v>0</v>
      </c>
      <c r="K1416">
        <f>VLOOKUP(Table2[[#This Row],[Site]],'Site Info'!$A$1:$C$11,2, FALSE)</f>
        <v>33</v>
      </c>
      <c r="L1416">
        <f>VLOOKUP(Table2[[#This Row],[Site]],'Site Info'!$A$1:$C$11,3, FALSE)</f>
        <v>3</v>
      </c>
      <c r="M1416" t="str">
        <f>VLOOKUP(Table2[[#This Row],[Species]],'Species Table'!$A$1:$D$68,3, FALSE)</f>
        <v>NA</v>
      </c>
      <c r="O1416" s="15">
        <f>IF(SUMPRODUCT(($A$2:$A1416=A1416)*($B$2:$B1416=B1416)*($F$2:$F1416=F1416))&gt;1,0,1)</f>
        <v>0</v>
      </c>
      <c r="P1416" s="15">
        <f>IF(SUMPRODUCT(($A$2:$A1416=A1416)*($B$2:$B1416=B1416)*($D$2:$D1416=D1416))&gt;1,0,1)</f>
        <v>1</v>
      </c>
    </row>
    <row r="1417" spans="1:16" hidden="1" x14ac:dyDescent="0.35">
      <c r="A1417" t="s">
        <v>21</v>
      </c>
      <c r="B1417">
        <v>2016</v>
      </c>
      <c r="C1417" s="1" t="s">
        <v>183</v>
      </c>
      <c r="D1417">
        <v>12.1</v>
      </c>
      <c r="E1417">
        <f>INT(Table2[[#This Row],[Transect]])</f>
        <v>12</v>
      </c>
      <c r="F1417" s="1" t="s">
        <v>127</v>
      </c>
      <c r="G1417">
        <v>0</v>
      </c>
      <c r="H1417">
        <v>28</v>
      </c>
      <c r="I1417">
        <v>14</v>
      </c>
      <c r="J1417">
        <f>Table2[[#This Row],[Hits]]/Table2[[#This Row],[Points]]*100</f>
        <v>0</v>
      </c>
      <c r="K1417">
        <f>VLOOKUP(Table2[[#This Row],[Site]],'Site Info'!$A$1:$C$11,2, FALSE)</f>
        <v>33</v>
      </c>
      <c r="L1417">
        <f>VLOOKUP(Table2[[#This Row],[Site]],'Site Info'!$A$1:$C$11,3, FALSE)</f>
        <v>3</v>
      </c>
      <c r="M1417" t="str">
        <f>VLOOKUP(Table2[[#This Row],[Species]],'Species Table'!$A$1:$D$68,3, FALSE)</f>
        <v>NA</v>
      </c>
      <c r="O1417" s="15">
        <f>IF(SUMPRODUCT(($A$2:$A1417=A1417)*($B$2:$B1417=B1417)*($F$2:$F1417=F1417))&gt;1,0,1)</f>
        <v>0</v>
      </c>
      <c r="P1417" s="15">
        <f>IF(SUMPRODUCT(($A$2:$A1417=A1417)*($B$2:$B1417=B1417)*($D$2:$D1417=D1417))&gt;1,0,1)</f>
        <v>1</v>
      </c>
    </row>
    <row r="1418" spans="1:16" hidden="1" x14ac:dyDescent="0.35">
      <c r="A1418" t="s">
        <v>21</v>
      </c>
      <c r="B1418">
        <v>2016</v>
      </c>
      <c r="C1418" s="1" t="s">
        <v>185</v>
      </c>
      <c r="D1418">
        <v>13.1</v>
      </c>
      <c r="E1418">
        <f>INT(Table2[[#This Row],[Transect]])</f>
        <v>13</v>
      </c>
      <c r="F1418" s="1" t="s">
        <v>127</v>
      </c>
      <c r="G1418">
        <v>0</v>
      </c>
      <c r="H1418">
        <v>29</v>
      </c>
      <c r="I1418">
        <v>14.5</v>
      </c>
      <c r="J1418">
        <f>Table2[[#This Row],[Hits]]/Table2[[#This Row],[Points]]*100</f>
        <v>0</v>
      </c>
      <c r="K1418">
        <f>VLOOKUP(Table2[[#This Row],[Site]],'Site Info'!$A$1:$C$11,2, FALSE)</f>
        <v>33</v>
      </c>
      <c r="L1418">
        <f>VLOOKUP(Table2[[#This Row],[Site]],'Site Info'!$A$1:$C$11,3, FALSE)</f>
        <v>3</v>
      </c>
      <c r="M1418" t="str">
        <f>VLOOKUP(Table2[[#This Row],[Species]],'Species Table'!$A$1:$D$68,3, FALSE)</f>
        <v>NA</v>
      </c>
      <c r="O1418" s="15">
        <f>IF(SUMPRODUCT(($A$2:$A1418=A1418)*($B$2:$B1418=B1418)*($F$2:$F1418=F1418))&gt;1,0,1)</f>
        <v>0</v>
      </c>
      <c r="P1418" s="15">
        <f>IF(SUMPRODUCT(($A$2:$A1418=A1418)*($B$2:$B1418=B1418)*($D$2:$D1418=D1418))&gt;1,0,1)</f>
        <v>1</v>
      </c>
    </row>
    <row r="1419" spans="1:16" hidden="1" x14ac:dyDescent="0.35">
      <c r="A1419" t="s">
        <v>21</v>
      </c>
      <c r="B1419">
        <v>2016</v>
      </c>
      <c r="C1419" s="1" t="s">
        <v>186</v>
      </c>
      <c r="D1419">
        <v>14.1</v>
      </c>
      <c r="E1419">
        <f>INT(Table2[[#This Row],[Transect]])</f>
        <v>14</v>
      </c>
      <c r="F1419" s="1" t="s">
        <v>127</v>
      </c>
      <c r="G1419">
        <v>0</v>
      </c>
      <c r="H1419">
        <v>23</v>
      </c>
      <c r="I1419">
        <v>11.5</v>
      </c>
      <c r="J1419">
        <f>Table2[[#This Row],[Hits]]/Table2[[#This Row],[Points]]*100</f>
        <v>0</v>
      </c>
      <c r="K1419">
        <f>VLOOKUP(Table2[[#This Row],[Site]],'Site Info'!$A$1:$C$11,2, FALSE)</f>
        <v>33</v>
      </c>
      <c r="L1419">
        <f>VLOOKUP(Table2[[#This Row],[Site]],'Site Info'!$A$1:$C$11,3, FALSE)</f>
        <v>3</v>
      </c>
      <c r="M1419" t="str">
        <f>VLOOKUP(Table2[[#This Row],[Species]],'Species Table'!$A$1:$D$68,3, FALSE)</f>
        <v>NA</v>
      </c>
      <c r="O1419" s="15">
        <f>IF(SUMPRODUCT(($A$2:$A1419=A1419)*($B$2:$B1419=B1419)*($F$2:$F1419=F1419))&gt;1,0,1)</f>
        <v>0</v>
      </c>
      <c r="P1419" s="15">
        <f>IF(SUMPRODUCT(($A$2:$A1419=A1419)*($B$2:$B1419=B1419)*($D$2:$D1419=D1419))&gt;1,0,1)</f>
        <v>1</v>
      </c>
    </row>
    <row r="1420" spans="1:16" hidden="1" x14ac:dyDescent="0.35">
      <c r="A1420" t="s">
        <v>21</v>
      </c>
      <c r="B1420">
        <v>2016</v>
      </c>
      <c r="C1420" s="1" t="s">
        <v>187</v>
      </c>
      <c r="D1420">
        <v>15.1</v>
      </c>
      <c r="E1420">
        <f>INT(Table2[[#This Row],[Transect]])</f>
        <v>15</v>
      </c>
      <c r="F1420" s="1" t="s">
        <v>127</v>
      </c>
      <c r="G1420">
        <v>0</v>
      </c>
      <c r="H1420">
        <v>18</v>
      </c>
      <c r="I1420">
        <v>9</v>
      </c>
      <c r="J1420">
        <f>Table2[[#This Row],[Hits]]/Table2[[#This Row],[Points]]*100</f>
        <v>0</v>
      </c>
      <c r="K1420">
        <f>VLOOKUP(Table2[[#This Row],[Site]],'Site Info'!$A$1:$C$11,2, FALSE)</f>
        <v>33</v>
      </c>
      <c r="L1420">
        <f>VLOOKUP(Table2[[#This Row],[Site]],'Site Info'!$A$1:$C$11,3, FALSE)</f>
        <v>3</v>
      </c>
      <c r="M1420" t="str">
        <f>VLOOKUP(Table2[[#This Row],[Species]],'Species Table'!$A$1:$D$68,3, FALSE)</f>
        <v>NA</v>
      </c>
      <c r="O1420" s="15">
        <f>IF(SUMPRODUCT(($A$2:$A1420=A1420)*($B$2:$B1420=B1420)*($F$2:$F1420=F1420))&gt;1,0,1)</f>
        <v>0</v>
      </c>
      <c r="P1420" s="15">
        <f>IF(SUMPRODUCT(($A$2:$A1420=A1420)*($B$2:$B1420=B1420)*($D$2:$D1420=D1420))&gt;1,0,1)</f>
        <v>1</v>
      </c>
    </row>
    <row r="1421" spans="1:16" hidden="1" x14ac:dyDescent="0.35">
      <c r="A1421" t="s">
        <v>21</v>
      </c>
      <c r="B1421">
        <v>2016</v>
      </c>
      <c r="C1421" s="1" t="s">
        <v>188</v>
      </c>
      <c r="D1421">
        <v>16.100000000000001</v>
      </c>
      <c r="E1421">
        <f>INT(Table2[[#This Row],[Transect]])</f>
        <v>16</v>
      </c>
      <c r="F1421" s="1" t="s">
        <v>127</v>
      </c>
      <c r="G1421">
        <v>0</v>
      </c>
      <c r="H1421">
        <v>13</v>
      </c>
      <c r="I1421">
        <v>6.5</v>
      </c>
      <c r="J1421">
        <f>Table2[[#This Row],[Hits]]/Table2[[#This Row],[Points]]*100</f>
        <v>0</v>
      </c>
      <c r="K1421">
        <f>VLOOKUP(Table2[[#This Row],[Site]],'Site Info'!$A$1:$C$11,2, FALSE)</f>
        <v>33</v>
      </c>
      <c r="L1421">
        <f>VLOOKUP(Table2[[#This Row],[Site]],'Site Info'!$A$1:$C$11,3, FALSE)</f>
        <v>3</v>
      </c>
      <c r="M1421" t="str">
        <f>VLOOKUP(Table2[[#This Row],[Species]],'Species Table'!$A$1:$D$68,3, FALSE)</f>
        <v>NA</v>
      </c>
      <c r="O1421" s="15">
        <f>IF(SUMPRODUCT(($A$2:$A1421=A1421)*($B$2:$B1421=B1421)*($F$2:$F1421=F1421))&gt;1,0,1)</f>
        <v>0</v>
      </c>
      <c r="P1421" s="15">
        <f>IF(SUMPRODUCT(($A$2:$A1421=A1421)*($B$2:$B1421=B1421)*($D$2:$D1421=D1421))&gt;1,0,1)</f>
        <v>1</v>
      </c>
    </row>
    <row r="1422" spans="1:16" hidden="1" x14ac:dyDescent="0.35">
      <c r="A1422" s="4" t="s">
        <v>138</v>
      </c>
      <c r="B1422">
        <v>2017</v>
      </c>
      <c r="C1422" s="2" t="s">
        <v>121</v>
      </c>
      <c r="D1422" s="5">
        <v>10.1</v>
      </c>
      <c r="E1422" s="5">
        <f>INT(Table2[[#This Row],[Transect]])</f>
        <v>10</v>
      </c>
      <c r="F1422" s="2" t="s">
        <v>10</v>
      </c>
      <c r="G1422" s="4">
        <v>15</v>
      </c>
      <c r="H1422">
        <f>I1422*2</f>
        <v>200</v>
      </c>
      <c r="I1422" s="4">
        <v>100</v>
      </c>
      <c r="J1422" s="4">
        <f>Table2[[#This Row],[Hits]]/Table2[[#This Row],[Points]]*100</f>
        <v>7.5</v>
      </c>
      <c r="K1422" s="4">
        <f>VLOOKUP(Table2[[#This Row],[Site]],'Site Info'!$A$1:$C$11,2, FALSE)</f>
        <v>11.5</v>
      </c>
      <c r="L1422" s="4">
        <f>VLOOKUP(Table2[[#This Row],[Site]],'Site Info'!$A$1:$C$11,3, FALSE)</f>
        <v>11</v>
      </c>
      <c r="M1422" t="str">
        <f>VLOOKUP(Table2[[#This Row],[Species]],'Species Table'!$A$1:$D$68,3, FALSE)</f>
        <v>Annual</v>
      </c>
      <c r="O1422" s="15">
        <f>IF(SUMPRODUCT(($A$2:$A1422=A1422)*($B$2:$B1422=B1422)*($F$2:$F1422=F1422))&gt;1,0,1)</f>
        <v>1</v>
      </c>
      <c r="P1422" s="15">
        <f>IF(SUMPRODUCT(($A$2:$A1422=A1422)*($B$2:$B1422=B1422)*($D$2:$D1422=D1422))&gt;1,0,1)</f>
        <v>1</v>
      </c>
    </row>
    <row r="1423" spans="1:16" x14ac:dyDescent="0.35">
      <c r="A1423" s="4" t="s">
        <v>138</v>
      </c>
      <c r="B1423">
        <v>2017</v>
      </c>
      <c r="C1423" s="2" t="s">
        <v>121</v>
      </c>
      <c r="D1423" s="5">
        <v>10.1</v>
      </c>
      <c r="E1423" s="5">
        <f>INT(Table2[[#This Row],[Transect]])</f>
        <v>10</v>
      </c>
      <c r="F1423" s="2" t="s">
        <v>23</v>
      </c>
      <c r="G1423" s="4">
        <v>2</v>
      </c>
      <c r="H1423">
        <f t="shared" ref="H1423:H1486" si="7">I1423*2</f>
        <v>200</v>
      </c>
      <c r="I1423" s="4">
        <v>100</v>
      </c>
      <c r="J1423" s="4">
        <f>Table2[[#This Row],[Hits]]/Table2[[#This Row],[Points]]*100</f>
        <v>1</v>
      </c>
      <c r="K1423" s="4">
        <f>VLOOKUP(Table2[[#This Row],[Site]],'Site Info'!$A$1:$C$11,2, FALSE)</f>
        <v>11.5</v>
      </c>
      <c r="L1423" s="4">
        <f>VLOOKUP(Table2[[#This Row],[Site]],'Site Info'!$A$1:$C$11,3, FALSE)</f>
        <v>11</v>
      </c>
      <c r="M1423" t="str">
        <f>VLOOKUP(Table2[[#This Row],[Species]],'Species Table'!$A$1:$D$68,3, FALSE)</f>
        <v>Perennial</v>
      </c>
      <c r="O1423" s="15">
        <f>IF(SUMPRODUCT(($A$2:$A1423=A1423)*($B$2:$B1423=B1423)*($F$2:$F1423=F1423))&gt;1,0,1)</f>
        <v>1</v>
      </c>
      <c r="P1423" s="15">
        <f>IF(SUMPRODUCT(($A$2:$A1423=A1423)*($B$2:$B1423=B1423)*($D$2:$D1423=D1423))&gt;1,0,1)</f>
        <v>0</v>
      </c>
    </row>
    <row r="1424" spans="1:16" hidden="1" x14ac:dyDescent="0.35">
      <c r="A1424" s="4" t="s">
        <v>138</v>
      </c>
      <c r="B1424">
        <v>2017</v>
      </c>
      <c r="C1424" s="2" t="s">
        <v>121</v>
      </c>
      <c r="D1424" s="5">
        <v>10.1</v>
      </c>
      <c r="E1424" s="5">
        <f>INT(Table2[[#This Row],[Transect]])</f>
        <v>10</v>
      </c>
      <c r="F1424" s="2" t="s">
        <v>189</v>
      </c>
      <c r="G1424" s="4">
        <v>1</v>
      </c>
      <c r="H1424">
        <f t="shared" si="7"/>
        <v>200</v>
      </c>
      <c r="I1424" s="4">
        <v>100</v>
      </c>
      <c r="J1424" s="4">
        <f>Table2[[#This Row],[Hits]]/Table2[[#This Row],[Points]]*100</f>
        <v>0.5</v>
      </c>
      <c r="K1424" s="4">
        <f>VLOOKUP(Table2[[#This Row],[Site]],'Site Info'!$A$1:$C$11,2, FALSE)</f>
        <v>11.5</v>
      </c>
      <c r="L1424" s="4">
        <f>VLOOKUP(Table2[[#This Row],[Site]],'Site Info'!$A$1:$C$11,3, FALSE)</f>
        <v>11</v>
      </c>
      <c r="M1424" t="str">
        <f>VLOOKUP(Table2[[#This Row],[Species]],'Species Table'!$A$1:$D$68,3, FALSE)</f>
        <v>Annual</v>
      </c>
      <c r="O1424" s="15">
        <f>IF(SUMPRODUCT(($A$2:$A1424=A1424)*($B$2:$B1424=B1424)*($F$2:$F1424=F1424))&gt;1,0,1)</f>
        <v>1</v>
      </c>
      <c r="P1424" s="15">
        <f>IF(SUMPRODUCT(($A$2:$A1424=A1424)*($B$2:$B1424=B1424)*($D$2:$D1424=D1424))&gt;1,0,1)</f>
        <v>0</v>
      </c>
    </row>
    <row r="1425" spans="1:16" x14ac:dyDescent="0.35">
      <c r="A1425" s="4" t="s">
        <v>138</v>
      </c>
      <c r="B1425">
        <v>2017</v>
      </c>
      <c r="C1425" s="2" t="s">
        <v>121</v>
      </c>
      <c r="D1425" s="5">
        <v>10.1</v>
      </c>
      <c r="E1425" s="5">
        <f>INT(Table2[[#This Row],[Transect]])</f>
        <v>10</v>
      </c>
      <c r="F1425" s="2" t="s">
        <v>190</v>
      </c>
      <c r="G1425" s="4">
        <v>6</v>
      </c>
      <c r="H1425">
        <f t="shared" si="7"/>
        <v>200</v>
      </c>
      <c r="I1425" s="4">
        <v>100</v>
      </c>
      <c r="J1425" s="4">
        <f>Table2[[#This Row],[Hits]]/Table2[[#This Row],[Points]]*100</f>
        <v>3</v>
      </c>
      <c r="K1425" s="4">
        <f>VLOOKUP(Table2[[#This Row],[Site]],'Site Info'!$A$1:$C$11,2, FALSE)</f>
        <v>11.5</v>
      </c>
      <c r="L1425" s="4">
        <f>VLOOKUP(Table2[[#This Row],[Site]],'Site Info'!$A$1:$C$11,3, FALSE)</f>
        <v>11</v>
      </c>
      <c r="M1425" t="str">
        <f>VLOOKUP(Table2[[#This Row],[Species]],'Species Table'!$A$1:$D$68,3, FALSE)</f>
        <v>Perennial</v>
      </c>
      <c r="O1425" s="15">
        <f>IF(SUMPRODUCT(($A$2:$A1425=A1425)*($B$2:$B1425=B1425)*($F$2:$F1425=F1425))&gt;1,0,1)</f>
        <v>1</v>
      </c>
      <c r="P1425" s="15">
        <f>IF(SUMPRODUCT(($A$2:$A1425=A1425)*($B$2:$B1425=B1425)*($D$2:$D1425=D1425))&gt;1,0,1)</f>
        <v>0</v>
      </c>
    </row>
    <row r="1426" spans="1:16" hidden="1" x14ac:dyDescent="0.35">
      <c r="A1426" s="4" t="s">
        <v>138</v>
      </c>
      <c r="B1426">
        <v>2017</v>
      </c>
      <c r="C1426" s="2" t="s">
        <v>121</v>
      </c>
      <c r="D1426" s="5">
        <v>10.1</v>
      </c>
      <c r="E1426" s="5">
        <f>INT(Table2[[#This Row],[Transect]])</f>
        <v>10</v>
      </c>
      <c r="F1426" s="2" t="s">
        <v>191</v>
      </c>
      <c r="G1426" s="4">
        <v>4</v>
      </c>
      <c r="H1426">
        <f t="shared" si="7"/>
        <v>200</v>
      </c>
      <c r="I1426" s="4">
        <v>100</v>
      </c>
      <c r="J1426" s="4">
        <f>Table2[[#This Row],[Hits]]/Table2[[#This Row],[Points]]*100</f>
        <v>2</v>
      </c>
      <c r="K1426" s="4">
        <f>VLOOKUP(Table2[[#This Row],[Site]],'Site Info'!$A$1:$C$11,2, FALSE)</f>
        <v>11.5</v>
      </c>
      <c r="L1426" s="4">
        <f>VLOOKUP(Table2[[#This Row],[Site]],'Site Info'!$A$1:$C$11,3, FALSE)</f>
        <v>11</v>
      </c>
      <c r="M1426" t="str">
        <f>VLOOKUP(Table2[[#This Row],[Species]],'Species Table'!$A$1:$D$68,3, FALSE)</f>
        <v>Annual/Biennial</v>
      </c>
      <c r="O1426" s="15">
        <f>IF(SUMPRODUCT(($A$2:$A1426=A1426)*($B$2:$B1426=B1426)*($F$2:$F1426=F1426))&gt;1,0,1)</f>
        <v>1</v>
      </c>
      <c r="P1426" s="15">
        <f>IF(SUMPRODUCT(($A$2:$A1426=A1426)*($B$2:$B1426=B1426)*($D$2:$D1426=D1426))&gt;1,0,1)</f>
        <v>0</v>
      </c>
    </row>
    <row r="1427" spans="1:16" x14ac:dyDescent="0.35">
      <c r="A1427" s="4" t="s">
        <v>138</v>
      </c>
      <c r="B1427">
        <v>2017</v>
      </c>
      <c r="C1427" s="2" t="s">
        <v>121</v>
      </c>
      <c r="D1427" s="5">
        <v>10.1</v>
      </c>
      <c r="E1427" s="5">
        <f>INT(Table2[[#This Row],[Transect]])</f>
        <v>10</v>
      </c>
      <c r="F1427" s="2" t="s">
        <v>175</v>
      </c>
      <c r="G1427" s="4">
        <v>4</v>
      </c>
      <c r="H1427">
        <f t="shared" si="7"/>
        <v>200</v>
      </c>
      <c r="I1427" s="4">
        <v>100</v>
      </c>
      <c r="J1427" s="4">
        <f>Table2[[#This Row],[Hits]]/Table2[[#This Row],[Points]]*100</f>
        <v>2</v>
      </c>
      <c r="K1427" s="4">
        <f>VLOOKUP(Table2[[#This Row],[Site]],'Site Info'!$A$1:$C$11,2, FALSE)</f>
        <v>11.5</v>
      </c>
      <c r="L1427" s="4">
        <f>VLOOKUP(Table2[[#This Row],[Site]],'Site Info'!$A$1:$C$11,3, FALSE)</f>
        <v>11</v>
      </c>
      <c r="M1427" t="str">
        <f>VLOOKUP(Table2[[#This Row],[Species]],'Species Table'!$A$1:$D$68,3, FALSE)</f>
        <v>Perennial</v>
      </c>
      <c r="O1427" s="15">
        <f>IF(SUMPRODUCT(($A$2:$A1427=A1427)*($B$2:$B1427=B1427)*($F$2:$F1427=F1427))&gt;1,0,1)</f>
        <v>1</v>
      </c>
      <c r="P1427" s="15">
        <f>IF(SUMPRODUCT(($A$2:$A1427=A1427)*($B$2:$B1427=B1427)*($D$2:$D1427=D1427))&gt;1,0,1)</f>
        <v>0</v>
      </c>
    </row>
    <row r="1428" spans="1:16" x14ac:dyDescent="0.35">
      <c r="A1428" s="4" t="s">
        <v>138</v>
      </c>
      <c r="B1428">
        <v>2017</v>
      </c>
      <c r="C1428" s="2" t="s">
        <v>121</v>
      </c>
      <c r="D1428" s="5">
        <v>10.1</v>
      </c>
      <c r="E1428" s="5">
        <f>INT(Table2[[#This Row],[Transect]])</f>
        <v>10</v>
      </c>
      <c r="F1428" s="2" t="s">
        <v>173</v>
      </c>
      <c r="G1428" s="4">
        <v>54</v>
      </c>
      <c r="H1428">
        <f t="shared" si="7"/>
        <v>200</v>
      </c>
      <c r="I1428" s="4">
        <v>100</v>
      </c>
      <c r="J1428" s="4">
        <f>Table2[[#This Row],[Hits]]/Table2[[#This Row],[Points]]*100</f>
        <v>27</v>
      </c>
      <c r="K1428" s="4">
        <f>VLOOKUP(Table2[[#This Row],[Site]],'Site Info'!$A$1:$C$11,2, FALSE)</f>
        <v>11.5</v>
      </c>
      <c r="L1428" s="4">
        <f>VLOOKUP(Table2[[#This Row],[Site]],'Site Info'!$A$1:$C$11,3, FALSE)</f>
        <v>11</v>
      </c>
      <c r="M1428" t="str">
        <f>VLOOKUP(Table2[[#This Row],[Species]],'Species Table'!$A$1:$D$68,3, FALSE)</f>
        <v>Perennial</v>
      </c>
      <c r="O1428" s="15">
        <f>IF(SUMPRODUCT(($A$2:$A1428=A1428)*($B$2:$B1428=B1428)*($F$2:$F1428=F1428))&gt;1,0,1)</f>
        <v>1</v>
      </c>
      <c r="P1428" s="15">
        <f>IF(SUMPRODUCT(($A$2:$A1428=A1428)*($B$2:$B1428=B1428)*($D$2:$D1428=D1428))&gt;1,0,1)</f>
        <v>0</v>
      </c>
    </row>
    <row r="1429" spans="1:16" hidden="1" x14ac:dyDescent="0.35">
      <c r="A1429" s="4" t="s">
        <v>138</v>
      </c>
      <c r="B1429">
        <v>2017</v>
      </c>
      <c r="C1429" s="2" t="s">
        <v>121</v>
      </c>
      <c r="D1429" s="5">
        <v>10.1</v>
      </c>
      <c r="E1429" s="5">
        <f>INT(Table2[[#This Row],[Transect]])</f>
        <v>10</v>
      </c>
      <c r="F1429" t="s">
        <v>237</v>
      </c>
      <c r="G1429" s="4">
        <v>1</v>
      </c>
      <c r="H1429">
        <f t="shared" si="7"/>
        <v>200</v>
      </c>
      <c r="I1429" s="4">
        <v>100</v>
      </c>
      <c r="J1429" s="4">
        <f>Table2[[#This Row],[Hits]]/Table2[[#This Row],[Points]]*100</f>
        <v>0.5</v>
      </c>
      <c r="K1429" s="4">
        <f>VLOOKUP(Table2[[#This Row],[Site]],'Site Info'!$A$1:$C$11,2, FALSE)</f>
        <v>11.5</v>
      </c>
      <c r="L1429" s="4">
        <f>VLOOKUP(Table2[[#This Row],[Site]],'Site Info'!$A$1:$C$11,3, FALSE)</f>
        <v>11</v>
      </c>
      <c r="M1429" t="str">
        <f>VLOOKUP(Table2[[#This Row],[Species]],'Species Table'!$A$1:$D$68,3, FALSE)</f>
        <v>Unknown</v>
      </c>
      <c r="N1429" s="4" t="s">
        <v>221</v>
      </c>
      <c r="O1429" s="15">
        <f>IF(SUMPRODUCT(($A$2:$A1429=A1429)*($B$2:$B1429=B1429)*($F$2:$F1429=F1429))&gt;1,0,1)</f>
        <v>1</v>
      </c>
      <c r="P1429" s="15">
        <f>IF(SUMPRODUCT(($A$2:$A1429=A1429)*($B$2:$B1429=B1429)*($D$2:$D1429=D1429))&gt;1,0,1)</f>
        <v>0</v>
      </c>
    </row>
    <row r="1430" spans="1:16" hidden="1" x14ac:dyDescent="0.35">
      <c r="A1430" s="4" t="s">
        <v>138</v>
      </c>
      <c r="B1430">
        <v>2017</v>
      </c>
      <c r="C1430" s="2" t="s">
        <v>121</v>
      </c>
      <c r="D1430" s="5">
        <v>10.1</v>
      </c>
      <c r="E1430" s="5">
        <f>INT(Table2[[#This Row],[Transect]])</f>
        <v>10</v>
      </c>
      <c r="F1430" s="2" t="s">
        <v>192</v>
      </c>
      <c r="G1430" s="4">
        <v>3</v>
      </c>
      <c r="H1430">
        <f t="shared" si="7"/>
        <v>200</v>
      </c>
      <c r="I1430" s="4">
        <v>100</v>
      </c>
      <c r="J1430" s="4">
        <f>Table2[[#This Row],[Hits]]/Table2[[#This Row],[Points]]*100</f>
        <v>1.5</v>
      </c>
      <c r="K1430" s="4">
        <f>VLOOKUP(Table2[[#This Row],[Site]],'Site Info'!$A$1:$C$11,2, FALSE)</f>
        <v>11.5</v>
      </c>
      <c r="L1430" s="4">
        <f>VLOOKUP(Table2[[#This Row],[Site]],'Site Info'!$A$1:$C$11,3, FALSE)</f>
        <v>11</v>
      </c>
      <c r="M1430" t="str">
        <f>VLOOKUP(Table2[[#This Row],[Species]],'Species Table'!$A$1:$D$68,3, FALSE)</f>
        <v>Annual</v>
      </c>
      <c r="N1430" s="4"/>
      <c r="O1430" s="15">
        <f>IF(SUMPRODUCT(($A$2:$A1430=A1430)*($B$2:$B1430=B1430)*($F$2:$F1430=F1430))&gt;1,0,1)</f>
        <v>1</v>
      </c>
      <c r="P1430" s="15">
        <f>IF(SUMPRODUCT(($A$2:$A1430=A1430)*($B$2:$B1430=B1430)*($D$2:$D1430=D1430))&gt;1,0,1)</f>
        <v>0</v>
      </c>
    </row>
    <row r="1431" spans="1:16" hidden="1" x14ac:dyDescent="0.35">
      <c r="A1431" s="4" t="s">
        <v>138</v>
      </c>
      <c r="B1431">
        <v>2017</v>
      </c>
      <c r="C1431" s="2" t="s">
        <v>121</v>
      </c>
      <c r="D1431" s="5">
        <v>10.1</v>
      </c>
      <c r="E1431" s="5">
        <f>INT(Table2[[#This Row],[Transect]])</f>
        <v>10</v>
      </c>
      <c r="F1431" s="2" t="s">
        <v>193</v>
      </c>
      <c r="G1431" s="4">
        <v>3</v>
      </c>
      <c r="H1431">
        <f t="shared" si="7"/>
        <v>200</v>
      </c>
      <c r="I1431" s="4">
        <v>100</v>
      </c>
      <c r="J1431" s="4">
        <f>Table2[[#This Row],[Hits]]/Table2[[#This Row],[Points]]*100</f>
        <v>1.5</v>
      </c>
      <c r="K1431" s="4">
        <f>VLOOKUP(Table2[[#This Row],[Site]],'Site Info'!$A$1:$C$11,2, FALSE)</f>
        <v>11.5</v>
      </c>
      <c r="L1431" s="4">
        <f>VLOOKUP(Table2[[#This Row],[Site]],'Site Info'!$A$1:$C$11,3, FALSE)</f>
        <v>11</v>
      </c>
      <c r="M1431" t="str">
        <f>VLOOKUP(Table2[[#This Row],[Species]],'Species Table'!$A$1:$D$68,3, FALSE)</f>
        <v>Annual</v>
      </c>
      <c r="N1431" s="4"/>
      <c r="O1431" s="15">
        <f>IF(SUMPRODUCT(($A$2:$A1431=A1431)*($B$2:$B1431=B1431)*($F$2:$F1431=F1431))&gt;1,0,1)</f>
        <v>1</v>
      </c>
      <c r="P1431" s="15">
        <f>IF(SUMPRODUCT(($A$2:$A1431=A1431)*($B$2:$B1431=B1431)*($D$2:$D1431=D1431))&gt;1,0,1)</f>
        <v>0</v>
      </c>
    </row>
    <row r="1432" spans="1:16" x14ac:dyDescent="0.35">
      <c r="A1432" s="4" t="s">
        <v>138</v>
      </c>
      <c r="B1432">
        <v>2017</v>
      </c>
      <c r="C1432" s="2" t="s">
        <v>121</v>
      </c>
      <c r="D1432" s="5">
        <v>10.1</v>
      </c>
      <c r="E1432" s="5">
        <f>INT(Table2[[#This Row],[Transect]])</f>
        <v>10</v>
      </c>
      <c r="F1432" s="2" t="s">
        <v>2</v>
      </c>
      <c r="G1432" s="4">
        <v>2</v>
      </c>
      <c r="H1432">
        <f t="shared" si="7"/>
        <v>200</v>
      </c>
      <c r="I1432" s="4">
        <v>100</v>
      </c>
      <c r="J1432" s="4">
        <f>Table2[[#This Row],[Hits]]/Table2[[#This Row],[Points]]*100</f>
        <v>1</v>
      </c>
      <c r="K1432" s="4">
        <f>VLOOKUP(Table2[[#This Row],[Site]],'Site Info'!$A$1:$C$11,2, FALSE)</f>
        <v>11.5</v>
      </c>
      <c r="L1432" s="4">
        <f>VLOOKUP(Table2[[#This Row],[Site]],'Site Info'!$A$1:$C$11,3, FALSE)</f>
        <v>11</v>
      </c>
      <c r="M1432" t="str">
        <f>VLOOKUP(Table2[[#This Row],[Species]],'Species Table'!$A$1:$D$68,3, FALSE)</f>
        <v>Perennial</v>
      </c>
      <c r="N1432" s="4"/>
      <c r="O1432" s="15">
        <f>IF(SUMPRODUCT(($A$2:$A1432=A1432)*($B$2:$B1432=B1432)*($F$2:$F1432=F1432))&gt;1,0,1)</f>
        <v>1</v>
      </c>
      <c r="P1432" s="15">
        <f>IF(SUMPRODUCT(($A$2:$A1432=A1432)*($B$2:$B1432=B1432)*($D$2:$D1432=D1432))&gt;1,0,1)</f>
        <v>0</v>
      </c>
    </row>
    <row r="1433" spans="1:16" x14ac:dyDescent="0.35">
      <c r="A1433" s="4" t="s">
        <v>138</v>
      </c>
      <c r="B1433">
        <v>2017</v>
      </c>
      <c r="C1433" s="2" t="s">
        <v>121</v>
      </c>
      <c r="D1433" s="5">
        <v>10.1</v>
      </c>
      <c r="E1433" s="5">
        <f>INT(Table2[[#This Row],[Transect]])</f>
        <v>10</v>
      </c>
      <c r="F1433" s="2" t="s">
        <v>194</v>
      </c>
      <c r="G1433" s="4">
        <v>5</v>
      </c>
      <c r="H1433">
        <f t="shared" si="7"/>
        <v>200</v>
      </c>
      <c r="I1433" s="4">
        <v>100</v>
      </c>
      <c r="J1433" s="4">
        <f>Table2[[#This Row],[Hits]]/Table2[[#This Row],[Points]]*100</f>
        <v>2.5</v>
      </c>
      <c r="K1433" s="4">
        <f>VLOOKUP(Table2[[#This Row],[Site]],'Site Info'!$A$1:$C$11,2, FALSE)</f>
        <v>11.5</v>
      </c>
      <c r="L1433" s="4">
        <f>VLOOKUP(Table2[[#This Row],[Site]],'Site Info'!$A$1:$C$11,3, FALSE)</f>
        <v>11</v>
      </c>
      <c r="M1433" t="str">
        <f>VLOOKUP(Table2[[#This Row],[Species]],'Species Table'!$A$1:$D$68,3, FALSE)</f>
        <v>Perennial</v>
      </c>
      <c r="N1433" s="4"/>
      <c r="O1433" s="15">
        <f>IF(SUMPRODUCT(($A$2:$A1433=A1433)*($B$2:$B1433=B1433)*($F$2:$F1433=F1433))&gt;1,0,1)</f>
        <v>1</v>
      </c>
      <c r="P1433" s="15">
        <f>IF(SUMPRODUCT(($A$2:$A1433=A1433)*($B$2:$B1433=B1433)*($D$2:$D1433=D1433))&gt;1,0,1)</f>
        <v>0</v>
      </c>
    </row>
    <row r="1434" spans="1:16" x14ac:dyDescent="0.35">
      <c r="A1434" s="4" t="s">
        <v>138</v>
      </c>
      <c r="B1434">
        <v>2017</v>
      </c>
      <c r="C1434" s="2" t="s">
        <v>121</v>
      </c>
      <c r="D1434" s="5">
        <v>10.1</v>
      </c>
      <c r="E1434" s="5">
        <f>INT(Table2[[#This Row],[Transect]])</f>
        <v>10</v>
      </c>
      <c r="F1434" s="2" t="s">
        <v>195</v>
      </c>
      <c r="G1434" s="4">
        <v>3</v>
      </c>
      <c r="H1434">
        <f t="shared" si="7"/>
        <v>200</v>
      </c>
      <c r="I1434" s="4">
        <v>100</v>
      </c>
      <c r="J1434" s="4">
        <f>Table2[[#This Row],[Hits]]/Table2[[#This Row],[Points]]*100</f>
        <v>1.5</v>
      </c>
      <c r="K1434" s="4">
        <f>VLOOKUP(Table2[[#This Row],[Site]],'Site Info'!$A$1:$C$11,2, FALSE)</f>
        <v>11.5</v>
      </c>
      <c r="L1434" s="4">
        <f>VLOOKUP(Table2[[#This Row],[Site]],'Site Info'!$A$1:$C$11,3, FALSE)</f>
        <v>11</v>
      </c>
      <c r="M1434" t="str">
        <f>VLOOKUP(Table2[[#This Row],[Species]],'Species Table'!$A$1:$D$68,3, FALSE)</f>
        <v>Perennial</v>
      </c>
      <c r="N1434" s="4"/>
      <c r="O1434" s="15">
        <f>IF(SUMPRODUCT(($A$2:$A1434=A1434)*($B$2:$B1434=B1434)*($F$2:$F1434=F1434))&gt;1,0,1)</f>
        <v>1</v>
      </c>
      <c r="P1434" s="15">
        <f>IF(SUMPRODUCT(($A$2:$A1434=A1434)*($B$2:$B1434=B1434)*($D$2:$D1434=D1434))&gt;1,0,1)</f>
        <v>0</v>
      </c>
    </row>
    <row r="1435" spans="1:16" x14ac:dyDescent="0.35">
      <c r="A1435" s="4" t="s">
        <v>138</v>
      </c>
      <c r="B1435">
        <v>2017</v>
      </c>
      <c r="C1435" s="2" t="s">
        <v>121</v>
      </c>
      <c r="D1435" s="5">
        <v>10.1</v>
      </c>
      <c r="E1435" s="5">
        <f>INT(Table2[[#This Row],[Transect]])</f>
        <v>10</v>
      </c>
      <c r="F1435" s="2" t="s">
        <v>196</v>
      </c>
      <c r="G1435" s="4">
        <v>5</v>
      </c>
      <c r="H1435">
        <f t="shared" si="7"/>
        <v>200</v>
      </c>
      <c r="I1435" s="4">
        <v>100</v>
      </c>
      <c r="J1435" s="4">
        <f>Table2[[#This Row],[Hits]]/Table2[[#This Row],[Points]]*100</f>
        <v>2.5</v>
      </c>
      <c r="K1435" s="4">
        <f>VLOOKUP(Table2[[#This Row],[Site]],'Site Info'!$A$1:$C$11,2, FALSE)</f>
        <v>11.5</v>
      </c>
      <c r="L1435" s="4">
        <f>VLOOKUP(Table2[[#This Row],[Site]],'Site Info'!$A$1:$C$11,3, FALSE)</f>
        <v>11</v>
      </c>
      <c r="M1435" t="str">
        <f>VLOOKUP(Table2[[#This Row],[Species]],'Species Table'!$A$1:$D$68,3, FALSE)</f>
        <v>Perennial</v>
      </c>
      <c r="N1435" s="4"/>
      <c r="O1435" s="15">
        <f>IF(SUMPRODUCT(($A$2:$A1435=A1435)*($B$2:$B1435=B1435)*($F$2:$F1435=F1435))&gt;1,0,1)</f>
        <v>1</v>
      </c>
      <c r="P1435" s="15">
        <f>IF(SUMPRODUCT(($A$2:$A1435=A1435)*($B$2:$B1435=B1435)*($D$2:$D1435=D1435))&gt;1,0,1)</f>
        <v>0</v>
      </c>
    </row>
    <row r="1436" spans="1:16" x14ac:dyDescent="0.35">
      <c r="A1436" s="4" t="s">
        <v>138</v>
      </c>
      <c r="B1436">
        <v>2017</v>
      </c>
      <c r="C1436" s="2" t="s">
        <v>121</v>
      </c>
      <c r="D1436" s="5">
        <v>10.1</v>
      </c>
      <c r="E1436" s="5">
        <f>INT(Table2[[#This Row],[Transect]])</f>
        <v>10</v>
      </c>
      <c r="F1436" s="2" t="s">
        <v>174</v>
      </c>
      <c r="G1436" s="4">
        <v>1</v>
      </c>
      <c r="H1436">
        <f t="shared" si="7"/>
        <v>200</v>
      </c>
      <c r="I1436" s="4">
        <v>100</v>
      </c>
      <c r="J1436" s="4">
        <f>Table2[[#This Row],[Hits]]/Table2[[#This Row],[Points]]*100</f>
        <v>0.5</v>
      </c>
      <c r="K1436" s="4">
        <f>VLOOKUP(Table2[[#This Row],[Site]],'Site Info'!$A$1:$C$11,2, FALSE)</f>
        <v>11.5</v>
      </c>
      <c r="L1436" s="4">
        <f>VLOOKUP(Table2[[#This Row],[Site]],'Site Info'!$A$1:$C$11,3, FALSE)</f>
        <v>11</v>
      </c>
      <c r="M1436" t="str">
        <f>VLOOKUP(Table2[[#This Row],[Species]],'Species Table'!$A$1:$D$68,3, FALSE)</f>
        <v>Perennial</v>
      </c>
      <c r="N1436" s="4"/>
      <c r="O1436" s="15">
        <f>IF(SUMPRODUCT(($A$2:$A1436=A1436)*($B$2:$B1436=B1436)*($F$2:$F1436=F1436))&gt;1,0,1)</f>
        <v>1</v>
      </c>
      <c r="P1436" s="15">
        <f>IF(SUMPRODUCT(($A$2:$A1436=A1436)*($B$2:$B1436=B1436)*($D$2:$D1436=D1436))&gt;1,0,1)</f>
        <v>0</v>
      </c>
    </row>
    <row r="1437" spans="1:16" x14ac:dyDescent="0.35">
      <c r="A1437" s="4" t="s">
        <v>138</v>
      </c>
      <c r="B1437">
        <v>2017</v>
      </c>
      <c r="C1437" s="2" t="s">
        <v>121</v>
      </c>
      <c r="D1437" s="5">
        <v>10.1</v>
      </c>
      <c r="E1437" s="5">
        <f>INT(Table2[[#This Row],[Transect]])</f>
        <v>10</v>
      </c>
      <c r="F1437" s="2" t="s">
        <v>170</v>
      </c>
      <c r="G1437" s="4">
        <v>2</v>
      </c>
      <c r="H1437">
        <f t="shared" si="7"/>
        <v>200</v>
      </c>
      <c r="I1437" s="4">
        <v>100</v>
      </c>
      <c r="J1437" s="4">
        <f>Table2[[#This Row],[Hits]]/Table2[[#This Row],[Points]]*100</f>
        <v>1</v>
      </c>
      <c r="K1437" s="4">
        <f>VLOOKUP(Table2[[#This Row],[Site]],'Site Info'!$A$1:$C$11,2, FALSE)</f>
        <v>11.5</v>
      </c>
      <c r="L1437" s="4">
        <f>VLOOKUP(Table2[[#This Row],[Site]],'Site Info'!$A$1:$C$11,3, FALSE)</f>
        <v>11</v>
      </c>
      <c r="M1437" t="str">
        <f>VLOOKUP(Table2[[#This Row],[Species]],'Species Table'!$A$1:$D$68,3, FALSE)</f>
        <v>Perennial</v>
      </c>
      <c r="N1437" s="4"/>
      <c r="O1437" s="15">
        <f>IF(SUMPRODUCT(($A$2:$A1437=A1437)*($B$2:$B1437=B1437)*($F$2:$F1437=F1437))&gt;1,0,1)</f>
        <v>1</v>
      </c>
      <c r="P1437" s="15">
        <f>IF(SUMPRODUCT(($A$2:$A1437=A1437)*($B$2:$B1437=B1437)*($D$2:$D1437=D1437))&gt;1,0,1)</f>
        <v>0</v>
      </c>
    </row>
    <row r="1438" spans="1:16" hidden="1" x14ac:dyDescent="0.35">
      <c r="A1438" s="4" t="s">
        <v>138</v>
      </c>
      <c r="B1438">
        <v>2017</v>
      </c>
      <c r="C1438" s="2" t="s">
        <v>121</v>
      </c>
      <c r="D1438" s="5">
        <v>10.1</v>
      </c>
      <c r="E1438" s="5">
        <f>INT(Table2[[#This Row],[Transect]])</f>
        <v>10</v>
      </c>
      <c r="F1438" s="2" t="s">
        <v>197</v>
      </c>
      <c r="G1438" s="4">
        <v>1</v>
      </c>
      <c r="H1438">
        <f t="shared" si="7"/>
        <v>200</v>
      </c>
      <c r="I1438" s="4">
        <v>100</v>
      </c>
      <c r="J1438" s="4">
        <f>Table2[[#This Row],[Hits]]/Table2[[#This Row],[Points]]*100</f>
        <v>0.5</v>
      </c>
      <c r="K1438" s="4">
        <f>VLOOKUP(Table2[[#This Row],[Site]],'Site Info'!$A$1:$C$11,2, FALSE)</f>
        <v>11.5</v>
      </c>
      <c r="L1438" s="4">
        <f>VLOOKUP(Table2[[#This Row],[Site]],'Site Info'!$A$1:$C$11,3, FALSE)</f>
        <v>11</v>
      </c>
      <c r="M1438" t="str">
        <f>VLOOKUP(Table2[[#This Row],[Species]],'Species Table'!$A$1:$D$68,3, FALSE)</f>
        <v>Annual</v>
      </c>
      <c r="N1438" s="4"/>
      <c r="O1438" s="15">
        <f>IF(SUMPRODUCT(($A$2:$A1438=A1438)*($B$2:$B1438=B1438)*($F$2:$F1438=F1438))&gt;1,0,1)</f>
        <v>1</v>
      </c>
      <c r="P1438" s="15">
        <f>IF(SUMPRODUCT(($A$2:$A1438=A1438)*($B$2:$B1438=B1438)*($D$2:$D1438=D1438))&gt;1,0,1)</f>
        <v>0</v>
      </c>
    </row>
    <row r="1439" spans="1:16" x14ac:dyDescent="0.35">
      <c r="A1439" s="4" t="s">
        <v>138</v>
      </c>
      <c r="B1439">
        <v>2017</v>
      </c>
      <c r="C1439" s="2" t="s">
        <v>121</v>
      </c>
      <c r="D1439" s="5">
        <v>10.1</v>
      </c>
      <c r="E1439" s="5">
        <f>INT(Table2[[#This Row],[Transect]])</f>
        <v>10</v>
      </c>
      <c r="F1439" s="2" t="s">
        <v>198</v>
      </c>
      <c r="G1439" s="4">
        <v>1</v>
      </c>
      <c r="H1439">
        <f t="shared" si="7"/>
        <v>200</v>
      </c>
      <c r="I1439" s="4">
        <v>100</v>
      </c>
      <c r="J1439" s="4">
        <f>Table2[[#This Row],[Hits]]/Table2[[#This Row],[Points]]*100</f>
        <v>0.5</v>
      </c>
      <c r="K1439" s="4">
        <f>VLOOKUP(Table2[[#This Row],[Site]],'Site Info'!$A$1:$C$11,2, FALSE)</f>
        <v>11.5</v>
      </c>
      <c r="L1439" s="4">
        <f>VLOOKUP(Table2[[#This Row],[Site]],'Site Info'!$A$1:$C$11,3, FALSE)</f>
        <v>11</v>
      </c>
      <c r="M1439" t="str">
        <f>VLOOKUP(Table2[[#This Row],[Species]],'Species Table'!$A$1:$D$68,3, FALSE)</f>
        <v>Perennial</v>
      </c>
      <c r="N1439" s="4"/>
      <c r="O1439" s="15">
        <f>IF(SUMPRODUCT(($A$2:$A1439=A1439)*($B$2:$B1439=B1439)*($F$2:$F1439=F1439))&gt;1,0,1)</f>
        <v>1</v>
      </c>
      <c r="P1439" s="15">
        <f>IF(SUMPRODUCT(($A$2:$A1439=A1439)*($B$2:$B1439=B1439)*($D$2:$D1439=D1439))&gt;1,0,1)</f>
        <v>0</v>
      </c>
    </row>
    <row r="1440" spans="1:16" hidden="1" x14ac:dyDescent="0.35">
      <c r="A1440" s="4" t="s">
        <v>138</v>
      </c>
      <c r="B1440">
        <v>2017</v>
      </c>
      <c r="C1440" s="2" t="s">
        <v>121</v>
      </c>
      <c r="D1440" s="5">
        <v>10.1</v>
      </c>
      <c r="E1440" s="5">
        <f>INT(Table2[[#This Row],[Transect]])</f>
        <v>10</v>
      </c>
      <c r="F1440" s="2" t="s">
        <v>20</v>
      </c>
      <c r="G1440" s="4">
        <v>1</v>
      </c>
      <c r="H1440">
        <f t="shared" si="7"/>
        <v>200</v>
      </c>
      <c r="I1440" s="4">
        <v>100</v>
      </c>
      <c r="J1440" s="4">
        <f>Table2[[#This Row],[Hits]]/Table2[[#This Row],[Points]]*100</f>
        <v>0.5</v>
      </c>
      <c r="K1440" s="4">
        <f>VLOOKUP(Table2[[#This Row],[Site]],'Site Info'!$A$1:$C$11,2, FALSE)</f>
        <v>11.5</v>
      </c>
      <c r="L1440" s="4">
        <f>VLOOKUP(Table2[[#This Row],[Site]],'Site Info'!$A$1:$C$11,3, FALSE)</f>
        <v>11</v>
      </c>
      <c r="M1440" t="str">
        <f>VLOOKUP(Table2[[#This Row],[Species]],'Species Table'!$A$1:$D$68,3, FALSE)</f>
        <v>Annual</v>
      </c>
      <c r="N1440" s="4"/>
      <c r="O1440" s="15">
        <f>IF(SUMPRODUCT(($A$2:$A1440=A1440)*($B$2:$B1440=B1440)*($F$2:$F1440=F1440))&gt;1,0,1)</f>
        <v>1</v>
      </c>
      <c r="P1440" s="15">
        <f>IF(SUMPRODUCT(($A$2:$A1440=A1440)*($B$2:$B1440=B1440)*($D$2:$D1440=D1440))&gt;1,0,1)</f>
        <v>0</v>
      </c>
    </row>
    <row r="1441" spans="1:16" hidden="1" x14ac:dyDescent="0.35">
      <c r="A1441" s="4" t="s">
        <v>138</v>
      </c>
      <c r="B1441">
        <v>2017</v>
      </c>
      <c r="C1441" s="2" t="s">
        <v>122</v>
      </c>
      <c r="D1441" s="5">
        <v>10.199999999999999</v>
      </c>
      <c r="E1441" s="5">
        <f>INT(Table2[[#This Row],[Transect]])</f>
        <v>10</v>
      </c>
      <c r="F1441" s="2" t="s">
        <v>199</v>
      </c>
      <c r="G1441" s="4">
        <v>3</v>
      </c>
      <c r="H1441">
        <f t="shared" si="7"/>
        <v>200</v>
      </c>
      <c r="I1441" s="4">
        <v>100</v>
      </c>
      <c r="J1441" s="4">
        <f>Table2[[#This Row],[Hits]]/Table2[[#This Row],[Points]]*100</f>
        <v>1.5</v>
      </c>
      <c r="K1441" s="4">
        <f>VLOOKUP(Table2[[#This Row],[Site]],'Site Info'!$A$1:$C$11,2, FALSE)</f>
        <v>11.5</v>
      </c>
      <c r="L1441" s="4">
        <f>VLOOKUP(Table2[[#This Row],[Site]],'Site Info'!$A$1:$C$11,3, FALSE)</f>
        <v>11</v>
      </c>
      <c r="M1441" t="str">
        <f>VLOOKUP(Table2[[#This Row],[Species]],'Species Table'!$A$1:$D$68,3, FALSE)</f>
        <v>Annual/Biennial</v>
      </c>
      <c r="N1441" s="4"/>
      <c r="O1441" s="15">
        <f>IF(SUMPRODUCT(($A$2:$A1441=A1441)*($B$2:$B1441=B1441)*($F$2:$F1441=F1441))&gt;1,0,1)</f>
        <v>1</v>
      </c>
      <c r="P1441" s="15">
        <f>IF(SUMPRODUCT(($A$2:$A1441=A1441)*($B$2:$B1441=B1441)*($D$2:$D1441=D1441))&gt;1,0,1)</f>
        <v>1</v>
      </c>
    </row>
    <row r="1442" spans="1:16" hidden="1" x14ac:dyDescent="0.35">
      <c r="A1442" s="4" t="s">
        <v>138</v>
      </c>
      <c r="B1442">
        <v>2017</v>
      </c>
      <c r="C1442" s="2" t="s">
        <v>122</v>
      </c>
      <c r="D1442" s="5">
        <v>10.199999999999999</v>
      </c>
      <c r="E1442" s="5">
        <f>INT(Table2[[#This Row],[Transect]])</f>
        <v>10</v>
      </c>
      <c r="F1442" s="2" t="s">
        <v>189</v>
      </c>
      <c r="G1442" s="4">
        <v>4</v>
      </c>
      <c r="H1442">
        <f t="shared" si="7"/>
        <v>200</v>
      </c>
      <c r="I1442" s="4">
        <v>100</v>
      </c>
      <c r="J1442" s="4">
        <f>Table2[[#This Row],[Hits]]/Table2[[#This Row],[Points]]*100</f>
        <v>2</v>
      </c>
      <c r="K1442" s="4">
        <f>VLOOKUP(Table2[[#This Row],[Site]],'Site Info'!$A$1:$C$11,2, FALSE)</f>
        <v>11.5</v>
      </c>
      <c r="L1442" s="4">
        <f>VLOOKUP(Table2[[#This Row],[Site]],'Site Info'!$A$1:$C$11,3, FALSE)</f>
        <v>11</v>
      </c>
      <c r="M1442" t="str">
        <f>VLOOKUP(Table2[[#This Row],[Species]],'Species Table'!$A$1:$D$68,3, FALSE)</f>
        <v>Annual</v>
      </c>
      <c r="N1442" s="4"/>
      <c r="O1442" s="15">
        <f>IF(SUMPRODUCT(($A$2:$A1442=A1442)*($B$2:$B1442=B1442)*($F$2:$F1442=F1442))&gt;1,0,1)</f>
        <v>0</v>
      </c>
      <c r="P1442" s="15">
        <f>IF(SUMPRODUCT(($A$2:$A1442=A1442)*($B$2:$B1442=B1442)*($D$2:$D1442=D1442))&gt;1,0,1)</f>
        <v>0</v>
      </c>
    </row>
    <row r="1443" spans="1:16" hidden="1" x14ac:dyDescent="0.35">
      <c r="A1443" s="4" t="s">
        <v>138</v>
      </c>
      <c r="B1443">
        <v>2017</v>
      </c>
      <c r="C1443" s="2" t="s">
        <v>122</v>
      </c>
      <c r="D1443" s="5">
        <v>10.199999999999999</v>
      </c>
      <c r="E1443" s="5">
        <f>INT(Table2[[#This Row],[Transect]])</f>
        <v>10</v>
      </c>
      <c r="F1443" s="2" t="s">
        <v>20</v>
      </c>
      <c r="G1443" s="4">
        <v>11</v>
      </c>
      <c r="H1443">
        <f t="shared" si="7"/>
        <v>200</v>
      </c>
      <c r="I1443" s="4">
        <v>100</v>
      </c>
      <c r="J1443" s="4">
        <f>Table2[[#This Row],[Hits]]/Table2[[#This Row],[Points]]*100</f>
        <v>5.5</v>
      </c>
      <c r="K1443" s="4">
        <f>VLOOKUP(Table2[[#This Row],[Site]],'Site Info'!$A$1:$C$11,2, FALSE)</f>
        <v>11.5</v>
      </c>
      <c r="L1443" s="4">
        <f>VLOOKUP(Table2[[#This Row],[Site]],'Site Info'!$A$1:$C$11,3, FALSE)</f>
        <v>11</v>
      </c>
      <c r="M1443" t="str">
        <f>VLOOKUP(Table2[[#This Row],[Species]],'Species Table'!$A$1:$D$68,3, FALSE)</f>
        <v>Annual</v>
      </c>
      <c r="N1443" s="4"/>
      <c r="O1443" s="15">
        <f>IF(SUMPRODUCT(($A$2:$A1443=A1443)*($B$2:$B1443=B1443)*($F$2:$F1443=F1443))&gt;1,0,1)</f>
        <v>0</v>
      </c>
      <c r="P1443" s="15">
        <f>IF(SUMPRODUCT(($A$2:$A1443=A1443)*($B$2:$B1443=B1443)*($D$2:$D1443=D1443))&gt;1,0,1)</f>
        <v>0</v>
      </c>
    </row>
    <row r="1444" spans="1:16" hidden="1" x14ac:dyDescent="0.35">
      <c r="A1444" s="4" t="s">
        <v>138</v>
      </c>
      <c r="B1444">
        <v>2017</v>
      </c>
      <c r="C1444" s="2" t="s">
        <v>122</v>
      </c>
      <c r="D1444" s="5">
        <v>10.199999999999999</v>
      </c>
      <c r="E1444" s="5">
        <f>INT(Table2[[#This Row],[Transect]])</f>
        <v>10</v>
      </c>
      <c r="F1444" s="2" t="s">
        <v>191</v>
      </c>
      <c r="G1444" s="4">
        <v>1</v>
      </c>
      <c r="H1444">
        <f t="shared" si="7"/>
        <v>200</v>
      </c>
      <c r="I1444" s="4">
        <v>100</v>
      </c>
      <c r="J1444" s="4">
        <f>Table2[[#This Row],[Hits]]/Table2[[#This Row],[Points]]*100</f>
        <v>0.5</v>
      </c>
      <c r="K1444" s="4">
        <f>VLOOKUP(Table2[[#This Row],[Site]],'Site Info'!$A$1:$C$11,2, FALSE)</f>
        <v>11.5</v>
      </c>
      <c r="L1444" s="4">
        <f>VLOOKUP(Table2[[#This Row],[Site]],'Site Info'!$A$1:$C$11,3, FALSE)</f>
        <v>11</v>
      </c>
      <c r="M1444" t="str">
        <f>VLOOKUP(Table2[[#This Row],[Species]],'Species Table'!$A$1:$D$68,3, FALSE)</f>
        <v>Annual/Biennial</v>
      </c>
      <c r="N1444" s="4"/>
      <c r="O1444" s="15">
        <f>IF(SUMPRODUCT(($A$2:$A1444=A1444)*($B$2:$B1444=B1444)*($F$2:$F1444=F1444))&gt;1,0,1)</f>
        <v>0</v>
      </c>
      <c r="P1444" s="15">
        <f>IF(SUMPRODUCT(($A$2:$A1444=A1444)*($B$2:$B1444=B1444)*($D$2:$D1444=D1444))&gt;1,0,1)</f>
        <v>0</v>
      </c>
    </row>
    <row r="1445" spans="1:16" hidden="1" x14ac:dyDescent="0.35">
      <c r="A1445" s="4" t="s">
        <v>138</v>
      </c>
      <c r="B1445">
        <v>2017</v>
      </c>
      <c r="C1445" s="2" t="s">
        <v>122</v>
      </c>
      <c r="D1445" s="5">
        <v>10.199999999999999</v>
      </c>
      <c r="E1445" s="5">
        <f>INT(Table2[[#This Row],[Transect]])</f>
        <v>10</v>
      </c>
      <c r="F1445" s="2" t="s">
        <v>200</v>
      </c>
      <c r="G1445" s="4">
        <v>6</v>
      </c>
      <c r="H1445">
        <f t="shared" si="7"/>
        <v>200</v>
      </c>
      <c r="I1445" s="4">
        <v>100</v>
      </c>
      <c r="J1445" s="4">
        <f>Table2[[#This Row],[Hits]]/Table2[[#This Row],[Points]]*100</f>
        <v>3</v>
      </c>
      <c r="K1445" s="4">
        <f>VLOOKUP(Table2[[#This Row],[Site]],'Site Info'!$A$1:$C$11,2, FALSE)</f>
        <v>11.5</v>
      </c>
      <c r="L1445" s="4">
        <f>VLOOKUP(Table2[[#This Row],[Site]],'Site Info'!$A$1:$C$11,3, FALSE)</f>
        <v>11</v>
      </c>
      <c r="M1445" t="str">
        <f>VLOOKUP(Table2[[#This Row],[Species]],'Species Table'!$A$1:$D$68,3, FALSE)</f>
        <v>Annual</v>
      </c>
      <c r="N1445" s="4"/>
      <c r="O1445" s="15">
        <f>IF(SUMPRODUCT(($A$2:$A1445=A1445)*($B$2:$B1445=B1445)*($F$2:$F1445=F1445))&gt;1,0,1)</f>
        <v>1</v>
      </c>
      <c r="P1445" s="15">
        <f>IF(SUMPRODUCT(($A$2:$A1445=A1445)*($B$2:$B1445=B1445)*($D$2:$D1445=D1445))&gt;1,0,1)</f>
        <v>0</v>
      </c>
    </row>
    <row r="1446" spans="1:16" x14ac:dyDescent="0.35">
      <c r="A1446" s="4" t="s">
        <v>138</v>
      </c>
      <c r="B1446">
        <v>2017</v>
      </c>
      <c r="C1446" s="2" t="s">
        <v>122</v>
      </c>
      <c r="D1446" s="5">
        <v>10.199999999999999</v>
      </c>
      <c r="E1446" s="5">
        <f>INT(Table2[[#This Row],[Transect]])</f>
        <v>10</v>
      </c>
      <c r="F1446" s="2" t="s">
        <v>2</v>
      </c>
      <c r="G1446" s="4">
        <v>6</v>
      </c>
      <c r="H1446">
        <f t="shared" si="7"/>
        <v>200</v>
      </c>
      <c r="I1446" s="4">
        <v>100</v>
      </c>
      <c r="J1446" s="4">
        <f>Table2[[#This Row],[Hits]]/Table2[[#This Row],[Points]]*100</f>
        <v>3</v>
      </c>
      <c r="K1446" s="4">
        <f>VLOOKUP(Table2[[#This Row],[Site]],'Site Info'!$A$1:$C$11,2, FALSE)</f>
        <v>11.5</v>
      </c>
      <c r="L1446" s="4">
        <f>VLOOKUP(Table2[[#This Row],[Site]],'Site Info'!$A$1:$C$11,3, FALSE)</f>
        <v>11</v>
      </c>
      <c r="M1446" t="str">
        <f>VLOOKUP(Table2[[#This Row],[Species]],'Species Table'!$A$1:$D$68,3, FALSE)</f>
        <v>Perennial</v>
      </c>
      <c r="N1446" s="4"/>
      <c r="O1446" s="15">
        <f>IF(SUMPRODUCT(($A$2:$A1446=A1446)*($B$2:$B1446=B1446)*($F$2:$F1446=F1446))&gt;1,0,1)</f>
        <v>0</v>
      </c>
      <c r="P1446" s="15">
        <f>IF(SUMPRODUCT(($A$2:$A1446=A1446)*($B$2:$B1446=B1446)*($D$2:$D1446=D1446))&gt;1,0,1)</f>
        <v>0</v>
      </c>
    </row>
    <row r="1447" spans="1:16" hidden="1" x14ac:dyDescent="0.35">
      <c r="A1447" s="4" t="s">
        <v>138</v>
      </c>
      <c r="B1447">
        <v>2017</v>
      </c>
      <c r="C1447" s="2" t="s">
        <v>122</v>
      </c>
      <c r="D1447" s="5">
        <v>10.199999999999999</v>
      </c>
      <c r="E1447" s="5">
        <f>INT(Table2[[#This Row],[Transect]])</f>
        <v>10</v>
      </c>
      <c r="F1447" s="2" t="s">
        <v>201</v>
      </c>
      <c r="G1447" s="4">
        <v>2</v>
      </c>
      <c r="H1447">
        <f t="shared" si="7"/>
        <v>200</v>
      </c>
      <c r="I1447" s="4">
        <v>100</v>
      </c>
      <c r="J1447" s="4">
        <f>Table2[[#This Row],[Hits]]/Table2[[#This Row],[Points]]*100</f>
        <v>1</v>
      </c>
      <c r="K1447" s="4">
        <f>VLOOKUP(Table2[[#This Row],[Site]],'Site Info'!$A$1:$C$11,2, FALSE)</f>
        <v>11.5</v>
      </c>
      <c r="L1447" s="4">
        <f>VLOOKUP(Table2[[#This Row],[Site]],'Site Info'!$A$1:$C$11,3, FALSE)</f>
        <v>11</v>
      </c>
      <c r="M1447" t="str">
        <f>VLOOKUP(Table2[[#This Row],[Species]],'Species Table'!$A$1:$D$68,3, FALSE)</f>
        <v>Annual</v>
      </c>
      <c r="N1447" s="4"/>
      <c r="O1447" s="15">
        <f>IF(SUMPRODUCT(($A$2:$A1447=A1447)*($B$2:$B1447=B1447)*($F$2:$F1447=F1447))&gt;1,0,1)</f>
        <v>1</v>
      </c>
      <c r="P1447" s="15">
        <f>IF(SUMPRODUCT(($A$2:$A1447=A1447)*($B$2:$B1447=B1447)*($D$2:$D1447=D1447))&gt;1,0,1)</f>
        <v>0</v>
      </c>
    </row>
    <row r="1448" spans="1:16" x14ac:dyDescent="0.35">
      <c r="A1448" s="4" t="s">
        <v>138</v>
      </c>
      <c r="B1448">
        <v>2017</v>
      </c>
      <c r="C1448" s="2" t="s">
        <v>122</v>
      </c>
      <c r="D1448" s="5">
        <v>10.199999999999999</v>
      </c>
      <c r="E1448" s="5">
        <f>INT(Table2[[#This Row],[Transect]])</f>
        <v>10</v>
      </c>
      <c r="F1448" s="2" t="s">
        <v>202</v>
      </c>
      <c r="G1448" s="4">
        <v>1</v>
      </c>
      <c r="H1448">
        <f t="shared" si="7"/>
        <v>200</v>
      </c>
      <c r="I1448" s="4">
        <v>100</v>
      </c>
      <c r="J1448" s="4">
        <f>Table2[[#This Row],[Hits]]/Table2[[#This Row],[Points]]*100</f>
        <v>0.5</v>
      </c>
      <c r="K1448" s="4">
        <f>VLOOKUP(Table2[[#This Row],[Site]],'Site Info'!$A$1:$C$11,2, FALSE)</f>
        <v>11.5</v>
      </c>
      <c r="L1448" s="4">
        <f>VLOOKUP(Table2[[#This Row],[Site]],'Site Info'!$A$1:$C$11,3, FALSE)</f>
        <v>11</v>
      </c>
      <c r="M1448" t="str">
        <f>VLOOKUP(Table2[[#This Row],[Species]],'Species Table'!$A$1:$D$68,3, FALSE)</f>
        <v>Perennial</v>
      </c>
      <c r="N1448" s="4"/>
      <c r="O1448" s="15">
        <f>IF(SUMPRODUCT(($A$2:$A1448=A1448)*($B$2:$B1448=B1448)*($F$2:$F1448=F1448))&gt;1,0,1)</f>
        <v>1</v>
      </c>
      <c r="P1448" s="15">
        <f>IF(SUMPRODUCT(($A$2:$A1448=A1448)*($B$2:$B1448=B1448)*($D$2:$D1448=D1448))&gt;1,0,1)</f>
        <v>0</v>
      </c>
    </row>
    <row r="1449" spans="1:16" x14ac:dyDescent="0.35">
      <c r="A1449" s="4" t="s">
        <v>138</v>
      </c>
      <c r="B1449">
        <v>2017</v>
      </c>
      <c r="C1449" s="2" t="s">
        <v>122</v>
      </c>
      <c r="D1449" s="5">
        <v>10.199999999999999</v>
      </c>
      <c r="E1449" s="5">
        <f>INT(Table2[[#This Row],[Transect]])</f>
        <v>10</v>
      </c>
      <c r="F1449" s="2" t="s">
        <v>174</v>
      </c>
      <c r="G1449" s="4">
        <v>1</v>
      </c>
      <c r="H1449">
        <f t="shared" si="7"/>
        <v>200</v>
      </c>
      <c r="I1449" s="4">
        <v>100</v>
      </c>
      <c r="J1449" s="4">
        <f>Table2[[#This Row],[Hits]]/Table2[[#This Row],[Points]]*100</f>
        <v>0.5</v>
      </c>
      <c r="K1449" s="4">
        <f>VLOOKUP(Table2[[#This Row],[Site]],'Site Info'!$A$1:$C$11,2, FALSE)</f>
        <v>11.5</v>
      </c>
      <c r="L1449" s="4">
        <f>VLOOKUP(Table2[[#This Row],[Site]],'Site Info'!$A$1:$C$11,3, FALSE)</f>
        <v>11</v>
      </c>
      <c r="M1449" t="str">
        <f>VLOOKUP(Table2[[#This Row],[Species]],'Species Table'!$A$1:$D$68,3, FALSE)</f>
        <v>Perennial</v>
      </c>
      <c r="N1449" s="4"/>
      <c r="O1449" s="15">
        <f>IF(SUMPRODUCT(($A$2:$A1449=A1449)*($B$2:$B1449=B1449)*($F$2:$F1449=F1449))&gt;1,0,1)</f>
        <v>0</v>
      </c>
      <c r="P1449" s="15">
        <f>IF(SUMPRODUCT(($A$2:$A1449=A1449)*($B$2:$B1449=B1449)*($D$2:$D1449=D1449))&gt;1,0,1)</f>
        <v>0</v>
      </c>
    </row>
    <row r="1450" spans="1:16" hidden="1" x14ac:dyDescent="0.35">
      <c r="A1450" s="4" t="s">
        <v>138</v>
      </c>
      <c r="B1450">
        <v>2017</v>
      </c>
      <c r="C1450" s="2" t="s">
        <v>122</v>
      </c>
      <c r="D1450" s="5">
        <v>10.199999999999999</v>
      </c>
      <c r="E1450" s="5">
        <f>INT(Table2[[#This Row],[Transect]])</f>
        <v>10</v>
      </c>
      <c r="F1450" s="2" t="s">
        <v>192</v>
      </c>
      <c r="G1450" s="4">
        <v>1</v>
      </c>
      <c r="H1450">
        <f t="shared" si="7"/>
        <v>200</v>
      </c>
      <c r="I1450" s="4">
        <v>100</v>
      </c>
      <c r="J1450" s="4">
        <f>Table2[[#This Row],[Hits]]/Table2[[#This Row],[Points]]*100</f>
        <v>0.5</v>
      </c>
      <c r="K1450" s="4">
        <f>VLOOKUP(Table2[[#This Row],[Site]],'Site Info'!$A$1:$C$11,2, FALSE)</f>
        <v>11.5</v>
      </c>
      <c r="L1450" s="4">
        <f>VLOOKUP(Table2[[#This Row],[Site]],'Site Info'!$A$1:$C$11,3, FALSE)</f>
        <v>11</v>
      </c>
      <c r="M1450" t="str">
        <f>VLOOKUP(Table2[[#This Row],[Species]],'Species Table'!$A$1:$D$68,3, FALSE)</f>
        <v>Annual</v>
      </c>
      <c r="N1450" s="4"/>
      <c r="O1450" s="15">
        <f>IF(SUMPRODUCT(($A$2:$A1450=A1450)*($B$2:$B1450=B1450)*($F$2:$F1450=F1450))&gt;1,0,1)</f>
        <v>0</v>
      </c>
      <c r="P1450" s="15">
        <f>IF(SUMPRODUCT(($A$2:$A1450=A1450)*($B$2:$B1450=B1450)*($D$2:$D1450=D1450))&gt;1,0,1)</f>
        <v>0</v>
      </c>
    </row>
    <row r="1451" spans="1:16" x14ac:dyDescent="0.35">
      <c r="A1451" s="4" t="s">
        <v>138</v>
      </c>
      <c r="B1451">
        <v>2017</v>
      </c>
      <c r="C1451" s="2" t="s">
        <v>122</v>
      </c>
      <c r="D1451" s="5">
        <v>10.199999999999999</v>
      </c>
      <c r="E1451" s="5">
        <f>INT(Table2[[#This Row],[Transect]])</f>
        <v>10</v>
      </c>
      <c r="F1451" s="2" t="s">
        <v>173</v>
      </c>
      <c r="G1451" s="4">
        <v>28</v>
      </c>
      <c r="H1451">
        <f t="shared" si="7"/>
        <v>200</v>
      </c>
      <c r="I1451" s="4">
        <v>100</v>
      </c>
      <c r="J1451" s="4">
        <f>Table2[[#This Row],[Hits]]/Table2[[#This Row],[Points]]*100</f>
        <v>14.000000000000002</v>
      </c>
      <c r="K1451" s="4">
        <f>VLOOKUP(Table2[[#This Row],[Site]],'Site Info'!$A$1:$C$11,2, FALSE)</f>
        <v>11.5</v>
      </c>
      <c r="L1451" s="4">
        <f>VLOOKUP(Table2[[#This Row],[Site]],'Site Info'!$A$1:$C$11,3, FALSE)</f>
        <v>11</v>
      </c>
      <c r="M1451" t="str">
        <f>VLOOKUP(Table2[[#This Row],[Species]],'Species Table'!$A$1:$D$68,3, FALSE)</f>
        <v>Perennial</v>
      </c>
      <c r="N1451" s="4"/>
      <c r="O1451" s="15">
        <f>IF(SUMPRODUCT(($A$2:$A1451=A1451)*($B$2:$B1451=B1451)*($F$2:$F1451=F1451))&gt;1,0,1)</f>
        <v>0</v>
      </c>
      <c r="P1451" s="15">
        <f>IF(SUMPRODUCT(($A$2:$A1451=A1451)*($B$2:$B1451=B1451)*($D$2:$D1451=D1451))&gt;1,0,1)</f>
        <v>0</v>
      </c>
    </row>
    <row r="1452" spans="1:16" hidden="1" x14ac:dyDescent="0.35">
      <c r="A1452" s="4" t="s">
        <v>138</v>
      </c>
      <c r="B1452">
        <v>2017</v>
      </c>
      <c r="C1452" s="2" t="s">
        <v>122</v>
      </c>
      <c r="D1452" s="5">
        <v>10.199999999999999</v>
      </c>
      <c r="E1452" s="5">
        <f>INT(Table2[[#This Row],[Transect]])</f>
        <v>10</v>
      </c>
      <c r="F1452" s="2" t="s">
        <v>203</v>
      </c>
      <c r="G1452" s="4">
        <v>5</v>
      </c>
      <c r="H1452">
        <f t="shared" si="7"/>
        <v>200</v>
      </c>
      <c r="I1452" s="4">
        <v>100</v>
      </c>
      <c r="J1452" s="4">
        <f>Table2[[#This Row],[Hits]]/Table2[[#This Row],[Points]]*100</f>
        <v>2.5</v>
      </c>
      <c r="K1452" s="4">
        <f>VLOOKUP(Table2[[#This Row],[Site]],'Site Info'!$A$1:$C$11,2, FALSE)</f>
        <v>11.5</v>
      </c>
      <c r="L1452" s="4">
        <f>VLOOKUP(Table2[[#This Row],[Site]],'Site Info'!$A$1:$C$11,3, FALSE)</f>
        <v>11</v>
      </c>
      <c r="M1452" t="str">
        <f>VLOOKUP(Table2[[#This Row],[Species]],'Species Table'!$A$1:$D$68,3, FALSE)</f>
        <v>Annual/Biennial/Perennial</v>
      </c>
      <c r="N1452" s="4"/>
      <c r="O1452" s="15">
        <f>IF(SUMPRODUCT(($A$2:$A1452=A1452)*($B$2:$B1452=B1452)*($F$2:$F1452=F1452))&gt;1,0,1)</f>
        <v>1</v>
      </c>
      <c r="P1452" s="15">
        <f>IF(SUMPRODUCT(($A$2:$A1452=A1452)*($B$2:$B1452=B1452)*($D$2:$D1452=D1452))&gt;1,0,1)</f>
        <v>0</v>
      </c>
    </row>
    <row r="1453" spans="1:16" hidden="1" x14ac:dyDescent="0.35">
      <c r="A1453" s="4" t="s">
        <v>138</v>
      </c>
      <c r="B1453">
        <v>2017</v>
      </c>
      <c r="C1453" s="2" t="s">
        <v>122</v>
      </c>
      <c r="D1453" s="5">
        <v>10.199999999999999</v>
      </c>
      <c r="E1453" s="5">
        <f>INT(Table2[[#This Row],[Transect]])</f>
        <v>10</v>
      </c>
      <c r="F1453" s="2" t="s">
        <v>204</v>
      </c>
      <c r="G1453" s="4">
        <v>5</v>
      </c>
      <c r="H1453">
        <f t="shared" si="7"/>
        <v>200</v>
      </c>
      <c r="I1453" s="4">
        <v>100</v>
      </c>
      <c r="J1453" s="4">
        <f>Table2[[#This Row],[Hits]]/Table2[[#This Row],[Points]]*100</f>
        <v>2.5</v>
      </c>
      <c r="K1453" s="4">
        <f>VLOOKUP(Table2[[#This Row],[Site]],'Site Info'!$A$1:$C$11,2, FALSE)</f>
        <v>11.5</v>
      </c>
      <c r="L1453" s="4">
        <f>VLOOKUP(Table2[[#This Row],[Site]],'Site Info'!$A$1:$C$11,3, FALSE)</f>
        <v>11</v>
      </c>
      <c r="M1453" t="str">
        <f>VLOOKUP(Table2[[#This Row],[Species]],'Species Table'!$A$1:$D$68,3, FALSE)</f>
        <v>Annual</v>
      </c>
      <c r="N1453" s="4"/>
      <c r="O1453" s="15">
        <f>IF(SUMPRODUCT(($A$2:$A1453=A1453)*($B$2:$B1453=B1453)*($F$2:$F1453=F1453))&gt;1,0,1)</f>
        <v>1</v>
      </c>
      <c r="P1453" s="15">
        <f>IF(SUMPRODUCT(($A$2:$A1453=A1453)*($B$2:$B1453=B1453)*($D$2:$D1453=D1453))&gt;1,0,1)</f>
        <v>0</v>
      </c>
    </row>
    <row r="1454" spans="1:16" x14ac:dyDescent="0.35">
      <c r="A1454" s="4" t="s">
        <v>138</v>
      </c>
      <c r="B1454">
        <v>2017</v>
      </c>
      <c r="C1454" s="2" t="s">
        <v>122</v>
      </c>
      <c r="D1454" s="5">
        <v>10.199999999999999</v>
      </c>
      <c r="E1454" s="5">
        <f>INT(Table2[[#This Row],[Transect]])</f>
        <v>10</v>
      </c>
      <c r="F1454" s="2" t="s">
        <v>176</v>
      </c>
      <c r="G1454" s="4">
        <v>1</v>
      </c>
      <c r="H1454">
        <f t="shared" si="7"/>
        <v>200</v>
      </c>
      <c r="I1454" s="4">
        <v>100</v>
      </c>
      <c r="J1454" s="4">
        <f>Table2[[#This Row],[Hits]]/Table2[[#This Row],[Points]]*100</f>
        <v>0.5</v>
      </c>
      <c r="K1454" s="4">
        <f>VLOOKUP(Table2[[#This Row],[Site]],'Site Info'!$A$1:$C$11,2, FALSE)</f>
        <v>11.5</v>
      </c>
      <c r="L1454" s="4">
        <f>VLOOKUP(Table2[[#This Row],[Site]],'Site Info'!$A$1:$C$11,3, FALSE)</f>
        <v>11</v>
      </c>
      <c r="M1454" t="str">
        <f>VLOOKUP(Table2[[#This Row],[Species]],'Species Table'!$A$1:$D$68,3, FALSE)</f>
        <v>Perennial</v>
      </c>
      <c r="N1454" s="4"/>
      <c r="O1454" s="15">
        <f>IF(SUMPRODUCT(($A$2:$A1454=A1454)*($B$2:$B1454=B1454)*($F$2:$F1454=F1454))&gt;1,0,1)</f>
        <v>1</v>
      </c>
      <c r="P1454" s="15">
        <f>IF(SUMPRODUCT(($A$2:$A1454=A1454)*($B$2:$B1454=B1454)*($D$2:$D1454=D1454))&gt;1,0,1)</f>
        <v>0</v>
      </c>
    </row>
    <row r="1455" spans="1:16" hidden="1" x14ac:dyDescent="0.35">
      <c r="A1455" s="4" t="s">
        <v>138</v>
      </c>
      <c r="B1455">
        <v>2017</v>
      </c>
      <c r="C1455" s="2" t="s">
        <v>122</v>
      </c>
      <c r="D1455" s="5">
        <v>10.199999999999999</v>
      </c>
      <c r="E1455" s="5">
        <f>INT(Table2[[#This Row],[Transect]])</f>
        <v>10</v>
      </c>
      <c r="F1455" s="2" t="s">
        <v>205</v>
      </c>
      <c r="G1455" s="4">
        <v>7</v>
      </c>
      <c r="H1455">
        <f t="shared" si="7"/>
        <v>200</v>
      </c>
      <c r="I1455" s="4">
        <v>100</v>
      </c>
      <c r="J1455" s="4">
        <f>Table2[[#This Row],[Hits]]/Table2[[#This Row],[Points]]*100</f>
        <v>3.5000000000000004</v>
      </c>
      <c r="K1455" s="4">
        <f>VLOOKUP(Table2[[#This Row],[Site]],'Site Info'!$A$1:$C$11,2, FALSE)</f>
        <v>11.5</v>
      </c>
      <c r="L1455" s="4">
        <f>VLOOKUP(Table2[[#This Row],[Site]],'Site Info'!$A$1:$C$11,3, FALSE)</f>
        <v>11</v>
      </c>
      <c r="M1455" t="str">
        <f>VLOOKUP(Table2[[#This Row],[Species]],'Species Table'!$A$1:$D$68,3, FALSE)</f>
        <v>Annual</v>
      </c>
      <c r="N1455" s="4"/>
      <c r="O1455" s="15">
        <f>IF(SUMPRODUCT(($A$2:$A1455=A1455)*($B$2:$B1455=B1455)*($F$2:$F1455=F1455))&gt;1,0,1)</f>
        <v>1</v>
      </c>
      <c r="P1455" s="15">
        <f>IF(SUMPRODUCT(($A$2:$A1455=A1455)*($B$2:$B1455=B1455)*($D$2:$D1455=D1455))&gt;1,0,1)</f>
        <v>0</v>
      </c>
    </row>
    <row r="1456" spans="1:16" x14ac:dyDescent="0.35">
      <c r="A1456" s="4" t="s">
        <v>138</v>
      </c>
      <c r="B1456">
        <v>2017</v>
      </c>
      <c r="C1456" s="2" t="s">
        <v>122</v>
      </c>
      <c r="D1456" s="5">
        <v>10.199999999999999</v>
      </c>
      <c r="E1456" s="5">
        <f>INT(Table2[[#This Row],[Transect]])</f>
        <v>10</v>
      </c>
      <c r="F1456" s="2" t="s">
        <v>11</v>
      </c>
      <c r="G1456" s="4">
        <v>2</v>
      </c>
      <c r="H1456">
        <f t="shared" si="7"/>
        <v>200</v>
      </c>
      <c r="I1456" s="4">
        <v>100</v>
      </c>
      <c r="J1456" s="4">
        <f>Table2[[#This Row],[Hits]]/Table2[[#This Row],[Points]]*100</f>
        <v>1</v>
      </c>
      <c r="K1456" s="4">
        <f>VLOOKUP(Table2[[#This Row],[Site]],'Site Info'!$A$1:$C$11,2, FALSE)</f>
        <v>11.5</v>
      </c>
      <c r="L1456" s="4">
        <f>VLOOKUP(Table2[[#This Row],[Site]],'Site Info'!$A$1:$C$11,3, FALSE)</f>
        <v>11</v>
      </c>
      <c r="M1456" t="str">
        <f>VLOOKUP(Table2[[#This Row],[Species]],'Species Table'!$A$1:$D$68,3, FALSE)</f>
        <v>Perennial</v>
      </c>
      <c r="N1456" s="4"/>
      <c r="O1456" s="15">
        <f>IF(SUMPRODUCT(($A$2:$A1456=A1456)*($B$2:$B1456=B1456)*($F$2:$F1456=F1456))&gt;1,0,1)</f>
        <v>1</v>
      </c>
      <c r="P1456" s="15">
        <f>IF(SUMPRODUCT(($A$2:$A1456=A1456)*($B$2:$B1456=B1456)*($D$2:$D1456=D1456))&gt;1,0,1)</f>
        <v>0</v>
      </c>
    </row>
    <row r="1457" spans="1:16" hidden="1" x14ac:dyDescent="0.35">
      <c r="A1457" s="4" t="s">
        <v>138</v>
      </c>
      <c r="B1457">
        <v>2017</v>
      </c>
      <c r="C1457" s="2" t="s">
        <v>122</v>
      </c>
      <c r="D1457" s="5">
        <v>10.199999999999999</v>
      </c>
      <c r="E1457" s="5">
        <f>INT(Table2[[#This Row],[Transect]])</f>
        <v>10</v>
      </c>
      <c r="F1457" s="2" t="s">
        <v>10</v>
      </c>
      <c r="G1457" s="4">
        <v>1</v>
      </c>
      <c r="H1457">
        <f t="shared" si="7"/>
        <v>200</v>
      </c>
      <c r="I1457" s="4">
        <v>100</v>
      </c>
      <c r="J1457" s="4">
        <f>Table2[[#This Row],[Hits]]/Table2[[#This Row],[Points]]*100</f>
        <v>0.5</v>
      </c>
      <c r="K1457" s="4">
        <f>VLOOKUP(Table2[[#This Row],[Site]],'Site Info'!$A$1:$C$11,2, FALSE)</f>
        <v>11.5</v>
      </c>
      <c r="L1457" s="4">
        <f>VLOOKUP(Table2[[#This Row],[Site]],'Site Info'!$A$1:$C$11,3, FALSE)</f>
        <v>11</v>
      </c>
      <c r="M1457" t="str">
        <f>VLOOKUP(Table2[[#This Row],[Species]],'Species Table'!$A$1:$D$68,3, FALSE)</f>
        <v>Annual</v>
      </c>
      <c r="N1457" s="4"/>
      <c r="O1457" s="15">
        <f>IF(SUMPRODUCT(($A$2:$A1457=A1457)*($B$2:$B1457=B1457)*($F$2:$F1457=F1457))&gt;1,0,1)</f>
        <v>0</v>
      </c>
      <c r="P1457" s="15">
        <f>IF(SUMPRODUCT(($A$2:$A1457=A1457)*($B$2:$B1457=B1457)*($D$2:$D1457=D1457))&gt;1,0,1)</f>
        <v>0</v>
      </c>
    </row>
    <row r="1458" spans="1:16" x14ac:dyDescent="0.35">
      <c r="A1458" s="4" t="s">
        <v>138</v>
      </c>
      <c r="B1458">
        <v>2017</v>
      </c>
      <c r="C1458" s="2" t="s">
        <v>122</v>
      </c>
      <c r="D1458" s="5">
        <v>10.199999999999999</v>
      </c>
      <c r="E1458" s="5">
        <f>INT(Table2[[#This Row],[Transect]])</f>
        <v>10</v>
      </c>
      <c r="F1458" s="2" t="s">
        <v>194</v>
      </c>
      <c r="G1458" s="4">
        <v>1</v>
      </c>
      <c r="H1458">
        <f t="shared" si="7"/>
        <v>200</v>
      </c>
      <c r="I1458" s="4">
        <v>100</v>
      </c>
      <c r="J1458" s="4">
        <f>Table2[[#This Row],[Hits]]/Table2[[#This Row],[Points]]*100</f>
        <v>0.5</v>
      </c>
      <c r="K1458" s="4">
        <f>VLOOKUP(Table2[[#This Row],[Site]],'Site Info'!$A$1:$C$11,2, FALSE)</f>
        <v>11.5</v>
      </c>
      <c r="L1458" s="4">
        <f>VLOOKUP(Table2[[#This Row],[Site]],'Site Info'!$A$1:$C$11,3, FALSE)</f>
        <v>11</v>
      </c>
      <c r="M1458" t="str">
        <f>VLOOKUP(Table2[[#This Row],[Species]],'Species Table'!$A$1:$D$68,3, FALSE)</f>
        <v>Perennial</v>
      </c>
      <c r="N1458" s="4"/>
      <c r="O1458" s="15">
        <f>IF(SUMPRODUCT(($A$2:$A1458=A1458)*($B$2:$B1458=B1458)*($F$2:$F1458=F1458))&gt;1,0,1)</f>
        <v>0</v>
      </c>
      <c r="P1458" s="15">
        <f>IF(SUMPRODUCT(($A$2:$A1458=A1458)*($B$2:$B1458=B1458)*($D$2:$D1458=D1458))&gt;1,0,1)</f>
        <v>0</v>
      </c>
    </row>
    <row r="1459" spans="1:16" x14ac:dyDescent="0.35">
      <c r="A1459" s="4" t="s">
        <v>138</v>
      </c>
      <c r="B1459">
        <v>2017</v>
      </c>
      <c r="C1459" s="2" t="s">
        <v>122</v>
      </c>
      <c r="D1459" s="5">
        <v>10.199999999999999</v>
      </c>
      <c r="E1459" s="5">
        <f>INT(Table2[[#This Row],[Transect]])</f>
        <v>10</v>
      </c>
      <c r="F1459" s="2" t="s">
        <v>206</v>
      </c>
      <c r="G1459" s="4">
        <v>1</v>
      </c>
      <c r="H1459">
        <f t="shared" si="7"/>
        <v>200</v>
      </c>
      <c r="I1459" s="4">
        <v>100</v>
      </c>
      <c r="J1459" s="4">
        <f>Table2[[#This Row],[Hits]]/Table2[[#This Row],[Points]]*100</f>
        <v>0.5</v>
      </c>
      <c r="K1459" s="4">
        <f>VLOOKUP(Table2[[#This Row],[Site]],'Site Info'!$A$1:$C$11,2, FALSE)</f>
        <v>11.5</v>
      </c>
      <c r="L1459" s="4">
        <f>VLOOKUP(Table2[[#This Row],[Site]],'Site Info'!$A$1:$C$11,3, FALSE)</f>
        <v>11</v>
      </c>
      <c r="M1459" t="str">
        <f>VLOOKUP(Table2[[#This Row],[Species]],'Species Table'!$A$1:$D$68,3, FALSE)</f>
        <v>Perennial</v>
      </c>
      <c r="N1459" s="4"/>
      <c r="O1459" s="15">
        <f>IF(SUMPRODUCT(($A$2:$A1459=A1459)*($B$2:$B1459=B1459)*($F$2:$F1459=F1459))&gt;1,0,1)</f>
        <v>1</v>
      </c>
      <c r="P1459" s="15">
        <f>IF(SUMPRODUCT(($A$2:$A1459=A1459)*($B$2:$B1459=B1459)*($D$2:$D1459=D1459))&gt;1,0,1)</f>
        <v>0</v>
      </c>
    </row>
    <row r="1460" spans="1:16" x14ac:dyDescent="0.35">
      <c r="A1460" s="4" t="s">
        <v>138</v>
      </c>
      <c r="B1460">
        <v>2017</v>
      </c>
      <c r="C1460" s="2" t="s">
        <v>122</v>
      </c>
      <c r="D1460" s="5">
        <v>10.199999999999999</v>
      </c>
      <c r="E1460" s="5">
        <f>INT(Table2[[#This Row],[Transect]])</f>
        <v>10</v>
      </c>
      <c r="F1460" s="2" t="s">
        <v>207</v>
      </c>
      <c r="G1460" s="4">
        <v>1</v>
      </c>
      <c r="H1460">
        <f t="shared" si="7"/>
        <v>200</v>
      </c>
      <c r="I1460" s="4">
        <v>100</v>
      </c>
      <c r="J1460" s="4">
        <f>Table2[[#This Row],[Hits]]/Table2[[#This Row],[Points]]*100</f>
        <v>0.5</v>
      </c>
      <c r="K1460" s="4">
        <f>VLOOKUP(Table2[[#This Row],[Site]],'Site Info'!$A$1:$C$11,2, FALSE)</f>
        <v>11.5</v>
      </c>
      <c r="L1460" s="4">
        <f>VLOOKUP(Table2[[#This Row],[Site]],'Site Info'!$A$1:$C$11,3, FALSE)</f>
        <v>11</v>
      </c>
      <c r="M1460" t="str">
        <f>VLOOKUP(Table2[[#This Row],[Species]],'Species Table'!$A$1:$D$68,3, FALSE)</f>
        <v>Perennial</v>
      </c>
      <c r="N1460" s="4"/>
      <c r="O1460" s="15">
        <f>IF(SUMPRODUCT(($A$2:$A1460=A1460)*($B$2:$B1460=B1460)*($F$2:$F1460=F1460))&gt;1,0,1)</f>
        <v>1</v>
      </c>
      <c r="P1460" s="15">
        <f>IF(SUMPRODUCT(($A$2:$A1460=A1460)*($B$2:$B1460=B1460)*($D$2:$D1460=D1460))&gt;1,0,1)</f>
        <v>0</v>
      </c>
    </row>
    <row r="1461" spans="1:16" x14ac:dyDescent="0.35">
      <c r="A1461" s="4" t="s">
        <v>138</v>
      </c>
      <c r="B1461">
        <v>2017</v>
      </c>
      <c r="C1461" s="2" t="s">
        <v>119</v>
      </c>
      <c r="D1461" s="5">
        <v>9.1</v>
      </c>
      <c r="E1461" s="5">
        <f>INT(Table2[[#This Row],[Transect]])</f>
        <v>9</v>
      </c>
      <c r="F1461" s="2" t="s">
        <v>11</v>
      </c>
      <c r="G1461" s="4">
        <v>18</v>
      </c>
      <c r="H1461">
        <f t="shared" si="7"/>
        <v>200</v>
      </c>
      <c r="I1461" s="4">
        <v>100</v>
      </c>
      <c r="J1461" s="4">
        <f>Table2[[#This Row],[Hits]]/Table2[[#This Row],[Points]]*100</f>
        <v>9</v>
      </c>
      <c r="K1461" s="4">
        <f>VLOOKUP(Table2[[#This Row],[Site]],'Site Info'!$A$1:$C$11,2, FALSE)</f>
        <v>11.5</v>
      </c>
      <c r="L1461" s="4">
        <f>VLOOKUP(Table2[[#This Row],[Site]],'Site Info'!$A$1:$C$11,3, FALSE)</f>
        <v>11</v>
      </c>
      <c r="M1461" t="str">
        <f>VLOOKUP(Table2[[#This Row],[Species]],'Species Table'!$A$1:$D$68,3, FALSE)</f>
        <v>Perennial</v>
      </c>
      <c r="N1461" s="4"/>
      <c r="O1461" s="15">
        <f>IF(SUMPRODUCT(($A$2:$A1461=A1461)*($B$2:$B1461=B1461)*($F$2:$F1461=F1461))&gt;1,0,1)</f>
        <v>0</v>
      </c>
      <c r="P1461" s="15">
        <f>IF(SUMPRODUCT(($A$2:$A1461=A1461)*($B$2:$B1461=B1461)*($D$2:$D1461=D1461))&gt;1,0,1)</f>
        <v>1</v>
      </c>
    </row>
    <row r="1462" spans="1:16" x14ac:dyDescent="0.35">
      <c r="A1462" s="4" t="s">
        <v>138</v>
      </c>
      <c r="B1462">
        <v>2017</v>
      </c>
      <c r="C1462" s="2" t="s">
        <v>119</v>
      </c>
      <c r="D1462" s="5">
        <v>9.1</v>
      </c>
      <c r="E1462" s="5">
        <f>INT(Table2[[#This Row],[Transect]])</f>
        <v>9</v>
      </c>
      <c r="F1462" s="2" t="s">
        <v>2</v>
      </c>
      <c r="G1462" s="4">
        <v>6</v>
      </c>
      <c r="H1462">
        <f t="shared" si="7"/>
        <v>200</v>
      </c>
      <c r="I1462" s="4">
        <v>100</v>
      </c>
      <c r="J1462" s="4">
        <f>Table2[[#This Row],[Hits]]/Table2[[#This Row],[Points]]*100</f>
        <v>3</v>
      </c>
      <c r="K1462" s="4">
        <f>VLOOKUP(Table2[[#This Row],[Site]],'Site Info'!$A$1:$C$11,2, FALSE)</f>
        <v>11.5</v>
      </c>
      <c r="L1462" s="4">
        <f>VLOOKUP(Table2[[#This Row],[Site]],'Site Info'!$A$1:$C$11,3, FALSE)</f>
        <v>11</v>
      </c>
      <c r="M1462" t="str">
        <f>VLOOKUP(Table2[[#This Row],[Species]],'Species Table'!$A$1:$D$68,3, FALSE)</f>
        <v>Perennial</v>
      </c>
      <c r="N1462" s="4"/>
      <c r="O1462" s="15">
        <f>IF(SUMPRODUCT(($A$2:$A1462=A1462)*($B$2:$B1462=B1462)*($F$2:$F1462=F1462))&gt;1,0,1)</f>
        <v>0</v>
      </c>
      <c r="P1462" s="15">
        <f>IF(SUMPRODUCT(($A$2:$A1462=A1462)*($B$2:$B1462=B1462)*($D$2:$D1462=D1462))&gt;1,0,1)</f>
        <v>0</v>
      </c>
    </row>
    <row r="1463" spans="1:16" hidden="1" x14ac:dyDescent="0.35">
      <c r="A1463" s="4" t="s">
        <v>138</v>
      </c>
      <c r="B1463">
        <v>2017</v>
      </c>
      <c r="C1463" s="2" t="s">
        <v>119</v>
      </c>
      <c r="D1463" s="5">
        <v>9.1</v>
      </c>
      <c r="E1463" s="5">
        <f>INT(Table2[[#This Row],[Transect]])</f>
        <v>9</v>
      </c>
      <c r="F1463" s="2" t="s">
        <v>191</v>
      </c>
      <c r="G1463" s="4">
        <v>2</v>
      </c>
      <c r="H1463">
        <f t="shared" si="7"/>
        <v>200</v>
      </c>
      <c r="I1463" s="4">
        <v>100</v>
      </c>
      <c r="J1463" s="4">
        <f>Table2[[#This Row],[Hits]]/Table2[[#This Row],[Points]]*100</f>
        <v>1</v>
      </c>
      <c r="K1463" s="4">
        <f>VLOOKUP(Table2[[#This Row],[Site]],'Site Info'!$A$1:$C$11,2, FALSE)</f>
        <v>11.5</v>
      </c>
      <c r="L1463" s="4">
        <f>VLOOKUP(Table2[[#This Row],[Site]],'Site Info'!$A$1:$C$11,3, FALSE)</f>
        <v>11</v>
      </c>
      <c r="M1463" t="str">
        <f>VLOOKUP(Table2[[#This Row],[Species]],'Species Table'!$A$1:$D$68,3, FALSE)</f>
        <v>Annual/Biennial</v>
      </c>
      <c r="N1463" s="4"/>
      <c r="O1463" s="15">
        <f>IF(SUMPRODUCT(($A$2:$A1463=A1463)*($B$2:$B1463=B1463)*($F$2:$F1463=F1463))&gt;1,0,1)</f>
        <v>0</v>
      </c>
      <c r="P1463" s="15">
        <f>IF(SUMPRODUCT(($A$2:$A1463=A1463)*($B$2:$B1463=B1463)*($D$2:$D1463=D1463))&gt;1,0,1)</f>
        <v>0</v>
      </c>
    </row>
    <row r="1464" spans="1:16" hidden="1" x14ac:dyDescent="0.35">
      <c r="A1464" s="4" t="s">
        <v>138</v>
      </c>
      <c r="B1464">
        <v>2017</v>
      </c>
      <c r="C1464" s="2" t="s">
        <v>119</v>
      </c>
      <c r="D1464" s="5">
        <v>9.1</v>
      </c>
      <c r="E1464" s="5">
        <f>INT(Table2[[#This Row],[Transect]])</f>
        <v>9</v>
      </c>
      <c r="F1464" s="2" t="s">
        <v>20</v>
      </c>
      <c r="G1464" s="4">
        <v>3</v>
      </c>
      <c r="H1464">
        <f t="shared" si="7"/>
        <v>200</v>
      </c>
      <c r="I1464" s="4">
        <v>100</v>
      </c>
      <c r="J1464" s="4">
        <f>Table2[[#This Row],[Hits]]/Table2[[#This Row],[Points]]*100</f>
        <v>1.5</v>
      </c>
      <c r="K1464" s="4">
        <f>VLOOKUP(Table2[[#This Row],[Site]],'Site Info'!$A$1:$C$11,2, FALSE)</f>
        <v>11.5</v>
      </c>
      <c r="L1464" s="4">
        <f>VLOOKUP(Table2[[#This Row],[Site]],'Site Info'!$A$1:$C$11,3, FALSE)</f>
        <v>11</v>
      </c>
      <c r="M1464" t="str">
        <f>VLOOKUP(Table2[[#This Row],[Species]],'Species Table'!$A$1:$D$68,3, FALSE)</f>
        <v>Annual</v>
      </c>
      <c r="N1464" s="4"/>
      <c r="O1464" s="15">
        <f>IF(SUMPRODUCT(($A$2:$A1464=A1464)*($B$2:$B1464=B1464)*($F$2:$F1464=F1464))&gt;1,0,1)</f>
        <v>0</v>
      </c>
      <c r="P1464" s="15">
        <f>IF(SUMPRODUCT(($A$2:$A1464=A1464)*($B$2:$B1464=B1464)*($D$2:$D1464=D1464))&gt;1,0,1)</f>
        <v>0</v>
      </c>
    </row>
    <row r="1465" spans="1:16" x14ac:dyDescent="0.35">
      <c r="A1465" s="4" t="s">
        <v>138</v>
      </c>
      <c r="B1465">
        <v>2017</v>
      </c>
      <c r="C1465" s="2" t="s">
        <v>119</v>
      </c>
      <c r="D1465" s="5">
        <v>9.1</v>
      </c>
      <c r="E1465" s="5">
        <f>INT(Table2[[#This Row],[Transect]])</f>
        <v>9</v>
      </c>
      <c r="F1465" s="2" t="s">
        <v>206</v>
      </c>
      <c r="G1465" s="4">
        <v>1</v>
      </c>
      <c r="H1465">
        <f t="shared" si="7"/>
        <v>200</v>
      </c>
      <c r="I1465" s="4">
        <v>100</v>
      </c>
      <c r="J1465" s="4">
        <f>Table2[[#This Row],[Hits]]/Table2[[#This Row],[Points]]*100</f>
        <v>0.5</v>
      </c>
      <c r="K1465" s="4">
        <f>VLOOKUP(Table2[[#This Row],[Site]],'Site Info'!$A$1:$C$11,2, FALSE)</f>
        <v>11.5</v>
      </c>
      <c r="L1465" s="4">
        <f>VLOOKUP(Table2[[#This Row],[Site]],'Site Info'!$A$1:$C$11,3, FALSE)</f>
        <v>11</v>
      </c>
      <c r="M1465" t="str">
        <f>VLOOKUP(Table2[[#This Row],[Species]],'Species Table'!$A$1:$D$68,3, FALSE)</f>
        <v>Perennial</v>
      </c>
      <c r="N1465" s="4" t="s">
        <v>259</v>
      </c>
      <c r="O1465" s="15">
        <f>IF(SUMPRODUCT(($A$2:$A1465=A1465)*($B$2:$B1465=B1465)*($F$2:$F1465=F1465))&gt;1,0,1)</f>
        <v>0</v>
      </c>
      <c r="P1465" s="15">
        <f>IF(SUMPRODUCT(($A$2:$A1465=A1465)*($B$2:$B1465=B1465)*($D$2:$D1465=D1465))&gt;1,0,1)</f>
        <v>0</v>
      </c>
    </row>
    <row r="1466" spans="1:16" x14ac:dyDescent="0.35">
      <c r="A1466" s="4" t="s">
        <v>138</v>
      </c>
      <c r="B1466">
        <v>2017</v>
      </c>
      <c r="C1466" s="2" t="s">
        <v>119</v>
      </c>
      <c r="D1466" s="5">
        <v>9.1</v>
      </c>
      <c r="E1466" s="5">
        <f>INT(Table2[[#This Row],[Transect]])</f>
        <v>9</v>
      </c>
      <c r="F1466" s="2" t="s">
        <v>208</v>
      </c>
      <c r="G1466" s="4">
        <v>1</v>
      </c>
      <c r="H1466">
        <f t="shared" si="7"/>
        <v>200</v>
      </c>
      <c r="I1466" s="4">
        <v>100</v>
      </c>
      <c r="J1466" s="4">
        <f>Table2[[#This Row],[Hits]]/Table2[[#This Row],[Points]]*100</f>
        <v>0.5</v>
      </c>
      <c r="K1466" s="4">
        <f>VLOOKUP(Table2[[#This Row],[Site]],'Site Info'!$A$1:$C$11,2, FALSE)</f>
        <v>11.5</v>
      </c>
      <c r="L1466" s="4">
        <f>VLOOKUP(Table2[[#This Row],[Site]],'Site Info'!$A$1:$C$11,3, FALSE)</f>
        <v>11</v>
      </c>
      <c r="M1466" t="str">
        <f>VLOOKUP(Table2[[#This Row],[Species]],'Species Table'!$A$1:$D$68,3, FALSE)</f>
        <v>Perennial</v>
      </c>
      <c r="N1466" s="4"/>
      <c r="O1466" s="15">
        <f>IF(SUMPRODUCT(($A$2:$A1466=A1466)*($B$2:$B1466=B1466)*($F$2:$F1466=F1466))&gt;1,0,1)</f>
        <v>1</v>
      </c>
      <c r="P1466" s="15">
        <f>IF(SUMPRODUCT(($A$2:$A1466=A1466)*($B$2:$B1466=B1466)*($D$2:$D1466=D1466))&gt;1,0,1)</f>
        <v>0</v>
      </c>
    </row>
    <row r="1467" spans="1:16" x14ac:dyDescent="0.35">
      <c r="A1467" s="4" t="s">
        <v>138</v>
      </c>
      <c r="B1467">
        <v>2017</v>
      </c>
      <c r="C1467" s="2" t="s">
        <v>119</v>
      </c>
      <c r="D1467" s="5">
        <v>9.1</v>
      </c>
      <c r="E1467" s="5">
        <f>INT(Table2[[#This Row],[Transect]])</f>
        <v>9</v>
      </c>
      <c r="F1467" s="2" t="s">
        <v>173</v>
      </c>
      <c r="G1467" s="4">
        <v>10</v>
      </c>
      <c r="H1467">
        <f t="shared" si="7"/>
        <v>200</v>
      </c>
      <c r="I1467" s="4">
        <v>100</v>
      </c>
      <c r="J1467" s="4">
        <f>Table2[[#This Row],[Hits]]/Table2[[#This Row],[Points]]*100</f>
        <v>5</v>
      </c>
      <c r="K1467" s="4">
        <f>VLOOKUP(Table2[[#This Row],[Site]],'Site Info'!$A$1:$C$11,2, FALSE)</f>
        <v>11.5</v>
      </c>
      <c r="L1467" s="4">
        <f>VLOOKUP(Table2[[#This Row],[Site]],'Site Info'!$A$1:$C$11,3, FALSE)</f>
        <v>11</v>
      </c>
      <c r="M1467" t="str">
        <f>VLOOKUP(Table2[[#This Row],[Species]],'Species Table'!$A$1:$D$68,3, FALSE)</f>
        <v>Perennial</v>
      </c>
      <c r="N1467" s="4"/>
      <c r="O1467" s="15">
        <f>IF(SUMPRODUCT(($A$2:$A1467=A1467)*($B$2:$B1467=B1467)*($F$2:$F1467=F1467))&gt;1,0,1)</f>
        <v>0</v>
      </c>
      <c r="P1467" s="15">
        <f>IF(SUMPRODUCT(($A$2:$A1467=A1467)*($B$2:$B1467=B1467)*($D$2:$D1467=D1467))&gt;1,0,1)</f>
        <v>0</v>
      </c>
    </row>
    <row r="1468" spans="1:16" x14ac:dyDescent="0.35">
      <c r="A1468" s="4" t="s">
        <v>138</v>
      </c>
      <c r="B1468">
        <v>2017</v>
      </c>
      <c r="C1468" s="2" t="s">
        <v>119</v>
      </c>
      <c r="D1468" s="5">
        <v>9.1</v>
      </c>
      <c r="E1468" s="5">
        <f>INT(Table2[[#This Row],[Transect]])</f>
        <v>9</v>
      </c>
      <c r="F1468" s="2" t="s">
        <v>174</v>
      </c>
      <c r="G1468" s="4">
        <v>6</v>
      </c>
      <c r="H1468">
        <f t="shared" si="7"/>
        <v>200</v>
      </c>
      <c r="I1468" s="4">
        <v>100</v>
      </c>
      <c r="J1468" s="4">
        <f>Table2[[#This Row],[Hits]]/Table2[[#This Row],[Points]]*100</f>
        <v>3</v>
      </c>
      <c r="K1468" s="4">
        <f>VLOOKUP(Table2[[#This Row],[Site]],'Site Info'!$A$1:$C$11,2, FALSE)</f>
        <v>11.5</v>
      </c>
      <c r="L1468" s="4">
        <f>VLOOKUP(Table2[[#This Row],[Site]],'Site Info'!$A$1:$C$11,3, FALSE)</f>
        <v>11</v>
      </c>
      <c r="M1468" t="str">
        <f>VLOOKUP(Table2[[#This Row],[Species]],'Species Table'!$A$1:$D$68,3, FALSE)</f>
        <v>Perennial</v>
      </c>
      <c r="N1468" s="4"/>
      <c r="O1468" s="15">
        <f>IF(SUMPRODUCT(($A$2:$A1468=A1468)*($B$2:$B1468=B1468)*($F$2:$F1468=F1468))&gt;1,0,1)</f>
        <v>0</v>
      </c>
      <c r="P1468" s="15">
        <f>IF(SUMPRODUCT(($A$2:$A1468=A1468)*($B$2:$B1468=B1468)*($D$2:$D1468=D1468))&gt;1,0,1)</f>
        <v>0</v>
      </c>
    </row>
    <row r="1469" spans="1:16" hidden="1" x14ac:dyDescent="0.35">
      <c r="A1469" s="4" t="s">
        <v>138</v>
      </c>
      <c r="B1469">
        <v>2017</v>
      </c>
      <c r="C1469" s="2" t="s">
        <v>119</v>
      </c>
      <c r="D1469" s="5">
        <v>9.1</v>
      </c>
      <c r="E1469" s="5">
        <f>INT(Table2[[#This Row],[Transect]])</f>
        <v>9</v>
      </c>
      <c r="F1469" s="2" t="s">
        <v>209</v>
      </c>
      <c r="G1469" s="4">
        <v>1</v>
      </c>
      <c r="H1469">
        <f t="shared" si="7"/>
        <v>200</v>
      </c>
      <c r="I1469" s="4">
        <v>100</v>
      </c>
      <c r="J1469" s="4">
        <f>Table2[[#This Row],[Hits]]/Table2[[#This Row],[Points]]*100</f>
        <v>0.5</v>
      </c>
      <c r="K1469" s="4">
        <f>VLOOKUP(Table2[[#This Row],[Site]],'Site Info'!$A$1:$C$11,2, FALSE)</f>
        <v>11.5</v>
      </c>
      <c r="L1469" s="4">
        <f>VLOOKUP(Table2[[#This Row],[Site]],'Site Info'!$A$1:$C$11,3, FALSE)</f>
        <v>11</v>
      </c>
      <c r="M1469" t="str">
        <f>VLOOKUP(Table2[[#This Row],[Species]],'Species Table'!$A$1:$D$68,3, FALSE)</f>
        <v>Annual/Biennial/Perennial</v>
      </c>
      <c r="N1469" s="4"/>
      <c r="O1469" s="15">
        <f>IF(SUMPRODUCT(($A$2:$A1469=A1469)*($B$2:$B1469=B1469)*($F$2:$F1469=F1469))&gt;1,0,1)</f>
        <v>1</v>
      </c>
      <c r="P1469" s="15">
        <f>IF(SUMPRODUCT(($A$2:$A1469=A1469)*($B$2:$B1469=B1469)*($D$2:$D1469=D1469))&gt;1,0,1)</f>
        <v>0</v>
      </c>
    </row>
    <row r="1470" spans="1:16" hidden="1" x14ac:dyDescent="0.35">
      <c r="A1470" s="4" t="s">
        <v>138</v>
      </c>
      <c r="B1470">
        <v>2017</v>
      </c>
      <c r="C1470" s="2" t="s">
        <v>119</v>
      </c>
      <c r="D1470" s="5">
        <v>9.1</v>
      </c>
      <c r="E1470" s="5">
        <f>INT(Table2[[#This Row],[Transect]])</f>
        <v>9</v>
      </c>
      <c r="F1470" s="2" t="s">
        <v>199</v>
      </c>
      <c r="G1470" s="4">
        <v>3</v>
      </c>
      <c r="H1470">
        <f t="shared" si="7"/>
        <v>200</v>
      </c>
      <c r="I1470" s="4">
        <v>100</v>
      </c>
      <c r="J1470" s="4">
        <f>Table2[[#This Row],[Hits]]/Table2[[#This Row],[Points]]*100</f>
        <v>1.5</v>
      </c>
      <c r="K1470" s="4">
        <f>VLOOKUP(Table2[[#This Row],[Site]],'Site Info'!$A$1:$C$11,2, FALSE)</f>
        <v>11.5</v>
      </c>
      <c r="L1470" s="4">
        <f>VLOOKUP(Table2[[#This Row],[Site]],'Site Info'!$A$1:$C$11,3, FALSE)</f>
        <v>11</v>
      </c>
      <c r="M1470" t="str">
        <f>VLOOKUP(Table2[[#This Row],[Species]],'Species Table'!$A$1:$D$68,3, FALSE)</f>
        <v>Annual/Biennial</v>
      </c>
      <c r="N1470" s="4"/>
      <c r="O1470" s="15">
        <f>IF(SUMPRODUCT(($A$2:$A1470=A1470)*($B$2:$B1470=B1470)*($F$2:$F1470=F1470))&gt;1,0,1)</f>
        <v>0</v>
      </c>
      <c r="P1470" s="15">
        <f>IF(SUMPRODUCT(($A$2:$A1470=A1470)*($B$2:$B1470=B1470)*($D$2:$D1470=D1470))&gt;1,0,1)</f>
        <v>0</v>
      </c>
    </row>
    <row r="1471" spans="1:16" hidden="1" x14ac:dyDescent="0.35">
      <c r="A1471" s="4" t="s">
        <v>138</v>
      </c>
      <c r="B1471" s="4">
        <v>2017</v>
      </c>
      <c r="C1471" s="2" t="s">
        <v>119</v>
      </c>
      <c r="D1471" s="5">
        <v>9.1</v>
      </c>
      <c r="E1471" s="5">
        <f>INT(Table2[[#This Row],[Transect]])</f>
        <v>9</v>
      </c>
      <c r="F1471" t="s">
        <v>237</v>
      </c>
      <c r="G1471" s="4">
        <v>2</v>
      </c>
      <c r="H1471" s="4">
        <f t="shared" si="7"/>
        <v>200</v>
      </c>
      <c r="I1471" s="4">
        <v>100</v>
      </c>
      <c r="J1471" s="4">
        <f>Table2[[#This Row],[Hits]]/Table2[[#This Row],[Points]]*100</f>
        <v>1</v>
      </c>
      <c r="K1471" s="4">
        <f>VLOOKUP(Table2[[#This Row],[Site]],'Site Info'!$A$1:$C$11,2, FALSE)</f>
        <v>11.5</v>
      </c>
      <c r="L1471" s="4">
        <f>VLOOKUP(Table2[[#This Row],[Site]],'Site Info'!$A$1:$C$11,3, FALSE)</f>
        <v>11</v>
      </c>
      <c r="M1471" t="str">
        <f>VLOOKUP(Table2[[#This Row],[Species]],'Species Table'!$A$1:$D$68,3, FALSE)</f>
        <v>Unknown</v>
      </c>
      <c r="N1471" s="4" t="s">
        <v>221</v>
      </c>
      <c r="O1471" s="15">
        <f>IF(SUMPRODUCT(($A$2:$A1471=A1471)*($B$2:$B1471=B1471)*($F$2:$F1471=F1471))&gt;1,0,1)</f>
        <v>0</v>
      </c>
      <c r="P1471" s="15">
        <f>IF(SUMPRODUCT(($A$2:$A1471=A1471)*($B$2:$B1471=B1471)*($D$2:$D1471=D1471))&gt;1,0,1)</f>
        <v>0</v>
      </c>
    </row>
    <row r="1472" spans="1:16" x14ac:dyDescent="0.35">
      <c r="A1472" s="4" t="s">
        <v>138</v>
      </c>
      <c r="B1472">
        <v>2017</v>
      </c>
      <c r="C1472" s="2" t="s">
        <v>119</v>
      </c>
      <c r="D1472" s="5">
        <v>9.1</v>
      </c>
      <c r="E1472" s="5">
        <f>INT(Table2[[#This Row],[Transect]])</f>
        <v>9</v>
      </c>
      <c r="F1472" s="2" t="s">
        <v>175</v>
      </c>
      <c r="G1472" s="4">
        <v>2</v>
      </c>
      <c r="H1472">
        <f t="shared" si="7"/>
        <v>200</v>
      </c>
      <c r="I1472" s="4">
        <v>100</v>
      </c>
      <c r="J1472" s="4">
        <f>Table2[[#This Row],[Hits]]/Table2[[#This Row],[Points]]*100</f>
        <v>1</v>
      </c>
      <c r="K1472" s="4">
        <f>VLOOKUP(Table2[[#This Row],[Site]],'Site Info'!$A$1:$C$11,2, FALSE)</f>
        <v>11.5</v>
      </c>
      <c r="L1472" s="4">
        <f>VLOOKUP(Table2[[#This Row],[Site]],'Site Info'!$A$1:$C$11,3, FALSE)</f>
        <v>11</v>
      </c>
      <c r="M1472" t="str">
        <f>VLOOKUP(Table2[[#This Row],[Species]],'Species Table'!$A$1:$D$68,3, FALSE)</f>
        <v>Perennial</v>
      </c>
      <c r="O1472" s="15">
        <f>IF(SUMPRODUCT(($A$2:$A1472=A1472)*($B$2:$B1472=B1472)*($F$2:$F1472=F1472))&gt;1,0,1)</f>
        <v>0</v>
      </c>
      <c r="P1472" s="15">
        <f>IF(SUMPRODUCT(($A$2:$A1472=A1472)*($B$2:$B1472=B1472)*($D$2:$D1472=D1472))&gt;1,0,1)</f>
        <v>0</v>
      </c>
    </row>
    <row r="1473" spans="1:16" hidden="1" x14ac:dyDescent="0.35">
      <c r="A1473" s="4" t="s">
        <v>138</v>
      </c>
      <c r="B1473">
        <v>2017</v>
      </c>
      <c r="C1473" s="2" t="s">
        <v>119</v>
      </c>
      <c r="D1473" s="5">
        <v>9.1</v>
      </c>
      <c r="E1473" s="5">
        <f>INT(Table2[[#This Row],[Transect]])</f>
        <v>9</v>
      </c>
      <c r="F1473" s="2" t="s">
        <v>10</v>
      </c>
      <c r="G1473" s="4">
        <v>32</v>
      </c>
      <c r="H1473">
        <f t="shared" si="7"/>
        <v>200</v>
      </c>
      <c r="I1473" s="4">
        <v>100</v>
      </c>
      <c r="J1473" s="4">
        <f>Table2[[#This Row],[Hits]]/Table2[[#This Row],[Points]]*100</f>
        <v>16</v>
      </c>
      <c r="K1473" s="4">
        <f>VLOOKUP(Table2[[#This Row],[Site]],'Site Info'!$A$1:$C$11,2, FALSE)</f>
        <v>11.5</v>
      </c>
      <c r="L1473" s="4">
        <f>VLOOKUP(Table2[[#This Row],[Site]],'Site Info'!$A$1:$C$11,3, FALSE)</f>
        <v>11</v>
      </c>
      <c r="M1473" t="str">
        <f>VLOOKUP(Table2[[#This Row],[Species]],'Species Table'!$A$1:$D$68,3, FALSE)</f>
        <v>Annual</v>
      </c>
      <c r="O1473" s="15">
        <f>IF(SUMPRODUCT(($A$2:$A1473=A1473)*($B$2:$B1473=B1473)*($F$2:$F1473=F1473))&gt;1,0,1)</f>
        <v>0</v>
      </c>
      <c r="P1473" s="15">
        <f>IF(SUMPRODUCT(($A$2:$A1473=A1473)*($B$2:$B1473=B1473)*($D$2:$D1473=D1473))&gt;1,0,1)</f>
        <v>0</v>
      </c>
    </row>
    <row r="1474" spans="1:16" hidden="1" x14ac:dyDescent="0.35">
      <c r="A1474" s="4" t="s">
        <v>138</v>
      </c>
      <c r="B1474">
        <v>2017</v>
      </c>
      <c r="C1474" s="2" t="s">
        <v>120</v>
      </c>
      <c r="D1474" s="5">
        <v>9.1999999999999993</v>
      </c>
      <c r="E1474" s="5">
        <f>INT(Table2[[#This Row],[Transect]])</f>
        <v>9</v>
      </c>
      <c r="F1474" s="2" t="s">
        <v>10</v>
      </c>
      <c r="G1474" s="4">
        <v>36</v>
      </c>
      <c r="H1474">
        <f t="shared" si="7"/>
        <v>200</v>
      </c>
      <c r="I1474" s="4">
        <v>100</v>
      </c>
      <c r="J1474" s="4">
        <f>Table2[[#This Row],[Hits]]/Table2[[#This Row],[Points]]*100</f>
        <v>18</v>
      </c>
      <c r="K1474" s="4">
        <f>VLOOKUP(Table2[[#This Row],[Site]],'Site Info'!$A$1:$C$11,2, FALSE)</f>
        <v>11.5</v>
      </c>
      <c r="L1474" s="4">
        <f>VLOOKUP(Table2[[#This Row],[Site]],'Site Info'!$A$1:$C$11,3, FALSE)</f>
        <v>11</v>
      </c>
      <c r="M1474" t="str">
        <f>VLOOKUP(Table2[[#This Row],[Species]],'Species Table'!$A$1:$D$68,3, FALSE)</f>
        <v>Annual</v>
      </c>
      <c r="O1474" s="15">
        <f>IF(SUMPRODUCT(($A$2:$A1474=A1474)*($B$2:$B1474=B1474)*($F$2:$F1474=F1474))&gt;1,0,1)</f>
        <v>0</v>
      </c>
      <c r="P1474" s="15">
        <f>IF(SUMPRODUCT(($A$2:$A1474=A1474)*($B$2:$B1474=B1474)*($D$2:$D1474=D1474))&gt;1,0,1)</f>
        <v>1</v>
      </c>
    </row>
    <row r="1475" spans="1:16" x14ac:dyDescent="0.35">
      <c r="A1475" s="4" t="s">
        <v>138</v>
      </c>
      <c r="B1475">
        <v>2017</v>
      </c>
      <c r="C1475" s="2" t="s">
        <v>120</v>
      </c>
      <c r="D1475" s="5">
        <v>9.1999999999999993</v>
      </c>
      <c r="E1475" s="5">
        <f>INT(Table2[[#This Row],[Transect]])</f>
        <v>9</v>
      </c>
      <c r="F1475" s="2" t="s">
        <v>29</v>
      </c>
      <c r="G1475" s="4">
        <v>6</v>
      </c>
      <c r="H1475">
        <f t="shared" si="7"/>
        <v>200</v>
      </c>
      <c r="I1475" s="4">
        <v>100</v>
      </c>
      <c r="J1475" s="4">
        <f>Table2[[#This Row],[Hits]]/Table2[[#This Row],[Points]]*100</f>
        <v>3</v>
      </c>
      <c r="K1475" s="4">
        <f>VLOOKUP(Table2[[#This Row],[Site]],'Site Info'!$A$1:$C$11,2, FALSE)</f>
        <v>11.5</v>
      </c>
      <c r="L1475" s="4">
        <f>VLOOKUP(Table2[[#This Row],[Site]],'Site Info'!$A$1:$C$11,3, FALSE)</f>
        <v>11</v>
      </c>
      <c r="M1475" t="str">
        <f>VLOOKUP(Table2[[#This Row],[Species]],'Species Table'!$A$1:$D$68,3, FALSE)</f>
        <v>Perennial</v>
      </c>
      <c r="O1475" s="15">
        <f>IF(SUMPRODUCT(($A$2:$A1475=A1475)*($B$2:$B1475=B1475)*($F$2:$F1475=F1475))&gt;1,0,1)</f>
        <v>1</v>
      </c>
      <c r="P1475" s="15">
        <f>IF(SUMPRODUCT(($A$2:$A1475=A1475)*($B$2:$B1475=B1475)*($D$2:$D1475=D1475))&gt;1,0,1)</f>
        <v>0</v>
      </c>
    </row>
    <row r="1476" spans="1:16" x14ac:dyDescent="0.35">
      <c r="A1476" s="4" t="s">
        <v>138</v>
      </c>
      <c r="B1476">
        <v>2017</v>
      </c>
      <c r="C1476" s="2" t="s">
        <v>120</v>
      </c>
      <c r="D1476" s="5">
        <v>9.1999999999999993</v>
      </c>
      <c r="E1476" s="5">
        <f>INT(Table2[[#This Row],[Transect]])</f>
        <v>9</v>
      </c>
      <c r="F1476" s="2" t="s">
        <v>173</v>
      </c>
      <c r="G1476" s="4">
        <v>1</v>
      </c>
      <c r="H1476">
        <f t="shared" si="7"/>
        <v>200</v>
      </c>
      <c r="I1476" s="4">
        <v>100</v>
      </c>
      <c r="J1476" s="4">
        <f>Table2[[#This Row],[Hits]]/Table2[[#This Row],[Points]]*100</f>
        <v>0.5</v>
      </c>
      <c r="K1476" s="4">
        <f>VLOOKUP(Table2[[#This Row],[Site]],'Site Info'!$A$1:$C$11,2, FALSE)</f>
        <v>11.5</v>
      </c>
      <c r="L1476" s="4">
        <f>VLOOKUP(Table2[[#This Row],[Site]],'Site Info'!$A$1:$C$11,3, FALSE)</f>
        <v>11</v>
      </c>
      <c r="M1476" t="str">
        <f>VLOOKUP(Table2[[#This Row],[Species]],'Species Table'!$A$1:$D$68,3, FALSE)</f>
        <v>Perennial</v>
      </c>
      <c r="O1476" s="15">
        <f>IF(SUMPRODUCT(($A$2:$A1476=A1476)*($B$2:$B1476=B1476)*($F$2:$F1476=F1476))&gt;1,0,1)</f>
        <v>0</v>
      </c>
      <c r="P1476" s="15">
        <f>IF(SUMPRODUCT(($A$2:$A1476=A1476)*($B$2:$B1476=B1476)*($D$2:$D1476=D1476))&gt;1,0,1)</f>
        <v>0</v>
      </c>
    </row>
    <row r="1477" spans="1:16" hidden="1" x14ac:dyDescent="0.35">
      <c r="A1477" s="4" t="s">
        <v>138</v>
      </c>
      <c r="B1477">
        <v>2017</v>
      </c>
      <c r="C1477" s="2" t="s">
        <v>77</v>
      </c>
      <c r="D1477" s="5">
        <v>8.1</v>
      </c>
      <c r="E1477" s="5">
        <f>INT(Table2[[#This Row],[Transect]])</f>
        <v>8</v>
      </c>
      <c r="F1477" s="2" t="s">
        <v>10</v>
      </c>
      <c r="G1477" s="4">
        <v>69</v>
      </c>
      <c r="H1477">
        <f t="shared" si="7"/>
        <v>200</v>
      </c>
      <c r="I1477" s="4">
        <v>100</v>
      </c>
      <c r="J1477" s="4">
        <f>Table2[[#This Row],[Hits]]/Table2[[#This Row],[Points]]*100</f>
        <v>34.5</v>
      </c>
      <c r="K1477" s="4">
        <f>VLOOKUP(Table2[[#This Row],[Site]],'Site Info'!$A$1:$C$11,2, FALSE)</f>
        <v>11.5</v>
      </c>
      <c r="L1477" s="4">
        <f>VLOOKUP(Table2[[#This Row],[Site]],'Site Info'!$A$1:$C$11,3, FALSE)</f>
        <v>11</v>
      </c>
      <c r="M1477" t="str">
        <f>VLOOKUP(Table2[[#This Row],[Species]],'Species Table'!$A$1:$D$68,3, FALSE)</f>
        <v>Annual</v>
      </c>
      <c r="O1477" s="15">
        <f>IF(SUMPRODUCT(($A$2:$A1477=A1477)*($B$2:$B1477=B1477)*($F$2:$F1477=F1477))&gt;1,0,1)</f>
        <v>0</v>
      </c>
      <c r="P1477" s="15">
        <f>IF(SUMPRODUCT(($A$2:$A1477=A1477)*($B$2:$B1477=B1477)*($D$2:$D1477=D1477))&gt;1,0,1)</f>
        <v>1</v>
      </c>
    </row>
    <row r="1478" spans="1:16" x14ac:dyDescent="0.35">
      <c r="A1478" s="4" t="s">
        <v>138</v>
      </c>
      <c r="B1478">
        <v>2017</v>
      </c>
      <c r="C1478" s="2" t="s">
        <v>77</v>
      </c>
      <c r="D1478" s="5">
        <v>8.1</v>
      </c>
      <c r="E1478" s="5">
        <f>INT(Table2[[#This Row],[Transect]])</f>
        <v>8</v>
      </c>
      <c r="F1478" s="2" t="s">
        <v>173</v>
      </c>
      <c r="G1478" s="4">
        <v>4</v>
      </c>
      <c r="H1478">
        <f t="shared" si="7"/>
        <v>200</v>
      </c>
      <c r="I1478" s="4">
        <v>100</v>
      </c>
      <c r="J1478" s="4">
        <f>Table2[[#This Row],[Hits]]/Table2[[#This Row],[Points]]*100</f>
        <v>2</v>
      </c>
      <c r="K1478" s="4">
        <f>VLOOKUP(Table2[[#This Row],[Site]],'Site Info'!$A$1:$C$11,2, FALSE)</f>
        <v>11.5</v>
      </c>
      <c r="L1478" s="4">
        <f>VLOOKUP(Table2[[#This Row],[Site]],'Site Info'!$A$1:$C$11,3, FALSE)</f>
        <v>11</v>
      </c>
      <c r="M1478" t="str">
        <f>VLOOKUP(Table2[[#This Row],[Species]],'Species Table'!$A$1:$D$68,3, FALSE)</f>
        <v>Perennial</v>
      </c>
      <c r="O1478" s="15">
        <f>IF(SUMPRODUCT(($A$2:$A1478=A1478)*($B$2:$B1478=B1478)*($F$2:$F1478=F1478))&gt;1,0,1)</f>
        <v>0</v>
      </c>
      <c r="P1478" s="15">
        <f>IF(SUMPRODUCT(($A$2:$A1478=A1478)*($B$2:$B1478=B1478)*($D$2:$D1478=D1478))&gt;1,0,1)</f>
        <v>0</v>
      </c>
    </row>
    <row r="1479" spans="1:16" x14ac:dyDescent="0.35">
      <c r="A1479" s="4" t="s">
        <v>138</v>
      </c>
      <c r="B1479">
        <v>2017</v>
      </c>
      <c r="C1479" s="2" t="s">
        <v>77</v>
      </c>
      <c r="D1479" s="5">
        <v>8.1</v>
      </c>
      <c r="E1479" s="5">
        <f>INT(Table2[[#This Row],[Transect]])</f>
        <v>8</v>
      </c>
      <c r="F1479" s="2" t="s">
        <v>11</v>
      </c>
      <c r="G1479" s="4">
        <v>6</v>
      </c>
      <c r="H1479">
        <f t="shared" si="7"/>
        <v>200</v>
      </c>
      <c r="I1479" s="4">
        <v>100</v>
      </c>
      <c r="J1479" s="4">
        <f>Table2[[#This Row],[Hits]]/Table2[[#This Row],[Points]]*100</f>
        <v>3</v>
      </c>
      <c r="K1479" s="4">
        <f>VLOOKUP(Table2[[#This Row],[Site]],'Site Info'!$A$1:$C$11,2, FALSE)</f>
        <v>11.5</v>
      </c>
      <c r="L1479" s="4">
        <f>VLOOKUP(Table2[[#This Row],[Site]],'Site Info'!$A$1:$C$11,3, FALSE)</f>
        <v>11</v>
      </c>
      <c r="M1479" t="str">
        <f>VLOOKUP(Table2[[#This Row],[Species]],'Species Table'!$A$1:$D$68,3, FALSE)</f>
        <v>Perennial</v>
      </c>
      <c r="O1479" s="15">
        <f>IF(SUMPRODUCT(($A$2:$A1479=A1479)*($B$2:$B1479=B1479)*($F$2:$F1479=F1479))&gt;1,0,1)</f>
        <v>0</v>
      </c>
      <c r="P1479" s="15">
        <f>IF(SUMPRODUCT(($A$2:$A1479=A1479)*($B$2:$B1479=B1479)*($D$2:$D1479=D1479))&gt;1,0,1)</f>
        <v>0</v>
      </c>
    </row>
    <row r="1480" spans="1:16" x14ac:dyDescent="0.35">
      <c r="A1480" s="4" t="s">
        <v>138</v>
      </c>
      <c r="B1480">
        <v>2017</v>
      </c>
      <c r="C1480" s="2" t="s">
        <v>77</v>
      </c>
      <c r="D1480" s="5">
        <v>8.1</v>
      </c>
      <c r="E1480" s="5">
        <f>INT(Table2[[#This Row],[Transect]])</f>
        <v>8</v>
      </c>
      <c r="F1480" s="2" t="s">
        <v>23</v>
      </c>
      <c r="G1480" s="4">
        <v>4</v>
      </c>
      <c r="H1480">
        <f t="shared" si="7"/>
        <v>200</v>
      </c>
      <c r="I1480" s="4">
        <v>100</v>
      </c>
      <c r="J1480" s="4">
        <f>Table2[[#This Row],[Hits]]/Table2[[#This Row],[Points]]*100</f>
        <v>2</v>
      </c>
      <c r="K1480" s="4">
        <f>VLOOKUP(Table2[[#This Row],[Site]],'Site Info'!$A$1:$C$11,2, FALSE)</f>
        <v>11.5</v>
      </c>
      <c r="L1480" s="4">
        <f>VLOOKUP(Table2[[#This Row],[Site]],'Site Info'!$A$1:$C$11,3, FALSE)</f>
        <v>11</v>
      </c>
      <c r="M1480" t="str">
        <f>VLOOKUP(Table2[[#This Row],[Species]],'Species Table'!$A$1:$D$68,3, FALSE)</f>
        <v>Perennial</v>
      </c>
      <c r="O1480" s="15">
        <f>IF(SUMPRODUCT(($A$2:$A1480=A1480)*($B$2:$B1480=B1480)*($F$2:$F1480=F1480))&gt;1,0,1)</f>
        <v>0</v>
      </c>
      <c r="P1480" s="15">
        <f>IF(SUMPRODUCT(($A$2:$A1480=A1480)*($B$2:$B1480=B1480)*($D$2:$D1480=D1480))&gt;1,0,1)</f>
        <v>0</v>
      </c>
    </row>
    <row r="1481" spans="1:16" x14ac:dyDescent="0.35">
      <c r="A1481" s="4" t="s">
        <v>138</v>
      </c>
      <c r="B1481">
        <v>2017</v>
      </c>
      <c r="C1481" s="2" t="s">
        <v>77</v>
      </c>
      <c r="D1481" s="5">
        <v>8.1</v>
      </c>
      <c r="E1481" s="5">
        <f>INT(Table2[[#This Row],[Transect]])</f>
        <v>8</v>
      </c>
      <c r="F1481" s="2" t="s">
        <v>29</v>
      </c>
      <c r="G1481" s="4">
        <v>14</v>
      </c>
      <c r="H1481">
        <f t="shared" si="7"/>
        <v>200</v>
      </c>
      <c r="I1481" s="4">
        <v>100</v>
      </c>
      <c r="J1481" s="4">
        <f>Table2[[#This Row],[Hits]]/Table2[[#This Row],[Points]]*100</f>
        <v>7.0000000000000009</v>
      </c>
      <c r="K1481" s="4">
        <f>VLOOKUP(Table2[[#This Row],[Site]],'Site Info'!$A$1:$C$11,2, FALSE)</f>
        <v>11.5</v>
      </c>
      <c r="L1481" s="4">
        <f>VLOOKUP(Table2[[#This Row],[Site]],'Site Info'!$A$1:$C$11,3, FALSE)</f>
        <v>11</v>
      </c>
      <c r="M1481" t="str">
        <f>VLOOKUP(Table2[[#This Row],[Species]],'Species Table'!$A$1:$D$68,3, FALSE)</f>
        <v>Perennial</v>
      </c>
      <c r="O1481" s="15">
        <f>IF(SUMPRODUCT(($A$2:$A1481=A1481)*($B$2:$B1481=B1481)*($F$2:$F1481=F1481))&gt;1,0,1)</f>
        <v>0</v>
      </c>
      <c r="P1481" s="15">
        <f>IF(SUMPRODUCT(($A$2:$A1481=A1481)*($B$2:$B1481=B1481)*($D$2:$D1481=D1481))&gt;1,0,1)</f>
        <v>0</v>
      </c>
    </row>
    <row r="1482" spans="1:16" hidden="1" x14ac:dyDescent="0.35">
      <c r="A1482" s="4" t="s">
        <v>138</v>
      </c>
      <c r="B1482">
        <v>2017</v>
      </c>
      <c r="C1482" s="2" t="s">
        <v>118</v>
      </c>
      <c r="D1482" s="5">
        <v>8.1999999999999993</v>
      </c>
      <c r="E1482" s="5">
        <f>INT(Table2[[#This Row],[Transect]])</f>
        <v>8</v>
      </c>
      <c r="F1482" s="2" t="s">
        <v>10</v>
      </c>
      <c r="G1482" s="4">
        <v>102</v>
      </c>
      <c r="H1482">
        <f t="shared" si="7"/>
        <v>200</v>
      </c>
      <c r="I1482" s="4">
        <v>100</v>
      </c>
      <c r="J1482" s="4">
        <f>Table2[[#This Row],[Hits]]/Table2[[#This Row],[Points]]*100</f>
        <v>51</v>
      </c>
      <c r="K1482" s="4">
        <f>VLOOKUP(Table2[[#This Row],[Site]],'Site Info'!$A$1:$C$11,2, FALSE)</f>
        <v>11.5</v>
      </c>
      <c r="L1482" s="4">
        <f>VLOOKUP(Table2[[#This Row],[Site]],'Site Info'!$A$1:$C$11,3, FALSE)</f>
        <v>11</v>
      </c>
      <c r="M1482" t="str">
        <f>VLOOKUP(Table2[[#This Row],[Species]],'Species Table'!$A$1:$D$68,3, FALSE)</f>
        <v>Annual</v>
      </c>
      <c r="O1482" s="15">
        <f>IF(SUMPRODUCT(($A$2:$A1482=A1482)*($B$2:$B1482=B1482)*($F$2:$F1482=F1482))&gt;1,0,1)</f>
        <v>0</v>
      </c>
      <c r="P1482" s="15">
        <f>IF(SUMPRODUCT(($A$2:$A1482=A1482)*($B$2:$B1482=B1482)*($D$2:$D1482=D1482))&gt;1,0,1)</f>
        <v>1</v>
      </c>
    </row>
    <row r="1483" spans="1:16" x14ac:dyDescent="0.35">
      <c r="A1483" s="4" t="s">
        <v>138</v>
      </c>
      <c r="B1483">
        <v>2017</v>
      </c>
      <c r="C1483" s="2" t="s">
        <v>118</v>
      </c>
      <c r="D1483" s="5">
        <v>8.1999999999999993</v>
      </c>
      <c r="E1483" s="5">
        <f>INT(Table2[[#This Row],[Transect]])</f>
        <v>8</v>
      </c>
      <c r="F1483" s="2" t="s">
        <v>13</v>
      </c>
      <c r="G1483" s="4">
        <v>3</v>
      </c>
      <c r="H1483">
        <f t="shared" si="7"/>
        <v>200</v>
      </c>
      <c r="I1483" s="4">
        <v>100</v>
      </c>
      <c r="J1483" s="4">
        <f>Table2[[#This Row],[Hits]]/Table2[[#This Row],[Points]]*100</f>
        <v>1.5</v>
      </c>
      <c r="K1483" s="4">
        <f>VLOOKUP(Table2[[#This Row],[Site]],'Site Info'!$A$1:$C$11,2, FALSE)</f>
        <v>11.5</v>
      </c>
      <c r="L1483" s="4">
        <f>VLOOKUP(Table2[[#This Row],[Site]],'Site Info'!$A$1:$C$11,3, FALSE)</f>
        <v>11</v>
      </c>
      <c r="M1483" t="str">
        <f>VLOOKUP(Table2[[#This Row],[Species]],'Species Table'!$A$1:$D$68,3, FALSE)</f>
        <v>Perennial</v>
      </c>
      <c r="O1483" s="15">
        <f>IF(SUMPRODUCT(($A$2:$A1483=A1483)*($B$2:$B1483=B1483)*($F$2:$F1483=F1483))&gt;1,0,1)</f>
        <v>1</v>
      </c>
      <c r="P1483" s="15">
        <f>IF(SUMPRODUCT(($A$2:$A1483=A1483)*($B$2:$B1483=B1483)*($D$2:$D1483=D1483))&gt;1,0,1)</f>
        <v>0</v>
      </c>
    </row>
    <row r="1484" spans="1:16" hidden="1" x14ac:dyDescent="0.35">
      <c r="A1484" s="4" t="s">
        <v>138</v>
      </c>
      <c r="B1484">
        <v>2017</v>
      </c>
      <c r="C1484" s="2" t="s">
        <v>71</v>
      </c>
      <c r="D1484" s="5">
        <v>7.1</v>
      </c>
      <c r="E1484" s="5">
        <f>INT(Table2[[#This Row],[Transect]])</f>
        <v>7</v>
      </c>
      <c r="F1484" s="2" t="s">
        <v>10</v>
      </c>
      <c r="G1484" s="4">
        <v>49</v>
      </c>
      <c r="H1484">
        <f t="shared" si="7"/>
        <v>200</v>
      </c>
      <c r="I1484" s="4">
        <v>100</v>
      </c>
      <c r="J1484" s="4">
        <f>Table2[[#This Row],[Hits]]/Table2[[#This Row],[Points]]*100</f>
        <v>24.5</v>
      </c>
      <c r="K1484" s="4">
        <f>VLOOKUP(Table2[[#This Row],[Site]],'Site Info'!$A$1:$C$11,2, FALSE)</f>
        <v>11.5</v>
      </c>
      <c r="L1484" s="4">
        <f>VLOOKUP(Table2[[#This Row],[Site]],'Site Info'!$A$1:$C$11,3, FALSE)</f>
        <v>11</v>
      </c>
      <c r="M1484" t="str">
        <f>VLOOKUP(Table2[[#This Row],[Species]],'Species Table'!$A$1:$D$68,3, FALSE)</f>
        <v>Annual</v>
      </c>
      <c r="O1484" s="15">
        <f>IF(SUMPRODUCT(($A$2:$A1484=A1484)*($B$2:$B1484=B1484)*($F$2:$F1484=F1484))&gt;1,0,1)</f>
        <v>0</v>
      </c>
      <c r="P1484" s="15">
        <f>IF(SUMPRODUCT(($A$2:$A1484=A1484)*($B$2:$B1484=B1484)*($D$2:$D1484=D1484))&gt;1,0,1)</f>
        <v>1</v>
      </c>
    </row>
    <row r="1485" spans="1:16" x14ac:dyDescent="0.35">
      <c r="A1485" s="4" t="s">
        <v>138</v>
      </c>
      <c r="B1485">
        <v>2017</v>
      </c>
      <c r="C1485" s="2" t="s">
        <v>71</v>
      </c>
      <c r="D1485" s="5">
        <v>7.1</v>
      </c>
      <c r="E1485" s="5">
        <f>INT(Table2[[#This Row],[Transect]])</f>
        <v>7</v>
      </c>
      <c r="F1485" s="2" t="s">
        <v>13</v>
      </c>
      <c r="G1485" s="4">
        <v>1</v>
      </c>
      <c r="H1485">
        <f t="shared" si="7"/>
        <v>200</v>
      </c>
      <c r="I1485" s="4">
        <v>100</v>
      </c>
      <c r="J1485" s="4">
        <f>Table2[[#This Row],[Hits]]/Table2[[#This Row],[Points]]*100</f>
        <v>0.5</v>
      </c>
      <c r="K1485" s="4">
        <f>VLOOKUP(Table2[[#This Row],[Site]],'Site Info'!$A$1:$C$11,2, FALSE)</f>
        <v>11.5</v>
      </c>
      <c r="L1485" s="4">
        <f>VLOOKUP(Table2[[#This Row],[Site]],'Site Info'!$A$1:$C$11,3, FALSE)</f>
        <v>11</v>
      </c>
      <c r="M1485" t="str">
        <f>VLOOKUP(Table2[[#This Row],[Species]],'Species Table'!$A$1:$D$68,3, FALSE)</f>
        <v>Perennial</v>
      </c>
      <c r="O1485" s="15">
        <f>IF(SUMPRODUCT(($A$2:$A1485=A1485)*($B$2:$B1485=B1485)*($F$2:$F1485=F1485))&gt;1,0,1)</f>
        <v>0</v>
      </c>
      <c r="P1485" s="15">
        <f>IF(SUMPRODUCT(($A$2:$A1485=A1485)*($B$2:$B1485=B1485)*($D$2:$D1485=D1485))&gt;1,0,1)</f>
        <v>0</v>
      </c>
    </row>
    <row r="1486" spans="1:16" hidden="1" x14ac:dyDescent="0.35">
      <c r="A1486" s="4" t="s">
        <v>138</v>
      </c>
      <c r="B1486">
        <v>2017</v>
      </c>
      <c r="C1486" s="2" t="s">
        <v>117</v>
      </c>
      <c r="D1486" s="5">
        <v>7.2</v>
      </c>
      <c r="E1486" s="5">
        <f>INT(Table2[[#This Row],[Transect]])</f>
        <v>7</v>
      </c>
      <c r="F1486" s="2" t="s">
        <v>10</v>
      </c>
      <c r="G1486" s="4">
        <v>51</v>
      </c>
      <c r="H1486">
        <f t="shared" si="7"/>
        <v>200</v>
      </c>
      <c r="I1486" s="4">
        <v>100</v>
      </c>
      <c r="J1486" s="4">
        <f>Table2[[#This Row],[Hits]]/Table2[[#This Row],[Points]]*100</f>
        <v>25.5</v>
      </c>
      <c r="K1486" s="4">
        <f>VLOOKUP(Table2[[#This Row],[Site]],'Site Info'!$A$1:$C$11,2, FALSE)</f>
        <v>11.5</v>
      </c>
      <c r="L1486" s="4">
        <f>VLOOKUP(Table2[[#This Row],[Site]],'Site Info'!$A$1:$C$11,3, FALSE)</f>
        <v>11</v>
      </c>
      <c r="M1486" t="str">
        <f>VLOOKUP(Table2[[#This Row],[Species]],'Species Table'!$A$1:$D$68,3, FALSE)</f>
        <v>Annual</v>
      </c>
      <c r="O1486" s="15">
        <f>IF(SUMPRODUCT(($A$2:$A1486=A1486)*($B$2:$B1486=B1486)*($F$2:$F1486=F1486))&gt;1,0,1)</f>
        <v>0</v>
      </c>
      <c r="P1486" s="15">
        <f>IF(SUMPRODUCT(($A$2:$A1486=A1486)*($B$2:$B1486=B1486)*($D$2:$D1486=D1486))&gt;1,0,1)</f>
        <v>1</v>
      </c>
    </row>
    <row r="1487" spans="1:16" hidden="1" x14ac:dyDescent="0.35">
      <c r="A1487" s="4" t="s">
        <v>138</v>
      </c>
      <c r="B1487">
        <v>2017</v>
      </c>
      <c r="C1487" s="2" t="s">
        <v>117</v>
      </c>
      <c r="D1487" s="5">
        <v>7.2</v>
      </c>
      <c r="E1487" s="5">
        <f>INT(Table2[[#This Row],[Transect]])</f>
        <v>7</v>
      </c>
      <c r="F1487" s="2" t="s">
        <v>210</v>
      </c>
      <c r="G1487" s="4">
        <v>12</v>
      </c>
      <c r="H1487">
        <f t="shared" ref="H1487:H1550" si="8">I1487*2</f>
        <v>200</v>
      </c>
      <c r="I1487" s="4">
        <v>100</v>
      </c>
      <c r="J1487" s="4">
        <f>Table2[[#This Row],[Hits]]/Table2[[#This Row],[Points]]*100</f>
        <v>6</v>
      </c>
      <c r="K1487" s="4">
        <f>VLOOKUP(Table2[[#This Row],[Site]],'Site Info'!$A$1:$C$11,2, FALSE)</f>
        <v>11.5</v>
      </c>
      <c r="L1487" s="4">
        <f>VLOOKUP(Table2[[#This Row],[Site]],'Site Info'!$A$1:$C$11,3, FALSE)</f>
        <v>11</v>
      </c>
      <c r="M1487" t="str">
        <f>VLOOKUP(Table2[[#This Row],[Species]],'Species Table'!$A$1:$D$68,3, FALSE)</f>
        <v>Annual</v>
      </c>
      <c r="O1487" s="15">
        <f>IF(SUMPRODUCT(($A$2:$A1487=A1487)*($B$2:$B1487=B1487)*($F$2:$F1487=F1487))&gt;1,0,1)</f>
        <v>1</v>
      </c>
      <c r="P1487" s="15">
        <f>IF(SUMPRODUCT(($A$2:$A1487=A1487)*($B$2:$B1487=B1487)*($D$2:$D1487=D1487))&gt;1,0,1)</f>
        <v>0</v>
      </c>
    </row>
    <row r="1488" spans="1:16" hidden="1" x14ac:dyDescent="0.35">
      <c r="A1488" s="4" t="s">
        <v>138</v>
      </c>
      <c r="B1488">
        <v>2017</v>
      </c>
      <c r="C1488" s="2" t="s">
        <v>67</v>
      </c>
      <c r="D1488" s="5">
        <v>6.1</v>
      </c>
      <c r="E1488" s="5">
        <f>INT(Table2[[#This Row],[Transect]])</f>
        <v>6</v>
      </c>
      <c r="F1488" s="2" t="s">
        <v>10</v>
      </c>
      <c r="G1488" s="4">
        <v>23</v>
      </c>
      <c r="H1488">
        <f t="shared" si="8"/>
        <v>200</v>
      </c>
      <c r="I1488" s="4">
        <v>100</v>
      </c>
      <c r="J1488" s="4">
        <f>Table2[[#This Row],[Hits]]/Table2[[#This Row],[Points]]*100</f>
        <v>11.5</v>
      </c>
      <c r="K1488" s="4">
        <f>VLOOKUP(Table2[[#This Row],[Site]],'Site Info'!$A$1:$C$11,2, FALSE)</f>
        <v>11.5</v>
      </c>
      <c r="L1488" s="4">
        <f>VLOOKUP(Table2[[#This Row],[Site]],'Site Info'!$A$1:$C$11,3, FALSE)</f>
        <v>11</v>
      </c>
      <c r="M1488" t="str">
        <f>VLOOKUP(Table2[[#This Row],[Species]],'Species Table'!$A$1:$D$68,3, FALSE)</f>
        <v>Annual</v>
      </c>
      <c r="O1488" s="15">
        <f>IF(SUMPRODUCT(($A$2:$A1488=A1488)*($B$2:$B1488=B1488)*($F$2:$F1488=F1488))&gt;1,0,1)</f>
        <v>0</v>
      </c>
      <c r="P1488" s="15">
        <f>IF(SUMPRODUCT(($A$2:$A1488=A1488)*($B$2:$B1488=B1488)*($D$2:$D1488=D1488))&gt;1,0,1)</f>
        <v>1</v>
      </c>
    </row>
    <row r="1489" spans="1:16" hidden="1" x14ac:dyDescent="0.35">
      <c r="A1489" s="4" t="s">
        <v>138</v>
      </c>
      <c r="B1489">
        <v>2017</v>
      </c>
      <c r="C1489" s="2" t="s">
        <v>115</v>
      </c>
      <c r="D1489" s="5">
        <v>6.2</v>
      </c>
      <c r="E1489" s="5">
        <f>INT(Table2[[#This Row],[Transect]])</f>
        <v>6</v>
      </c>
      <c r="F1489" s="2" t="s">
        <v>10</v>
      </c>
      <c r="G1489" s="4">
        <v>47</v>
      </c>
      <c r="H1489">
        <f t="shared" si="8"/>
        <v>200</v>
      </c>
      <c r="I1489" s="4">
        <v>100</v>
      </c>
      <c r="J1489" s="4">
        <f>Table2[[#This Row],[Hits]]/Table2[[#This Row],[Points]]*100</f>
        <v>23.5</v>
      </c>
      <c r="K1489" s="4">
        <f>VLOOKUP(Table2[[#This Row],[Site]],'Site Info'!$A$1:$C$11,2, FALSE)</f>
        <v>11.5</v>
      </c>
      <c r="L1489" s="4">
        <f>VLOOKUP(Table2[[#This Row],[Site]],'Site Info'!$A$1:$C$11,3, FALSE)</f>
        <v>11</v>
      </c>
      <c r="M1489" t="str">
        <f>VLOOKUP(Table2[[#This Row],[Species]],'Species Table'!$A$1:$D$68,3, FALSE)</f>
        <v>Annual</v>
      </c>
      <c r="O1489" s="15">
        <f>IF(SUMPRODUCT(($A$2:$A1489=A1489)*($B$2:$B1489=B1489)*($F$2:$F1489=F1489))&gt;1,0,1)</f>
        <v>0</v>
      </c>
      <c r="P1489" s="15">
        <f>IF(SUMPRODUCT(($A$2:$A1489=A1489)*($B$2:$B1489=B1489)*($D$2:$D1489=D1489))&gt;1,0,1)</f>
        <v>1</v>
      </c>
    </row>
    <row r="1490" spans="1:16" hidden="1" x14ac:dyDescent="0.35">
      <c r="A1490" s="4" t="s">
        <v>138</v>
      </c>
      <c r="B1490">
        <v>2017</v>
      </c>
      <c r="C1490" s="2" t="s">
        <v>62</v>
      </c>
      <c r="D1490" s="5">
        <v>5.0999999999999996</v>
      </c>
      <c r="E1490" s="5">
        <f>INT(Table2[[#This Row],[Transect]])</f>
        <v>5</v>
      </c>
      <c r="F1490" s="2" t="s">
        <v>10</v>
      </c>
      <c r="G1490" s="4">
        <v>14</v>
      </c>
      <c r="H1490">
        <f t="shared" si="8"/>
        <v>200</v>
      </c>
      <c r="I1490" s="4">
        <v>100</v>
      </c>
      <c r="J1490" s="4">
        <f>Table2[[#This Row],[Hits]]/Table2[[#This Row],[Points]]*100</f>
        <v>7.0000000000000009</v>
      </c>
      <c r="K1490" s="4">
        <f>VLOOKUP(Table2[[#This Row],[Site]],'Site Info'!$A$1:$C$11,2, FALSE)</f>
        <v>11.5</v>
      </c>
      <c r="L1490" s="4">
        <f>VLOOKUP(Table2[[#This Row],[Site]],'Site Info'!$A$1:$C$11,3, FALSE)</f>
        <v>11</v>
      </c>
      <c r="M1490" t="str">
        <f>VLOOKUP(Table2[[#This Row],[Species]],'Species Table'!$A$1:$D$68,3, FALSE)</f>
        <v>Annual</v>
      </c>
      <c r="O1490" s="15">
        <f>IF(SUMPRODUCT(($A$2:$A1490=A1490)*($B$2:$B1490=B1490)*($F$2:$F1490=F1490))&gt;1,0,1)</f>
        <v>0</v>
      </c>
      <c r="P1490" s="15">
        <f>IF(SUMPRODUCT(($A$2:$A1490=A1490)*($B$2:$B1490=B1490)*($D$2:$D1490=D1490))&gt;1,0,1)</f>
        <v>1</v>
      </c>
    </row>
    <row r="1491" spans="1:16" x14ac:dyDescent="0.35">
      <c r="A1491" s="4" t="s">
        <v>138</v>
      </c>
      <c r="B1491">
        <v>2017</v>
      </c>
      <c r="C1491" s="2" t="s">
        <v>62</v>
      </c>
      <c r="D1491" s="5">
        <v>5.0999999999999996</v>
      </c>
      <c r="E1491" s="5">
        <f>INT(Table2[[#This Row],[Transect]])</f>
        <v>5</v>
      </c>
      <c r="F1491" s="2" t="s">
        <v>6</v>
      </c>
      <c r="G1491" s="4">
        <v>3</v>
      </c>
      <c r="H1491">
        <f t="shared" si="8"/>
        <v>200</v>
      </c>
      <c r="I1491" s="4">
        <v>100</v>
      </c>
      <c r="J1491" s="4">
        <f>Table2[[#This Row],[Hits]]/Table2[[#This Row],[Points]]*100</f>
        <v>1.5</v>
      </c>
      <c r="K1491" s="4">
        <f>VLOOKUP(Table2[[#This Row],[Site]],'Site Info'!$A$1:$C$11,2, FALSE)</f>
        <v>11.5</v>
      </c>
      <c r="L1491" s="4">
        <f>VLOOKUP(Table2[[#This Row],[Site]],'Site Info'!$A$1:$C$11,3, FALSE)</f>
        <v>11</v>
      </c>
      <c r="M1491" t="str">
        <f>VLOOKUP(Table2[[#This Row],[Species]],'Species Table'!$A$1:$D$68,3, FALSE)</f>
        <v>Perennial</v>
      </c>
      <c r="O1491" s="15">
        <f>IF(SUMPRODUCT(($A$2:$A1491=A1491)*($B$2:$B1491=B1491)*($F$2:$F1491=F1491))&gt;1,0,1)</f>
        <v>1</v>
      </c>
      <c r="P1491" s="15">
        <f>IF(SUMPRODUCT(($A$2:$A1491=A1491)*($B$2:$B1491=B1491)*($D$2:$D1491=D1491))&gt;1,0,1)</f>
        <v>0</v>
      </c>
    </row>
    <row r="1492" spans="1:16" x14ac:dyDescent="0.35">
      <c r="A1492" s="4" t="s">
        <v>138</v>
      </c>
      <c r="B1492">
        <v>2017</v>
      </c>
      <c r="C1492" s="2" t="s">
        <v>62</v>
      </c>
      <c r="D1492" s="5">
        <v>5.0999999999999996</v>
      </c>
      <c r="E1492" s="5">
        <f>INT(Table2[[#This Row],[Transect]])</f>
        <v>5</v>
      </c>
      <c r="F1492" s="2" t="s">
        <v>11</v>
      </c>
      <c r="G1492" s="4">
        <v>2</v>
      </c>
      <c r="H1492">
        <f t="shared" si="8"/>
        <v>200</v>
      </c>
      <c r="I1492" s="4">
        <v>100</v>
      </c>
      <c r="J1492" s="4">
        <f>Table2[[#This Row],[Hits]]/Table2[[#This Row],[Points]]*100</f>
        <v>1</v>
      </c>
      <c r="K1492" s="4">
        <f>VLOOKUP(Table2[[#This Row],[Site]],'Site Info'!$A$1:$C$11,2, FALSE)</f>
        <v>11.5</v>
      </c>
      <c r="L1492" s="4">
        <f>VLOOKUP(Table2[[#This Row],[Site]],'Site Info'!$A$1:$C$11,3, FALSE)</f>
        <v>11</v>
      </c>
      <c r="M1492" t="str">
        <f>VLOOKUP(Table2[[#This Row],[Species]],'Species Table'!$A$1:$D$68,3, FALSE)</f>
        <v>Perennial</v>
      </c>
      <c r="O1492" s="15">
        <f>IF(SUMPRODUCT(($A$2:$A1492=A1492)*($B$2:$B1492=B1492)*($F$2:$F1492=F1492))&gt;1,0,1)</f>
        <v>0</v>
      </c>
      <c r="P1492" s="15">
        <f>IF(SUMPRODUCT(($A$2:$A1492=A1492)*($B$2:$B1492=B1492)*($D$2:$D1492=D1492))&gt;1,0,1)</f>
        <v>0</v>
      </c>
    </row>
    <row r="1493" spans="1:16" hidden="1" x14ac:dyDescent="0.35">
      <c r="A1493" s="4" t="s">
        <v>138</v>
      </c>
      <c r="B1493">
        <v>2017</v>
      </c>
      <c r="C1493" s="2" t="s">
        <v>114</v>
      </c>
      <c r="D1493" s="5">
        <v>5.2</v>
      </c>
      <c r="E1493" s="5">
        <f>INT(Table2[[#This Row],[Transect]])</f>
        <v>5</v>
      </c>
      <c r="F1493" s="2" t="s">
        <v>10</v>
      </c>
      <c r="G1493" s="4">
        <v>7</v>
      </c>
      <c r="H1493">
        <f t="shared" si="8"/>
        <v>200</v>
      </c>
      <c r="I1493" s="4">
        <v>100</v>
      </c>
      <c r="J1493" s="4">
        <f>Table2[[#This Row],[Hits]]/Table2[[#This Row],[Points]]*100</f>
        <v>3.5000000000000004</v>
      </c>
      <c r="K1493" s="4">
        <f>VLOOKUP(Table2[[#This Row],[Site]],'Site Info'!$A$1:$C$11,2, FALSE)</f>
        <v>11.5</v>
      </c>
      <c r="L1493" s="4">
        <f>VLOOKUP(Table2[[#This Row],[Site]],'Site Info'!$A$1:$C$11,3, FALSE)</f>
        <v>11</v>
      </c>
      <c r="M1493" t="str">
        <f>VLOOKUP(Table2[[#This Row],[Species]],'Species Table'!$A$1:$D$68,3, FALSE)</f>
        <v>Annual</v>
      </c>
      <c r="O1493" s="15">
        <f>IF(SUMPRODUCT(($A$2:$A1493=A1493)*($B$2:$B1493=B1493)*($F$2:$F1493=F1493))&gt;1,0,1)</f>
        <v>0</v>
      </c>
      <c r="P1493" s="15">
        <f>IF(SUMPRODUCT(($A$2:$A1493=A1493)*($B$2:$B1493=B1493)*($D$2:$D1493=D1493))&gt;1,0,1)</f>
        <v>1</v>
      </c>
    </row>
    <row r="1494" spans="1:16" x14ac:dyDescent="0.35">
      <c r="A1494" s="4" t="s">
        <v>138</v>
      </c>
      <c r="B1494">
        <v>2017</v>
      </c>
      <c r="C1494" s="2" t="s">
        <v>114</v>
      </c>
      <c r="D1494" s="5">
        <v>5.2</v>
      </c>
      <c r="E1494" s="5">
        <f>INT(Table2[[#This Row],[Transect]])</f>
        <v>5</v>
      </c>
      <c r="F1494" s="2" t="s">
        <v>6</v>
      </c>
      <c r="G1494" s="4">
        <v>5</v>
      </c>
      <c r="H1494">
        <f t="shared" si="8"/>
        <v>200</v>
      </c>
      <c r="I1494" s="4">
        <v>100</v>
      </c>
      <c r="J1494" s="4">
        <f>Table2[[#This Row],[Hits]]/Table2[[#This Row],[Points]]*100</f>
        <v>2.5</v>
      </c>
      <c r="K1494" s="4">
        <f>VLOOKUP(Table2[[#This Row],[Site]],'Site Info'!$A$1:$C$11,2, FALSE)</f>
        <v>11.5</v>
      </c>
      <c r="L1494" s="4">
        <f>VLOOKUP(Table2[[#This Row],[Site]],'Site Info'!$A$1:$C$11,3, FALSE)</f>
        <v>11</v>
      </c>
      <c r="M1494" t="str">
        <f>VLOOKUP(Table2[[#This Row],[Species]],'Species Table'!$A$1:$D$68,3, FALSE)</f>
        <v>Perennial</v>
      </c>
      <c r="O1494" s="15">
        <f>IF(SUMPRODUCT(($A$2:$A1494=A1494)*($B$2:$B1494=B1494)*($F$2:$F1494=F1494))&gt;1,0,1)</f>
        <v>0</v>
      </c>
      <c r="P1494" s="15">
        <f>IF(SUMPRODUCT(($A$2:$A1494=A1494)*($B$2:$B1494=B1494)*($D$2:$D1494=D1494))&gt;1,0,1)</f>
        <v>0</v>
      </c>
    </row>
    <row r="1495" spans="1:16" x14ac:dyDescent="0.35">
      <c r="A1495" s="4" t="s">
        <v>138</v>
      </c>
      <c r="B1495">
        <v>2017</v>
      </c>
      <c r="C1495" s="2" t="s">
        <v>114</v>
      </c>
      <c r="D1495" s="5">
        <v>5.2</v>
      </c>
      <c r="E1495" s="5">
        <f>INT(Table2[[#This Row],[Transect]])</f>
        <v>5</v>
      </c>
      <c r="F1495" s="2" t="s">
        <v>12</v>
      </c>
      <c r="G1495" s="4">
        <v>10</v>
      </c>
      <c r="H1495">
        <f t="shared" si="8"/>
        <v>200</v>
      </c>
      <c r="I1495" s="4">
        <v>100</v>
      </c>
      <c r="J1495" s="4">
        <f>Table2[[#This Row],[Hits]]/Table2[[#This Row],[Points]]*100</f>
        <v>5</v>
      </c>
      <c r="K1495" s="4">
        <f>VLOOKUP(Table2[[#This Row],[Site]],'Site Info'!$A$1:$C$11,2, FALSE)</f>
        <v>11.5</v>
      </c>
      <c r="L1495" s="4">
        <f>VLOOKUP(Table2[[#This Row],[Site]],'Site Info'!$A$1:$C$11,3, FALSE)</f>
        <v>11</v>
      </c>
      <c r="M1495" t="str">
        <f>VLOOKUP(Table2[[#This Row],[Species]],'Species Table'!$A$1:$D$68,3, FALSE)</f>
        <v>Perennial</v>
      </c>
      <c r="O1495" s="15">
        <f>IF(SUMPRODUCT(($A$2:$A1495=A1495)*($B$2:$B1495=B1495)*($F$2:$F1495=F1495))&gt;1,0,1)</f>
        <v>1</v>
      </c>
      <c r="P1495" s="15">
        <f>IF(SUMPRODUCT(($A$2:$A1495=A1495)*($B$2:$B1495=B1495)*($D$2:$D1495=D1495))&gt;1,0,1)</f>
        <v>0</v>
      </c>
    </row>
    <row r="1496" spans="1:16" x14ac:dyDescent="0.35">
      <c r="A1496" s="4" t="s">
        <v>138</v>
      </c>
      <c r="B1496">
        <v>2017</v>
      </c>
      <c r="C1496" s="2" t="s">
        <v>114</v>
      </c>
      <c r="D1496" s="5">
        <v>5.2</v>
      </c>
      <c r="E1496" s="5">
        <f>INT(Table2[[#This Row],[Transect]])</f>
        <v>5</v>
      </c>
      <c r="F1496" s="2" t="s">
        <v>29</v>
      </c>
      <c r="G1496" s="4">
        <v>1</v>
      </c>
      <c r="H1496">
        <f t="shared" si="8"/>
        <v>200</v>
      </c>
      <c r="I1496" s="4">
        <v>100</v>
      </c>
      <c r="J1496" s="4">
        <f>Table2[[#This Row],[Hits]]/Table2[[#This Row],[Points]]*100</f>
        <v>0.5</v>
      </c>
      <c r="K1496" s="4">
        <f>VLOOKUP(Table2[[#This Row],[Site]],'Site Info'!$A$1:$C$11,2, FALSE)</f>
        <v>11.5</v>
      </c>
      <c r="L1496" s="4">
        <f>VLOOKUP(Table2[[#This Row],[Site]],'Site Info'!$A$1:$C$11,3, FALSE)</f>
        <v>11</v>
      </c>
      <c r="M1496" t="str">
        <f>VLOOKUP(Table2[[#This Row],[Species]],'Species Table'!$A$1:$D$68,3, FALSE)</f>
        <v>Perennial</v>
      </c>
      <c r="O1496" s="15">
        <f>IF(SUMPRODUCT(($A$2:$A1496=A1496)*($B$2:$B1496=B1496)*($F$2:$F1496=F1496))&gt;1,0,1)</f>
        <v>0</v>
      </c>
      <c r="P1496" s="15">
        <f>IF(SUMPRODUCT(($A$2:$A1496=A1496)*($B$2:$B1496=B1496)*($D$2:$D1496=D1496))&gt;1,0,1)</f>
        <v>0</v>
      </c>
    </row>
    <row r="1497" spans="1:16" x14ac:dyDescent="0.35">
      <c r="A1497" s="4" t="s">
        <v>138</v>
      </c>
      <c r="B1497">
        <v>2017</v>
      </c>
      <c r="C1497" s="2" t="s">
        <v>113</v>
      </c>
      <c r="D1497" s="5">
        <v>4.0999999999999996</v>
      </c>
      <c r="E1497" s="5">
        <f>INT(Table2[[#This Row],[Transect]])</f>
        <v>4</v>
      </c>
      <c r="F1497" s="2" t="s">
        <v>12</v>
      </c>
      <c r="G1497" s="4">
        <v>1</v>
      </c>
      <c r="H1497">
        <f t="shared" si="8"/>
        <v>200</v>
      </c>
      <c r="I1497" s="4">
        <v>100</v>
      </c>
      <c r="J1497" s="4">
        <f>Table2[[#This Row],[Hits]]/Table2[[#This Row],[Points]]*100</f>
        <v>0.5</v>
      </c>
      <c r="K1497" s="4">
        <f>VLOOKUP(Table2[[#This Row],[Site]],'Site Info'!$A$1:$C$11,2, FALSE)</f>
        <v>11.5</v>
      </c>
      <c r="L1497" s="4">
        <f>VLOOKUP(Table2[[#This Row],[Site]],'Site Info'!$A$1:$C$11,3, FALSE)</f>
        <v>11</v>
      </c>
      <c r="M1497" t="str">
        <f>VLOOKUP(Table2[[#This Row],[Species]],'Species Table'!$A$1:$D$68,3, FALSE)</f>
        <v>Perennial</v>
      </c>
      <c r="O1497" s="15">
        <f>IF(SUMPRODUCT(($A$2:$A1497=A1497)*($B$2:$B1497=B1497)*($F$2:$F1497=F1497))&gt;1,0,1)</f>
        <v>0</v>
      </c>
      <c r="P1497" s="15">
        <f>IF(SUMPRODUCT(($A$2:$A1497=A1497)*($B$2:$B1497=B1497)*($D$2:$D1497=D1497))&gt;1,0,1)</f>
        <v>1</v>
      </c>
    </row>
    <row r="1498" spans="1:16" hidden="1" x14ac:dyDescent="0.35">
      <c r="A1498" s="4" t="s">
        <v>138</v>
      </c>
      <c r="B1498">
        <v>2017</v>
      </c>
      <c r="C1498" s="2" t="s">
        <v>113</v>
      </c>
      <c r="D1498" s="5">
        <v>4.0999999999999996</v>
      </c>
      <c r="E1498" s="5">
        <f>INT(Table2[[#This Row],[Transect]])</f>
        <v>4</v>
      </c>
      <c r="F1498" s="2" t="s">
        <v>10</v>
      </c>
      <c r="G1498" s="4">
        <v>20</v>
      </c>
      <c r="H1498">
        <f t="shared" si="8"/>
        <v>200</v>
      </c>
      <c r="I1498" s="4">
        <v>100</v>
      </c>
      <c r="J1498" s="4">
        <f>Table2[[#This Row],[Hits]]/Table2[[#This Row],[Points]]*100</f>
        <v>10</v>
      </c>
      <c r="K1498" s="4">
        <f>VLOOKUP(Table2[[#This Row],[Site]],'Site Info'!$A$1:$C$11,2, FALSE)</f>
        <v>11.5</v>
      </c>
      <c r="L1498" s="4">
        <f>VLOOKUP(Table2[[#This Row],[Site]],'Site Info'!$A$1:$C$11,3, FALSE)</f>
        <v>11</v>
      </c>
      <c r="M1498" t="str">
        <f>VLOOKUP(Table2[[#This Row],[Species]],'Species Table'!$A$1:$D$68,3, FALSE)</f>
        <v>Annual</v>
      </c>
      <c r="O1498" s="15">
        <f>IF(SUMPRODUCT(($A$2:$A1498=A1498)*($B$2:$B1498=B1498)*($F$2:$F1498=F1498))&gt;1,0,1)</f>
        <v>0</v>
      </c>
      <c r="P1498" s="15">
        <f>IF(SUMPRODUCT(($A$2:$A1498=A1498)*($B$2:$B1498=B1498)*($D$2:$D1498=D1498))&gt;1,0,1)</f>
        <v>0</v>
      </c>
    </row>
    <row r="1499" spans="1:16" x14ac:dyDescent="0.35">
      <c r="A1499" s="4" t="s">
        <v>138</v>
      </c>
      <c r="B1499">
        <v>2017</v>
      </c>
      <c r="C1499" s="2" t="s">
        <v>113</v>
      </c>
      <c r="D1499" s="5">
        <v>4.0999999999999996</v>
      </c>
      <c r="E1499" s="5">
        <f>INT(Table2[[#This Row],[Transect]])</f>
        <v>4</v>
      </c>
      <c r="F1499" s="2" t="s">
        <v>11</v>
      </c>
      <c r="G1499" s="4">
        <v>3</v>
      </c>
      <c r="H1499">
        <f t="shared" si="8"/>
        <v>200</v>
      </c>
      <c r="I1499" s="4">
        <v>100</v>
      </c>
      <c r="J1499" s="4">
        <f>Table2[[#This Row],[Hits]]/Table2[[#This Row],[Points]]*100</f>
        <v>1.5</v>
      </c>
      <c r="K1499" s="4">
        <f>VLOOKUP(Table2[[#This Row],[Site]],'Site Info'!$A$1:$C$11,2, FALSE)</f>
        <v>11.5</v>
      </c>
      <c r="L1499" s="4">
        <f>VLOOKUP(Table2[[#This Row],[Site]],'Site Info'!$A$1:$C$11,3, FALSE)</f>
        <v>11</v>
      </c>
      <c r="M1499" t="str">
        <f>VLOOKUP(Table2[[#This Row],[Species]],'Species Table'!$A$1:$D$68,3, FALSE)</f>
        <v>Perennial</v>
      </c>
      <c r="O1499" s="15">
        <f>IF(SUMPRODUCT(($A$2:$A1499=A1499)*($B$2:$B1499=B1499)*($F$2:$F1499=F1499))&gt;1,0,1)</f>
        <v>0</v>
      </c>
      <c r="P1499" s="15">
        <f>IF(SUMPRODUCT(($A$2:$A1499=A1499)*($B$2:$B1499=B1499)*($D$2:$D1499=D1499))&gt;1,0,1)</f>
        <v>0</v>
      </c>
    </row>
    <row r="1500" spans="1:16" x14ac:dyDescent="0.35">
      <c r="A1500" s="4" t="s">
        <v>138</v>
      </c>
      <c r="B1500">
        <v>2017</v>
      </c>
      <c r="C1500" s="2" t="s">
        <v>113</v>
      </c>
      <c r="D1500" s="5">
        <v>4.0999999999999996</v>
      </c>
      <c r="E1500" s="5">
        <f>INT(Table2[[#This Row],[Transect]])</f>
        <v>4</v>
      </c>
      <c r="F1500" s="2" t="s">
        <v>29</v>
      </c>
      <c r="G1500" s="4">
        <v>2</v>
      </c>
      <c r="H1500">
        <f t="shared" si="8"/>
        <v>200</v>
      </c>
      <c r="I1500" s="4">
        <v>100</v>
      </c>
      <c r="J1500" s="4">
        <f>Table2[[#This Row],[Hits]]/Table2[[#This Row],[Points]]*100</f>
        <v>1</v>
      </c>
      <c r="K1500" s="4">
        <f>VLOOKUP(Table2[[#This Row],[Site]],'Site Info'!$A$1:$C$11,2, FALSE)</f>
        <v>11.5</v>
      </c>
      <c r="L1500" s="4">
        <f>VLOOKUP(Table2[[#This Row],[Site]],'Site Info'!$A$1:$C$11,3, FALSE)</f>
        <v>11</v>
      </c>
      <c r="M1500" t="str">
        <f>VLOOKUP(Table2[[#This Row],[Species]],'Species Table'!$A$1:$D$68,3, FALSE)</f>
        <v>Perennial</v>
      </c>
      <c r="O1500" s="15">
        <f>IF(SUMPRODUCT(($A$2:$A1500=A1500)*($B$2:$B1500=B1500)*($F$2:$F1500=F1500))&gt;1,0,1)</f>
        <v>0</v>
      </c>
      <c r="P1500" s="15">
        <f>IF(SUMPRODUCT(($A$2:$A1500=A1500)*($B$2:$B1500=B1500)*($D$2:$D1500=D1500))&gt;1,0,1)</f>
        <v>0</v>
      </c>
    </row>
    <row r="1501" spans="1:16" hidden="1" x14ac:dyDescent="0.35">
      <c r="A1501" s="4" t="s">
        <v>138</v>
      </c>
      <c r="B1501">
        <v>2017</v>
      </c>
      <c r="C1501" s="2" t="s">
        <v>111</v>
      </c>
      <c r="D1501" s="5">
        <v>3.1</v>
      </c>
      <c r="E1501" s="5">
        <f>INT(Table2[[#This Row],[Transect]])</f>
        <v>3</v>
      </c>
      <c r="F1501" s="2" t="s">
        <v>10</v>
      </c>
      <c r="G1501" s="4">
        <v>36</v>
      </c>
      <c r="H1501">
        <f t="shared" si="8"/>
        <v>200</v>
      </c>
      <c r="I1501" s="4">
        <v>100</v>
      </c>
      <c r="J1501" s="4">
        <f>Table2[[#This Row],[Hits]]/Table2[[#This Row],[Points]]*100</f>
        <v>18</v>
      </c>
      <c r="K1501" s="4">
        <f>VLOOKUP(Table2[[#This Row],[Site]],'Site Info'!$A$1:$C$11,2, FALSE)</f>
        <v>11.5</v>
      </c>
      <c r="L1501" s="4">
        <f>VLOOKUP(Table2[[#This Row],[Site]],'Site Info'!$A$1:$C$11,3, FALSE)</f>
        <v>11</v>
      </c>
      <c r="M1501" t="str">
        <f>VLOOKUP(Table2[[#This Row],[Species]],'Species Table'!$A$1:$D$68,3, FALSE)</f>
        <v>Annual</v>
      </c>
      <c r="O1501" s="15">
        <f>IF(SUMPRODUCT(($A$2:$A1501=A1501)*($B$2:$B1501=B1501)*($F$2:$F1501=F1501))&gt;1,0,1)</f>
        <v>0</v>
      </c>
      <c r="P1501" s="15">
        <f>IF(SUMPRODUCT(($A$2:$A1501=A1501)*($B$2:$B1501=B1501)*($D$2:$D1501=D1501))&gt;1,0,1)</f>
        <v>1</v>
      </c>
    </row>
    <row r="1502" spans="1:16" x14ac:dyDescent="0.35">
      <c r="A1502" s="4" t="s">
        <v>138</v>
      </c>
      <c r="B1502">
        <v>2017</v>
      </c>
      <c r="C1502" s="2" t="s">
        <v>111</v>
      </c>
      <c r="D1502" s="5">
        <v>3.1</v>
      </c>
      <c r="E1502" s="5">
        <f>INT(Table2[[#This Row],[Transect]])</f>
        <v>3</v>
      </c>
      <c r="F1502" s="2" t="s">
        <v>11</v>
      </c>
      <c r="G1502" s="4">
        <v>4</v>
      </c>
      <c r="H1502">
        <f t="shared" si="8"/>
        <v>200</v>
      </c>
      <c r="I1502" s="4">
        <v>100</v>
      </c>
      <c r="J1502" s="4">
        <f>Table2[[#This Row],[Hits]]/Table2[[#This Row],[Points]]*100</f>
        <v>2</v>
      </c>
      <c r="K1502" s="4">
        <f>VLOOKUP(Table2[[#This Row],[Site]],'Site Info'!$A$1:$C$11,2, FALSE)</f>
        <v>11.5</v>
      </c>
      <c r="L1502" s="4">
        <f>VLOOKUP(Table2[[#This Row],[Site]],'Site Info'!$A$1:$C$11,3, FALSE)</f>
        <v>11</v>
      </c>
      <c r="M1502" t="str">
        <f>VLOOKUP(Table2[[#This Row],[Species]],'Species Table'!$A$1:$D$68,3, FALSE)</f>
        <v>Perennial</v>
      </c>
      <c r="O1502" s="15">
        <f>IF(SUMPRODUCT(($A$2:$A1502=A1502)*($B$2:$B1502=B1502)*($F$2:$F1502=F1502))&gt;1,0,1)</f>
        <v>0</v>
      </c>
      <c r="P1502" s="15">
        <f>IF(SUMPRODUCT(($A$2:$A1502=A1502)*($B$2:$B1502=B1502)*($D$2:$D1502=D1502))&gt;1,0,1)</f>
        <v>0</v>
      </c>
    </row>
    <row r="1503" spans="1:16" hidden="1" x14ac:dyDescent="0.35">
      <c r="A1503" s="4" t="s">
        <v>138</v>
      </c>
      <c r="B1503">
        <v>2017</v>
      </c>
      <c r="C1503" s="2" t="s">
        <v>111</v>
      </c>
      <c r="D1503" s="5">
        <v>3.1</v>
      </c>
      <c r="E1503" s="5">
        <f>INT(Table2[[#This Row],[Transect]])</f>
        <v>3</v>
      </c>
      <c r="F1503" s="2" t="s">
        <v>211</v>
      </c>
      <c r="G1503" s="4">
        <v>3</v>
      </c>
      <c r="H1503">
        <f t="shared" si="8"/>
        <v>200</v>
      </c>
      <c r="I1503" s="4">
        <v>100</v>
      </c>
      <c r="J1503" s="4">
        <f>Table2[[#This Row],[Hits]]/Table2[[#This Row],[Points]]*100</f>
        <v>1.5</v>
      </c>
      <c r="K1503" s="4">
        <f>VLOOKUP(Table2[[#This Row],[Site]],'Site Info'!$A$1:$C$11,2, FALSE)</f>
        <v>11.5</v>
      </c>
      <c r="L1503" s="4">
        <f>VLOOKUP(Table2[[#This Row],[Site]],'Site Info'!$A$1:$C$11,3, FALSE)</f>
        <v>11</v>
      </c>
      <c r="M1503" t="str">
        <f>VLOOKUP(Table2[[#This Row],[Species]],'Species Table'!$A$1:$D$68,3, FALSE)</f>
        <v>Annual</v>
      </c>
      <c r="O1503" s="15">
        <f>IF(SUMPRODUCT(($A$2:$A1503=A1503)*($B$2:$B1503=B1503)*($F$2:$F1503=F1503))&gt;1,0,1)</f>
        <v>1</v>
      </c>
      <c r="P1503" s="15">
        <f>IF(SUMPRODUCT(($A$2:$A1503=A1503)*($B$2:$B1503=B1503)*($D$2:$D1503=D1503))&gt;1,0,1)</f>
        <v>0</v>
      </c>
    </row>
    <row r="1504" spans="1:16" hidden="1" x14ac:dyDescent="0.35">
      <c r="A1504" s="4" t="s">
        <v>138</v>
      </c>
      <c r="B1504">
        <v>2017</v>
      </c>
      <c r="C1504" s="2" t="s">
        <v>112</v>
      </c>
      <c r="D1504" s="5">
        <v>3.2</v>
      </c>
      <c r="E1504" s="5">
        <f>INT(Table2[[#This Row],[Transect]])</f>
        <v>3</v>
      </c>
      <c r="F1504" s="2" t="s">
        <v>10</v>
      </c>
      <c r="G1504" s="4">
        <v>45</v>
      </c>
      <c r="H1504">
        <f t="shared" si="8"/>
        <v>200</v>
      </c>
      <c r="I1504" s="4">
        <v>100</v>
      </c>
      <c r="J1504" s="4">
        <f>Table2[[#This Row],[Hits]]/Table2[[#This Row],[Points]]*100</f>
        <v>22.5</v>
      </c>
      <c r="K1504" s="4">
        <f>VLOOKUP(Table2[[#This Row],[Site]],'Site Info'!$A$1:$C$11,2, FALSE)</f>
        <v>11.5</v>
      </c>
      <c r="L1504" s="4">
        <f>VLOOKUP(Table2[[#This Row],[Site]],'Site Info'!$A$1:$C$11,3, FALSE)</f>
        <v>11</v>
      </c>
      <c r="M1504" t="str">
        <f>VLOOKUP(Table2[[#This Row],[Species]],'Species Table'!$A$1:$D$68,3, FALSE)</f>
        <v>Annual</v>
      </c>
      <c r="O1504" s="15">
        <f>IF(SUMPRODUCT(($A$2:$A1504=A1504)*($B$2:$B1504=B1504)*($F$2:$F1504=F1504))&gt;1,0,1)</f>
        <v>0</v>
      </c>
      <c r="P1504" s="15">
        <f>IF(SUMPRODUCT(($A$2:$A1504=A1504)*($B$2:$B1504=B1504)*($D$2:$D1504=D1504))&gt;1,0,1)</f>
        <v>1</v>
      </c>
    </row>
    <row r="1505" spans="1:16" x14ac:dyDescent="0.35">
      <c r="A1505" s="4" t="s">
        <v>138</v>
      </c>
      <c r="B1505">
        <v>2017</v>
      </c>
      <c r="C1505" s="2" t="s">
        <v>112</v>
      </c>
      <c r="D1505" s="5">
        <v>3.2</v>
      </c>
      <c r="E1505" s="5">
        <f>INT(Table2[[#This Row],[Transect]])</f>
        <v>3</v>
      </c>
      <c r="F1505" s="2" t="s">
        <v>11</v>
      </c>
      <c r="G1505" s="4">
        <v>1</v>
      </c>
      <c r="H1505">
        <f t="shared" si="8"/>
        <v>200</v>
      </c>
      <c r="I1505" s="4">
        <v>100</v>
      </c>
      <c r="J1505" s="4">
        <f>Table2[[#This Row],[Hits]]/Table2[[#This Row],[Points]]*100</f>
        <v>0.5</v>
      </c>
      <c r="K1505" s="4">
        <f>VLOOKUP(Table2[[#This Row],[Site]],'Site Info'!$A$1:$C$11,2, FALSE)</f>
        <v>11.5</v>
      </c>
      <c r="L1505" s="4">
        <f>VLOOKUP(Table2[[#This Row],[Site]],'Site Info'!$A$1:$C$11,3, FALSE)</f>
        <v>11</v>
      </c>
      <c r="M1505" t="str">
        <f>VLOOKUP(Table2[[#This Row],[Species]],'Species Table'!$A$1:$D$68,3, FALSE)</f>
        <v>Perennial</v>
      </c>
      <c r="O1505" s="15">
        <f>IF(SUMPRODUCT(($A$2:$A1505=A1505)*($B$2:$B1505=B1505)*($F$2:$F1505=F1505))&gt;1,0,1)</f>
        <v>0</v>
      </c>
      <c r="P1505" s="15">
        <f>IF(SUMPRODUCT(($A$2:$A1505=A1505)*($B$2:$B1505=B1505)*($D$2:$D1505=D1505))&gt;1,0,1)</f>
        <v>0</v>
      </c>
    </row>
    <row r="1506" spans="1:16" x14ac:dyDescent="0.35">
      <c r="A1506" s="4" t="s">
        <v>138</v>
      </c>
      <c r="B1506">
        <v>2017</v>
      </c>
      <c r="C1506" s="2" t="s">
        <v>112</v>
      </c>
      <c r="D1506" s="5">
        <v>3.2</v>
      </c>
      <c r="E1506" s="5">
        <f>INT(Table2[[#This Row],[Transect]])</f>
        <v>3</v>
      </c>
      <c r="F1506" s="2" t="s">
        <v>29</v>
      </c>
      <c r="G1506" s="4">
        <v>1</v>
      </c>
      <c r="H1506">
        <f t="shared" si="8"/>
        <v>200</v>
      </c>
      <c r="I1506" s="4">
        <v>100</v>
      </c>
      <c r="J1506" s="4">
        <f>Table2[[#This Row],[Hits]]/Table2[[#This Row],[Points]]*100</f>
        <v>0.5</v>
      </c>
      <c r="K1506" s="4">
        <f>VLOOKUP(Table2[[#This Row],[Site]],'Site Info'!$A$1:$C$11,2, FALSE)</f>
        <v>11.5</v>
      </c>
      <c r="L1506" s="4">
        <f>VLOOKUP(Table2[[#This Row],[Site]],'Site Info'!$A$1:$C$11,3, FALSE)</f>
        <v>11</v>
      </c>
      <c r="M1506" t="str">
        <f>VLOOKUP(Table2[[#This Row],[Species]],'Species Table'!$A$1:$D$68,3, FALSE)</f>
        <v>Perennial</v>
      </c>
      <c r="O1506" s="15">
        <f>IF(SUMPRODUCT(($A$2:$A1506=A1506)*($B$2:$B1506=B1506)*($F$2:$F1506=F1506))&gt;1,0,1)</f>
        <v>0</v>
      </c>
      <c r="P1506" s="15">
        <f>IF(SUMPRODUCT(($A$2:$A1506=A1506)*($B$2:$B1506=B1506)*($D$2:$D1506=D1506))&gt;1,0,1)</f>
        <v>0</v>
      </c>
    </row>
    <row r="1507" spans="1:16" x14ac:dyDescent="0.35">
      <c r="A1507" s="4" t="s">
        <v>138</v>
      </c>
      <c r="B1507">
        <v>2017</v>
      </c>
      <c r="C1507" s="2" t="s">
        <v>109</v>
      </c>
      <c r="D1507" s="5">
        <v>2.1</v>
      </c>
      <c r="E1507" s="5">
        <f>INT(Table2[[#This Row],[Transect]])</f>
        <v>2</v>
      </c>
      <c r="F1507" s="2" t="s">
        <v>11</v>
      </c>
      <c r="G1507" s="4">
        <v>4</v>
      </c>
      <c r="H1507">
        <f t="shared" si="8"/>
        <v>150</v>
      </c>
      <c r="I1507" s="4">
        <v>75</v>
      </c>
      <c r="J1507" s="4">
        <f>Table2[[#This Row],[Hits]]/Table2[[#This Row],[Points]]*100</f>
        <v>2.666666666666667</v>
      </c>
      <c r="K1507" s="4">
        <f>VLOOKUP(Table2[[#This Row],[Site]],'Site Info'!$A$1:$C$11,2, FALSE)</f>
        <v>11.5</v>
      </c>
      <c r="L1507" s="4">
        <f>VLOOKUP(Table2[[#This Row],[Site]],'Site Info'!$A$1:$C$11,3, FALSE)</f>
        <v>11</v>
      </c>
      <c r="M1507" t="str">
        <f>VLOOKUP(Table2[[#This Row],[Species]],'Species Table'!$A$1:$D$68,3, FALSE)</f>
        <v>Perennial</v>
      </c>
      <c r="O1507" s="15">
        <f>IF(SUMPRODUCT(($A$2:$A1507=A1507)*($B$2:$B1507=B1507)*($F$2:$F1507=F1507))&gt;1,0,1)</f>
        <v>0</v>
      </c>
      <c r="P1507" s="15">
        <f>IF(SUMPRODUCT(($A$2:$A1507=A1507)*($B$2:$B1507=B1507)*($D$2:$D1507=D1507))&gt;1,0,1)</f>
        <v>1</v>
      </c>
    </row>
    <row r="1508" spans="1:16" hidden="1" x14ac:dyDescent="0.35">
      <c r="A1508" s="4" t="s">
        <v>138</v>
      </c>
      <c r="B1508">
        <v>2017</v>
      </c>
      <c r="C1508" s="2" t="s">
        <v>109</v>
      </c>
      <c r="D1508" s="5">
        <v>2.1</v>
      </c>
      <c r="E1508" s="5">
        <f>INT(Table2[[#This Row],[Transect]])</f>
        <v>2</v>
      </c>
      <c r="F1508" s="2" t="s">
        <v>10</v>
      </c>
      <c r="G1508" s="4">
        <v>30</v>
      </c>
      <c r="H1508">
        <f t="shared" si="8"/>
        <v>150</v>
      </c>
      <c r="I1508" s="4">
        <v>75</v>
      </c>
      <c r="J1508" s="4">
        <f>Table2[[#This Row],[Hits]]/Table2[[#This Row],[Points]]*100</f>
        <v>20</v>
      </c>
      <c r="K1508" s="4">
        <f>VLOOKUP(Table2[[#This Row],[Site]],'Site Info'!$A$1:$C$11,2, FALSE)</f>
        <v>11.5</v>
      </c>
      <c r="L1508" s="4">
        <f>VLOOKUP(Table2[[#This Row],[Site]],'Site Info'!$A$1:$C$11,3, FALSE)</f>
        <v>11</v>
      </c>
      <c r="M1508" t="str">
        <f>VLOOKUP(Table2[[#This Row],[Species]],'Species Table'!$A$1:$D$68,3, FALSE)</f>
        <v>Annual</v>
      </c>
      <c r="O1508" s="15">
        <f>IF(SUMPRODUCT(($A$2:$A1508=A1508)*($B$2:$B1508=B1508)*($F$2:$F1508=F1508))&gt;1,0,1)</f>
        <v>0</v>
      </c>
      <c r="P1508" s="15">
        <f>IF(SUMPRODUCT(($A$2:$A1508=A1508)*($B$2:$B1508=B1508)*($D$2:$D1508=D1508))&gt;1,0,1)</f>
        <v>0</v>
      </c>
    </row>
    <row r="1509" spans="1:16" hidden="1" x14ac:dyDescent="0.35">
      <c r="A1509" s="4" t="s">
        <v>138</v>
      </c>
      <c r="B1509">
        <v>2017</v>
      </c>
      <c r="C1509" s="2" t="s">
        <v>109</v>
      </c>
      <c r="D1509" s="5">
        <v>2.1</v>
      </c>
      <c r="E1509" s="5">
        <f>INT(Table2[[#This Row],[Transect]])</f>
        <v>2</v>
      </c>
      <c r="F1509" s="2" t="s">
        <v>211</v>
      </c>
      <c r="G1509" s="4">
        <v>4</v>
      </c>
      <c r="H1509">
        <f t="shared" si="8"/>
        <v>150</v>
      </c>
      <c r="I1509" s="4">
        <v>75</v>
      </c>
      <c r="J1509" s="4">
        <f>Table2[[#This Row],[Hits]]/Table2[[#This Row],[Points]]*100</f>
        <v>2.666666666666667</v>
      </c>
      <c r="K1509" s="4">
        <f>VLOOKUP(Table2[[#This Row],[Site]],'Site Info'!$A$1:$C$11,2, FALSE)</f>
        <v>11.5</v>
      </c>
      <c r="L1509" s="4">
        <f>VLOOKUP(Table2[[#This Row],[Site]],'Site Info'!$A$1:$C$11,3, FALSE)</f>
        <v>11</v>
      </c>
      <c r="M1509" t="str">
        <f>VLOOKUP(Table2[[#This Row],[Species]],'Species Table'!$A$1:$D$68,3, FALSE)</f>
        <v>Annual</v>
      </c>
      <c r="O1509" s="15">
        <f>IF(SUMPRODUCT(($A$2:$A1509=A1509)*($B$2:$B1509=B1509)*($F$2:$F1509=F1509))&gt;1,0,1)</f>
        <v>0</v>
      </c>
      <c r="P1509" s="15">
        <f>IF(SUMPRODUCT(($A$2:$A1509=A1509)*($B$2:$B1509=B1509)*($D$2:$D1509=D1509))&gt;1,0,1)</f>
        <v>0</v>
      </c>
    </row>
    <row r="1510" spans="1:16" hidden="1" x14ac:dyDescent="0.35">
      <c r="A1510" s="4" t="s">
        <v>138</v>
      </c>
      <c r="B1510">
        <v>2017</v>
      </c>
      <c r="C1510" s="2" t="s">
        <v>109</v>
      </c>
      <c r="D1510" s="5">
        <v>2.1</v>
      </c>
      <c r="E1510" s="5">
        <f>INT(Table2[[#This Row],[Transect]])</f>
        <v>2</v>
      </c>
      <c r="F1510" s="2" t="s">
        <v>212</v>
      </c>
      <c r="G1510" s="4">
        <v>1</v>
      </c>
      <c r="H1510">
        <f t="shared" si="8"/>
        <v>150</v>
      </c>
      <c r="I1510" s="4">
        <v>75</v>
      </c>
      <c r="J1510" s="4">
        <f>Table2[[#This Row],[Hits]]/Table2[[#This Row],[Points]]*100</f>
        <v>0.66666666666666674</v>
      </c>
      <c r="K1510" s="4">
        <f>VLOOKUP(Table2[[#This Row],[Site]],'Site Info'!$A$1:$C$11,2, FALSE)</f>
        <v>11.5</v>
      </c>
      <c r="L1510" s="4">
        <f>VLOOKUP(Table2[[#This Row],[Site]],'Site Info'!$A$1:$C$11,3, FALSE)</f>
        <v>11</v>
      </c>
      <c r="M1510" t="str">
        <f>VLOOKUP(Table2[[#This Row],[Species]],'Species Table'!$A$1:$D$68,3, FALSE)</f>
        <v>Annual/Biennial/Perennial</v>
      </c>
      <c r="O1510" s="15">
        <f>IF(SUMPRODUCT(($A$2:$A1510=A1510)*($B$2:$B1510=B1510)*($F$2:$F1510=F1510))&gt;1,0,1)</f>
        <v>1</v>
      </c>
      <c r="P1510" s="15">
        <f>IF(SUMPRODUCT(($A$2:$A1510=A1510)*($B$2:$B1510=B1510)*($D$2:$D1510=D1510))&gt;1,0,1)</f>
        <v>0</v>
      </c>
    </row>
    <row r="1511" spans="1:16" hidden="1" x14ac:dyDescent="0.35">
      <c r="A1511" s="4" t="s">
        <v>138</v>
      </c>
      <c r="B1511">
        <v>2017</v>
      </c>
      <c r="C1511" s="2" t="s">
        <v>110</v>
      </c>
      <c r="D1511" s="5">
        <v>2.2000000000000002</v>
      </c>
      <c r="E1511" s="5">
        <f>INT(Table2[[#This Row],[Transect]])</f>
        <v>2</v>
      </c>
      <c r="F1511" s="2" t="s">
        <v>10</v>
      </c>
      <c r="G1511" s="4">
        <v>64</v>
      </c>
      <c r="H1511">
        <f t="shared" si="8"/>
        <v>200</v>
      </c>
      <c r="I1511" s="4">
        <v>100</v>
      </c>
      <c r="J1511" s="4">
        <f>Table2[[#This Row],[Hits]]/Table2[[#This Row],[Points]]*100</f>
        <v>32</v>
      </c>
      <c r="K1511" s="4">
        <f>VLOOKUP(Table2[[#This Row],[Site]],'Site Info'!$A$1:$C$11,2, FALSE)</f>
        <v>11.5</v>
      </c>
      <c r="L1511" s="4">
        <f>VLOOKUP(Table2[[#This Row],[Site]],'Site Info'!$A$1:$C$11,3, FALSE)</f>
        <v>11</v>
      </c>
      <c r="M1511" t="str">
        <f>VLOOKUP(Table2[[#This Row],[Species]],'Species Table'!$A$1:$D$68,3, FALSE)</f>
        <v>Annual</v>
      </c>
      <c r="O1511" s="15">
        <f>IF(SUMPRODUCT(($A$2:$A1511=A1511)*($B$2:$B1511=B1511)*($F$2:$F1511=F1511))&gt;1,0,1)</f>
        <v>0</v>
      </c>
      <c r="P1511" s="15">
        <f>IF(SUMPRODUCT(($A$2:$A1511=A1511)*($B$2:$B1511=B1511)*($D$2:$D1511=D1511))&gt;1,0,1)</f>
        <v>1</v>
      </c>
    </row>
    <row r="1512" spans="1:16" hidden="1" x14ac:dyDescent="0.35">
      <c r="A1512" s="4" t="s">
        <v>138</v>
      </c>
      <c r="B1512">
        <v>2017</v>
      </c>
      <c r="C1512" s="2" t="s">
        <v>82</v>
      </c>
      <c r="D1512" s="5">
        <v>1.1000000000000001</v>
      </c>
      <c r="E1512" s="5">
        <f>INT(Table2[[#This Row],[Transect]])</f>
        <v>1</v>
      </c>
      <c r="F1512" s="2" t="s">
        <v>10</v>
      </c>
      <c r="G1512" s="4">
        <v>12</v>
      </c>
      <c r="H1512">
        <f t="shared" si="8"/>
        <v>119</v>
      </c>
      <c r="I1512" s="4">
        <v>59.5</v>
      </c>
      <c r="J1512" s="4">
        <f>Table2[[#This Row],[Hits]]/Table2[[#This Row],[Points]]*100</f>
        <v>10.084033613445378</v>
      </c>
      <c r="K1512" s="4">
        <f>VLOOKUP(Table2[[#This Row],[Site]],'Site Info'!$A$1:$C$11,2, FALSE)</f>
        <v>11.5</v>
      </c>
      <c r="L1512" s="4">
        <f>VLOOKUP(Table2[[#This Row],[Site]],'Site Info'!$A$1:$C$11,3, FALSE)</f>
        <v>11</v>
      </c>
      <c r="M1512" t="str">
        <f>VLOOKUP(Table2[[#This Row],[Species]],'Species Table'!$A$1:$D$68,3, FALSE)</f>
        <v>Annual</v>
      </c>
      <c r="O1512" s="15">
        <f>IF(SUMPRODUCT(($A$2:$A1512=A1512)*($B$2:$B1512=B1512)*($F$2:$F1512=F1512))&gt;1,0,1)</f>
        <v>0</v>
      </c>
      <c r="P1512" s="15">
        <f>IF(SUMPRODUCT(($A$2:$A1512=A1512)*($B$2:$B1512=B1512)*($D$2:$D1512=D1512))&gt;1,0,1)</f>
        <v>1</v>
      </c>
    </row>
    <row r="1513" spans="1:16" x14ac:dyDescent="0.35">
      <c r="A1513" s="4" t="s">
        <v>138</v>
      </c>
      <c r="B1513">
        <v>2017</v>
      </c>
      <c r="C1513" s="2" t="s">
        <v>82</v>
      </c>
      <c r="D1513" s="5">
        <v>1.1000000000000001</v>
      </c>
      <c r="E1513" s="5">
        <f>INT(Table2[[#This Row],[Transect]])</f>
        <v>1</v>
      </c>
      <c r="F1513" s="2" t="s">
        <v>11</v>
      </c>
      <c r="G1513" s="4">
        <v>1</v>
      </c>
      <c r="H1513">
        <f t="shared" si="8"/>
        <v>119</v>
      </c>
      <c r="I1513" s="4">
        <v>59.5</v>
      </c>
      <c r="J1513" s="4">
        <f>Table2[[#This Row],[Hits]]/Table2[[#This Row],[Points]]*100</f>
        <v>0.84033613445378152</v>
      </c>
      <c r="K1513" s="4">
        <f>VLOOKUP(Table2[[#This Row],[Site]],'Site Info'!$A$1:$C$11,2, FALSE)</f>
        <v>11.5</v>
      </c>
      <c r="L1513" s="4">
        <f>VLOOKUP(Table2[[#This Row],[Site]],'Site Info'!$A$1:$C$11,3, FALSE)</f>
        <v>11</v>
      </c>
      <c r="M1513" t="str">
        <f>VLOOKUP(Table2[[#This Row],[Species]],'Species Table'!$A$1:$D$68,3, FALSE)</f>
        <v>Perennial</v>
      </c>
      <c r="O1513" s="15">
        <f>IF(SUMPRODUCT(($A$2:$A1513=A1513)*($B$2:$B1513=B1513)*($F$2:$F1513=F1513))&gt;1,0,1)</f>
        <v>0</v>
      </c>
      <c r="P1513" s="15">
        <f>IF(SUMPRODUCT(($A$2:$A1513=A1513)*($B$2:$B1513=B1513)*($D$2:$D1513=D1513))&gt;1,0,1)</f>
        <v>0</v>
      </c>
    </row>
    <row r="1514" spans="1:16" hidden="1" x14ac:dyDescent="0.35">
      <c r="A1514" s="4" t="s">
        <v>138</v>
      </c>
      <c r="B1514">
        <v>2017</v>
      </c>
      <c r="C1514" s="2" t="s">
        <v>82</v>
      </c>
      <c r="D1514" s="5">
        <v>1.1000000000000001</v>
      </c>
      <c r="E1514" s="5">
        <f>INT(Table2[[#This Row],[Transect]])</f>
        <v>1</v>
      </c>
      <c r="F1514" s="2" t="s">
        <v>210</v>
      </c>
      <c r="G1514" s="4">
        <v>2</v>
      </c>
      <c r="H1514">
        <f t="shared" si="8"/>
        <v>119</v>
      </c>
      <c r="I1514" s="4">
        <v>59.5</v>
      </c>
      <c r="J1514" s="4">
        <f>Table2[[#This Row],[Hits]]/Table2[[#This Row],[Points]]*100</f>
        <v>1.680672268907563</v>
      </c>
      <c r="K1514" s="4">
        <f>VLOOKUP(Table2[[#This Row],[Site]],'Site Info'!$A$1:$C$11,2, FALSE)</f>
        <v>11.5</v>
      </c>
      <c r="L1514" s="4">
        <f>VLOOKUP(Table2[[#This Row],[Site]],'Site Info'!$A$1:$C$11,3, FALSE)</f>
        <v>11</v>
      </c>
      <c r="M1514" t="str">
        <f>VLOOKUP(Table2[[#This Row],[Species]],'Species Table'!$A$1:$D$68,3, FALSE)</f>
        <v>Annual</v>
      </c>
      <c r="O1514" s="15">
        <f>IF(SUMPRODUCT(($A$2:$A1514=A1514)*($B$2:$B1514=B1514)*($F$2:$F1514=F1514))&gt;1,0,1)</f>
        <v>0</v>
      </c>
      <c r="P1514" s="15">
        <f>IF(SUMPRODUCT(($A$2:$A1514=A1514)*($B$2:$B1514=B1514)*($D$2:$D1514=D1514))&gt;1,0,1)</f>
        <v>0</v>
      </c>
    </row>
    <row r="1515" spans="1:16" x14ac:dyDescent="0.35">
      <c r="A1515" s="4" t="s">
        <v>138</v>
      </c>
      <c r="B1515">
        <v>2017</v>
      </c>
      <c r="C1515" s="2" t="s">
        <v>82</v>
      </c>
      <c r="D1515" s="5">
        <v>1.1000000000000001</v>
      </c>
      <c r="E1515" s="5">
        <f>INT(Table2[[#This Row],[Transect]])</f>
        <v>1</v>
      </c>
      <c r="F1515" s="2" t="s">
        <v>29</v>
      </c>
      <c r="G1515" s="4">
        <v>3</v>
      </c>
      <c r="H1515">
        <f t="shared" si="8"/>
        <v>119</v>
      </c>
      <c r="I1515" s="4">
        <v>59.5</v>
      </c>
      <c r="J1515" s="4">
        <f>Table2[[#This Row],[Hits]]/Table2[[#This Row],[Points]]*100</f>
        <v>2.5210084033613445</v>
      </c>
      <c r="K1515" s="4">
        <f>VLOOKUP(Table2[[#This Row],[Site]],'Site Info'!$A$1:$C$11,2, FALSE)</f>
        <v>11.5</v>
      </c>
      <c r="L1515" s="4">
        <f>VLOOKUP(Table2[[#This Row],[Site]],'Site Info'!$A$1:$C$11,3, FALSE)</f>
        <v>11</v>
      </c>
      <c r="M1515" t="str">
        <f>VLOOKUP(Table2[[#This Row],[Species]],'Species Table'!$A$1:$D$68,3, FALSE)</f>
        <v>Perennial</v>
      </c>
      <c r="O1515" s="15">
        <f>IF(SUMPRODUCT(($A$2:$A1515=A1515)*($B$2:$B1515=B1515)*($F$2:$F1515=F1515))&gt;1,0,1)</f>
        <v>0</v>
      </c>
      <c r="P1515" s="15">
        <f>IF(SUMPRODUCT(($A$2:$A1515=A1515)*($B$2:$B1515=B1515)*($D$2:$D1515=D1515))&gt;1,0,1)</f>
        <v>0</v>
      </c>
    </row>
    <row r="1516" spans="1:16" hidden="1" x14ac:dyDescent="0.35">
      <c r="A1516" s="4" t="s">
        <v>138</v>
      </c>
      <c r="B1516">
        <v>2017</v>
      </c>
      <c r="C1516" s="2" t="s">
        <v>108</v>
      </c>
      <c r="D1516" s="5">
        <v>1.2</v>
      </c>
      <c r="E1516" s="5">
        <f>INT(Table2[[#This Row],[Transect]])</f>
        <v>1</v>
      </c>
      <c r="F1516" s="2" t="s">
        <v>10</v>
      </c>
      <c r="G1516" s="4">
        <v>55</v>
      </c>
      <c r="H1516">
        <f t="shared" si="8"/>
        <v>200</v>
      </c>
      <c r="I1516" s="4">
        <v>100</v>
      </c>
      <c r="J1516" s="4">
        <f>Table2[[#This Row],[Hits]]/Table2[[#This Row],[Points]]*100</f>
        <v>27.500000000000004</v>
      </c>
      <c r="K1516" s="4">
        <f>VLOOKUP(Table2[[#This Row],[Site]],'Site Info'!$A$1:$C$11,2, FALSE)</f>
        <v>11.5</v>
      </c>
      <c r="L1516" s="4">
        <f>VLOOKUP(Table2[[#This Row],[Site]],'Site Info'!$A$1:$C$11,3, FALSE)</f>
        <v>11</v>
      </c>
      <c r="M1516" t="str">
        <f>VLOOKUP(Table2[[#This Row],[Species]],'Species Table'!$A$1:$D$68,3, FALSE)</f>
        <v>Annual</v>
      </c>
      <c r="O1516" s="15">
        <f>IF(SUMPRODUCT(($A$2:$A1516=A1516)*($B$2:$B1516=B1516)*($F$2:$F1516=F1516))&gt;1,0,1)</f>
        <v>0</v>
      </c>
      <c r="P1516" s="15">
        <f>IF(SUMPRODUCT(($A$2:$A1516=A1516)*($B$2:$B1516=B1516)*($D$2:$D1516=D1516))&gt;1,0,1)</f>
        <v>1</v>
      </c>
    </row>
    <row r="1517" spans="1:16" x14ac:dyDescent="0.35">
      <c r="A1517" s="4" t="s">
        <v>138</v>
      </c>
      <c r="B1517">
        <v>2017</v>
      </c>
      <c r="C1517" s="2" t="s">
        <v>108</v>
      </c>
      <c r="D1517" s="5">
        <v>1.2</v>
      </c>
      <c r="E1517" s="5">
        <f>INT(Table2[[#This Row],[Transect]])</f>
        <v>1</v>
      </c>
      <c r="F1517" s="2" t="s">
        <v>4</v>
      </c>
      <c r="G1517" s="4">
        <v>6</v>
      </c>
      <c r="H1517">
        <f t="shared" si="8"/>
        <v>200</v>
      </c>
      <c r="I1517" s="4">
        <v>100</v>
      </c>
      <c r="J1517" s="4">
        <f>Table2[[#This Row],[Hits]]/Table2[[#This Row],[Points]]*100</f>
        <v>3</v>
      </c>
      <c r="K1517" s="4">
        <f>VLOOKUP(Table2[[#This Row],[Site]],'Site Info'!$A$1:$C$11,2, FALSE)</f>
        <v>11.5</v>
      </c>
      <c r="L1517" s="4">
        <f>VLOOKUP(Table2[[#This Row],[Site]],'Site Info'!$A$1:$C$11,3, FALSE)</f>
        <v>11</v>
      </c>
      <c r="M1517" t="str">
        <f>VLOOKUP(Table2[[#This Row],[Species]],'Species Table'!$A$1:$D$68,3, FALSE)</f>
        <v>Perennial</v>
      </c>
      <c r="O1517" s="15">
        <f>IF(SUMPRODUCT(($A$2:$A1517=A1517)*($B$2:$B1517=B1517)*($F$2:$F1517=F1517))&gt;1,0,1)</f>
        <v>1</v>
      </c>
      <c r="P1517" s="15">
        <f>IF(SUMPRODUCT(($A$2:$A1517=A1517)*($B$2:$B1517=B1517)*($D$2:$D1517=D1517))&gt;1,0,1)</f>
        <v>0</v>
      </c>
    </row>
    <row r="1518" spans="1:16" hidden="1" x14ac:dyDescent="0.35">
      <c r="A1518" s="4" t="s">
        <v>138</v>
      </c>
      <c r="B1518">
        <v>2017</v>
      </c>
      <c r="C1518" s="2" t="s">
        <v>108</v>
      </c>
      <c r="D1518" s="5">
        <v>1.2</v>
      </c>
      <c r="E1518" s="5">
        <f>INT(Table2[[#This Row],[Transect]])</f>
        <v>1</v>
      </c>
      <c r="F1518" s="2" t="s">
        <v>20</v>
      </c>
      <c r="G1518" s="4">
        <v>1</v>
      </c>
      <c r="H1518">
        <f t="shared" si="8"/>
        <v>200</v>
      </c>
      <c r="I1518" s="4">
        <v>100</v>
      </c>
      <c r="J1518" s="4">
        <f>Table2[[#This Row],[Hits]]/Table2[[#This Row],[Points]]*100</f>
        <v>0.5</v>
      </c>
      <c r="K1518" s="4">
        <f>VLOOKUP(Table2[[#This Row],[Site]],'Site Info'!$A$1:$C$11,2, FALSE)</f>
        <v>11.5</v>
      </c>
      <c r="L1518" s="4">
        <f>VLOOKUP(Table2[[#This Row],[Site]],'Site Info'!$A$1:$C$11,3, FALSE)</f>
        <v>11</v>
      </c>
      <c r="M1518" t="str">
        <f>VLOOKUP(Table2[[#This Row],[Species]],'Species Table'!$A$1:$D$68,3, FALSE)</f>
        <v>Annual</v>
      </c>
      <c r="O1518" s="15">
        <f>IF(SUMPRODUCT(($A$2:$A1518=A1518)*($B$2:$B1518=B1518)*($F$2:$F1518=F1518))&gt;1,0,1)</f>
        <v>0</v>
      </c>
      <c r="P1518" s="15">
        <f>IF(SUMPRODUCT(($A$2:$A1518=A1518)*($B$2:$B1518=B1518)*($D$2:$D1518=D1518))&gt;1,0,1)</f>
        <v>0</v>
      </c>
    </row>
    <row r="1519" spans="1:16" x14ac:dyDescent="0.35">
      <c r="A1519" s="4" t="s">
        <v>138</v>
      </c>
      <c r="B1519">
        <v>2017</v>
      </c>
      <c r="C1519" s="2" t="s">
        <v>140</v>
      </c>
      <c r="D1519" s="5" t="s">
        <v>141</v>
      </c>
      <c r="E1519" s="5">
        <v>11</v>
      </c>
      <c r="F1519" s="2" t="s">
        <v>29</v>
      </c>
      <c r="G1519" s="4">
        <v>1</v>
      </c>
      <c r="H1519">
        <f t="shared" si="8"/>
        <v>200</v>
      </c>
      <c r="I1519" s="4">
        <v>100</v>
      </c>
      <c r="J1519" s="4">
        <f>Table2[[#This Row],[Hits]]/Table2[[#This Row],[Points]]*100</f>
        <v>0.5</v>
      </c>
      <c r="K1519" s="4">
        <f>VLOOKUP(Table2[[#This Row],[Site]],'Site Info'!$A$1:$C$11,2, FALSE)</f>
        <v>11.5</v>
      </c>
      <c r="L1519" s="4">
        <f>VLOOKUP(Table2[[#This Row],[Site]],'Site Info'!$A$1:$C$11,3, FALSE)</f>
        <v>11</v>
      </c>
      <c r="M1519" t="str">
        <f>VLOOKUP(Table2[[#This Row],[Species]],'Species Table'!$A$1:$D$68,3, FALSE)</f>
        <v>Perennial</v>
      </c>
      <c r="O1519" s="15">
        <f>IF(SUMPRODUCT(($A$2:$A1519=A1519)*($B$2:$B1519=B1519)*($F$2:$F1519=F1519))&gt;1,0,1)</f>
        <v>0</v>
      </c>
      <c r="P1519" s="15">
        <f>IF(SUMPRODUCT(($A$2:$A1519=A1519)*($B$2:$B1519=B1519)*($D$2:$D1519=D1519))&gt;1,0,1)</f>
        <v>1</v>
      </c>
    </row>
    <row r="1520" spans="1:16" x14ac:dyDescent="0.35">
      <c r="A1520" s="4" t="s">
        <v>138</v>
      </c>
      <c r="B1520">
        <v>2017</v>
      </c>
      <c r="C1520" s="2" t="s">
        <v>140</v>
      </c>
      <c r="D1520" s="5" t="s">
        <v>141</v>
      </c>
      <c r="E1520" s="5">
        <v>11</v>
      </c>
      <c r="F1520" s="2" t="s">
        <v>11</v>
      </c>
      <c r="G1520" s="4">
        <v>23</v>
      </c>
      <c r="H1520">
        <f t="shared" si="8"/>
        <v>200</v>
      </c>
      <c r="I1520" s="4">
        <v>100</v>
      </c>
      <c r="J1520" s="4">
        <f>Table2[[#This Row],[Hits]]/Table2[[#This Row],[Points]]*100</f>
        <v>11.5</v>
      </c>
      <c r="K1520" s="4">
        <f>VLOOKUP(Table2[[#This Row],[Site]],'Site Info'!$A$1:$C$11,2, FALSE)</f>
        <v>11.5</v>
      </c>
      <c r="L1520" s="4">
        <f>VLOOKUP(Table2[[#This Row],[Site]],'Site Info'!$A$1:$C$11,3, FALSE)</f>
        <v>11</v>
      </c>
      <c r="M1520" t="str">
        <f>VLOOKUP(Table2[[#This Row],[Species]],'Species Table'!$A$1:$D$68,3, FALSE)</f>
        <v>Perennial</v>
      </c>
      <c r="O1520" s="15">
        <f>IF(SUMPRODUCT(($A$2:$A1520=A1520)*($B$2:$B1520=B1520)*($F$2:$F1520=F1520))&gt;1,0,1)</f>
        <v>0</v>
      </c>
      <c r="P1520" s="15">
        <f>IF(SUMPRODUCT(($A$2:$A1520=A1520)*($B$2:$B1520=B1520)*($D$2:$D1520=D1520))&gt;1,0,1)</f>
        <v>0</v>
      </c>
    </row>
    <row r="1521" spans="1:16" x14ac:dyDescent="0.35">
      <c r="A1521" s="4" t="s">
        <v>138</v>
      </c>
      <c r="B1521">
        <v>2017</v>
      </c>
      <c r="C1521" s="2" t="s">
        <v>140</v>
      </c>
      <c r="D1521" s="5" t="s">
        <v>141</v>
      </c>
      <c r="E1521" s="5">
        <v>11</v>
      </c>
      <c r="F1521" s="2" t="s">
        <v>3</v>
      </c>
      <c r="G1521" s="4">
        <v>3</v>
      </c>
      <c r="H1521">
        <f t="shared" si="8"/>
        <v>200</v>
      </c>
      <c r="I1521" s="4">
        <v>100</v>
      </c>
      <c r="J1521" s="4">
        <f>Table2[[#This Row],[Hits]]/Table2[[#This Row],[Points]]*100</f>
        <v>1.5</v>
      </c>
      <c r="K1521" s="4">
        <f>VLOOKUP(Table2[[#This Row],[Site]],'Site Info'!$A$1:$C$11,2, FALSE)</f>
        <v>11.5</v>
      </c>
      <c r="L1521" s="4">
        <f>VLOOKUP(Table2[[#This Row],[Site]],'Site Info'!$A$1:$C$11,3, FALSE)</f>
        <v>11</v>
      </c>
      <c r="M1521" t="str">
        <f>VLOOKUP(Table2[[#This Row],[Species]],'Species Table'!$A$1:$D$68,3, FALSE)</f>
        <v>Perennial</v>
      </c>
      <c r="O1521" s="15">
        <f>IF(SUMPRODUCT(($A$2:$A1521=A1521)*($B$2:$B1521=B1521)*($F$2:$F1521=F1521))&gt;1,0,1)</f>
        <v>1</v>
      </c>
      <c r="P1521" s="15">
        <f>IF(SUMPRODUCT(($A$2:$A1521=A1521)*($B$2:$B1521=B1521)*($D$2:$D1521=D1521))&gt;1,0,1)</f>
        <v>0</v>
      </c>
    </row>
    <row r="1522" spans="1:16" hidden="1" x14ac:dyDescent="0.35">
      <c r="A1522" s="4" t="s">
        <v>138</v>
      </c>
      <c r="B1522">
        <v>2017</v>
      </c>
      <c r="C1522" s="2" t="s">
        <v>140</v>
      </c>
      <c r="D1522" s="5" t="s">
        <v>141</v>
      </c>
      <c r="E1522" s="5">
        <v>11</v>
      </c>
      <c r="F1522" s="2" t="s">
        <v>10</v>
      </c>
      <c r="G1522" s="4">
        <v>34</v>
      </c>
      <c r="H1522">
        <f t="shared" si="8"/>
        <v>200</v>
      </c>
      <c r="I1522" s="4">
        <v>100</v>
      </c>
      <c r="J1522" s="4">
        <f>Table2[[#This Row],[Hits]]/Table2[[#This Row],[Points]]*100</f>
        <v>17</v>
      </c>
      <c r="K1522" s="4">
        <f>VLOOKUP(Table2[[#This Row],[Site]],'Site Info'!$A$1:$C$11,2, FALSE)</f>
        <v>11.5</v>
      </c>
      <c r="L1522" s="4">
        <f>VLOOKUP(Table2[[#This Row],[Site]],'Site Info'!$A$1:$C$11,3, FALSE)</f>
        <v>11</v>
      </c>
      <c r="M1522" t="str">
        <f>VLOOKUP(Table2[[#This Row],[Species]],'Species Table'!$A$1:$D$68,3, FALSE)</f>
        <v>Annual</v>
      </c>
      <c r="O1522" s="15">
        <f>IF(SUMPRODUCT(($A$2:$A1522=A1522)*($B$2:$B1522=B1522)*($F$2:$F1522=F1522))&gt;1,0,1)</f>
        <v>0</v>
      </c>
      <c r="P1522" s="15">
        <f>IF(SUMPRODUCT(($A$2:$A1522=A1522)*($B$2:$B1522=B1522)*($D$2:$D1522=D1522))&gt;1,0,1)</f>
        <v>0</v>
      </c>
    </row>
    <row r="1523" spans="1:16" hidden="1" x14ac:dyDescent="0.35">
      <c r="A1523" s="4" t="s">
        <v>138</v>
      </c>
      <c r="B1523">
        <v>2017</v>
      </c>
      <c r="C1523" s="2" t="s">
        <v>140</v>
      </c>
      <c r="D1523" s="5" t="s">
        <v>141</v>
      </c>
      <c r="E1523" s="5">
        <v>11</v>
      </c>
      <c r="F1523" s="2" t="s">
        <v>211</v>
      </c>
      <c r="G1523" s="4">
        <v>1</v>
      </c>
      <c r="H1523">
        <f t="shared" si="8"/>
        <v>200</v>
      </c>
      <c r="I1523" s="4">
        <v>100</v>
      </c>
      <c r="J1523" s="4">
        <f>Table2[[#This Row],[Hits]]/Table2[[#This Row],[Points]]*100</f>
        <v>0.5</v>
      </c>
      <c r="K1523" s="4">
        <f>VLOOKUP(Table2[[#This Row],[Site]],'Site Info'!$A$1:$C$11,2, FALSE)</f>
        <v>11.5</v>
      </c>
      <c r="L1523" s="4">
        <f>VLOOKUP(Table2[[#This Row],[Site]],'Site Info'!$A$1:$C$11,3, FALSE)</f>
        <v>11</v>
      </c>
      <c r="M1523" t="str">
        <f>VLOOKUP(Table2[[#This Row],[Species]],'Species Table'!$A$1:$D$68,3, FALSE)</f>
        <v>Annual</v>
      </c>
      <c r="O1523" s="15">
        <f>IF(SUMPRODUCT(($A$2:$A1523=A1523)*($B$2:$B1523=B1523)*($F$2:$F1523=F1523))&gt;1,0,1)</f>
        <v>0</v>
      </c>
      <c r="P1523" s="15">
        <f>IF(SUMPRODUCT(($A$2:$A1523=A1523)*($B$2:$B1523=B1523)*($D$2:$D1523=D1523))&gt;1,0,1)</f>
        <v>0</v>
      </c>
    </row>
    <row r="1524" spans="1:16" hidden="1" x14ac:dyDescent="0.35">
      <c r="A1524" s="4" t="s">
        <v>138</v>
      </c>
      <c r="B1524">
        <v>2017</v>
      </c>
      <c r="C1524" s="2" t="s">
        <v>144</v>
      </c>
      <c r="D1524" s="5" t="s">
        <v>145</v>
      </c>
      <c r="E1524" s="5">
        <v>12</v>
      </c>
      <c r="F1524" s="2" t="s">
        <v>10</v>
      </c>
      <c r="G1524" s="4">
        <v>46</v>
      </c>
      <c r="H1524">
        <f t="shared" si="8"/>
        <v>200</v>
      </c>
      <c r="I1524" s="4">
        <v>100</v>
      </c>
      <c r="J1524" s="4">
        <f>Table2[[#This Row],[Hits]]/Table2[[#This Row],[Points]]*100</f>
        <v>23</v>
      </c>
      <c r="K1524" s="4">
        <f>VLOOKUP(Table2[[#This Row],[Site]],'Site Info'!$A$1:$C$11,2, FALSE)</f>
        <v>11.5</v>
      </c>
      <c r="L1524" s="4">
        <f>VLOOKUP(Table2[[#This Row],[Site]],'Site Info'!$A$1:$C$11,3, FALSE)</f>
        <v>11</v>
      </c>
      <c r="M1524" t="str">
        <f>VLOOKUP(Table2[[#This Row],[Species]],'Species Table'!$A$1:$D$68,3, FALSE)</f>
        <v>Annual</v>
      </c>
      <c r="O1524" s="15">
        <f>IF(SUMPRODUCT(($A$2:$A1524=A1524)*($B$2:$B1524=B1524)*($F$2:$F1524=F1524))&gt;1,0,1)</f>
        <v>0</v>
      </c>
      <c r="P1524" s="15">
        <f>IF(SUMPRODUCT(($A$2:$A1524=A1524)*($B$2:$B1524=B1524)*($D$2:$D1524=D1524))&gt;1,0,1)</f>
        <v>1</v>
      </c>
    </row>
    <row r="1525" spans="1:16" x14ac:dyDescent="0.35">
      <c r="A1525" t="s">
        <v>18</v>
      </c>
      <c r="B1525">
        <v>2017</v>
      </c>
      <c r="C1525" s="1" t="s">
        <v>37</v>
      </c>
      <c r="D1525" s="6">
        <v>1.1000000000000001</v>
      </c>
      <c r="E1525" s="6">
        <f>INT(Table2[[#This Row],[Transect]])</f>
        <v>1</v>
      </c>
      <c r="F1525" s="1" t="s">
        <v>11</v>
      </c>
      <c r="G1525">
        <v>33</v>
      </c>
      <c r="H1525">
        <f t="shared" si="8"/>
        <v>200</v>
      </c>
      <c r="I1525">
        <v>100</v>
      </c>
      <c r="J1525">
        <f>Table2[[#This Row],[Hits]]/Table2[[#This Row],[Points]]*100</f>
        <v>16.5</v>
      </c>
      <c r="K1525">
        <f>VLOOKUP(Table2[[#This Row],[Site]],'Site Info'!$A$1:$C$11,2, FALSE)</f>
        <v>15</v>
      </c>
      <c r="L1525">
        <f>VLOOKUP(Table2[[#This Row],[Site]],'Site Info'!$A$1:$C$11,3, FALSE)</f>
        <v>12</v>
      </c>
      <c r="M1525" t="str">
        <f>VLOOKUP(Table2[[#This Row],[Species]],'Species Table'!$A$1:$D$68,3, FALSE)</f>
        <v>Perennial</v>
      </c>
      <c r="O1525" s="15">
        <f>IF(SUMPRODUCT(($A$2:$A1525=A1525)*($B$2:$B1525=B1525)*($F$2:$F1525=F1525))&gt;1,0,1)</f>
        <v>1</v>
      </c>
      <c r="P1525" s="15">
        <f>IF(SUMPRODUCT(($A$2:$A1525=A1525)*($B$2:$B1525=B1525)*($D$2:$D1525=D1525))&gt;1,0,1)</f>
        <v>1</v>
      </c>
    </row>
    <row r="1526" spans="1:16" hidden="1" x14ac:dyDescent="0.35">
      <c r="A1526" t="s">
        <v>18</v>
      </c>
      <c r="B1526">
        <v>2017</v>
      </c>
      <c r="C1526" s="1" t="s">
        <v>38</v>
      </c>
      <c r="D1526" s="6">
        <v>1.1000000000000001</v>
      </c>
      <c r="E1526" s="6">
        <f>INT(Table2[[#This Row],[Transect]])</f>
        <v>1</v>
      </c>
      <c r="F1526" s="1" t="s">
        <v>10</v>
      </c>
      <c r="G1526">
        <v>1</v>
      </c>
      <c r="H1526">
        <f t="shared" si="8"/>
        <v>200</v>
      </c>
      <c r="I1526">
        <v>100</v>
      </c>
      <c r="J1526">
        <f>Table2[[#This Row],[Hits]]/Table2[[#This Row],[Points]]*100</f>
        <v>0.5</v>
      </c>
      <c r="K1526">
        <f>VLOOKUP(Table2[[#This Row],[Site]],'Site Info'!$A$1:$C$11,2, FALSE)</f>
        <v>15</v>
      </c>
      <c r="L1526">
        <f>VLOOKUP(Table2[[#This Row],[Site]],'Site Info'!$A$1:$C$11,3, FALSE)</f>
        <v>12</v>
      </c>
      <c r="M1526" t="str">
        <f>VLOOKUP(Table2[[#This Row],[Species]],'Species Table'!$A$1:$D$68,3, FALSE)</f>
        <v>Annual</v>
      </c>
      <c r="O1526" s="15">
        <f>IF(SUMPRODUCT(($A$2:$A1526=A1526)*($B$2:$B1526=B1526)*($F$2:$F1526=F1526))&gt;1,0,1)</f>
        <v>1</v>
      </c>
      <c r="P1526" s="15">
        <f>IF(SUMPRODUCT(($A$2:$A1526=A1526)*($B$2:$B1526=B1526)*($D$2:$D1526=D1526))&gt;1,0,1)</f>
        <v>0</v>
      </c>
    </row>
    <row r="1527" spans="1:16" x14ac:dyDescent="0.35">
      <c r="A1527" t="s">
        <v>18</v>
      </c>
      <c r="B1527">
        <v>2017</v>
      </c>
      <c r="C1527" s="1" t="s">
        <v>38</v>
      </c>
      <c r="D1527" s="6">
        <v>1.2</v>
      </c>
      <c r="E1527" s="6">
        <f>INT(Table2[[#This Row],[Transect]])</f>
        <v>1</v>
      </c>
      <c r="F1527" s="1" t="s">
        <v>11</v>
      </c>
      <c r="G1527">
        <v>17</v>
      </c>
      <c r="H1527">
        <f t="shared" si="8"/>
        <v>200</v>
      </c>
      <c r="I1527">
        <v>100</v>
      </c>
      <c r="J1527">
        <f>Table2[[#This Row],[Hits]]/Table2[[#This Row],[Points]]*100</f>
        <v>8.5</v>
      </c>
      <c r="K1527">
        <f>VLOOKUP(Table2[[#This Row],[Site]],'Site Info'!$A$1:$C$11,2, FALSE)</f>
        <v>15</v>
      </c>
      <c r="L1527">
        <f>VLOOKUP(Table2[[#This Row],[Site]],'Site Info'!$A$1:$C$11,3, FALSE)</f>
        <v>12</v>
      </c>
      <c r="M1527" t="str">
        <f>VLOOKUP(Table2[[#This Row],[Species]],'Species Table'!$A$1:$D$68,3, FALSE)</f>
        <v>Perennial</v>
      </c>
      <c r="O1527" s="15">
        <f>IF(SUMPRODUCT(($A$2:$A1527=A1527)*($B$2:$B1527=B1527)*($F$2:$F1527=F1527))&gt;1,0,1)</f>
        <v>0</v>
      </c>
      <c r="P1527" s="15">
        <f>IF(SUMPRODUCT(($A$2:$A1527=A1527)*($B$2:$B1527=B1527)*($D$2:$D1527=D1527))&gt;1,0,1)</f>
        <v>1</v>
      </c>
    </row>
    <row r="1528" spans="1:16" x14ac:dyDescent="0.35">
      <c r="A1528" t="s">
        <v>18</v>
      </c>
      <c r="B1528">
        <v>2017</v>
      </c>
      <c r="C1528" s="1" t="s">
        <v>83</v>
      </c>
      <c r="D1528" s="6">
        <v>1.3</v>
      </c>
      <c r="E1528" s="6">
        <f>INT(Table2[[#This Row],[Transect]])</f>
        <v>1</v>
      </c>
      <c r="F1528" s="1" t="s">
        <v>11</v>
      </c>
      <c r="G1528">
        <v>25</v>
      </c>
      <c r="H1528">
        <f t="shared" si="8"/>
        <v>200</v>
      </c>
      <c r="I1528">
        <v>100</v>
      </c>
      <c r="J1528">
        <f>Table2[[#This Row],[Hits]]/Table2[[#This Row],[Points]]*100</f>
        <v>12.5</v>
      </c>
      <c r="K1528">
        <f>VLOOKUP(Table2[[#This Row],[Site]],'Site Info'!$A$1:$C$11,2, FALSE)</f>
        <v>15</v>
      </c>
      <c r="L1528">
        <f>VLOOKUP(Table2[[#This Row],[Site]],'Site Info'!$A$1:$C$11,3, FALSE)</f>
        <v>12</v>
      </c>
      <c r="M1528" t="str">
        <f>VLOOKUP(Table2[[#This Row],[Species]],'Species Table'!$A$1:$D$68,3, FALSE)</f>
        <v>Perennial</v>
      </c>
      <c r="O1528" s="15">
        <f>IF(SUMPRODUCT(($A$2:$A1528=A1528)*($B$2:$B1528=B1528)*($F$2:$F1528=F1528))&gt;1,0,1)</f>
        <v>0</v>
      </c>
      <c r="P1528" s="15">
        <f>IF(SUMPRODUCT(($A$2:$A1528=A1528)*($B$2:$B1528=B1528)*($D$2:$D1528=D1528))&gt;1,0,1)</f>
        <v>1</v>
      </c>
    </row>
    <row r="1529" spans="1:16" x14ac:dyDescent="0.35">
      <c r="A1529" t="s">
        <v>18</v>
      </c>
      <c r="B1529">
        <v>2017</v>
      </c>
      <c r="C1529" s="1" t="s">
        <v>39</v>
      </c>
      <c r="D1529" s="6">
        <v>1.4</v>
      </c>
      <c r="E1529" s="6">
        <f>INT(Table2[[#This Row],[Transect]])</f>
        <v>1</v>
      </c>
      <c r="F1529" s="1" t="s">
        <v>11</v>
      </c>
      <c r="G1529">
        <v>55</v>
      </c>
      <c r="H1529">
        <f t="shared" si="8"/>
        <v>200</v>
      </c>
      <c r="I1529">
        <v>100</v>
      </c>
      <c r="J1529">
        <f>Table2[[#This Row],[Hits]]/Table2[[#This Row],[Points]]*100</f>
        <v>27.500000000000004</v>
      </c>
      <c r="K1529">
        <f>VLOOKUP(Table2[[#This Row],[Site]],'Site Info'!$A$1:$C$11,2, FALSE)</f>
        <v>15</v>
      </c>
      <c r="L1529">
        <f>VLOOKUP(Table2[[#This Row],[Site]],'Site Info'!$A$1:$C$11,3, FALSE)</f>
        <v>12</v>
      </c>
      <c r="M1529" t="str">
        <f>VLOOKUP(Table2[[#This Row],[Species]],'Species Table'!$A$1:$D$68,3, FALSE)</f>
        <v>Perennial</v>
      </c>
      <c r="O1529" s="15">
        <f>IF(SUMPRODUCT(($A$2:$A1529=A1529)*($B$2:$B1529=B1529)*($F$2:$F1529=F1529))&gt;1,0,1)</f>
        <v>0</v>
      </c>
      <c r="P1529" s="15">
        <f>IF(SUMPRODUCT(($A$2:$A1529=A1529)*($B$2:$B1529=B1529)*($D$2:$D1529=D1529))&gt;1,0,1)</f>
        <v>1</v>
      </c>
    </row>
    <row r="1530" spans="1:16" x14ac:dyDescent="0.35">
      <c r="A1530" t="s">
        <v>18</v>
      </c>
      <c r="B1530">
        <v>2017</v>
      </c>
      <c r="C1530" s="1" t="s">
        <v>84</v>
      </c>
      <c r="D1530" s="6">
        <v>1.5</v>
      </c>
      <c r="E1530" s="6">
        <f>INT(Table2[[#This Row],[Transect]])</f>
        <v>1</v>
      </c>
      <c r="F1530" s="1" t="s">
        <v>11</v>
      </c>
      <c r="G1530">
        <v>25</v>
      </c>
      <c r="H1530">
        <f t="shared" si="8"/>
        <v>200</v>
      </c>
      <c r="I1530">
        <v>100</v>
      </c>
      <c r="J1530">
        <f>Table2[[#This Row],[Hits]]/Table2[[#This Row],[Points]]*100</f>
        <v>12.5</v>
      </c>
      <c r="K1530">
        <f>VLOOKUP(Table2[[#This Row],[Site]],'Site Info'!$A$1:$C$11,2, FALSE)</f>
        <v>15</v>
      </c>
      <c r="L1530">
        <f>VLOOKUP(Table2[[#This Row],[Site]],'Site Info'!$A$1:$C$11,3, FALSE)</f>
        <v>12</v>
      </c>
      <c r="M1530" t="str">
        <f>VLOOKUP(Table2[[#This Row],[Species]],'Species Table'!$A$1:$D$68,3, FALSE)</f>
        <v>Perennial</v>
      </c>
      <c r="O1530" s="15">
        <f>IF(SUMPRODUCT(($A$2:$A1530=A1530)*($B$2:$B1530=B1530)*($F$2:$F1530=F1530))&gt;1,0,1)</f>
        <v>0</v>
      </c>
      <c r="P1530" s="15">
        <f>IF(SUMPRODUCT(($A$2:$A1530=A1530)*($B$2:$B1530=B1530)*($D$2:$D1530=D1530))&gt;1,0,1)</f>
        <v>1</v>
      </c>
    </row>
    <row r="1531" spans="1:16" x14ac:dyDescent="0.35">
      <c r="A1531" t="s">
        <v>18</v>
      </c>
      <c r="B1531">
        <v>2017</v>
      </c>
      <c r="C1531" s="1" t="s">
        <v>43</v>
      </c>
      <c r="D1531" s="6">
        <v>2.1</v>
      </c>
      <c r="E1531" s="6">
        <f>INT(Table2[[#This Row],[Transect]])</f>
        <v>2</v>
      </c>
      <c r="F1531" s="1" t="s">
        <v>11</v>
      </c>
      <c r="G1531">
        <v>11</v>
      </c>
      <c r="H1531">
        <f t="shared" si="8"/>
        <v>200</v>
      </c>
      <c r="I1531">
        <v>100</v>
      </c>
      <c r="J1531">
        <f>Table2[[#This Row],[Hits]]/Table2[[#This Row],[Points]]*100</f>
        <v>5.5</v>
      </c>
      <c r="K1531">
        <f>VLOOKUP(Table2[[#This Row],[Site]],'Site Info'!$A$1:$C$11,2, FALSE)</f>
        <v>15</v>
      </c>
      <c r="L1531">
        <f>VLOOKUP(Table2[[#This Row],[Site]],'Site Info'!$A$1:$C$11,3, FALSE)</f>
        <v>12</v>
      </c>
      <c r="M1531" t="str">
        <f>VLOOKUP(Table2[[#This Row],[Species]],'Species Table'!$A$1:$D$68,3, FALSE)</f>
        <v>Perennial</v>
      </c>
      <c r="O1531" s="15">
        <f>IF(SUMPRODUCT(($A$2:$A1531=A1531)*($B$2:$B1531=B1531)*($F$2:$F1531=F1531))&gt;1,0,1)</f>
        <v>0</v>
      </c>
      <c r="P1531" s="15">
        <f>IF(SUMPRODUCT(($A$2:$A1531=A1531)*($B$2:$B1531=B1531)*($D$2:$D1531=D1531))&gt;1,0,1)</f>
        <v>1</v>
      </c>
    </row>
    <row r="1532" spans="1:16" x14ac:dyDescent="0.35">
      <c r="A1532" t="s">
        <v>18</v>
      </c>
      <c r="B1532">
        <v>2017</v>
      </c>
      <c r="C1532" s="1" t="s">
        <v>44</v>
      </c>
      <c r="D1532" s="6">
        <v>2.2000000000000002</v>
      </c>
      <c r="E1532" s="6">
        <f>INT(Table2[[#This Row],[Transect]])</f>
        <v>2</v>
      </c>
      <c r="F1532" s="1" t="s">
        <v>11</v>
      </c>
      <c r="G1532">
        <v>13</v>
      </c>
      <c r="H1532">
        <f t="shared" si="8"/>
        <v>200</v>
      </c>
      <c r="I1532">
        <v>100</v>
      </c>
      <c r="J1532">
        <f>Table2[[#This Row],[Hits]]/Table2[[#This Row],[Points]]*100</f>
        <v>6.5</v>
      </c>
      <c r="K1532">
        <f>VLOOKUP(Table2[[#This Row],[Site]],'Site Info'!$A$1:$C$11,2, FALSE)</f>
        <v>15</v>
      </c>
      <c r="L1532">
        <f>VLOOKUP(Table2[[#This Row],[Site]],'Site Info'!$A$1:$C$11,3, FALSE)</f>
        <v>12</v>
      </c>
      <c r="M1532" t="str">
        <f>VLOOKUP(Table2[[#This Row],[Species]],'Species Table'!$A$1:$D$68,3, FALSE)</f>
        <v>Perennial</v>
      </c>
      <c r="O1532" s="15">
        <f>IF(SUMPRODUCT(($A$2:$A1532=A1532)*($B$2:$B1532=B1532)*($F$2:$F1532=F1532))&gt;1,0,1)</f>
        <v>0</v>
      </c>
      <c r="P1532" s="15">
        <f>IF(SUMPRODUCT(($A$2:$A1532=A1532)*($B$2:$B1532=B1532)*($D$2:$D1532=D1532))&gt;1,0,1)</f>
        <v>1</v>
      </c>
    </row>
    <row r="1533" spans="1:16" hidden="1" x14ac:dyDescent="0.35">
      <c r="A1533" t="s">
        <v>18</v>
      </c>
      <c r="B1533">
        <v>2017</v>
      </c>
      <c r="C1533" s="1" t="s">
        <v>44</v>
      </c>
      <c r="D1533" s="6">
        <v>2.2000000000000002</v>
      </c>
      <c r="E1533" s="6">
        <f>INT(Table2[[#This Row],[Transect]])</f>
        <v>2</v>
      </c>
      <c r="F1533" s="1" t="s">
        <v>10</v>
      </c>
      <c r="G1533">
        <v>7</v>
      </c>
      <c r="H1533">
        <f t="shared" si="8"/>
        <v>200</v>
      </c>
      <c r="I1533">
        <v>100</v>
      </c>
      <c r="J1533">
        <f>Table2[[#This Row],[Hits]]/Table2[[#This Row],[Points]]*100</f>
        <v>3.5000000000000004</v>
      </c>
      <c r="K1533">
        <f>VLOOKUP(Table2[[#This Row],[Site]],'Site Info'!$A$1:$C$11,2, FALSE)</f>
        <v>15</v>
      </c>
      <c r="L1533">
        <f>VLOOKUP(Table2[[#This Row],[Site]],'Site Info'!$A$1:$C$11,3, FALSE)</f>
        <v>12</v>
      </c>
      <c r="M1533" t="str">
        <f>VLOOKUP(Table2[[#This Row],[Species]],'Species Table'!$A$1:$D$68,3, FALSE)</f>
        <v>Annual</v>
      </c>
      <c r="O1533" s="15">
        <f>IF(SUMPRODUCT(($A$2:$A1533=A1533)*($B$2:$B1533=B1533)*($F$2:$F1533=F1533))&gt;1,0,1)</f>
        <v>0</v>
      </c>
      <c r="P1533" s="15">
        <f>IF(SUMPRODUCT(($A$2:$A1533=A1533)*($B$2:$B1533=B1533)*($D$2:$D1533=D1533))&gt;1,0,1)</f>
        <v>0</v>
      </c>
    </row>
    <row r="1534" spans="1:16" hidden="1" x14ac:dyDescent="0.35">
      <c r="A1534" t="s">
        <v>18</v>
      </c>
      <c r="B1534">
        <v>2017</v>
      </c>
      <c r="C1534" s="1" t="s">
        <v>44</v>
      </c>
      <c r="D1534" s="6">
        <v>2.2000000000000002</v>
      </c>
      <c r="E1534" s="6">
        <f>INT(Table2[[#This Row],[Transect]])</f>
        <v>2</v>
      </c>
      <c r="F1534" s="1" t="s">
        <v>33</v>
      </c>
      <c r="G1534">
        <v>3</v>
      </c>
      <c r="H1534">
        <f t="shared" si="8"/>
        <v>200</v>
      </c>
      <c r="I1534">
        <v>100</v>
      </c>
      <c r="J1534">
        <f>Table2[[#This Row],[Hits]]/Table2[[#This Row],[Points]]*100</f>
        <v>1.5</v>
      </c>
      <c r="K1534">
        <f>VLOOKUP(Table2[[#This Row],[Site]],'Site Info'!$A$1:$C$11,2, FALSE)</f>
        <v>15</v>
      </c>
      <c r="L1534">
        <f>VLOOKUP(Table2[[#This Row],[Site]],'Site Info'!$A$1:$C$11,3, FALSE)</f>
        <v>12</v>
      </c>
      <c r="M1534" t="str">
        <f>VLOOKUP(Table2[[#This Row],[Species]],'Species Table'!$A$1:$D$68,3, FALSE)</f>
        <v>Annual</v>
      </c>
      <c r="O1534" s="15">
        <f>IF(SUMPRODUCT(($A$2:$A1534=A1534)*($B$2:$B1534=B1534)*($F$2:$F1534=F1534))&gt;1,0,1)</f>
        <v>1</v>
      </c>
      <c r="P1534" s="15">
        <f>IF(SUMPRODUCT(($A$2:$A1534=A1534)*($B$2:$B1534=B1534)*($D$2:$D1534=D1534))&gt;1,0,1)</f>
        <v>0</v>
      </c>
    </row>
    <row r="1535" spans="1:16" x14ac:dyDescent="0.35">
      <c r="A1535" t="s">
        <v>18</v>
      </c>
      <c r="B1535">
        <v>2017</v>
      </c>
      <c r="C1535" s="1" t="s">
        <v>45</v>
      </c>
      <c r="D1535" s="6">
        <v>2.2999999999999998</v>
      </c>
      <c r="E1535" s="6">
        <f>INT(Table2[[#This Row],[Transect]])</f>
        <v>2</v>
      </c>
      <c r="F1535" s="1" t="s">
        <v>11</v>
      </c>
      <c r="G1535">
        <v>14</v>
      </c>
      <c r="H1535">
        <f t="shared" si="8"/>
        <v>200</v>
      </c>
      <c r="I1535">
        <v>100</v>
      </c>
      <c r="J1535">
        <f>Table2[[#This Row],[Hits]]/Table2[[#This Row],[Points]]*100</f>
        <v>7.0000000000000009</v>
      </c>
      <c r="K1535">
        <f>VLOOKUP(Table2[[#This Row],[Site]],'Site Info'!$A$1:$C$11,2, FALSE)</f>
        <v>15</v>
      </c>
      <c r="L1535">
        <f>VLOOKUP(Table2[[#This Row],[Site]],'Site Info'!$A$1:$C$11,3, FALSE)</f>
        <v>12</v>
      </c>
      <c r="M1535" t="str">
        <f>VLOOKUP(Table2[[#This Row],[Species]],'Species Table'!$A$1:$D$68,3, FALSE)</f>
        <v>Perennial</v>
      </c>
      <c r="O1535" s="15">
        <f>IF(SUMPRODUCT(($A$2:$A1535=A1535)*($B$2:$B1535=B1535)*($F$2:$F1535=F1535))&gt;1,0,1)</f>
        <v>0</v>
      </c>
      <c r="P1535" s="15">
        <f>IF(SUMPRODUCT(($A$2:$A1535=A1535)*($B$2:$B1535=B1535)*($D$2:$D1535=D1535))&gt;1,0,1)</f>
        <v>1</v>
      </c>
    </row>
    <row r="1536" spans="1:16" hidden="1" x14ac:dyDescent="0.35">
      <c r="A1536" t="s">
        <v>18</v>
      </c>
      <c r="B1536">
        <v>2017</v>
      </c>
      <c r="C1536" s="1" t="s">
        <v>45</v>
      </c>
      <c r="D1536" s="6">
        <v>2.2999999999999998</v>
      </c>
      <c r="E1536" s="6">
        <f>INT(Table2[[#This Row],[Transect]])</f>
        <v>2</v>
      </c>
      <c r="F1536" s="1" t="s">
        <v>10</v>
      </c>
      <c r="G1536">
        <v>3</v>
      </c>
      <c r="H1536">
        <f t="shared" si="8"/>
        <v>200</v>
      </c>
      <c r="I1536">
        <v>100</v>
      </c>
      <c r="J1536">
        <f>Table2[[#This Row],[Hits]]/Table2[[#This Row],[Points]]*100</f>
        <v>1.5</v>
      </c>
      <c r="K1536">
        <f>VLOOKUP(Table2[[#This Row],[Site]],'Site Info'!$A$1:$C$11,2, FALSE)</f>
        <v>15</v>
      </c>
      <c r="L1536">
        <f>VLOOKUP(Table2[[#This Row],[Site]],'Site Info'!$A$1:$C$11,3, FALSE)</f>
        <v>12</v>
      </c>
      <c r="M1536" t="str">
        <f>VLOOKUP(Table2[[#This Row],[Species]],'Species Table'!$A$1:$D$68,3, FALSE)</f>
        <v>Annual</v>
      </c>
      <c r="O1536" s="15">
        <f>IF(SUMPRODUCT(($A$2:$A1536=A1536)*($B$2:$B1536=B1536)*($F$2:$F1536=F1536))&gt;1,0,1)</f>
        <v>0</v>
      </c>
      <c r="P1536" s="15">
        <f>IF(SUMPRODUCT(($A$2:$A1536=A1536)*($B$2:$B1536=B1536)*($D$2:$D1536=D1536))&gt;1,0,1)</f>
        <v>0</v>
      </c>
    </row>
    <row r="1537" spans="1:16" hidden="1" x14ac:dyDescent="0.35">
      <c r="A1537" t="s">
        <v>18</v>
      </c>
      <c r="B1537">
        <v>2017</v>
      </c>
      <c r="C1537" s="1" t="s">
        <v>45</v>
      </c>
      <c r="D1537" s="6">
        <v>2.2999999999999998</v>
      </c>
      <c r="E1537" s="6">
        <f>INT(Table2[[#This Row],[Transect]])</f>
        <v>2</v>
      </c>
      <c r="F1537" s="1" t="s">
        <v>33</v>
      </c>
      <c r="G1537">
        <v>1</v>
      </c>
      <c r="H1537">
        <f t="shared" si="8"/>
        <v>200</v>
      </c>
      <c r="I1537">
        <v>100</v>
      </c>
      <c r="J1537">
        <f>Table2[[#This Row],[Hits]]/Table2[[#This Row],[Points]]*100</f>
        <v>0.5</v>
      </c>
      <c r="K1537">
        <f>VLOOKUP(Table2[[#This Row],[Site]],'Site Info'!$A$1:$C$11,2, FALSE)</f>
        <v>15</v>
      </c>
      <c r="L1537">
        <f>VLOOKUP(Table2[[#This Row],[Site]],'Site Info'!$A$1:$C$11,3, FALSE)</f>
        <v>12</v>
      </c>
      <c r="M1537" t="str">
        <f>VLOOKUP(Table2[[#This Row],[Species]],'Species Table'!$A$1:$D$68,3, FALSE)</f>
        <v>Annual</v>
      </c>
      <c r="O1537" s="15">
        <f>IF(SUMPRODUCT(($A$2:$A1537=A1537)*($B$2:$B1537=B1537)*($F$2:$F1537=F1537))&gt;1,0,1)</f>
        <v>0</v>
      </c>
      <c r="P1537" s="15">
        <f>IF(SUMPRODUCT(($A$2:$A1537=A1537)*($B$2:$B1537=B1537)*($D$2:$D1537=D1537))&gt;1,0,1)</f>
        <v>0</v>
      </c>
    </row>
    <row r="1538" spans="1:16" x14ac:dyDescent="0.35">
      <c r="A1538" t="s">
        <v>18</v>
      </c>
      <c r="B1538">
        <v>2017</v>
      </c>
      <c r="C1538" s="1" t="s">
        <v>46</v>
      </c>
      <c r="D1538" s="6">
        <v>2.4</v>
      </c>
      <c r="E1538" s="6">
        <f>INT(Table2[[#This Row],[Transect]])</f>
        <v>2</v>
      </c>
      <c r="F1538" s="1" t="s">
        <v>11</v>
      </c>
      <c r="G1538">
        <v>29</v>
      </c>
      <c r="H1538">
        <f t="shared" si="8"/>
        <v>200</v>
      </c>
      <c r="I1538">
        <v>100</v>
      </c>
      <c r="J1538">
        <f>Table2[[#This Row],[Hits]]/Table2[[#This Row],[Points]]*100</f>
        <v>14.499999999999998</v>
      </c>
      <c r="K1538">
        <f>VLOOKUP(Table2[[#This Row],[Site]],'Site Info'!$A$1:$C$11,2, FALSE)</f>
        <v>15</v>
      </c>
      <c r="L1538">
        <f>VLOOKUP(Table2[[#This Row],[Site]],'Site Info'!$A$1:$C$11,3, FALSE)</f>
        <v>12</v>
      </c>
      <c r="M1538" t="str">
        <f>VLOOKUP(Table2[[#This Row],[Species]],'Species Table'!$A$1:$D$68,3, FALSE)</f>
        <v>Perennial</v>
      </c>
      <c r="O1538" s="15">
        <f>IF(SUMPRODUCT(($A$2:$A1538=A1538)*($B$2:$B1538=B1538)*($F$2:$F1538=F1538))&gt;1,0,1)</f>
        <v>0</v>
      </c>
      <c r="P1538" s="15">
        <f>IF(SUMPRODUCT(($A$2:$A1538=A1538)*($B$2:$B1538=B1538)*($D$2:$D1538=D1538))&gt;1,0,1)</f>
        <v>1</v>
      </c>
    </row>
    <row r="1539" spans="1:16" x14ac:dyDescent="0.35">
      <c r="A1539" t="s">
        <v>18</v>
      </c>
      <c r="B1539">
        <v>2017</v>
      </c>
      <c r="C1539" s="1" t="s">
        <v>47</v>
      </c>
      <c r="D1539" s="6">
        <v>2.5</v>
      </c>
      <c r="E1539" s="6">
        <f>INT(Table2[[#This Row],[Transect]])</f>
        <v>2</v>
      </c>
      <c r="F1539" s="1" t="s">
        <v>11</v>
      </c>
      <c r="G1539">
        <v>17</v>
      </c>
      <c r="H1539">
        <f t="shared" si="8"/>
        <v>200</v>
      </c>
      <c r="I1539">
        <v>100</v>
      </c>
      <c r="J1539">
        <f>Table2[[#This Row],[Hits]]/Table2[[#This Row],[Points]]*100</f>
        <v>8.5</v>
      </c>
      <c r="K1539">
        <f>VLOOKUP(Table2[[#This Row],[Site]],'Site Info'!$A$1:$C$11,2, FALSE)</f>
        <v>15</v>
      </c>
      <c r="L1539">
        <f>VLOOKUP(Table2[[#This Row],[Site]],'Site Info'!$A$1:$C$11,3, FALSE)</f>
        <v>12</v>
      </c>
      <c r="M1539" t="str">
        <f>VLOOKUP(Table2[[#This Row],[Species]],'Species Table'!$A$1:$D$68,3, FALSE)</f>
        <v>Perennial</v>
      </c>
      <c r="O1539" s="15">
        <f>IF(SUMPRODUCT(($A$2:$A1539=A1539)*($B$2:$B1539=B1539)*($F$2:$F1539=F1539))&gt;1,0,1)</f>
        <v>0</v>
      </c>
      <c r="P1539" s="15">
        <f>IF(SUMPRODUCT(($A$2:$A1539=A1539)*($B$2:$B1539=B1539)*($D$2:$D1539=D1539))&gt;1,0,1)</f>
        <v>1</v>
      </c>
    </row>
    <row r="1540" spans="1:16" x14ac:dyDescent="0.35">
      <c r="A1540" t="s">
        <v>18</v>
      </c>
      <c r="B1540">
        <v>2017</v>
      </c>
      <c r="C1540" s="1" t="s">
        <v>48</v>
      </c>
      <c r="D1540" s="6">
        <v>2.6</v>
      </c>
      <c r="E1540" s="6">
        <f>INT(Table2[[#This Row],[Transect]])</f>
        <v>2</v>
      </c>
      <c r="F1540" s="1" t="s">
        <v>11</v>
      </c>
      <c r="G1540">
        <v>18</v>
      </c>
      <c r="H1540">
        <f t="shared" si="8"/>
        <v>200</v>
      </c>
      <c r="I1540">
        <v>100</v>
      </c>
      <c r="J1540">
        <f>Table2[[#This Row],[Hits]]/Table2[[#This Row],[Points]]*100</f>
        <v>9</v>
      </c>
      <c r="K1540">
        <f>VLOOKUP(Table2[[#This Row],[Site]],'Site Info'!$A$1:$C$11,2, FALSE)</f>
        <v>15</v>
      </c>
      <c r="L1540">
        <f>VLOOKUP(Table2[[#This Row],[Site]],'Site Info'!$A$1:$C$11,3, FALSE)</f>
        <v>12</v>
      </c>
      <c r="M1540" t="str">
        <f>VLOOKUP(Table2[[#This Row],[Species]],'Species Table'!$A$1:$D$68,3, FALSE)</f>
        <v>Perennial</v>
      </c>
      <c r="O1540" s="15">
        <f>IF(SUMPRODUCT(($A$2:$A1540=A1540)*($B$2:$B1540=B1540)*($F$2:$F1540=F1540))&gt;1,0,1)</f>
        <v>0</v>
      </c>
      <c r="P1540" s="15">
        <f>IF(SUMPRODUCT(($A$2:$A1540=A1540)*($B$2:$B1540=B1540)*($D$2:$D1540=D1540))&gt;1,0,1)</f>
        <v>1</v>
      </c>
    </row>
    <row r="1541" spans="1:16" x14ac:dyDescent="0.35">
      <c r="A1541" t="s">
        <v>18</v>
      </c>
      <c r="B1541">
        <v>2017</v>
      </c>
      <c r="C1541" s="1" t="s">
        <v>125</v>
      </c>
      <c r="D1541" s="6">
        <v>2.7</v>
      </c>
      <c r="E1541" s="6">
        <f>INT(Table2[[#This Row],[Transect]])</f>
        <v>2</v>
      </c>
      <c r="F1541" s="1" t="s">
        <v>11</v>
      </c>
      <c r="G1541">
        <v>24</v>
      </c>
      <c r="H1541">
        <f t="shared" si="8"/>
        <v>200</v>
      </c>
      <c r="I1541">
        <v>100</v>
      </c>
      <c r="J1541">
        <f>Table2[[#This Row],[Hits]]/Table2[[#This Row],[Points]]*100</f>
        <v>12</v>
      </c>
      <c r="K1541">
        <f>VLOOKUP(Table2[[#This Row],[Site]],'Site Info'!$A$1:$C$11,2, FALSE)</f>
        <v>15</v>
      </c>
      <c r="L1541">
        <f>VLOOKUP(Table2[[#This Row],[Site]],'Site Info'!$A$1:$C$11,3, FALSE)</f>
        <v>12</v>
      </c>
      <c r="M1541" t="str">
        <f>VLOOKUP(Table2[[#This Row],[Species]],'Species Table'!$A$1:$D$68,3, FALSE)</f>
        <v>Perennial</v>
      </c>
      <c r="O1541" s="15">
        <f>IF(SUMPRODUCT(($A$2:$A1541=A1541)*($B$2:$B1541=B1541)*($F$2:$F1541=F1541))&gt;1,0,1)</f>
        <v>0</v>
      </c>
      <c r="P1541" s="15">
        <f>IF(SUMPRODUCT(($A$2:$A1541=A1541)*($B$2:$B1541=B1541)*($D$2:$D1541=D1541))&gt;1,0,1)</f>
        <v>1</v>
      </c>
    </row>
    <row r="1542" spans="1:16" x14ac:dyDescent="0.35">
      <c r="A1542" t="s">
        <v>18</v>
      </c>
      <c r="B1542">
        <v>2017</v>
      </c>
      <c r="C1542" s="1" t="s">
        <v>85</v>
      </c>
      <c r="D1542" s="6">
        <v>2.8</v>
      </c>
      <c r="E1542" s="6">
        <f>INT(Table2[[#This Row],[Transect]])</f>
        <v>2</v>
      </c>
      <c r="F1542" s="1" t="s">
        <v>11</v>
      </c>
      <c r="G1542">
        <v>29</v>
      </c>
      <c r="H1542">
        <f t="shared" si="8"/>
        <v>200</v>
      </c>
      <c r="I1542">
        <v>100</v>
      </c>
      <c r="J1542">
        <f>Table2[[#This Row],[Hits]]/Table2[[#This Row],[Points]]*100</f>
        <v>14.499999999999998</v>
      </c>
      <c r="K1542">
        <f>VLOOKUP(Table2[[#This Row],[Site]],'Site Info'!$A$1:$C$11,2, FALSE)</f>
        <v>15</v>
      </c>
      <c r="L1542">
        <f>VLOOKUP(Table2[[#This Row],[Site]],'Site Info'!$A$1:$C$11,3, FALSE)</f>
        <v>12</v>
      </c>
      <c r="M1542" t="str">
        <f>VLOOKUP(Table2[[#This Row],[Species]],'Species Table'!$A$1:$D$68,3, FALSE)</f>
        <v>Perennial</v>
      </c>
      <c r="O1542" s="15">
        <f>IF(SUMPRODUCT(($A$2:$A1542=A1542)*($B$2:$B1542=B1542)*($F$2:$F1542=F1542))&gt;1,0,1)</f>
        <v>0</v>
      </c>
      <c r="P1542" s="15">
        <f>IF(SUMPRODUCT(($A$2:$A1542=A1542)*($B$2:$B1542=B1542)*($D$2:$D1542=D1542))&gt;1,0,1)</f>
        <v>1</v>
      </c>
    </row>
    <row r="1543" spans="1:16" x14ac:dyDescent="0.35">
      <c r="A1543" t="s">
        <v>18</v>
      </c>
      <c r="B1543">
        <v>2017</v>
      </c>
      <c r="C1543" s="1" t="s">
        <v>85</v>
      </c>
      <c r="D1543" s="6">
        <v>2.8</v>
      </c>
      <c r="E1543" s="6">
        <f>INT(Table2[[#This Row],[Transect]])</f>
        <v>2</v>
      </c>
      <c r="F1543" s="1" t="s">
        <v>170</v>
      </c>
      <c r="G1543">
        <v>7</v>
      </c>
      <c r="H1543">
        <f t="shared" si="8"/>
        <v>200</v>
      </c>
      <c r="I1543">
        <v>100</v>
      </c>
      <c r="J1543">
        <f>Table2[[#This Row],[Hits]]/Table2[[#This Row],[Points]]*100</f>
        <v>3.5000000000000004</v>
      </c>
      <c r="K1543">
        <f>VLOOKUP(Table2[[#This Row],[Site]],'Site Info'!$A$1:$C$11,2, FALSE)</f>
        <v>15</v>
      </c>
      <c r="L1543">
        <f>VLOOKUP(Table2[[#This Row],[Site]],'Site Info'!$A$1:$C$11,3, FALSE)</f>
        <v>12</v>
      </c>
      <c r="M1543" t="str">
        <f>VLOOKUP(Table2[[#This Row],[Species]],'Species Table'!$A$1:$D$68,3, FALSE)</f>
        <v>Perennial</v>
      </c>
      <c r="O1543" s="15">
        <f>IF(SUMPRODUCT(($A$2:$A1543=A1543)*($B$2:$B1543=B1543)*($F$2:$F1543=F1543))&gt;1,0,1)</f>
        <v>1</v>
      </c>
      <c r="P1543" s="15">
        <f>IF(SUMPRODUCT(($A$2:$A1543=A1543)*($B$2:$B1543=B1543)*($D$2:$D1543=D1543))&gt;1,0,1)</f>
        <v>0</v>
      </c>
    </row>
    <row r="1544" spans="1:16" x14ac:dyDescent="0.35">
      <c r="A1544" t="s">
        <v>18</v>
      </c>
      <c r="B1544">
        <v>2017</v>
      </c>
      <c r="C1544" s="1" t="s">
        <v>50</v>
      </c>
      <c r="D1544" s="6">
        <v>3.1</v>
      </c>
      <c r="E1544" s="6">
        <f>INT(Table2[[#This Row],[Transect]])</f>
        <v>3</v>
      </c>
      <c r="F1544" s="1" t="s">
        <v>11</v>
      </c>
      <c r="G1544">
        <v>12</v>
      </c>
      <c r="H1544">
        <f t="shared" si="8"/>
        <v>200</v>
      </c>
      <c r="I1544">
        <v>100</v>
      </c>
      <c r="J1544">
        <f>Table2[[#This Row],[Hits]]/Table2[[#This Row],[Points]]*100</f>
        <v>6</v>
      </c>
      <c r="K1544">
        <f>VLOOKUP(Table2[[#This Row],[Site]],'Site Info'!$A$1:$C$11,2, FALSE)</f>
        <v>15</v>
      </c>
      <c r="L1544">
        <f>VLOOKUP(Table2[[#This Row],[Site]],'Site Info'!$A$1:$C$11,3, FALSE)</f>
        <v>12</v>
      </c>
      <c r="M1544" t="str">
        <f>VLOOKUP(Table2[[#This Row],[Species]],'Species Table'!$A$1:$D$68,3, FALSE)</f>
        <v>Perennial</v>
      </c>
      <c r="O1544" s="15">
        <f>IF(SUMPRODUCT(($A$2:$A1544=A1544)*($B$2:$B1544=B1544)*($F$2:$F1544=F1544))&gt;1,0,1)</f>
        <v>0</v>
      </c>
      <c r="P1544" s="15">
        <f>IF(SUMPRODUCT(($A$2:$A1544=A1544)*($B$2:$B1544=B1544)*($D$2:$D1544=D1544))&gt;1,0,1)</f>
        <v>1</v>
      </c>
    </row>
    <row r="1545" spans="1:16" x14ac:dyDescent="0.35">
      <c r="A1545" t="s">
        <v>18</v>
      </c>
      <c r="B1545">
        <v>2017</v>
      </c>
      <c r="C1545" s="1" t="s">
        <v>51</v>
      </c>
      <c r="D1545" s="6">
        <v>3.2</v>
      </c>
      <c r="E1545" s="6">
        <f>INT(Table2[[#This Row],[Transect]])</f>
        <v>3</v>
      </c>
      <c r="F1545" s="1" t="s">
        <v>11</v>
      </c>
      <c r="G1545">
        <v>24</v>
      </c>
      <c r="H1545">
        <f t="shared" si="8"/>
        <v>200</v>
      </c>
      <c r="I1545">
        <v>100</v>
      </c>
      <c r="J1545">
        <f>Table2[[#This Row],[Hits]]/Table2[[#This Row],[Points]]*100</f>
        <v>12</v>
      </c>
      <c r="K1545">
        <f>VLOOKUP(Table2[[#This Row],[Site]],'Site Info'!$A$1:$C$11,2, FALSE)</f>
        <v>15</v>
      </c>
      <c r="L1545">
        <f>VLOOKUP(Table2[[#This Row],[Site]],'Site Info'!$A$1:$C$11,3, FALSE)</f>
        <v>12</v>
      </c>
      <c r="M1545" t="str">
        <f>VLOOKUP(Table2[[#This Row],[Species]],'Species Table'!$A$1:$D$68,3, FALSE)</f>
        <v>Perennial</v>
      </c>
      <c r="O1545" s="15">
        <f>IF(SUMPRODUCT(($A$2:$A1545=A1545)*($B$2:$B1545=B1545)*($F$2:$F1545=F1545))&gt;1,0,1)</f>
        <v>0</v>
      </c>
      <c r="P1545" s="15">
        <f>IF(SUMPRODUCT(($A$2:$A1545=A1545)*($B$2:$B1545=B1545)*($D$2:$D1545=D1545))&gt;1,0,1)</f>
        <v>1</v>
      </c>
    </row>
    <row r="1546" spans="1:16" x14ac:dyDescent="0.35">
      <c r="A1546" t="s">
        <v>18</v>
      </c>
      <c r="B1546">
        <v>2017</v>
      </c>
      <c r="C1546" s="1" t="s">
        <v>52</v>
      </c>
      <c r="D1546" s="6">
        <v>3.3</v>
      </c>
      <c r="E1546" s="6">
        <f>INT(Table2[[#This Row],[Transect]])</f>
        <v>3</v>
      </c>
      <c r="F1546" s="1" t="s">
        <v>11</v>
      </c>
      <c r="G1546">
        <v>6</v>
      </c>
      <c r="H1546">
        <f t="shared" si="8"/>
        <v>200</v>
      </c>
      <c r="I1546">
        <v>100</v>
      </c>
      <c r="J1546">
        <f>Table2[[#This Row],[Hits]]/Table2[[#This Row],[Points]]*100</f>
        <v>3</v>
      </c>
      <c r="K1546">
        <f>VLOOKUP(Table2[[#This Row],[Site]],'Site Info'!$A$1:$C$11,2, FALSE)</f>
        <v>15</v>
      </c>
      <c r="L1546">
        <f>VLOOKUP(Table2[[#This Row],[Site]],'Site Info'!$A$1:$C$11,3, FALSE)</f>
        <v>12</v>
      </c>
      <c r="M1546" t="str">
        <f>VLOOKUP(Table2[[#This Row],[Species]],'Species Table'!$A$1:$D$68,3, FALSE)</f>
        <v>Perennial</v>
      </c>
      <c r="O1546" s="15">
        <f>IF(SUMPRODUCT(($A$2:$A1546=A1546)*($B$2:$B1546=B1546)*($F$2:$F1546=F1546))&gt;1,0,1)</f>
        <v>0</v>
      </c>
      <c r="P1546" s="15">
        <f>IF(SUMPRODUCT(($A$2:$A1546=A1546)*($B$2:$B1546=B1546)*($D$2:$D1546=D1546))&gt;1,0,1)</f>
        <v>1</v>
      </c>
    </row>
    <row r="1547" spans="1:16" x14ac:dyDescent="0.35">
      <c r="A1547" t="s">
        <v>18</v>
      </c>
      <c r="B1547">
        <v>2017</v>
      </c>
      <c r="C1547" s="1" t="s">
        <v>101</v>
      </c>
      <c r="D1547" s="6">
        <v>3.4</v>
      </c>
      <c r="E1547" s="6">
        <f>INT(Table2[[#This Row],[Transect]])</f>
        <v>3</v>
      </c>
      <c r="F1547" s="1" t="s">
        <v>11</v>
      </c>
      <c r="G1547">
        <v>21</v>
      </c>
      <c r="H1547">
        <f t="shared" si="8"/>
        <v>200</v>
      </c>
      <c r="I1547">
        <v>100</v>
      </c>
      <c r="J1547">
        <f>Table2[[#This Row],[Hits]]/Table2[[#This Row],[Points]]*100</f>
        <v>10.5</v>
      </c>
      <c r="K1547">
        <f>VLOOKUP(Table2[[#This Row],[Site]],'Site Info'!$A$1:$C$11,2, FALSE)</f>
        <v>15</v>
      </c>
      <c r="L1547">
        <f>VLOOKUP(Table2[[#This Row],[Site]],'Site Info'!$A$1:$C$11,3, FALSE)</f>
        <v>12</v>
      </c>
      <c r="M1547" t="str">
        <f>VLOOKUP(Table2[[#This Row],[Species]],'Species Table'!$A$1:$D$68,3, FALSE)</f>
        <v>Perennial</v>
      </c>
      <c r="O1547" s="15">
        <f>IF(SUMPRODUCT(($A$2:$A1547=A1547)*($B$2:$B1547=B1547)*($F$2:$F1547=F1547))&gt;1,0,1)</f>
        <v>0</v>
      </c>
      <c r="P1547" s="15">
        <f>IF(SUMPRODUCT(($A$2:$A1547=A1547)*($B$2:$B1547=B1547)*($D$2:$D1547=D1547))&gt;1,0,1)</f>
        <v>1</v>
      </c>
    </row>
    <row r="1548" spans="1:16" hidden="1" x14ac:dyDescent="0.35">
      <c r="A1548" t="s">
        <v>18</v>
      </c>
      <c r="B1548">
        <v>2017</v>
      </c>
      <c r="C1548" s="1" t="s">
        <v>102</v>
      </c>
      <c r="D1548" s="6">
        <v>3.5</v>
      </c>
      <c r="E1548" s="6">
        <f>INT(Table2[[#This Row],[Transect]])</f>
        <v>3</v>
      </c>
      <c r="F1548" s="1" t="s">
        <v>10</v>
      </c>
      <c r="G1548">
        <v>5</v>
      </c>
      <c r="H1548">
        <f t="shared" si="8"/>
        <v>200</v>
      </c>
      <c r="I1548">
        <v>100</v>
      </c>
      <c r="J1548">
        <f>Table2[[#This Row],[Hits]]/Table2[[#This Row],[Points]]*100</f>
        <v>2.5</v>
      </c>
      <c r="K1548">
        <f>VLOOKUP(Table2[[#This Row],[Site]],'Site Info'!$A$1:$C$11,2, FALSE)</f>
        <v>15</v>
      </c>
      <c r="L1548">
        <f>VLOOKUP(Table2[[#This Row],[Site]],'Site Info'!$A$1:$C$11,3, FALSE)</f>
        <v>12</v>
      </c>
      <c r="M1548" t="str">
        <f>VLOOKUP(Table2[[#This Row],[Species]],'Species Table'!$A$1:$D$68,3, FALSE)</f>
        <v>Annual</v>
      </c>
      <c r="O1548" s="15">
        <f>IF(SUMPRODUCT(($A$2:$A1548=A1548)*($B$2:$B1548=B1548)*($F$2:$F1548=F1548))&gt;1,0,1)</f>
        <v>0</v>
      </c>
      <c r="P1548" s="15">
        <f>IF(SUMPRODUCT(($A$2:$A1548=A1548)*($B$2:$B1548=B1548)*($D$2:$D1548=D1548))&gt;1,0,1)</f>
        <v>1</v>
      </c>
    </row>
    <row r="1549" spans="1:16" x14ac:dyDescent="0.35">
      <c r="A1549" t="s">
        <v>18</v>
      </c>
      <c r="B1549">
        <v>2017</v>
      </c>
      <c r="C1549" s="1" t="s">
        <v>102</v>
      </c>
      <c r="D1549" s="6">
        <v>3.5</v>
      </c>
      <c r="E1549" s="6">
        <f>INT(Table2[[#This Row],[Transect]])</f>
        <v>3</v>
      </c>
      <c r="F1549" s="1" t="s">
        <v>11</v>
      </c>
      <c r="G1549">
        <v>2</v>
      </c>
      <c r="H1549">
        <f t="shared" si="8"/>
        <v>200</v>
      </c>
      <c r="I1549">
        <v>100</v>
      </c>
      <c r="J1549">
        <f>Table2[[#This Row],[Hits]]/Table2[[#This Row],[Points]]*100</f>
        <v>1</v>
      </c>
      <c r="K1549">
        <f>VLOOKUP(Table2[[#This Row],[Site]],'Site Info'!$A$1:$C$11,2, FALSE)</f>
        <v>15</v>
      </c>
      <c r="L1549">
        <f>VLOOKUP(Table2[[#This Row],[Site]],'Site Info'!$A$1:$C$11,3, FALSE)</f>
        <v>12</v>
      </c>
      <c r="M1549" t="str">
        <f>VLOOKUP(Table2[[#This Row],[Species]],'Species Table'!$A$1:$D$68,3, FALSE)</f>
        <v>Perennial</v>
      </c>
      <c r="O1549" s="15">
        <f>IF(SUMPRODUCT(($A$2:$A1549=A1549)*($B$2:$B1549=B1549)*($F$2:$F1549=F1549))&gt;1,0,1)</f>
        <v>0</v>
      </c>
      <c r="P1549" s="15">
        <f>IF(SUMPRODUCT(($A$2:$A1549=A1549)*($B$2:$B1549=B1549)*($D$2:$D1549=D1549))&gt;1,0,1)</f>
        <v>0</v>
      </c>
    </row>
    <row r="1550" spans="1:16" hidden="1" x14ac:dyDescent="0.35">
      <c r="A1550" t="s">
        <v>18</v>
      </c>
      <c r="B1550">
        <v>2017</v>
      </c>
      <c r="C1550" s="1" t="s">
        <v>53</v>
      </c>
      <c r="D1550" s="6">
        <v>3.6</v>
      </c>
      <c r="E1550" s="6">
        <f>INT(Table2[[#This Row],[Transect]])</f>
        <v>3</v>
      </c>
      <c r="F1550" s="1" t="s">
        <v>10</v>
      </c>
      <c r="G1550">
        <v>2</v>
      </c>
      <c r="H1550">
        <f t="shared" si="8"/>
        <v>200</v>
      </c>
      <c r="I1550">
        <v>100</v>
      </c>
      <c r="J1550">
        <f>Table2[[#This Row],[Hits]]/Table2[[#This Row],[Points]]*100</f>
        <v>1</v>
      </c>
      <c r="K1550">
        <f>VLOOKUP(Table2[[#This Row],[Site]],'Site Info'!$A$1:$C$11,2, FALSE)</f>
        <v>15</v>
      </c>
      <c r="L1550">
        <f>VLOOKUP(Table2[[#This Row],[Site]],'Site Info'!$A$1:$C$11,3, FALSE)</f>
        <v>12</v>
      </c>
      <c r="M1550" t="str">
        <f>VLOOKUP(Table2[[#This Row],[Species]],'Species Table'!$A$1:$D$68,3, FALSE)</f>
        <v>Annual</v>
      </c>
      <c r="O1550" s="15">
        <f>IF(SUMPRODUCT(($A$2:$A1550=A1550)*($B$2:$B1550=B1550)*($F$2:$F1550=F1550))&gt;1,0,1)</f>
        <v>0</v>
      </c>
      <c r="P1550" s="15">
        <f>IF(SUMPRODUCT(($A$2:$A1550=A1550)*($B$2:$B1550=B1550)*($D$2:$D1550=D1550))&gt;1,0,1)</f>
        <v>1</v>
      </c>
    </row>
    <row r="1551" spans="1:16" x14ac:dyDescent="0.35">
      <c r="A1551" t="s">
        <v>18</v>
      </c>
      <c r="B1551">
        <v>2017</v>
      </c>
      <c r="C1551" s="1" t="s">
        <v>53</v>
      </c>
      <c r="D1551" s="6">
        <v>3.6</v>
      </c>
      <c r="E1551" s="6">
        <f>INT(Table2[[#This Row],[Transect]])</f>
        <v>3</v>
      </c>
      <c r="F1551" s="1" t="s">
        <v>11</v>
      </c>
      <c r="G1551">
        <v>2</v>
      </c>
      <c r="H1551">
        <f t="shared" ref="H1551:H1614" si="9">I1551*2</f>
        <v>200</v>
      </c>
      <c r="I1551">
        <v>100</v>
      </c>
      <c r="J1551">
        <f>Table2[[#This Row],[Hits]]/Table2[[#This Row],[Points]]*100</f>
        <v>1</v>
      </c>
      <c r="K1551">
        <f>VLOOKUP(Table2[[#This Row],[Site]],'Site Info'!$A$1:$C$11,2, FALSE)</f>
        <v>15</v>
      </c>
      <c r="L1551">
        <f>VLOOKUP(Table2[[#This Row],[Site]],'Site Info'!$A$1:$C$11,3, FALSE)</f>
        <v>12</v>
      </c>
      <c r="M1551" t="str">
        <f>VLOOKUP(Table2[[#This Row],[Species]],'Species Table'!$A$1:$D$68,3, FALSE)</f>
        <v>Perennial</v>
      </c>
      <c r="O1551" s="15">
        <f>IF(SUMPRODUCT(($A$2:$A1551=A1551)*($B$2:$B1551=B1551)*($F$2:$F1551=F1551))&gt;1,0,1)</f>
        <v>0</v>
      </c>
      <c r="P1551" s="15">
        <f>IF(SUMPRODUCT(($A$2:$A1551=A1551)*($B$2:$B1551=B1551)*($D$2:$D1551=D1551))&gt;1,0,1)</f>
        <v>0</v>
      </c>
    </row>
    <row r="1552" spans="1:16" x14ac:dyDescent="0.35">
      <c r="A1552" t="s">
        <v>18</v>
      </c>
      <c r="B1552">
        <v>2017</v>
      </c>
      <c r="C1552" s="1" t="s">
        <v>54</v>
      </c>
      <c r="D1552" s="6">
        <v>3.7</v>
      </c>
      <c r="E1552" s="6">
        <f>INT(Table2[[#This Row],[Transect]])</f>
        <v>3</v>
      </c>
      <c r="F1552" s="1" t="s">
        <v>11</v>
      </c>
      <c r="G1552">
        <v>31</v>
      </c>
      <c r="H1552">
        <f t="shared" si="9"/>
        <v>200</v>
      </c>
      <c r="I1552">
        <v>100</v>
      </c>
      <c r="J1552">
        <f>Table2[[#This Row],[Hits]]/Table2[[#This Row],[Points]]*100</f>
        <v>15.5</v>
      </c>
      <c r="K1552">
        <f>VLOOKUP(Table2[[#This Row],[Site]],'Site Info'!$A$1:$C$11,2, FALSE)</f>
        <v>15</v>
      </c>
      <c r="L1552">
        <f>VLOOKUP(Table2[[#This Row],[Site]],'Site Info'!$A$1:$C$11,3, FALSE)</f>
        <v>12</v>
      </c>
      <c r="M1552" t="str">
        <f>VLOOKUP(Table2[[#This Row],[Species]],'Species Table'!$A$1:$D$68,3, FALSE)</f>
        <v>Perennial</v>
      </c>
      <c r="O1552" s="15">
        <f>IF(SUMPRODUCT(($A$2:$A1552=A1552)*($B$2:$B1552=B1552)*($F$2:$F1552=F1552))&gt;1,0,1)</f>
        <v>0</v>
      </c>
      <c r="P1552" s="15">
        <f>IF(SUMPRODUCT(($A$2:$A1552=A1552)*($B$2:$B1552=B1552)*($D$2:$D1552=D1552))&gt;1,0,1)</f>
        <v>1</v>
      </c>
    </row>
    <row r="1553" spans="1:16" hidden="1" x14ac:dyDescent="0.35">
      <c r="A1553" t="s">
        <v>18</v>
      </c>
      <c r="B1553">
        <v>2017</v>
      </c>
      <c r="C1553" s="1" t="s">
        <v>54</v>
      </c>
      <c r="D1553" s="6">
        <v>3.7</v>
      </c>
      <c r="E1553" s="6">
        <f>INT(Table2[[#This Row],[Transect]])</f>
        <v>3</v>
      </c>
      <c r="F1553" s="1" t="s">
        <v>10</v>
      </c>
      <c r="G1553">
        <v>7</v>
      </c>
      <c r="H1553">
        <f t="shared" si="9"/>
        <v>200</v>
      </c>
      <c r="I1553">
        <v>100</v>
      </c>
      <c r="J1553">
        <f>Table2[[#This Row],[Hits]]/Table2[[#This Row],[Points]]*100</f>
        <v>3.5000000000000004</v>
      </c>
      <c r="K1553">
        <f>VLOOKUP(Table2[[#This Row],[Site]],'Site Info'!$A$1:$C$11,2, FALSE)</f>
        <v>15</v>
      </c>
      <c r="L1553">
        <f>VLOOKUP(Table2[[#This Row],[Site]],'Site Info'!$A$1:$C$11,3, FALSE)</f>
        <v>12</v>
      </c>
      <c r="M1553" t="str">
        <f>VLOOKUP(Table2[[#This Row],[Species]],'Species Table'!$A$1:$D$68,3, FALSE)</f>
        <v>Annual</v>
      </c>
      <c r="O1553" s="15">
        <f>IF(SUMPRODUCT(($A$2:$A1553=A1553)*($B$2:$B1553=B1553)*($F$2:$F1553=F1553))&gt;1,0,1)</f>
        <v>0</v>
      </c>
      <c r="P1553" s="15">
        <f>IF(SUMPRODUCT(($A$2:$A1553=A1553)*($B$2:$B1553=B1553)*($D$2:$D1553=D1553))&gt;1,0,1)</f>
        <v>0</v>
      </c>
    </row>
    <row r="1554" spans="1:16" x14ac:dyDescent="0.35">
      <c r="A1554" t="s">
        <v>18</v>
      </c>
      <c r="B1554">
        <v>2017</v>
      </c>
      <c r="C1554" s="1" t="s">
        <v>54</v>
      </c>
      <c r="D1554" s="6">
        <v>3.7</v>
      </c>
      <c r="E1554" s="6">
        <f>INT(Table2[[#This Row],[Transect]])</f>
        <v>3</v>
      </c>
      <c r="F1554" s="1" t="s">
        <v>31</v>
      </c>
      <c r="G1554">
        <v>3</v>
      </c>
      <c r="H1554">
        <f t="shared" si="9"/>
        <v>200</v>
      </c>
      <c r="I1554">
        <v>100</v>
      </c>
      <c r="J1554">
        <f>Table2[[#This Row],[Hits]]/Table2[[#This Row],[Points]]*100</f>
        <v>1.5</v>
      </c>
      <c r="K1554">
        <f>VLOOKUP(Table2[[#This Row],[Site]],'Site Info'!$A$1:$C$11,2, FALSE)</f>
        <v>15</v>
      </c>
      <c r="L1554">
        <f>VLOOKUP(Table2[[#This Row],[Site]],'Site Info'!$A$1:$C$11,3, FALSE)</f>
        <v>12</v>
      </c>
      <c r="M1554" t="str">
        <f>VLOOKUP(Table2[[#This Row],[Species]],'Species Table'!$A$1:$D$68,3, FALSE)</f>
        <v>Perennial</v>
      </c>
      <c r="O1554" s="15">
        <f>IF(SUMPRODUCT(($A$2:$A1554=A1554)*($B$2:$B1554=B1554)*($F$2:$F1554=F1554))&gt;1,0,1)</f>
        <v>1</v>
      </c>
      <c r="P1554" s="15">
        <f>IF(SUMPRODUCT(($A$2:$A1554=A1554)*($B$2:$B1554=B1554)*($D$2:$D1554=D1554))&gt;1,0,1)</f>
        <v>0</v>
      </c>
    </row>
    <row r="1555" spans="1:16" x14ac:dyDescent="0.35">
      <c r="A1555" t="s">
        <v>18</v>
      </c>
      <c r="B1555">
        <v>2017</v>
      </c>
      <c r="C1555" s="1" t="s">
        <v>55</v>
      </c>
      <c r="D1555" s="6">
        <v>4.0999999999999996</v>
      </c>
      <c r="E1555" s="6">
        <f>INT(Table2[[#This Row],[Transect]])</f>
        <v>4</v>
      </c>
      <c r="F1555" s="1" t="s">
        <v>11</v>
      </c>
      <c r="G1555">
        <v>35</v>
      </c>
      <c r="H1555">
        <f t="shared" si="9"/>
        <v>200</v>
      </c>
      <c r="I1555">
        <v>100</v>
      </c>
      <c r="J1555">
        <f>Table2[[#This Row],[Hits]]/Table2[[#This Row],[Points]]*100</f>
        <v>17.5</v>
      </c>
      <c r="K1555">
        <f>VLOOKUP(Table2[[#This Row],[Site]],'Site Info'!$A$1:$C$11,2, FALSE)</f>
        <v>15</v>
      </c>
      <c r="L1555">
        <f>VLOOKUP(Table2[[#This Row],[Site]],'Site Info'!$A$1:$C$11,3, FALSE)</f>
        <v>12</v>
      </c>
      <c r="M1555" t="str">
        <f>VLOOKUP(Table2[[#This Row],[Species]],'Species Table'!$A$1:$D$68,3, FALSE)</f>
        <v>Perennial</v>
      </c>
      <c r="O1555" s="15">
        <f>IF(SUMPRODUCT(($A$2:$A1555=A1555)*($B$2:$B1555=B1555)*($F$2:$F1555=F1555))&gt;1,0,1)</f>
        <v>0</v>
      </c>
      <c r="P1555" s="15">
        <f>IF(SUMPRODUCT(($A$2:$A1555=A1555)*($B$2:$B1555=B1555)*($D$2:$D1555=D1555))&gt;1,0,1)</f>
        <v>1</v>
      </c>
    </row>
    <row r="1556" spans="1:16" x14ac:dyDescent="0.35">
      <c r="A1556" t="s">
        <v>18</v>
      </c>
      <c r="B1556">
        <v>2017</v>
      </c>
      <c r="C1556" s="1" t="s">
        <v>56</v>
      </c>
      <c r="D1556" s="6">
        <v>4.2</v>
      </c>
      <c r="E1556" s="6">
        <f>INT(Table2[[#This Row],[Transect]])</f>
        <v>4</v>
      </c>
      <c r="F1556" s="1" t="s">
        <v>11</v>
      </c>
      <c r="G1556">
        <v>15</v>
      </c>
      <c r="H1556">
        <f t="shared" si="9"/>
        <v>200</v>
      </c>
      <c r="I1556">
        <v>100</v>
      </c>
      <c r="J1556">
        <f>Table2[[#This Row],[Hits]]/Table2[[#This Row],[Points]]*100</f>
        <v>7.5</v>
      </c>
      <c r="K1556">
        <f>VLOOKUP(Table2[[#This Row],[Site]],'Site Info'!$A$1:$C$11,2, FALSE)</f>
        <v>15</v>
      </c>
      <c r="L1556">
        <f>VLOOKUP(Table2[[#This Row],[Site]],'Site Info'!$A$1:$C$11,3, FALSE)</f>
        <v>12</v>
      </c>
      <c r="M1556" t="str">
        <f>VLOOKUP(Table2[[#This Row],[Species]],'Species Table'!$A$1:$D$68,3, FALSE)</f>
        <v>Perennial</v>
      </c>
      <c r="O1556" s="15">
        <f>IF(SUMPRODUCT(($A$2:$A1556=A1556)*($B$2:$B1556=B1556)*($F$2:$F1556=F1556))&gt;1,0,1)</f>
        <v>0</v>
      </c>
      <c r="P1556" s="15">
        <f>IF(SUMPRODUCT(($A$2:$A1556=A1556)*($B$2:$B1556=B1556)*($D$2:$D1556=D1556))&gt;1,0,1)</f>
        <v>1</v>
      </c>
    </row>
    <row r="1557" spans="1:16" x14ac:dyDescent="0.35">
      <c r="A1557" t="s">
        <v>18</v>
      </c>
      <c r="B1557">
        <v>2017</v>
      </c>
      <c r="C1557" s="1" t="s">
        <v>57</v>
      </c>
      <c r="D1557" s="6">
        <v>4.3</v>
      </c>
      <c r="E1557" s="6">
        <f>INT(Table2[[#This Row],[Transect]])</f>
        <v>4</v>
      </c>
      <c r="F1557" s="1" t="s">
        <v>11</v>
      </c>
      <c r="G1557">
        <v>27</v>
      </c>
      <c r="H1557">
        <f t="shared" si="9"/>
        <v>200</v>
      </c>
      <c r="I1557">
        <v>100</v>
      </c>
      <c r="J1557">
        <f>Table2[[#This Row],[Hits]]/Table2[[#This Row],[Points]]*100</f>
        <v>13.5</v>
      </c>
      <c r="K1557">
        <f>VLOOKUP(Table2[[#This Row],[Site]],'Site Info'!$A$1:$C$11,2, FALSE)</f>
        <v>15</v>
      </c>
      <c r="L1557">
        <f>VLOOKUP(Table2[[#This Row],[Site]],'Site Info'!$A$1:$C$11,3, FALSE)</f>
        <v>12</v>
      </c>
      <c r="M1557" t="str">
        <f>VLOOKUP(Table2[[#This Row],[Species]],'Species Table'!$A$1:$D$68,3, FALSE)</f>
        <v>Perennial</v>
      </c>
      <c r="O1557" s="15">
        <f>IF(SUMPRODUCT(($A$2:$A1557=A1557)*($B$2:$B1557=B1557)*($F$2:$F1557=F1557))&gt;1,0,1)</f>
        <v>0</v>
      </c>
      <c r="P1557" s="15">
        <f>IF(SUMPRODUCT(($A$2:$A1557=A1557)*($B$2:$B1557=B1557)*($D$2:$D1557=D1557))&gt;1,0,1)</f>
        <v>1</v>
      </c>
    </row>
    <row r="1558" spans="1:16" x14ac:dyDescent="0.35">
      <c r="A1558" t="s">
        <v>18</v>
      </c>
      <c r="B1558">
        <v>2017</v>
      </c>
      <c r="C1558" s="1" t="s">
        <v>58</v>
      </c>
      <c r="D1558" s="6">
        <v>4.4000000000000004</v>
      </c>
      <c r="E1558" s="6">
        <f>INT(Table2[[#This Row],[Transect]])</f>
        <v>4</v>
      </c>
      <c r="F1558" s="1" t="s">
        <v>11</v>
      </c>
      <c r="G1558">
        <v>15</v>
      </c>
      <c r="H1558">
        <f t="shared" si="9"/>
        <v>200</v>
      </c>
      <c r="I1558">
        <v>100</v>
      </c>
      <c r="J1558">
        <f>Table2[[#This Row],[Hits]]/Table2[[#This Row],[Points]]*100</f>
        <v>7.5</v>
      </c>
      <c r="K1558">
        <f>VLOOKUP(Table2[[#This Row],[Site]],'Site Info'!$A$1:$C$11,2, FALSE)</f>
        <v>15</v>
      </c>
      <c r="L1558">
        <f>VLOOKUP(Table2[[#This Row],[Site]],'Site Info'!$A$1:$C$11,3, FALSE)</f>
        <v>12</v>
      </c>
      <c r="M1558" t="str">
        <f>VLOOKUP(Table2[[#This Row],[Species]],'Species Table'!$A$1:$D$68,3, FALSE)</f>
        <v>Perennial</v>
      </c>
      <c r="O1558" s="15">
        <f>IF(SUMPRODUCT(($A$2:$A1558=A1558)*($B$2:$B1558=B1558)*($F$2:$F1558=F1558))&gt;1,0,1)</f>
        <v>0</v>
      </c>
      <c r="P1558" s="15">
        <f>IF(SUMPRODUCT(($A$2:$A1558=A1558)*($B$2:$B1558=B1558)*($D$2:$D1558=D1558))&gt;1,0,1)</f>
        <v>1</v>
      </c>
    </row>
    <row r="1559" spans="1:16" x14ac:dyDescent="0.35">
      <c r="A1559" t="s">
        <v>18</v>
      </c>
      <c r="B1559">
        <v>2017</v>
      </c>
      <c r="C1559" s="1" t="s">
        <v>59</v>
      </c>
      <c r="D1559" s="6">
        <v>4.5</v>
      </c>
      <c r="E1559" s="6">
        <f>INT(Table2[[#This Row],[Transect]])</f>
        <v>4</v>
      </c>
      <c r="F1559" s="1" t="s">
        <v>11</v>
      </c>
      <c r="G1559">
        <v>30</v>
      </c>
      <c r="H1559">
        <f t="shared" si="9"/>
        <v>200</v>
      </c>
      <c r="I1559">
        <v>100</v>
      </c>
      <c r="J1559">
        <f>Table2[[#This Row],[Hits]]/Table2[[#This Row],[Points]]*100</f>
        <v>15</v>
      </c>
      <c r="K1559">
        <f>VLOOKUP(Table2[[#This Row],[Site]],'Site Info'!$A$1:$C$11,2, FALSE)</f>
        <v>15</v>
      </c>
      <c r="L1559">
        <f>VLOOKUP(Table2[[#This Row],[Site]],'Site Info'!$A$1:$C$11,3, FALSE)</f>
        <v>12</v>
      </c>
      <c r="M1559" t="str">
        <f>VLOOKUP(Table2[[#This Row],[Species]],'Species Table'!$A$1:$D$68,3, FALSE)</f>
        <v>Perennial</v>
      </c>
      <c r="O1559" s="15">
        <f>IF(SUMPRODUCT(($A$2:$A1559=A1559)*($B$2:$B1559=B1559)*($F$2:$F1559=F1559))&gt;1,0,1)</f>
        <v>0</v>
      </c>
      <c r="P1559" s="15">
        <f>IF(SUMPRODUCT(($A$2:$A1559=A1559)*($B$2:$B1559=B1559)*($D$2:$D1559=D1559))&gt;1,0,1)</f>
        <v>1</v>
      </c>
    </row>
    <row r="1560" spans="1:16" hidden="1" x14ac:dyDescent="0.35">
      <c r="A1560" t="s">
        <v>18</v>
      </c>
      <c r="B1560">
        <v>2017</v>
      </c>
      <c r="C1560" s="1" t="s">
        <v>59</v>
      </c>
      <c r="D1560" s="6">
        <v>4.5</v>
      </c>
      <c r="E1560" s="6">
        <f>INT(Table2[[#This Row],[Transect]])</f>
        <v>4</v>
      </c>
      <c r="F1560" s="1" t="s">
        <v>10</v>
      </c>
      <c r="G1560">
        <v>1</v>
      </c>
      <c r="H1560">
        <f t="shared" si="9"/>
        <v>200</v>
      </c>
      <c r="I1560">
        <v>100</v>
      </c>
      <c r="J1560">
        <f>Table2[[#This Row],[Hits]]/Table2[[#This Row],[Points]]*100</f>
        <v>0.5</v>
      </c>
      <c r="K1560">
        <f>VLOOKUP(Table2[[#This Row],[Site]],'Site Info'!$A$1:$C$11,2, FALSE)</f>
        <v>15</v>
      </c>
      <c r="L1560">
        <f>VLOOKUP(Table2[[#This Row],[Site]],'Site Info'!$A$1:$C$11,3, FALSE)</f>
        <v>12</v>
      </c>
      <c r="M1560" t="str">
        <f>VLOOKUP(Table2[[#This Row],[Species]],'Species Table'!$A$1:$D$68,3, FALSE)</f>
        <v>Annual</v>
      </c>
      <c r="O1560" s="15">
        <f>IF(SUMPRODUCT(($A$2:$A1560=A1560)*($B$2:$B1560=B1560)*($F$2:$F1560=F1560))&gt;1,0,1)</f>
        <v>0</v>
      </c>
      <c r="P1560" s="15">
        <f>IF(SUMPRODUCT(($A$2:$A1560=A1560)*($B$2:$B1560=B1560)*($D$2:$D1560=D1560))&gt;1,0,1)</f>
        <v>0</v>
      </c>
    </row>
    <row r="1561" spans="1:16" x14ac:dyDescent="0.35">
      <c r="A1561" t="s">
        <v>18</v>
      </c>
      <c r="B1561">
        <v>2017</v>
      </c>
      <c r="C1561" s="1" t="s">
        <v>60</v>
      </c>
      <c r="D1561" s="6">
        <v>4.5999999999999996</v>
      </c>
      <c r="E1561" s="6">
        <f>INT(Table2[[#This Row],[Transect]])</f>
        <v>4</v>
      </c>
      <c r="F1561" s="1" t="s">
        <v>11</v>
      </c>
      <c r="G1561">
        <v>6</v>
      </c>
      <c r="H1561">
        <f t="shared" si="9"/>
        <v>200</v>
      </c>
      <c r="I1561">
        <v>100</v>
      </c>
      <c r="J1561">
        <f>Table2[[#This Row],[Hits]]/Table2[[#This Row],[Points]]*100</f>
        <v>3</v>
      </c>
      <c r="K1561">
        <f>VLOOKUP(Table2[[#This Row],[Site]],'Site Info'!$A$1:$C$11,2, FALSE)</f>
        <v>15</v>
      </c>
      <c r="L1561">
        <f>VLOOKUP(Table2[[#This Row],[Site]],'Site Info'!$A$1:$C$11,3, FALSE)</f>
        <v>12</v>
      </c>
      <c r="M1561" t="str">
        <f>VLOOKUP(Table2[[#This Row],[Species]],'Species Table'!$A$1:$D$68,3, FALSE)</f>
        <v>Perennial</v>
      </c>
      <c r="O1561" s="15">
        <f>IF(SUMPRODUCT(($A$2:$A1561=A1561)*($B$2:$B1561=B1561)*($F$2:$F1561=F1561))&gt;1,0,1)</f>
        <v>0</v>
      </c>
      <c r="P1561" s="15">
        <f>IF(SUMPRODUCT(($A$2:$A1561=A1561)*($B$2:$B1561=B1561)*($D$2:$D1561=D1561))&gt;1,0,1)</f>
        <v>1</v>
      </c>
    </row>
    <row r="1562" spans="1:16" hidden="1" x14ac:dyDescent="0.35">
      <c r="A1562" t="s">
        <v>18</v>
      </c>
      <c r="B1562">
        <v>2017</v>
      </c>
      <c r="C1562" s="1" t="s">
        <v>60</v>
      </c>
      <c r="D1562" s="6">
        <v>4.5999999999999996</v>
      </c>
      <c r="E1562" s="6">
        <f>INT(Table2[[#This Row],[Transect]])</f>
        <v>4</v>
      </c>
      <c r="F1562" s="1" t="s">
        <v>10</v>
      </c>
      <c r="G1562">
        <v>2</v>
      </c>
      <c r="H1562">
        <f t="shared" si="9"/>
        <v>200</v>
      </c>
      <c r="I1562">
        <v>100</v>
      </c>
      <c r="J1562">
        <f>Table2[[#This Row],[Hits]]/Table2[[#This Row],[Points]]*100</f>
        <v>1</v>
      </c>
      <c r="K1562">
        <f>VLOOKUP(Table2[[#This Row],[Site]],'Site Info'!$A$1:$C$11,2, FALSE)</f>
        <v>15</v>
      </c>
      <c r="L1562">
        <f>VLOOKUP(Table2[[#This Row],[Site]],'Site Info'!$A$1:$C$11,3, FALSE)</f>
        <v>12</v>
      </c>
      <c r="M1562" t="str">
        <f>VLOOKUP(Table2[[#This Row],[Species]],'Species Table'!$A$1:$D$68,3, FALSE)</f>
        <v>Annual</v>
      </c>
      <c r="O1562" s="15">
        <f>IF(SUMPRODUCT(($A$2:$A1562=A1562)*($B$2:$B1562=B1562)*($F$2:$F1562=F1562))&gt;1,0,1)</f>
        <v>0</v>
      </c>
      <c r="P1562" s="15">
        <f>IF(SUMPRODUCT(($A$2:$A1562=A1562)*($B$2:$B1562=B1562)*($D$2:$D1562=D1562))&gt;1,0,1)</f>
        <v>0</v>
      </c>
    </row>
    <row r="1563" spans="1:16" hidden="1" x14ac:dyDescent="0.35">
      <c r="A1563" t="s">
        <v>18</v>
      </c>
      <c r="B1563">
        <v>2017</v>
      </c>
      <c r="C1563" s="1" t="s">
        <v>61</v>
      </c>
      <c r="D1563" s="6">
        <v>4.7</v>
      </c>
      <c r="E1563" s="6">
        <f>INT(Table2[[#This Row],[Transect]])</f>
        <v>4</v>
      </c>
      <c r="F1563" s="1" t="s">
        <v>10</v>
      </c>
      <c r="G1563">
        <v>5</v>
      </c>
      <c r="H1563">
        <f t="shared" si="9"/>
        <v>189</v>
      </c>
      <c r="I1563">
        <v>94.5</v>
      </c>
      <c r="J1563">
        <f>Table2[[#This Row],[Hits]]/Table2[[#This Row],[Points]]*100</f>
        <v>2.6455026455026456</v>
      </c>
      <c r="K1563">
        <f>VLOOKUP(Table2[[#This Row],[Site]],'Site Info'!$A$1:$C$11,2, FALSE)</f>
        <v>15</v>
      </c>
      <c r="L1563">
        <f>VLOOKUP(Table2[[#This Row],[Site]],'Site Info'!$A$1:$C$11,3, FALSE)</f>
        <v>12</v>
      </c>
      <c r="M1563" t="str">
        <f>VLOOKUP(Table2[[#This Row],[Species]],'Species Table'!$A$1:$D$68,3, FALSE)</f>
        <v>Annual</v>
      </c>
      <c r="O1563" s="15">
        <f>IF(SUMPRODUCT(($A$2:$A1563=A1563)*($B$2:$B1563=B1563)*($F$2:$F1563=F1563))&gt;1,0,1)</f>
        <v>0</v>
      </c>
      <c r="P1563" s="15">
        <f>IF(SUMPRODUCT(($A$2:$A1563=A1563)*($B$2:$B1563=B1563)*($D$2:$D1563=D1563))&gt;1,0,1)</f>
        <v>1</v>
      </c>
    </row>
    <row r="1564" spans="1:16" x14ac:dyDescent="0.35">
      <c r="A1564" t="s">
        <v>18</v>
      </c>
      <c r="B1564">
        <v>2017</v>
      </c>
      <c r="C1564" s="1" t="s">
        <v>61</v>
      </c>
      <c r="D1564" s="6">
        <v>4.7</v>
      </c>
      <c r="E1564" s="6">
        <f>INT(Table2[[#This Row],[Transect]])</f>
        <v>4</v>
      </c>
      <c r="F1564" s="1" t="s">
        <v>11</v>
      </c>
      <c r="G1564">
        <v>13</v>
      </c>
      <c r="H1564">
        <f t="shared" si="9"/>
        <v>189</v>
      </c>
      <c r="I1564">
        <v>94.5</v>
      </c>
      <c r="J1564">
        <f>Table2[[#This Row],[Hits]]/Table2[[#This Row],[Points]]*100</f>
        <v>6.8783068783068781</v>
      </c>
      <c r="K1564">
        <f>VLOOKUP(Table2[[#This Row],[Site]],'Site Info'!$A$1:$C$11,2, FALSE)</f>
        <v>15</v>
      </c>
      <c r="L1564">
        <f>VLOOKUP(Table2[[#This Row],[Site]],'Site Info'!$A$1:$C$11,3, FALSE)</f>
        <v>12</v>
      </c>
      <c r="M1564" t="str">
        <f>VLOOKUP(Table2[[#This Row],[Species]],'Species Table'!$A$1:$D$68,3, FALSE)</f>
        <v>Perennial</v>
      </c>
      <c r="O1564" s="15">
        <f>IF(SUMPRODUCT(($A$2:$A1564=A1564)*($B$2:$B1564=B1564)*($F$2:$F1564=F1564))&gt;1,0,1)</f>
        <v>0</v>
      </c>
      <c r="P1564" s="15">
        <f>IF(SUMPRODUCT(($A$2:$A1564=A1564)*($B$2:$B1564=B1564)*($D$2:$D1564=D1564))&gt;1,0,1)</f>
        <v>0</v>
      </c>
    </row>
    <row r="1565" spans="1:16" x14ac:dyDescent="0.35">
      <c r="A1565" t="s">
        <v>18</v>
      </c>
      <c r="B1565">
        <v>2017</v>
      </c>
      <c r="C1565" s="1" t="s">
        <v>61</v>
      </c>
      <c r="D1565" s="6">
        <v>4.7</v>
      </c>
      <c r="E1565" s="6">
        <f>INT(Table2[[#This Row],[Transect]])</f>
        <v>4</v>
      </c>
      <c r="F1565" s="1" t="s">
        <v>12</v>
      </c>
      <c r="G1565">
        <v>12</v>
      </c>
      <c r="H1565">
        <f t="shared" si="9"/>
        <v>189</v>
      </c>
      <c r="I1565">
        <v>94.5</v>
      </c>
      <c r="J1565">
        <f>Table2[[#This Row],[Hits]]/Table2[[#This Row],[Points]]*100</f>
        <v>6.3492063492063489</v>
      </c>
      <c r="K1565">
        <f>VLOOKUP(Table2[[#This Row],[Site]],'Site Info'!$A$1:$C$11,2, FALSE)</f>
        <v>15</v>
      </c>
      <c r="L1565">
        <f>VLOOKUP(Table2[[#This Row],[Site]],'Site Info'!$A$1:$C$11,3, FALSE)</f>
        <v>12</v>
      </c>
      <c r="M1565" t="str">
        <f>VLOOKUP(Table2[[#This Row],[Species]],'Species Table'!$A$1:$D$68,3, FALSE)</f>
        <v>Perennial</v>
      </c>
      <c r="O1565" s="15">
        <f>IF(SUMPRODUCT(($A$2:$A1565=A1565)*($B$2:$B1565=B1565)*($F$2:$F1565=F1565))&gt;1,0,1)</f>
        <v>1</v>
      </c>
      <c r="P1565" s="15">
        <f>IF(SUMPRODUCT(($A$2:$A1565=A1565)*($B$2:$B1565=B1565)*($D$2:$D1565=D1565))&gt;1,0,1)</f>
        <v>0</v>
      </c>
    </row>
    <row r="1566" spans="1:16" x14ac:dyDescent="0.35">
      <c r="A1566" t="s">
        <v>18</v>
      </c>
      <c r="B1566">
        <v>2017</v>
      </c>
      <c r="C1566" s="1" t="s">
        <v>62</v>
      </c>
      <c r="D1566" s="6">
        <v>5.0999999999999996</v>
      </c>
      <c r="E1566" s="6">
        <f>INT(Table2[[#This Row],[Transect]])</f>
        <v>5</v>
      </c>
      <c r="F1566" s="1" t="s">
        <v>11</v>
      </c>
      <c r="G1566">
        <v>6</v>
      </c>
      <c r="H1566">
        <f t="shared" si="9"/>
        <v>200</v>
      </c>
      <c r="I1566">
        <v>100</v>
      </c>
      <c r="J1566">
        <f>Table2[[#This Row],[Hits]]/Table2[[#This Row],[Points]]*100</f>
        <v>3</v>
      </c>
      <c r="K1566">
        <f>VLOOKUP(Table2[[#This Row],[Site]],'Site Info'!$A$1:$C$11,2, FALSE)</f>
        <v>15</v>
      </c>
      <c r="L1566">
        <f>VLOOKUP(Table2[[#This Row],[Site]],'Site Info'!$A$1:$C$11,3, FALSE)</f>
        <v>12</v>
      </c>
      <c r="M1566" t="str">
        <f>VLOOKUP(Table2[[#This Row],[Species]],'Species Table'!$A$1:$D$68,3, FALSE)</f>
        <v>Perennial</v>
      </c>
      <c r="O1566" s="15">
        <f>IF(SUMPRODUCT(($A$2:$A1566=A1566)*($B$2:$B1566=B1566)*($F$2:$F1566=F1566))&gt;1,0,1)</f>
        <v>0</v>
      </c>
      <c r="P1566" s="15">
        <f>IF(SUMPRODUCT(($A$2:$A1566=A1566)*($B$2:$B1566=B1566)*($D$2:$D1566=D1566))&gt;1,0,1)</f>
        <v>1</v>
      </c>
    </row>
    <row r="1567" spans="1:16" x14ac:dyDescent="0.35">
      <c r="A1567" t="s">
        <v>18</v>
      </c>
      <c r="B1567">
        <v>2017</v>
      </c>
      <c r="C1567" s="1" t="s">
        <v>62</v>
      </c>
      <c r="D1567" s="6">
        <v>5.0999999999999996</v>
      </c>
      <c r="E1567" s="6">
        <f>INT(Table2[[#This Row],[Transect]])</f>
        <v>5</v>
      </c>
      <c r="F1567" s="1" t="s">
        <v>12</v>
      </c>
      <c r="G1567">
        <v>9</v>
      </c>
      <c r="H1567">
        <f t="shared" si="9"/>
        <v>200</v>
      </c>
      <c r="I1567">
        <v>100</v>
      </c>
      <c r="J1567">
        <f>Table2[[#This Row],[Hits]]/Table2[[#This Row],[Points]]*100</f>
        <v>4.5</v>
      </c>
      <c r="K1567">
        <f>VLOOKUP(Table2[[#This Row],[Site]],'Site Info'!$A$1:$C$11,2, FALSE)</f>
        <v>15</v>
      </c>
      <c r="L1567">
        <f>VLOOKUP(Table2[[#This Row],[Site]],'Site Info'!$A$1:$C$11,3, FALSE)</f>
        <v>12</v>
      </c>
      <c r="M1567" t="str">
        <f>VLOOKUP(Table2[[#This Row],[Species]],'Species Table'!$A$1:$D$68,3, FALSE)</f>
        <v>Perennial</v>
      </c>
      <c r="O1567" s="15">
        <f>IF(SUMPRODUCT(($A$2:$A1567=A1567)*($B$2:$B1567=B1567)*($F$2:$F1567=F1567))&gt;1,0,1)</f>
        <v>0</v>
      </c>
      <c r="P1567" s="15">
        <f>IF(SUMPRODUCT(($A$2:$A1567=A1567)*($B$2:$B1567=B1567)*($D$2:$D1567=D1567))&gt;1,0,1)</f>
        <v>0</v>
      </c>
    </row>
    <row r="1568" spans="1:16" hidden="1" x14ac:dyDescent="0.35">
      <c r="A1568" t="s">
        <v>18</v>
      </c>
      <c r="B1568">
        <v>2017</v>
      </c>
      <c r="C1568" s="1" t="s">
        <v>63</v>
      </c>
      <c r="D1568" s="6">
        <v>5.2</v>
      </c>
      <c r="E1568" s="6">
        <f>INT(Table2[[#This Row],[Transect]])</f>
        <v>5</v>
      </c>
      <c r="F1568" s="1" t="s">
        <v>10</v>
      </c>
      <c r="G1568">
        <v>1</v>
      </c>
      <c r="H1568">
        <f t="shared" si="9"/>
        <v>200</v>
      </c>
      <c r="I1568">
        <v>100</v>
      </c>
      <c r="J1568">
        <f>Table2[[#This Row],[Hits]]/Table2[[#This Row],[Points]]*100</f>
        <v>0.5</v>
      </c>
      <c r="K1568">
        <f>VLOOKUP(Table2[[#This Row],[Site]],'Site Info'!$A$1:$C$11,2, FALSE)</f>
        <v>15</v>
      </c>
      <c r="L1568">
        <f>VLOOKUP(Table2[[#This Row],[Site]],'Site Info'!$A$1:$C$11,3, FALSE)</f>
        <v>12</v>
      </c>
      <c r="M1568" t="str">
        <f>VLOOKUP(Table2[[#This Row],[Species]],'Species Table'!$A$1:$D$68,3, FALSE)</f>
        <v>Annual</v>
      </c>
      <c r="O1568" s="15">
        <f>IF(SUMPRODUCT(($A$2:$A1568=A1568)*($B$2:$B1568=B1568)*($F$2:$F1568=F1568))&gt;1,0,1)</f>
        <v>0</v>
      </c>
      <c r="P1568" s="15">
        <f>IF(SUMPRODUCT(($A$2:$A1568=A1568)*($B$2:$B1568=B1568)*($D$2:$D1568=D1568))&gt;1,0,1)</f>
        <v>1</v>
      </c>
    </row>
    <row r="1569" spans="1:16" x14ac:dyDescent="0.35">
      <c r="A1569" t="s">
        <v>18</v>
      </c>
      <c r="B1569">
        <v>2017</v>
      </c>
      <c r="C1569" s="1" t="s">
        <v>63</v>
      </c>
      <c r="D1569" s="6">
        <v>5.2</v>
      </c>
      <c r="E1569" s="6">
        <f>INT(Table2[[#This Row],[Transect]])</f>
        <v>5</v>
      </c>
      <c r="F1569" s="1" t="s">
        <v>11</v>
      </c>
      <c r="G1569">
        <v>28</v>
      </c>
      <c r="H1569">
        <f t="shared" si="9"/>
        <v>200</v>
      </c>
      <c r="I1569">
        <v>100</v>
      </c>
      <c r="J1569">
        <f>Table2[[#This Row],[Hits]]/Table2[[#This Row],[Points]]*100</f>
        <v>14.000000000000002</v>
      </c>
      <c r="K1569">
        <f>VLOOKUP(Table2[[#This Row],[Site]],'Site Info'!$A$1:$C$11,2, FALSE)</f>
        <v>15</v>
      </c>
      <c r="L1569">
        <f>VLOOKUP(Table2[[#This Row],[Site]],'Site Info'!$A$1:$C$11,3, FALSE)</f>
        <v>12</v>
      </c>
      <c r="M1569" t="str">
        <f>VLOOKUP(Table2[[#This Row],[Species]],'Species Table'!$A$1:$D$68,3, FALSE)</f>
        <v>Perennial</v>
      </c>
      <c r="O1569" s="15">
        <f>IF(SUMPRODUCT(($A$2:$A1569=A1569)*($B$2:$B1569=B1569)*($F$2:$F1569=F1569))&gt;1,0,1)</f>
        <v>0</v>
      </c>
      <c r="P1569" s="15">
        <f>IF(SUMPRODUCT(($A$2:$A1569=A1569)*($B$2:$B1569=B1569)*($D$2:$D1569=D1569))&gt;1,0,1)</f>
        <v>0</v>
      </c>
    </row>
    <row r="1570" spans="1:16" x14ac:dyDescent="0.35">
      <c r="A1570" t="s">
        <v>18</v>
      </c>
      <c r="B1570">
        <v>2017</v>
      </c>
      <c r="C1570" s="1" t="s">
        <v>63</v>
      </c>
      <c r="D1570" s="6">
        <v>5.2</v>
      </c>
      <c r="E1570" s="6">
        <f>INT(Table2[[#This Row],[Transect]])</f>
        <v>5</v>
      </c>
      <c r="F1570" s="1" t="s">
        <v>170</v>
      </c>
      <c r="G1570">
        <v>10</v>
      </c>
      <c r="H1570">
        <f t="shared" si="9"/>
        <v>200</v>
      </c>
      <c r="I1570">
        <v>100</v>
      </c>
      <c r="J1570">
        <f>Table2[[#This Row],[Hits]]/Table2[[#This Row],[Points]]*100</f>
        <v>5</v>
      </c>
      <c r="K1570">
        <f>VLOOKUP(Table2[[#This Row],[Site]],'Site Info'!$A$1:$C$11,2, FALSE)</f>
        <v>15</v>
      </c>
      <c r="L1570">
        <f>VLOOKUP(Table2[[#This Row],[Site]],'Site Info'!$A$1:$C$11,3, FALSE)</f>
        <v>12</v>
      </c>
      <c r="M1570" t="str">
        <f>VLOOKUP(Table2[[#This Row],[Species]],'Species Table'!$A$1:$D$68,3, FALSE)</f>
        <v>Perennial</v>
      </c>
      <c r="O1570" s="15">
        <f>IF(SUMPRODUCT(($A$2:$A1570=A1570)*($B$2:$B1570=B1570)*($F$2:$F1570=F1570))&gt;1,0,1)</f>
        <v>0</v>
      </c>
      <c r="P1570" s="15">
        <f>IF(SUMPRODUCT(($A$2:$A1570=A1570)*($B$2:$B1570=B1570)*($D$2:$D1570=D1570))&gt;1,0,1)</f>
        <v>0</v>
      </c>
    </row>
    <row r="1571" spans="1:16" hidden="1" x14ac:dyDescent="0.35">
      <c r="A1571" t="s">
        <v>18</v>
      </c>
      <c r="B1571">
        <v>2017</v>
      </c>
      <c r="C1571" s="1" t="s">
        <v>64</v>
      </c>
      <c r="D1571" s="6">
        <v>5.3</v>
      </c>
      <c r="E1571" s="6">
        <f>INT(Table2[[#This Row],[Transect]])</f>
        <v>5</v>
      </c>
      <c r="F1571" s="1" t="s">
        <v>10</v>
      </c>
      <c r="G1571">
        <v>3</v>
      </c>
      <c r="H1571">
        <f t="shared" si="9"/>
        <v>200</v>
      </c>
      <c r="I1571">
        <v>100</v>
      </c>
      <c r="J1571">
        <f>Table2[[#This Row],[Hits]]/Table2[[#This Row],[Points]]*100</f>
        <v>1.5</v>
      </c>
      <c r="K1571">
        <f>VLOOKUP(Table2[[#This Row],[Site]],'Site Info'!$A$1:$C$11,2, FALSE)</f>
        <v>15</v>
      </c>
      <c r="L1571">
        <f>VLOOKUP(Table2[[#This Row],[Site]],'Site Info'!$A$1:$C$11,3, FALSE)</f>
        <v>12</v>
      </c>
      <c r="M1571" t="str">
        <f>VLOOKUP(Table2[[#This Row],[Species]],'Species Table'!$A$1:$D$68,3, FALSE)</f>
        <v>Annual</v>
      </c>
      <c r="O1571" s="15">
        <f>IF(SUMPRODUCT(($A$2:$A1571=A1571)*($B$2:$B1571=B1571)*($F$2:$F1571=F1571))&gt;1,0,1)</f>
        <v>0</v>
      </c>
      <c r="P1571" s="15">
        <f>IF(SUMPRODUCT(($A$2:$A1571=A1571)*($B$2:$B1571=B1571)*($D$2:$D1571=D1571))&gt;1,0,1)</f>
        <v>1</v>
      </c>
    </row>
    <row r="1572" spans="1:16" x14ac:dyDescent="0.35">
      <c r="A1572" t="s">
        <v>18</v>
      </c>
      <c r="B1572">
        <v>2017</v>
      </c>
      <c r="C1572" s="1" t="s">
        <v>64</v>
      </c>
      <c r="D1572" s="6">
        <v>5.3</v>
      </c>
      <c r="E1572" s="6">
        <f>INT(Table2[[#This Row],[Transect]])</f>
        <v>5</v>
      </c>
      <c r="F1572" s="1" t="s">
        <v>11</v>
      </c>
      <c r="G1572">
        <v>18</v>
      </c>
      <c r="H1572">
        <f t="shared" si="9"/>
        <v>200</v>
      </c>
      <c r="I1572">
        <v>100</v>
      </c>
      <c r="J1572">
        <f>Table2[[#This Row],[Hits]]/Table2[[#This Row],[Points]]*100</f>
        <v>9</v>
      </c>
      <c r="K1572">
        <f>VLOOKUP(Table2[[#This Row],[Site]],'Site Info'!$A$1:$C$11,2, FALSE)</f>
        <v>15</v>
      </c>
      <c r="L1572">
        <f>VLOOKUP(Table2[[#This Row],[Site]],'Site Info'!$A$1:$C$11,3, FALSE)</f>
        <v>12</v>
      </c>
      <c r="M1572" t="str">
        <f>VLOOKUP(Table2[[#This Row],[Species]],'Species Table'!$A$1:$D$68,3, FALSE)</f>
        <v>Perennial</v>
      </c>
      <c r="O1572" s="15">
        <f>IF(SUMPRODUCT(($A$2:$A1572=A1572)*($B$2:$B1572=B1572)*($F$2:$F1572=F1572))&gt;1,0,1)</f>
        <v>0</v>
      </c>
      <c r="P1572" s="15">
        <f>IF(SUMPRODUCT(($A$2:$A1572=A1572)*($B$2:$B1572=B1572)*($D$2:$D1572=D1572))&gt;1,0,1)</f>
        <v>0</v>
      </c>
    </row>
    <row r="1573" spans="1:16" x14ac:dyDescent="0.35">
      <c r="A1573" t="s">
        <v>18</v>
      </c>
      <c r="B1573">
        <v>2017</v>
      </c>
      <c r="C1573" s="1" t="s">
        <v>86</v>
      </c>
      <c r="D1573" s="6">
        <v>5.4</v>
      </c>
      <c r="E1573" s="6">
        <f>INT(Table2[[#This Row],[Transect]])</f>
        <v>5</v>
      </c>
      <c r="F1573" s="1" t="s">
        <v>11</v>
      </c>
      <c r="G1573">
        <v>16</v>
      </c>
      <c r="H1573">
        <f t="shared" si="9"/>
        <v>200</v>
      </c>
      <c r="I1573">
        <v>100</v>
      </c>
      <c r="J1573">
        <f>Table2[[#This Row],[Hits]]/Table2[[#This Row],[Points]]*100</f>
        <v>8</v>
      </c>
      <c r="K1573">
        <f>VLOOKUP(Table2[[#This Row],[Site]],'Site Info'!$A$1:$C$11,2, FALSE)</f>
        <v>15</v>
      </c>
      <c r="L1573">
        <f>VLOOKUP(Table2[[#This Row],[Site]],'Site Info'!$A$1:$C$11,3, FALSE)</f>
        <v>12</v>
      </c>
      <c r="M1573" t="str">
        <f>VLOOKUP(Table2[[#This Row],[Species]],'Species Table'!$A$1:$D$68,3, FALSE)</f>
        <v>Perennial</v>
      </c>
      <c r="O1573" s="15">
        <f>IF(SUMPRODUCT(($A$2:$A1573=A1573)*($B$2:$B1573=B1573)*($F$2:$F1573=F1573))&gt;1,0,1)</f>
        <v>0</v>
      </c>
      <c r="P1573" s="15">
        <f>IF(SUMPRODUCT(($A$2:$A1573=A1573)*($B$2:$B1573=B1573)*($D$2:$D1573=D1573))&gt;1,0,1)</f>
        <v>1</v>
      </c>
    </row>
    <row r="1574" spans="1:16" hidden="1" x14ac:dyDescent="0.35">
      <c r="A1574" t="s">
        <v>18</v>
      </c>
      <c r="B1574">
        <v>2017</v>
      </c>
      <c r="C1574" s="1" t="s">
        <v>86</v>
      </c>
      <c r="D1574" s="6">
        <v>5.4</v>
      </c>
      <c r="E1574" s="6">
        <f>INT(Table2[[#This Row],[Transect]])</f>
        <v>5</v>
      </c>
      <c r="F1574" s="1" t="s">
        <v>10</v>
      </c>
      <c r="G1574">
        <v>1</v>
      </c>
      <c r="H1574">
        <f t="shared" si="9"/>
        <v>200</v>
      </c>
      <c r="I1574">
        <v>100</v>
      </c>
      <c r="J1574">
        <f>Table2[[#This Row],[Hits]]/Table2[[#This Row],[Points]]*100</f>
        <v>0.5</v>
      </c>
      <c r="K1574">
        <f>VLOOKUP(Table2[[#This Row],[Site]],'Site Info'!$A$1:$C$11,2, FALSE)</f>
        <v>15</v>
      </c>
      <c r="L1574">
        <f>VLOOKUP(Table2[[#This Row],[Site]],'Site Info'!$A$1:$C$11,3, FALSE)</f>
        <v>12</v>
      </c>
      <c r="M1574" t="str">
        <f>VLOOKUP(Table2[[#This Row],[Species]],'Species Table'!$A$1:$D$68,3, FALSE)</f>
        <v>Annual</v>
      </c>
      <c r="O1574" s="15">
        <f>IF(SUMPRODUCT(($A$2:$A1574=A1574)*($B$2:$B1574=B1574)*($F$2:$F1574=F1574))&gt;1,0,1)</f>
        <v>0</v>
      </c>
      <c r="P1574" s="15">
        <f>IF(SUMPRODUCT(($A$2:$A1574=A1574)*($B$2:$B1574=B1574)*($D$2:$D1574=D1574))&gt;1,0,1)</f>
        <v>0</v>
      </c>
    </row>
    <row r="1575" spans="1:16" x14ac:dyDescent="0.35">
      <c r="A1575" t="s">
        <v>18</v>
      </c>
      <c r="B1575">
        <v>2017</v>
      </c>
      <c r="C1575" s="1" t="s">
        <v>65</v>
      </c>
      <c r="D1575" s="6">
        <v>5.5</v>
      </c>
      <c r="E1575" s="6">
        <f>INT(Table2[[#This Row],[Transect]])</f>
        <v>5</v>
      </c>
      <c r="F1575" s="1" t="s">
        <v>11</v>
      </c>
      <c r="G1575">
        <v>7</v>
      </c>
      <c r="H1575">
        <f t="shared" si="9"/>
        <v>200</v>
      </c>
      <c r="I1575">
        <v>100</v>
      </c>
      <c r="J1575">
        <f>Table2[[#This Row],[Hits]]/Table2[[#This Row],[Points]]*100</f>
        <v>3.5000000000000004</v>
      </c>
      <c r="K1575">
        <f>VLOOKUP(Table2[[#This Row],[Site]],'Site Info'!$A$1:$C$11,2, FALSE)</f>
        <v>15</v>
      </c>
      <c r="L1575">
        <f>VLOOKUP(Table2[[#This Row],[Site]],'Site Info'!$A$1:$C$11,3, FALSE)</f>
        <v>12</v>
      </c>
      <c r="M1575" t="str">
        <f>VLOOKUP(Table2[[#This Row],[Species]],'Species Table'!$A$1:$D$68,3, FALSE)</f>
        <v>Perennial</v>
      </c>
      <c r="O1575" s="15">
        <f>IF(SUMPRODUCT(($A$2:$A1575=A1575)*($B$2:$B1575=B1575)*($F$2:$F1575=F1575))&gt;1,0,1)</f>
        <v>0</v>
      </c>
      <c r="P1575" s="15">
        <f>IF(SUMPRODUCT(($A$2:$A1575=A1575)*($B$2:$B1575=B1575)*($D$2:$D1575=D1575))&gt;1,0,1)</f>
        <v>1</v>
      </c>
    </row>
    <row r="1576" spans="1:16" x14ac:dyDescent="0.35">
      <c r="A1576" t="s">
        <v>18</v>
      </c>
      <c r="B1576">
        <v>2017</v>
      </c>
      <c r="C1576" s="1" t="s">
        <v>87</v>
      </c>
      <c r="D1576" s="6">
        <v>5.6</v>
      </c>
      <c r="E1576" s="6">
        <f>INT(Table2[[#This Row],[Transect]])</f>
        <v>5</v>
      </c>
      <c r="F1576" s="1" t="s">
        <v>11</v>
      </c>
      <c r="G1576">
        <v>20</v>
      </c>
      <c r="H1576">
        <f t="shared" si="9"/>
        <v>200</v>
      </c>
      <c r="I1576">
        <v>100</v>
      </c>
      <c r="J1576">
        <f>Table2[[#This Row],[Hits]]/Table2[[#This Row],[Points]]*100</f>
        <v>10</v>
      </c>
      <c r="K1576">
        <f>VLOOKUP(Table2[[#This Row],[Site]],'Site Info'!$A$1:$C$11,2, FALSE)</f>
        <v>15</v>
      </c>
      <c r="L1576">
        <f>VLOOKUP(Table2[[#This Row],[Site]],'Site Info'!$A$1:$C$11,3, FALSE)</f>
        <v>12</v>
      </c>
      <c r="M1576" t="str">
        <f>VLOOKUP(Table2[[#This Row],[Species]],'Species Table'!$A$1:$D$68,3, FALSE)</f>
        <v>Perennial</v>
      </c>
      <c r="O1576" s="15">
        <f>IF(SUMPRODUCT(($A$2:$A1576=A1576)*($B$2:$B1576=B1576)*($F$2:$F1576=F1576))&gt;1,0,1)</f>
        <v>0</v>
      </c>
      <c r="P1576" s="15">
        <f>IF(SUMPRODUCT(($A$2:$A1576=A1576)*($B$2:$B1576=B1576)*($D$2:$D1576=D1576))&gt;1,0,1)</f>
        <v>1</v>
      </c>
    </row>
    <row r="1577" spans="1:16" x14ac:dyDescent="0.35">
      <c r="A1577" t="s">
        <v>18</v>
      </c>
      <c r="B1577">
        <v>2017</v>
      </c>
      <c r="C1577" s="1" t="s">
        <v>67</v>
      </c>
      <c r="D1577" s="6">
        <v>6.1</v>
      </c>
      <c r="E1577" s="6">
        <f>INT(Table2[[#This Row],[Transect]])</f>
        <v>6</v>
      </c>
      <c r="F1577" s="1" t="s">
        <v>11</v>
      </c>
      <c r="G1577">
        <v>7</v>
      </c>
      <c r="H1577">
        <f t="shared" si="9"/>
        <v>200</v>
      </c>
      <c r="I1577">
        <v>100</v>
      </c>
      <c r="J1577">
        <f>Table2[[#This Row],[Hits]]/Table2[[#This Row],[Points]]*100</f>
        <v>3.5000000000000004</v>
      </c>
      <c r="K1577">
        <f>VLOOKUP(Table2[[#This Row],[Site]],'Site Info'!$A$1:$C$11,2, FALSE)</f>
        <v>15</v>
      </c>
      <c r="L1577">
        <f>VLOOKUP(Table2[[#This Row],[Site]],'Site Info'!$A$1:$C$11,3, FALSE)</f>
        <v>12</v>
      </c>
      <c r="M1577" t="str">
        <f>VLOOKUP(Table2[[#This Row],[Species]],'Species Table'!$A$1:$D$68,3, FALSE)</f>
        <v>Perennial</v>
      </c>
      <c r="O1577" s="15">
        <f>IF(SUMPRODUCT(($A$2:$A1577=A1577)*($B$2:$B1577=B1577)*($F$2:$F1577=F1577))&gt;1,0,1)</f>
        <v>0</v>
      </c>
      <c r="P1577" s="15">
        <f>IF(SUMPRODUCT(($A$2:$A1577=A1577)*($B$2:$B1577=B1577)*($D$2:$D1577=D1577))&gt;1,0,1)</f>
        <v>1</v>
      </c>
    </row>
    <row r="1578" spans="1:16" hidden="1" x14ac:dyDescent="0.35">
      <c r="A1578" t="s">
        <v>18</v>
      </c>
      <c r="B1578">
        <v>2017</v>
      </c>
      <c r="C1578" s="1" t="s">
        <v>88</v>
      </c>
      <c r="D1578" s="6">
        <v>6.2</v>
      </c>
      <c r="E1578" s="6">
        <f>INT(Table2[[#This Row],[Transect]])</f>
        <v>6</v>
      </c>
      <c r="F1578" s="1" t="s">
        <v>10</v>
      </c>
      <c r="G1578">
        <v>1</v>
      </c>
      <c r="H1578">
        <f t="shared" si="9"/>
        <v>200</v>
      </c>
      <c r="I1578">
        <v>100</v>
      </c>
      <c r="J1578">
        <f>Table2[[#This Row],[Hits]]/Table2[[#This Row],[Points]]*100</f>
        <v>0.5</v>
      </c>
      <c r="K1578">
        <f>VLOOKUP(Table2[[#This Row],[Site]],'Site Info'!$A$1:$C$11,2, FALSE)</f>
        <v>15</v>
      </c>
      <c r="L1578">
        <f>VLOOKUP(Table2[[#This Row],[Site]],'Site Info'!$A$1:$C$11,3, FALSE)</f>
        <v>12</v>
      </c>
      <c r="M1578" t="str">
        <f>VLOOKUP(Table2[[#This Row],[Species]],'Species Table'!$A$1:$D$68,3, FALSE)</f>
        <v>Annual</v>
      </c>
      <c r="O1578" s="15">
        <f>IF(SUMPRODUCT(($A$2:$A1578=A1578)*($B$2:$B1578=B1578)*($F$2:$F1578=F1578))&gt;1,0,1)</f>
        <v>0</v>
      </c>
      <c r="P1578" s="15">
        <f>IF(SUMPRODUCT(($A$2:$A1578=A1578)*($B$2:$B1578=B1578)*($D$2:$D1578=D1578))&gt;1,0,1)</f>
        <v>1</v>
      </c>
    </row>
    <row r="1579" spans="1:16" x14ac:dyDescent="0.35">
      <c r="A1579" t="s">
        <v>18</v>
      </c>
      <c r="B1579">
        <v>2017</v>
      </c>
      <c r="C1579" s="1" t="s">
        <v>88</v>
      </c>
      <c r="D1579" s="6">
        <v>6.2</v>
      </c>
      <c r="E1579" s="6">
        <f>INT(Table2[[#This Row],[Transect]])</f>
        <v>6</v>
      </c>
      <c r="F1579" s="1" t="s">
        <v>11</v>
      </c>
      <c r="G1579">
        <v>17</v>
      </c>
      <c r="H1579">
        <f t="shared" si="9"/>
        <v>200</v>
      </c>
      <c r="I1579">
        <v>100</v>
      </c>
      <c r="J1579">
        <f>Table2[[#This Row],[Hits]]/Table2[[#This Row],[Points]]*100</f>
        <v>8.5</v>
      </c>
      <c r="K1579">
        <f>VLOOKUP(Table2[[#This Row],[Site]],'Site Info'!$A$1:$C$11,2, FALSE)</f>
        <v>15</v>
      </c>
      <c r="L1579">
        <f>VLOOKUP(Table2[[#This Row],[Site]],'Site Info'!$A$1:$C$11,3, FALSE)</f>
        <v>12</v>
      </c>
      <c r="M1579" t="str">
        <f>VLOOKUP(Table2[[#This Row],[Species]],'Species Table'!$A$1:$D$68,3, FALSE)</f>
        <v>Perennial</v>
      </c>
      <c r="O1579" s="15">
        <f>IF(SUMPRODUCT(($A$2:$A1579=A1579)*($B$2:$B1579=B1579)*($F$2:$F1579=F1579))&gt;1,0,1)</f>
        <v>0</v>
      </c>
      <c r="P1579" s="15">
        <f>IF(SUMPRODUCT(($A$2:$A1579=A1579)*($B$2:$B1579=B1579)*($D$2:$D1579=D1579))&gt;1,0,1)</f>
        <v>0</v>
      </c>
    </row>
    <row r="1580" spans="1:16" x14ac:dyDescent="0.35">
      <c r="A1580" t="s">
        <v>18</v>
      </c>
      <c r="B1580">
        <v>2017</v>
      </c>
      <c r="C1580" s="1" t="s">
        <v>68</v>
      </c>
      <c r="D1580" s="6">
        <v>6.3</v>
      </c>
      <c r="E1580" s="6">
        <f>INT(Table2[[#This Row],[Transect]])</f>
        <v>6</v>
      </c>
      <c r="F1580" s="1" t="s">
        <v>11</v>
      </c>
      <c r="G1580">
        <v>19</v>
      </c>
      <c r="H1580">
        <f t="shared" si="9"/>
        <v>200</v>
      </c>
      <c r="I1580">
        <v>100</v>
      </c>
      <c r="J1580">
        <f>Table2[[#This Row],[Hits]]/Table2[[#This Row],[Points]]*100</f>
        <v>9.5</v>
      </c>
      <c r="K1580">
        <f>VLOOKUP(Table2[[#This Row],[Site]],'Site Info'!$A$1:$C$11,2, FALSE)</f>
        <v>15</v>
      </c>
      <c r="L1580">
        <f>VLOOKUP(Table2[[#This Row],[Site]],'Site Info'!$A$1:$C$11,3, FALSE)</f>
        <v>12</v>
      </c>
      <c r="M1580" t="str">
        <f>VLOOKUP(Table2[[#This Row],[Species]],'Species Table'!$A$1:$D$68,3, FALSE)</f>
        <v>Perennial</v>
      </c>
      <c r="O1580" s="15">
        <f>IF(SUMPRODUCT(($A$2:$A1580=A1580)*($B$2:$B1580=B1580)*($F$2:$F1580=F1580))&gt;1,0,1)</f>
        <v>0</v>
      </c>
      <c r="P1580" s="15">
        <f>IF(SUMPRODUCT(($A$2:$A1580=A1580)*($B$2:$B1580=B1580)*($D$2:$D1580=D1580))&gt;1,0,1)</f>
        <v>1</v>
      </c>
    </row>
    <row r="1581" spans="1:16" hidden="1" x14ac:dyDescent="0.35">
      <c r="A1581" t="s">
        <v>18</v>
      </c>
      <c r="B1581">
        <v>2017</v>
      </c>
      <c r="C1581" s="1" t="s">
        <v>68</v>
      </c>
      <c r="D1581" s="6">
        <v>6.3</v>
      </c>
      <c r="E1581" s="6">
        <f>INT(Table2[[#This Row],[Transect]])</f>
        <v>6</v>
      </c>
      <c r="F1581" s="1" t="s">
        <v>10</v>
      </c>
      <c r="G1581">
        <v>8</v>
      </c>
      <c r="H1581">
        <f t="shared" si="9"/>
        <v>200</v>
      </c>
      <c r="I1581">
        <v>100</v>
      </c>
      <c r="J1581">
        <f>Table2[[#This Row],[Hits]]/Table2[[#This Row],[Points]]*100</f>
        <v>4</v>
      </c>
      <c r="K1581">
        <f>VLOOKUP(Table2[[#This Row],[Site]],'Site Info'!$A$1:$C$11,2, FALSE)</f>
        <v>15</v>
      </c>
      <c r="L1581">
        <f>VLOOKUP(Table2[[#This Row],[Site]],'Site Info'!$A$1:$C$11,3, FALSE)</f>
        <v>12</v>
      </c>
      <c r="M1581" t="str">
        <f>VLOOKUP(Table2[[#This Row],[Species]],'Species Table'!$A$1:$D$68,3, FALSE)</f>
        <v>Annual</v>
      </c>
      <c r="O1581" s="15">
        <f>IF(SUMPRODUCT(($A$2:$A1581=A1581)*($B$2:$B1581=B1581)*($F$2:$F1581=F1581))&gt;1,0,1)</f>
        <v>0</v>
      </c>
      <c r="P1581" s="15">
        <f>IF(SUMPRODUCT(($A$2:$A1581=A1581)*($B$2:$B1581=B1581)*($D$2:$D1581=D1581))&gt;1,0,1)</f>
        <v>0</v>
      </c>
    </row>
    <row r="1582" spans="1:16" hidden="1" x14ac:dyDescent="0.35">
      <c r="A1582" t="s">
        <v>18</v>
      </c>
      <c r="B1582">
        <v>2017</v>
      </c>
      <c r="C1582" s="1" t="s">
        <v>89</v>
      </c>
      <c r="D1582" s="6">
        <v>6.4</v>
      </c>
      <c r="E1582" s="6">
        <f>INT(Table2[[#This Row],[Transect]])</f>
        <v>6</v>
      </c>
      <c r="F1582" s="1" t="s">
        <v>10</v>
      </c>
      <c r="G1582">
        <v>12</v>
      </c>
      <c r="H1582">
        <f t="shared" si="9"/>
        <v>200</v>
      </c>
      <c r="I1582">
        <v>100</v>
      </c>
      <c r="J1582">
        <f>Table2[[#This Row],[Hits]]/Table2[[#This Row],[Points]]*100</f>
        <v>6</v>
      </c>
      <c r="K1582">
        <f>VLOOKUP(Table2[[#This Row],[Site]],'Site Info'!$A$1:$C$11,2, FALSE)</f>
        <v>15</v>
      </c>
      <c r="L1582">
        <f>VLOOKUP(Table2[[#This Row],[Site]],'Site Info'!$A$1:$C$11,3, FALSE)</f>
        <v>12</v>
      </c>
      <c r="M1582" t="str">
        <f>VLOOKUP(Table2[[#This Row],[Species]],'Species Table'!$A$1:$D$68,3, FALSE)</f>
        <v>Annual</v>
      </c>
      <c r="O1582" s="15">
        <f>IF(SUMPRODUCT(($A$2:$A1582=A1582)*($B$2:$B1582=B1582)*($F$2:$F1582=F1582))&gt;1,0,1)</f>
        <v>0</v>
      </c>
      <c r="P1582" s="15">
        <f>IF(SUMPRODUCT(($A$2:$A1582=A1582)*($B$2:$B1582=B1582)*($D$2:$D1582=D1582))&gt;1,0,1)</f>
        <v>1</v>
      </c>
    </row>
    <row r="1583" spans="1:16" x14ac:dyDescent="0.35">
      <c r="A1583" t="s">
        <v>18</v>
      </c>
      <c r="B1583">
        <v>2017</v>
      </c>
      <c r="C1583" s="1" t="s">
        <v>89</v>
      </c>
      <c r="D1583" s="6">
        <v>6.4</v>
      </c>
      <c r="E1583" s="6">
        <f>INT(Table2[[#This Row],[Transect]])</f>
        <v>6</v>
      </c>
      <c r="F1583" s="1" t="s">
        <v>11</v>
      </c>
      <c r="G1583">
        <v>12</v>
      </c>
      <c r="H1583">
        <f t="shared" si="9"/>
        <v>200</v>
      </c>
      <c r="I1583">
        <v>100</v>
      </c>
      <c r="J1583">
        <f>Table2[[#This Row],[Hits]]/Table2[[#This Row],[Points]]*100</f>
        <v>6</v>
      </c>
      <c r="K1583">
        <f>VLOOKUP(Table2[[#This Row],[Site]],'Site Info'!$A$1:$C$11,2, FALSE)</f>
        <v>15</v>
      </c>
      <c r="L1583">
        <f>VLOOKUP(Table2[[#This Row],[Site]],'Site Info'!$A$1:$C$11,3, FALSE)</f>
        <v>12</v>
      </c>
      <c r="M1583" t="str">
        <f>VLOOKUP(Table2[[#This Row],[Species]],'Species Table'!$A$1:$D$68,3, FALSE)</f>
        <v>Perennial</v>
      </c>
      <c r="O1583" s="15">
        <f>IF(SUMPRODUCT(($A$2:$A1583=A1583)*($B$2:$B1583=B1583)*($F$2:$F1583=F1583))&gt;1,0,1)</f>
        <v>0</v>
      </c>
      <c r="P1583" s="15">
        <f>IF(SUMPRODUCT(($A$2:$A1583=A1583)*($B$2:$B1583=B1583)*($D$2:$D1583=D1583))&gt;1,0,1)</f>
        <v>0</v>
      </c>
    </row>
    <row r="1584" spans="1:16" x14ac:dyDescent="0.35">
      <c r="A1584" t="s">
        <v>18</v>
      </c>
      <c r="B1584">
        <v>2017</v>
      </c>
      <c r="C1584" s="1" t="s">
        <v>126</v>
      </c>
      <c r="D1584" s="6">
        <v>6.5</v>
      </c>
      <c r="E1584" s="6">
        <f>INT(Table2[[#This Row],[Transect]])</f>
        <v>6</v>
      </c>
      <c r="F1584" s="1" t="s">
        <v>11</v>
      </c>
      <c r="G1584">
        <v>3</v>
      </c>
      <c r="H1584">
        <f t="shared" si="9"/>
        <v>200</v>
      </c>
      <c r="I1584">
        <v>100</v>
      </c>
      <c r="J1584">
        <f>Table2[[#This Row],[Hits]]/Table2[[#This Row],[Points]]*100</f>
        <v>1.5</v>
      </c>
      <c r="K1584">
        <f>VLOOKUP(Table2[[#This Row],[Site]],'Site Info'!$A$1:$C$11,2, FALSE)</f>
        <v>15</v>
      </c>
      <c r="L1584">
        <f>VLOOKUP(Table2[[#This Row],[Site]],'Site Info'!$A$1:$C$11,3, FALSE)</f>
        <v>12</v>
      </c>
      <c r="M1584" t="str">
        <f>VLOOKUP(Table2[[#This Row],[Species]],'Species Table'!$A$1:$D$68,3, FALSE)</f>
        <v>Perennial</v>
      </c>
      <c r="O1584" s="15">
        <f>IF(SUMPRODUCT(($A$2:$A1584=A1584)*($B$2:$B1584=B1584)*($F$2:$F1584=F1584))&gt;1,0,1)</f>
        <v>0</v>
      </c>
      <c r="P1584" s="15">
        <f>IF(SUMPRODUCT(($A$2:$A1584=A1584)*($B$2:$B1584=B1584)*($D$2:$D1584=D1584))&gt;1,0,1)</f>
        <v>1</v>
      </c>
    </row>
    <row r="1585" spans="1:16" hidden="1" x14ac:dyDescent="0.35">
      <c r="A1585" t="s">
        <v>18</v>
      </c>
      <c r="B1585">
        <v>2017</v>
      </c>
      <c r="C1585" s="1" t="s">
        <v>71</v>
      </c>
      <c r="D1585" s="6">
        <v>7.1</v>
      </c>
      <c r="E1585" s="6">
        <f>INT(Table2[[#This Row],[Transect]])</f>
        <v>7</v>
      </c>
      <c r="F1585" s="1" t="s">
        <v>10</v>
      </c>
      <c r="G1585">
        <v>6</v>
      </c>
      <c r="H1585">
        <f t="shared" si="9"/>
        <v>200</v>
      </c>
      <c r="I1585">
        <v>100</v>
      </c>
      <c r="J1585">
        <f>Table2[[#This Row],[Hits]]/Table2[[#This Row],[Points]]*100</f>
        <v>3</v>
      </c>
      <c r="K1585">
        <f>VLOOKUP(Table2[[#This Row],[Site]],'Site Info'!$A$1:$C$11,2, FALSE)</f>
        <v>15</v>
      </c>
      <c r="L1585">
        <f>VLOOKUP(Table2[[#This Row],[Site]],'Site Info'!$A$1:$C$11,3, FALSE)</f>
        <v>12</v>
      </c>
      <c r="M1585" t="str">
        <f>VLOOKUP(Table2[[#This Row],[Species]],'Species Table'!$A$1:$D$68,3, FALSE)</f>
        <v>Annual</v>
      </c>
      <c r="O1585" s="15">
        <f>IF(SUMPRODUCT(($A$2:$A1585=A1585)*($B$2:$B1585=B1585)*($F$2:$F1585=F1585))&gt;1,0,1)</f>
        <v>0</v>
      </c>
      <c r="P1585" s="15">
        <f>IF(SUMPRODUCT(($A$2:$A1585=A1585)*($B$2:$B1585=B1585)*($D$2:$D1585=D1585))&gt;1,0,1)</f>
        <v>1</v>
      </c>
    </row>
    <row r="1586" spans="1:16" x14ac:dyDescent="0.35">
      <c r="A1586" t="s">
        <v>18</v>
      </c>
      <c r="B1586">
        <v>2017</v>
      </c>
      <c r="C1586" s="1" t="s">
        <v>71</v>
      </c>
      <c r="D1586" s="6">
        <v>7.1</v>
      </c>
      <c r="E1586" s="6">
        <f>INT(Table2[[#This Row],[Transect]])</f>
        <v>7</v>
      </c>
      <c r="F1586" s="1" t="s">
        <v>12</v>
      </c>
      <c r="G1586">
        <v>2</v>
      </c>
      <c r="H1586">
        <f t="shared" si="9"/>
        <v>200</v>
      </c>
      <c r="I1586">
        <v>100</v>
      </c>
      <c r="J1586">
        <f>Table2[[#This Row],[Hits]]/Table2[[#This Row],[Points]]*100</f>
        <v>1</v>
      </c>
      <c r="K1586">
        <f>VLOOKUP(Table2[[#This Row],[Site]],'Site Info'!$A$1:$C$11,2, FALSE)</f>
        <v>15</v>
      </c>
      <c r="L1586">
        <f>VLOOKUP(Table2[[#This Row],[Site]],'Site Info'!$A$1:$C$11,3, FALSE)</f>
        <v>12</v>
      </c>
      <c r="M1586" t="str">
        <f>VLOOKUP(Table2[[#This Row],[Species]],'Species Table'!$A$1:$D$68,3, FALSE)</f>
        <v>Perennial</v>
      </c>
      <c r="O1586" s="15">
        <f>IF(SUMPRODUCT(($A$2:$A1586=A1586)*($B$2:$B1586=B1586)*($F$2:$F1586=F1586))&gt;1,0,1)</f>
        <v>0</v>
      </c>
      <c r="P1586" s="15">
        <f>IF(SUMPRODUCT(($A$2:$A1586=A1586)*($B$2:$B1586=B1586)*($D$2:$D1586=D1586))&gt;1,0,1)</f>
        <v>0</v>
      </c>
    </row>
    <row r="1587" spans="1:16" hidden="1" x14ac:dyDescent="0.35">
      <c r="A1587" t="s">
        <v>18</v>
      </c>
      <c r="B1587">
        <v>2017</v>
      </c>
      <c r="C1587" s="1" t="s">
        <v>71</v>
      </c>
      <c r="D1587" s="6">
        <v>7.1</v>
      </c>
      <c r="E1587" s="6">
        <f>INT(Table2[[#This Row],[Transect]])</f>
        <v>7</v>
      </c>
      <c r="F1587" s="1" t="s">
        <v>213</v>
      </c>
      <c r="G1587">
        <v>1</v>
      </c>
      <c r="H1587">
        <f t="shared" si="9"/>
        <v>200</v>
      </c>
      <c r="I1587">
        <v>100</v>
      </c>
      <c r="J1587">
        <f>Table2[[#This Row],[Hits]]/Table2[[#This Row],[Points]]*100</f>
        <v>0.5</v>
      </c>
      <c r="K1587">
        <f>VLOOKUP(Table2[[#This Row],[Site]],'Site Info'!$A$1:$C$11,2, FALSE)</f>
        <v>15</v>
      </c>
      <c r="L1587">
        <f>VLOOKUP(Table2[[#This Row],[Site]],'Site Info'!$A$1:$C$11,3, FALSE)</f>
        <v>12</v>
      </c>
      <c r="M1587" t="str">
        <f>VLOOKUP(Table2[[#This Row],[Species]],'Species Table'!$A$1:$D$68,3, FALSE)</f>
        <v>Annual</v>
      </c>
      <c r="O1587" s="15">
        <f>IF(SUMPRODUCT(($A$2:$A1587=A1587)*($B$2:$B1587=B1587)*($F$2:$F1587=F1587))&gt;1,0,1)</f>
        <v>1</v>
      </c>
      <c r="P1587" s="15">
        <f>IF(SUMPRODUCT(($A$2:$A1587=A1587)*($B$2:$B1587=B1587)*($D$2:$D1587=D1587))&gt;1,0,1)</f>
        <v>0</v>
      </c>
    </row>
    <row r="1588" spans="1:16" hidden="1" x14ac:dyDescent="0.35">
      <c r="A1588" t="s">
        <v>18</v>
      </c>
      <c r="B1588">
        <v>2017</v>
      </c>
      <c r="C1588" s="1" t="s">
        <v>72</v>
      </c>
      <c r="D1588" s="6">
        <v>7.2</v>
      </c>
      <c r="E1588" s="6">
        <f>INT(Table2[[#This Row],[Transect]])</f>
        <v>7</v>
      </c>
      <c r="F1588" s="1" t="s">
        <v>10</v>
      </c>
      <c r="G1588">
        <v>4</v>
      </c>
      <c r="H1588">
        <f t="shared" si="9"/>
        <v>200</v>
      </c>
      <c r="I1588">
        <v>100</v>
      </c>
      <c r="J1588">
        <f>Table2[[#This Row],[Hits]]/Table2[[#This Row],[Points]]*100</f>
        <v>2</v>
      </c>
      <c r="K1588">
        <f>VLOOKUP(Table2[[#This Row],[Site]],'Site Info'!$A$1:$C$11,2, FALSE)</f>
        <v>15</v>
      </c>
      <c r="L1588">
        <f>VLOOKUP(Table2[[#This Row],[Site]],'Site Info'!$A$1:$C$11,3, FALSE)</f>
        <v>12</v>
      </c>
      <c r="M1588" t="str">
        <f>VLOOKUP(Table2[[#This Row],[Species]],'Species Table'!$A$1:$D$68,3, FALSE)</f>
        <v>Annual</v>
      </c>
      <c r="O1588" s="15">
        <f>IF(SUMPRODUCT(($A$2:$A1588=A1588)*($B$2:$B1588=B1588)*($F$2:$F1588=F1588))&gt;1,0,1)</f>
        <v>0</v>
      </c>
      <c r="P1588" s="15">
        <f>IF(SUMPRODUCT(($A$2:$A1588=A1588)*($B$2:$B1588=B1588)*($D$2:$D1588=D1588))&gt;1,0,1)</f>
        <v>1</v>
      </c>
    </row>
    <row r="1589" spans="1:16" x14ac:dyDescent="0.35">
      <c r="A1589" t="s">
        <v>18</v>
      </c>
      <c r="B1589">
        <v>2017</v>
      </c>
      <c r="C1589" s="1" t="s">
        <v>72</v>
      </c>
      <c r="D1589" s="6">
        <v>7.2</v>
      </c>
      <c r="E1589" s="6">
        <f>INT(Table2[[#This Row],[Transect]])</f>
        <v>7</v>
      </c>
      <c r="F1589" s="1" t="s">
        <v>11</v>
      </c>
      <c r="G1589">
        <v>12</v>
      </c>
      <c r="H1589">
        <f t="shared" si="9"/>
        <v>200</v>
      </c>
      <c r="I1589">
        <v>100</v>
      </c>
      <c r="J1589">
        <f>Table2[[#This Row],[Hits]]/Table2[[#This Row],[Points]]*100</f>
        <v>6</v>
      </c>
      <c r="K1589">
        <f>VLOOKUP(Table2[[#This Row],[Site]],'Site Info'!$A$1:$C$11,2, FALSE)</f>
        <v>15</v>
      </c>
      <c r="L1589">
        <f>VLOOKUP(Table2[[#This Row],[Site]],'Site Info'!$A$1:$C$11,3, FALSE)</f>
        <v>12</v>
      </c>
      <c r="M1589" t="str">
        <f>VLOOKUP(Table2[[#This Row],[Species]],'Species Table'!$A$1:$D$68,3, FALSE)</f>
        <v>Perennial</v>
      </c>
      <c r="O1589" s="15">
        <f>IF(SUMPRODUCT(($A$2:$A1589=A1589)*($B$2:$B1589=B1589)*($F$2:$F1589=F1589))&gt;1,0,1)</f>
        <v>0</v>
      </c>
      <c r="P1589" s="15">
        <f>IF(SUMPRODUCT(($A$2:$A1589=A1589)*($B$2:$B1589=B1589)*($D$2:$D1589=D1589))&gt;1,0,1)</f>
        <v>0</v>
      </c>
    </row>
    <row r="1590" spans="1:16" x14ac:dyDescent="0.35">
      <c r="A1590" t="s">
        <v>18</v>
      </c>
      <c r="B1590">
        <v>2017</v>
      </c>
      <c r="C1590" s="1" t="s">
        <v>73</v>
      </c>
      <c r="D1590" s="6">
        <v>7.3</v>
      </c>
      <c r="E1590" s="6">
        <f>INT(Table2[[#This Row],[Transect]])</f>
        <v>7</v>
      </c>
      <c r="F1590" s="1" t="s">
        <v>11</v>
      </c>
      <c r="G1590">
        <v>18</v>
      </c>
      <c r="H1590">
        <f t="shared" si="9"/>
        <v>200</v>
      </c>
      <c r="I1590">
        <v>100</v>
      </c>
      <c r="J1590">
        <f>Table2[[#This Row],[Hits]]/Table2[[#This Row],[Points]]*100</f>
        <v>9</v>
      </c>
      <c r="K1590">
        <f>VLOOKUP(Table2[[#This Row],[Site]],'Site Info'!$A$1:$C$11,2, FALSE)</f>
        <v>15</v>
      </c>
      <c r="L1590">
        <f>VLOOKUP(Table2[[#This Row],[Site]],'Site Info'!$A$1:$C$11,3, FALSE)</f>
        <v>12</v>
      </c>
      <c r="M1590" t="str">
        <f>VLOOKUP(Table2[[#This Row],[Species]],'Species Table'!$A$1:$D$68,3, FALSE)</f>
        <v>Perennial</v>
      </c>
      <c r="O1590" s="15">
        <f>IF(SUMPRODUCT(($A$2:$A1590=A1590)*($B$2:$B1590=B1590)*($F$2:$F1590=F1590))&gt;1,0,1)</f>
        <v>0</v>
      </c>
      <c r="P1590" s="15">
        <f>IF(SUMPRODUCT(($A$2:$A1590=A1590)*($B$2:$B1590=B1590)*($D$2:$D1590=D1590))&gt;1,0,1)</f>
        <v>1</v>
      </c>
    </row>
    <row r="1591" spans="1:16" hidden="1" x14ac:dyDescent="0.35">
      <c r="A1591" t="s">
        <v>18</v>
      </c>
      <c r="B1591">
        <v>2017</v>
      </c>
      <c r="C1591" s="1" t="s">
        <v>73</v>
      </c>
      <c r="D1591" s="6">
        <v>7.3</v>
      </c>
      <c r="E1591" s="6">
        <f>INT(Table2[[#This Row],[Transect]])</f>
        <v>7</v>
      </c>
      <c r="F1591" s="1" t="s">
        <v>10</v>
      </c>
      <c r="G1591">
        <v>1</v>
      </c>
      <c r="H1591">
        <f t="shared" si="9"/>
        <v>200</v>
      </c>
      <c r="I1591">
        <v>100</v>
      </c>
      <c r="J1591">
        <f>Table2[[#This Row],[Hits]]/Table2[[#This Row],[Points]]*100</f>
        <v>0.5</v>
      </c>
      <c r="K1591">
        <f>VLOOKUP(Table2[[#This Row],[Site]],'Site Info'!$A$1:$C$11,2, FALSE)</f>
        <v>15</v>
      </c>
      <c r="L1591">
        <f>VLOOKUP(Table2[[#This Row],[Site]],'Site Info'!$A$1:$C$11,3, FALSE)</f>
        <v>12</v>
      </c>
      <c r="M1591" t="str">
        <f>VLOOKUP(Table2[[#This Row],[Species]],'Species Table'!$A$1:$D$68,3, FALSE)</f>
        <v>Annual</v>
      </c>
      <c r="O1591" s="15">
        <f>IF(SUMPRODUCT(($A$2:$A1591=A1591)*($B$2:$B1591=B1591)*($F$2:$F1591=F1591))&gt;1,0,1)</f>
        <v>0</v>
      </c>
      <c r="P1591" s="15">
        <f>IF(SUMPRODUCT(($A$2:$A1591=A1591)*($B$2:$B1591=B1591)*($D$2:$D1591=D1591))&gt;1,0,1)</f>
        <v>0</v>
      </c>
    </row>
    <row r="1592" spans="1:16" hidden="1" x14ac:dyDescent="0.35">
      <c r="A1592" t="s">
        <v>18</v>
      </c>
      <c r="B1592">
        <v>2017</v>
      </c>
      <c r="C1592" s="1" t="s">
        <v>90</v>
      </c>
      <c r="D1592" s="6">
        <v>7.4</v>
      </c>
      <c r="E1592" s="6">
        <f>INT(Table2[[#This Row],[Transect]])</f>
        <v>7</v>
      </c>
      <c r="F1592" s="1" t="s">
        <v>10</v>
      </c>
      <c r="G1592">
        <v>2</v>
      </c>
      <c r="H1592">
        <f t="shared" si="9"/>
        <v>200</v>
      </c>
      <c r="I1592">
        <v>100</v>
      </c>
      <c r="J1592">
        <f>Table2[[#This Row],[Hits]]/Table2[[#This Row],[Points]]*100</f>
        <v>1</v>
      </c>
      <c r="K1592">
        <f>VLOOKUP(Table2[[#This Row],[Site]],'Site Info'!$A$1:$C$11,2, FALSE)</f>
        <v>15</v>
      </c>
      <c r="L1592">
        <f>VLOOKUP(Table2[[#This Row],[Site]],'Site Info'!$A$1:$C$11,3, FALSE)</f>
        <v>12</v>
      </c>
      <c r="M1592" t="str">
        <f>VLOOKUP(Table2[[#This Row],[Species]],'Species Table'!$A$1:$D$68,3, FALSE)</f>
        <v>Annual</v>
      </c>
      <c r="O1592" s="15">
        <f>IF(SUMPRODUCT(($A$2:$A1592=A1592)*($B$2:$B1592=B1592)*($F$2:$F1592=F1592))&gt;1,0,1)</f>
        <v>0</v>
      </c>
      <c r="P1592" s="15">
        <f>IF(SUMPRODUCT(($A$2:$A1592=A1592)*($B$2:$B1592=B1592)*($D$2:$D1592=D1592))&gt;1,0,1)</f>
        <v>1</v>
      </c>
    </row>
    <row r="1593" spans="1:16" x14ac:dyDescent="0.35">
      <c r="A1593" t="s">
        <v>18</v>
      </c>
      <c r="B1593">
        <v>2017</v>
      </c>
      <c r="C1593" s="1" t="s">
        <v>90</v>
      </c>
      <c r="D1593" s="6">
        <v>7.4</v>
      </c>
      <c r="E1593" s="6">
        <f>INT(Table2[[#This Row],[Transect]])</f>
        <v>7</v>
      </c>
      <c r="F1593" s="1" t="s">
        <v>11</v>
      </c>
      <c r="G1593">
        <v>30</v>
      </c>
      <c r="H1593">
        <f t="shared" si="9"/>
        <v>200</v>
      </c>
      <c r="I1593">
        <v>100</v>
      </c>
      <c r="J1593">
        <f>Table2[[#This Row],[Hits]]/Table2[[#This Row],[Points]]*100</f>
        <v>15</v>
      </c>
      <c r="K1593">
        <f>VLOOKUP(Table2[[#This Row],[Site]],'Site Info'!$A$1:$C$11,2, FALSE)</f>
        <v>15</v>
      </c>
      <c r="L1593">
        <f>VLOOKUP(Table2[[#This Row],[Site]],'Site Info'!$A$1:$C$11,3, FALSE)</f>
        <v>12</v>
      </c>
      <c r="M1593" t="str">
        <f>VLOOKUP(Table2[[#This Row],[Species]],'Species Table'!$A$1:$D$68,3, FALSE)</f>
        <v>Perennial</v>
      </c>
      <c r="O1593" s="15">
        <f>IF(SUMPRODUCT(($A$2:$A1593=A1593)*($B$2:$B1593=B1593)*($F$2:$F1593=F1593))&gt;1,0,1)</f>
        <v>0</v>
      </c>
      <c r="P1593" s="15">
        <f>IF(SUMPRODUCT(($A$2:$A1593=A1593)*($B$2:$B1593=B1593)*($D$2:$D1593=D1593))&gt;1,0,1)</f>
        <v>0</v>
      </c>
    </row>
    <row r="1594" spans="1:16" x14ac:dyDescent="0.35">
      <c r="A1594" t="s">
        <v>21</v>
      </c>
      <c r="B1594">
        <v>2017</v>
      </c>
      <c r="C1594" s="1" t="s">
        <v>162</v>
      </c>
      <c r="D1594" s="6">
        <v>1.1000000000000001</v>
      </c>
      <c r="E1594" s="6">
        <f>INT(Table2[[#This Row],[Transect]])</f>
        <v>1</v>
      </c>
      <c r="F1594" s="1" t="s">
        <v>3</v>
      </c>
      <c r="G1594">
        <v>2</v>
      </c>
      <c r="H1594">
        <f t="shared" si="9"/>
        <v>29</v>
      </c>
      <c r="I1594">
        <v>14.5</v>
      </c>
      <c r="J1594">
        <f>Table2[[#This Row],[Hits]]/Table2[[#This Row],[Points]]*100</f>
        <v>6.8965517241379306</v>
      </c>
      <c r="K1594">
        <f>VLOOKUP(Table2[[#This Row],[Site]],'Site Info'!$A$1:$C$11,2, FALSE)</f>
        <v>33</v>
      </c>
      <c r="L1594">
        <f>VLOOKUP(Table2[[#This Row],[Site]],'Site Info'!$A$1:$C$11,3, FALSE)</f>
        <v>3</v>
      </c>
      <c r="M1594" t="str">
        <f>VLOOKUP(Table2[[#This Row],[Species]],'Species Table'!$A$1:$D$68,3, FALSE)</f>
        <v>Perennial</v>
      </c>
      <c r="O1594" s="15">
        <f>IF(SUMPRODUCT(($A$2:$A1594=A1594)*($B$2:$B1594=B1594)*($F$2:$F1594=F1594))&gt;1,0,1)</f>
        <v>1</v>
      </c>
      <c r="P1594" s="15">
        <f>IF(SUMPRODUCT(($A$2:$A1594=A1594)*($B$2:$B1594=B1594)*($D$2:$D1594=D1594))&gt;1,0,1)</f>
        <v>1</v>
      </c>
    </row>
    <row r="1595" spans="1:16" hidden="1" x14ac:dyDescent="0.35">
      <c r="A1595" t="s">
        <v>21</v>
      </c>
      <c r="B1595">
        <v>2017</v>
      </c>
      <c r="C1595" s="1" t="s">
        <v>162</v>
      </c>
      <c r="D1595" s="6">
        <v>1.1000000000000001</v>
      </c>
      <c r="E1595" s="6">
        <f>INT(Table2[[#This Row],[Transect]])</f>
        <v>1</v>
      </c>
      <c r="F1595" s="1" t="s">
        <v>10</v>
      </c>
      <c r="G1595">
        <v>4</v>
      </c>
      <c r="H1595">
        <f t="shared" si="9"/>
        <v>29</v>
      </c>
      <c r="I1595">
        <v>14.5</v>
      </c>
      <c r="J1595">
        <f>Table2[[#This Row],[Hits]]/Table2[[#This Row],[Points]]*100</f>
        <v>13.793103448275861</v>
      </c>
      <c r="K1595">
        <f>VLOOKUP(Table2[[#This Row],[Site]],'Site Info'!$A$1:$C$11,2, FALSE)</f>
        <v>33</v>
      </c>
      <c r="L1595">
        <f>VLOOKUP(Table2[[#This Row],[Site]],'Site Info'!$A$1:$C$11,3, FALSE)</f>
        <v>3</v>
      </c>
      <c r="M1595" t="str">
        <f>VLOOKUP(Table2[[#This Row],[Species]],'Species Table'!$A$1:$D$68,3, FALSE)</f>
        <v>Annual</v>
      </c>
      <c r="O1595" s="15">
        <f>IF(SUMPRODUCT(($A$2:$A1595=A1595)*($B$2:$B1595=B1595)*($F$2:$F1595=F1595))&gt;1,0,1)</f>
        <v>1</v>
      </c>
      <c r="P1595" s="15">
        <f>IF(SUMPRODUCT(($A$2:$A1595=A1595)*($B$2:$B1595=B1595)*($D$2:$D1595=D1595))&gt;1,0,1)</f>
        <v>0</v>
      </c>
    </row>
    <row r="1596" spans="1:16" x14ac:dyDescent="0.35">
      <c r="A1596" t="s">
        <v>21</v>
      </c>
      <c r="B1596">
        <v>2017</v>
      </c>
      <c r="C1596" s="1" t="s">
        <v>163</v>
      </c>
      <c r="D1596" s="6">
        <v>2.1</v>
      </c>
      <c r="E1596" s="6">
        <f>INT(Table2[[#This Row],[Transect]])</f>
        <v>2</v>
      </c>
      <c r="F1596" s="1" t="s">
        <v>3</v>
      </c>
      <c r="G1596">
        <v>2</v>
      </c>
      <c r="H1596">
        <f t="shared" si="9"/>
        <v>32</v>
      </c>
      <c r="I1596">
        <v>16</v>
      </c>
      <c r="J1596">
        <f>Table2[[#This Row],[Hits]]/Table2[[#This Row],[Points]]*100</f>
        <v>6.25</v>
      </c>
      <c r="K1596">
        <f>VLOOKUP(Table2[[#This Row],[Site]],'Site Info'!$A$1:$C$11,2, FALSE)</f>
        <v>33</v>
      </c>
      <c r="L1596">
        <f>VLOOKUP(Table2[[#This Row],[Site]],'Site Info'!$A$1:$C$11,3, FALSE)</f>
        <v>3</v>
      </c>
      <c r="M1596" t="str">
        <f>VLOOKUP(Table2[[#This Row],[Species]],'Species Table'!$A$1:$D$68,3, FALSE)</f>
        <v>Perennial</v>
      </c>
      <c r="O1596" s="15">
        <f>IF(SUMPRODUCT(($A$2:$A1596=A1596)*($B$2:$B1596=B1596)*($F$2:$F1596=F1596))&gt;1,0,1)</f>
        <v>0</v>
      </c>
      <c r="P1596" s="15">
        <f>IF(SUMPRODUCT(($A$2:$A1596=A1596)*($B$2:$B1596=B1596)*($D$2:$D1596=D1596))&gt;1,0,1)</f>
        <v>1</v>
      </c>
    </row>
    <row r="1597" spans="1:16" hidden="1" x14ac:dyDescent="0.35">
      <c r="A1597" t="s">
        <v>21</v>
      </c>
      <c r="B1597">
        <v>2017</v>
      </c>
      <c r="C1597" s="1" t="s">
        <v>163</v>
      </c>
      <c r="D1597" s="6">
        <v>2.1</v>
      </c>
      <c r="E1597" s="6">
        <f>INT(Table2[[#This Row],[Transect]])</f>
        <v>2</v>
      </c>
      <c r="F1597" s="1" t="s">
        <v>10</v>
      </c>
      <c r="G1597">
        <v>2</v>
      </c>
      <c r="H1597">
        <f t="shared" si="9"/>
        <v>32</v>
      </c>
      <c r="I1597">
        <v>16</v>
      </c>
      <c r="J1597">
        <f>Table2[[#This Row],[Hits]]/Table2[[#This Row],[Points]]*100</f>
        <v>6.25</v>
      </c>
      <c r="K1597">
        <f>VLOOKUP(Table2[[#This Row],[Site]],'Site Info'!$A$1:$C$11,2, FALSE)</f>
        <v>33</v>
      </c>
      <c r="L1597">
        <f>VLOOKUP(Table2[[#This Row],[Site]],'Site Info'!$A$1:$C$11,3, FALSE)</f>
        <v>3</v>
      </c>
      <c r="M1597" t="str">
        <f>VLOOKUP(Table2[[#This Row],[Species]],'Species Table'!$A$1:$D$68,3, FALSE)</f>
        <v>Annual</v>
      </c>
      <c r="O1597" s="15">
        <f>IF(SUMPRODUCT(($A$2:$A1597=A1597)*($B$2:$B1597=B1597)*($F$2:$F1597=F1597))&gt;1,0,1)</f>
        <v>0</v>
      </c>
      <c r="P1597" s="15">
        <f>IF(SUMPRODUCT(($A$2:$A1597=A1597)*($B$2:$B1597=B1597)*($D$2:$D1597=D1597))&gt;1,0,1)</f>
        <v>0</v>
      </c>
    </row>
    <row r="1598" spans="1:16" hidden="1" x14ac:dyDescent="0.35">
      <c r="A1598" t="s">
        <v>21</v>
      </c>
      <c r="B1598">
        <v>2017</v>
      </c>
      <c r="C1598" s="1" t="s">
        <v>163</v>
      </c>
      <c r="D1598" s="6">
        <v>2.1</v>
      </c>
      <c r="E1598" s="6">
        <f>INT(Table2[[#This Row],[Transect]])</f>
        <v>2</v>
      </c>
      <c r="F1598" s="1" t="s">
        <v>33</v>
      </c>
      <c r="G1598">
        <v>1</v>
      </c>
      <c r="H1598">
        <f t="shared" si="9"/>
        <v>32</v>
      </c>
      <c r="I1598">
        <v>16</v>
      </c>
      <c r="J1598">
        <f>Table2[[#This Row],[Hits]]/Table2[[#This Row],[Points]]*100</f>
        <v>3.125</v>
      </c>
      <c r="K1598">
        <f>VLOOKUP(Table2[[#This Row],[Site]],'Site Info'!$A$1:$C$11,2, FALSE)</f>
        <v>33</v>
      </c>
      <c r="L1598">
        <f>VLOOKUP(Table2[[#This Row],[Site]],'Site Info'!$A$1:$C$11,3, FALSE)</f>
        <v>3</v>
      </c>
      <c r="M1598" t="str">
        <f>VLOOKUP(Table2[[#This Row],[Species]],'Species Table'!$A$1:$D$68,3, FALSE)</f>
        <v>Annual</v>
      </c>
      <c r="O1598" s="15">
        <f>IF(SUMPRODUCT(($A$2:$A1598=A1598)*($B$2:$B1598=B1598)*($F$2:$F1598=F1598))&gt;1,0,1)</f>
        <v>1</v>
      </c>
      <c r="P1598" s="15">
        <f>IF(SUMPRODUCT(($A$2:$A1598=A1598)*($B$2:$B1598=B1598)*($D$2:$D1598=D1598))&gt;1,0,1)</f>
        <v>0</v>
      </c>
    </row>
    <row r="1599" spans="1:16" x14ac:dyDescent="0.35">
      <c r="A1599" t="s">
        <v>21</v>
      </c>
      <c r="B1599">
        <v>2017</v>
      </c>
      <c r="C1599" s="1" t="s">
        <v>164</v>
      </c>
      <c r="D1599" s="6">
        <v>3.1</v>
      </c>
      <c r="E1599" s="6">
        <f>INT(Table2[[#This Row],[Transect]])</f>
        <v>3</v>
      </c>
      <c r="F1599" s="1" t="s">
        <v>14</v>
      </c>
      <c r="G1599">
        <v>4</v>
      </c>
      <c r="H1599">
        <f t="shared" si="9"/>
        <v>35</v>
      </c>
      <c r="I1599">
        <v>17.5</v>
      </c>
      <c r="J1599">
        <f>Table2[[#This Row],[Hits]]/Table2[[#This Row],[Points]]*100</f>
        <v>11.428571428571429</v>
      </c>
      <c r="K1599">
        <f>VLOOKUP(Table2[[#This Row],[Site]],'Site Info'!$A$1:$C$11,2, FALSE)</f>
        <v>33</v>
      </c>
      <c r="L1599">
        <f>VLOOKUP(Table2[[#This Row],[Site]],'Site Info'!$A$1:$C$11,3, FALSE)</f>
        <v>3</v>
      </c>
      <c r="M1599" t="str">
        <f>VLOOKUP(Table2[[#This Row],[Species]],'Species Table'!$A$1:$D$68,3, FALSE)</f>
        <v>Perennial</v>
      </c>
      <c r="O1599" s="15">
        <f>IF(SUMPRODUCT(($A$2:$A1599=A1599)*($B$2:$B1599=B1599)*($F$2:$F1599=F1599))&gt;1,0,1)</f>
        <v>1</v>
      </c>
      <c r="P1599" s="15">
        <f>IF(SUMPRODUCT(($A$2:$A1599=A1599)*($B$2:$B1599=B1599)*($D$2:$D1599=D1599))&gt;1,0,1)</f>
        <v>1</v>
      </c>
    </row>
    <row r="1600" spans="1:16" hidden="1" x14ac:dyDescent="0.35">
      <c r="A1600" t="s">
        <v>21</v>
      </c>
      <c r="B1600">
        <v>2017</v>
      </c>
      <c r="C1600" s="1" t="s">
        <v>165</v>
      </c>
      <c r="D1600" s="6">
        <v>4.0999999999999996</v>
      </c>
      <c r="E1600" s="6">
        <f>INT(Table2[[#This Row],[Transect]])</f>
        <v>4</v>
      </c>
      <c r="F1600" s="1" t="s">
        <v>10</v>
      </c>
      <c r="G1600">
        <v>6</v>
      </c>
      <c r="H1600">
        <f t="shared" si="9"/>
        <v>39</v>
      </c>
      <c r="I1600">
        <v>19.5</v>
      </c>
      <c r="J1600">
        <f>Table2[[#This Row],[Hits]]/Table2[[#This Row],[Points]]*100</f>
        <v>15.384615384615385</v>
      </c>
      <c r="K1600">
        <f>VLOOKUP(Table2[[#This Row],[Site]],'Site Info'!$A$1:$C$11,2, FALSE)</f>
        <v>33</v>
      </c>
      <c r="L1600">
        <f>VLOOKUP(Table2[[#This Row],[Site]],'Site Info'!$A$1:$C$11,3, FALSE)</f>
        <v>3</v>
      </c>
      <c r="M1600" t="str">
        <f>VLOOKUP(Table2[[#This Row],[Species]],'Species Table'!$A$1:$D$68,3, FALSE)</f>
        <v>Annual</v>
      </c>
      <c r="O1600" s="15">
        <f>IF(SUMPRODUCT(($A$2:$A1600=A1600)*($B$2:$B1600=B1600)*($F$2:$F1600=F1600))&gt;1,0,1)</f>
        <v>0</v>
      </c>
      <c r="P1600" s="15">
        <f>IF(SUMPRODUCT(($A$2:$A1600=A1600)*($B$2:$B1600=B1600)*($D$2:$D1600=D1600))&gt;1,0,1)</f>
        <v>1</v>
      </c>
    </row>
    <row r="1601" spans="1:16" hidden="1" x14ac:dyDescent="0.35">
      <c r="A1601" t="s">
        <v>21</v>
      </c>
      <c r="B1601">
        <v>2017</v>
      </c>
      <c r="C1601" s="1" t="s">
        <v>177</v>
      </c>
      <c r="D1601" s="6">
        <v>5.0999999999999996</v>
      </c>
      <c r="E1601" s="6">
        <f>INT(Table2[[#This Row],[Transect]])</f>
        <v>5</v>
      </c>
      <c r="F1601" s="1" t="s">
        <v>10</v>
      </c>
      <c r="G1601">
        <v>3</v>
      </c>
      <c r="H1601">
        <f t="shared" si="9"/>
        <v>42</v>
      </c>
      <c r="I1601">
        <v>21</v>
      </c>
      <c r="J1601">
        <f>Table2[[#This Row],[Hits]]/Table2[[#This Row],[Points]]*100</f>
        <v>7.1428571428571423</v>
      </c>
      <c r="K1601">
        <f>VLOOKUP(Table2[[#This Row],[Site]],'Site Info'!$A$1:$C$11,2, FALSE)</f>
        <v>33</v>
      </c>
      <c r="L1601">
        <f>VLOOKUP(Table2[[#This Row],[Site]],'Site Info'!$A$1:$C$11,3, FALSE)</f>
        <v>3</v>
      </c>
      <c r="M1601" t="str">
        <f>VLOOKUP(Table2[[#This Row],[Species]],'Species Table'!$A$1:$D$68,3, FALSE)</f>
        <v>Annual</v>
      </c>
      <c r="O1601" s="15">
        <f>IF(SUMPRODUCT(($A$2:$A1601=A1601)*($B$2:$B1601=B1601)*($F$2:$F1601=F1601))&gt;1,0,1)</f>
        <v>0</v>
      </c>
      <c r="P1601" s="15">
        <f>IF(SUMPRODUCT(($A$2:$A1601=A1601)*($B$2:$B1601=B1601)*($D$2:$D1601=D1601))&gt;1,0,1)</f>
        <v>1</v>
      </c>
    </row>
    <row r="1602" spans="1:16" x14ac:dyDescent="0.35">
      <c r="A1602" t="s">
        <v>21</v>
      </c>
      <c r="B1602">
        <v>2017</v>
      </c>
      <c r="C1602" s="1" t="s">
        <v>177</v>
      </c>
      <c r="D1602" s="6">
        <v>5.0999999999999996</v>
      </c>
      <c r="E1602" s="6">
        <f>INT(Table2[[#This Row],[Transect]])</f>
        <v>5</v>
      </c>
      <c r="F1602" s="1" t="s">
        <v>14</v>
      </c>
      <c r="G1602">
        <v>5</v>
      </c>
      <c r="H1602">
        <f t="shared" si="9"/>
        <v>42</v>
      </c>
      <c r="I1602">
        <v>21</v>
      </c>
      <c r="J1602">
        <f>Table2[[#This Row],[Hits]]/Table2[[#This Row],[Points]]*100</f>
        <v>11.904761904761903</v>
      </c>
      <c r="K1602">
        <f>VLOOKUP(Table2[[#This Row],[Site]],'Site Info'!$A$1:$C$11,2, FALSE)</f>
        <v>33</v>
      </c>
      <c r="L1602">
        <f>VLOOKUP(Table2[[#This Row],[Site]],'Site Info'!$A$1:$C$11,3, FALSE)</f>
        <v>3</v>
      </c>
      <c r="M1602" t="str">
        <f>VLOOKUP(Table2[[#This Row],[Species]],'Species Table'!$A$1:$D$68,3, FALSE)</f>
        <v>Perennial</v>
      </c>
      <c r="O1602" s="15">
        <f>IF(SUMPRODUCT(($A$2:$A1602=A1602)*($B$2:$B1602=B1602)*($F$2:$F1602=F1602))&gt;1,0,1)</f>
        <v>0</v>
      </c>
      <c r="P1602" s="15">
        <f>IF(SUMPRODUCT(($A$2:$A1602=A1602)*($B$2:$B1602=B1602)*($D$2:$D1602=D1602))&gt;1,0,1)</f>
        <v>0</v>
      </c>
    </row>
    <row r="1603" spans="1:16" x14ac:dyDescent="0.35">
      <c r="A1603" t="s">
        <v>21</v>
      </c>
      <c r="B1603">
        <v>2017</v>
      </c>
      <c r="C1603" s="1" t="s">
        <v>177</v>
      </c>
      <c r="D1603" s="6">
        <v>5.0999999999999996</v>
      </c>
      <c r="E1603" s="6">
        <f>INT(Table2[[#This Row],[Transect]])</f>
        <v>5</v>
      </c>
      <c r="F1603" s="1" t="s">
        <v>3</v>
      </c>
      <c r="G1603">
        <v>1</v>
      </c>
      <c r="H1603">
        <f t="shared" si="9"/>
        <v>42</v>
      </c>
      <c r="I1603">
        <v>21</v>
      </c>
      <c r="J1603">
        <f>Table2[[#This Row],[Hits]]/Table2[[#This Row],[Points]]*100</f>
        <v>2.3809523809523809</v>
      </c>
      <c r="K1603">
        <f>VLOOKUP(Table2[[#This Row],[Site]],'Site Info'!$A$1:$C$11,2, FALSE)</f>
        <v>33</v>
      </c>
      <c r="L1603">
        <f>VLOOKUP(Table2[[#This Row],[Site]],'Site Info'!$A$1:$C$11,3, FALSE)</f>
        <v>3</v>
      </c>
      <c r="M1603" t="str">
        <f>VLOOKUP(Table2[[#This Row],[Species]],'Species Table'!$A$1:$D$68,3, FALSE)</f>
        <v>Perennial</v>
      </c>
      <c r="O1603" s="15">
        <f>IF(SUMPRODUCT(($A$2:$A1603=A1603)*($B$2:$B1603=B1603)*($F$2:$F1603=F1603))&gt;1,0,1)</f>
        <v>0</v>
      </c>
      <c r="P1603" s="15">
        <f>IF(SUMPRODUCT(($A$2:$A1603=A1603)*($B$2:$B1603=B1603)*($D$2:$D1603=D1603))&gt;1,0,1)</f>
        <v>0</v>
      </c>
    </row>
    <row r="1604" spans="1:16" hidden="1" x14ac:dyDescent="0.35">
      <c r="A1604" t="s">
        <v>21</v>
      </c>
      <c r="B1604">
        <v>2017</v>
      </c>
      <c r="C1604" s="1" t="s">
        <v>178</v>
      </c>
      <c r="D1604" s="6">
        <v>6.1</v>
      </c>
      <c r="E1604" s="6">
        <f>INT(Table2[[#This Row],[Transect]])</f>
        <v>6</v>
      </c>
      <c r="F1604" s="1" t="s">
        <v>10</v>
      </c>
      <c r="G1604">
        <v>7</v>
      </c>
      <c r="H1604">
        <f t="shared" si="9"/>
        <v>47</v>
      </c>
      <c r="I1604">
        <v>23.5</v>
      </c>
      <c r="J1604">
        <f>Table2[[#This Row],[Hits]]/Table2[[#This Row],[Points]]*100</f>
        <v>14.893617021276595</v>
      </c>
      <c r="K1604">
        <f>VLOOKUP(Table2[[#This Row],[Site]],'Site Info'!$A$1:$C$11,2, FALSE)</f>
        <v>33</v>
      </c>
      <c r="L1604">
        <f>VLOOKUP(Table2[[#This Row],[Site]],'Site Info'!$A$1:$C$11,3, FALSE)</f>
        <v>3</v>
      </c>
      <c r="M1604" t="str">
        <f>VLOOKUP(Table2[[#This Row],[Species]],'Species Table'!$A$1:$D$68,3, FALSE)</f>
        <v>Annual</v>
      </c>
      <c r="O1604" s="15">
        <f>IF(SUMPRODUCT(($A$2:$A1604=A1604)*($B$2:$B1604=B1604)*($F$2:$F1604=F1604))&gt;1,0,1)</f>
        <v>0</v>
      </c>
      <c r="P1604" s="15">
        <f>IF(SUMPRODUCT(($A$2:$A1604=A1604)*($B$2:$B1604=B1604)*($D$2:$D1604=D1604))&gt;1,0,1)</f>
        <v>1</v>
      </c>
    </row>
    <row r="1605" spans="1:16" x14ac:dyDescent="0.35">
      <c r="A1605" t="s">
        <v>21</v>
      </c>
      <c r="B1605">
        <v>2017</v>
      </c>
      <c r="C1605" s="1" t="s">
        <v>178</v>
      </c>
      <c r="D1605" s="6">
        <v>6.1</v>
      </c>
      <c r="E1605" s="6">
        <f>INT(Table2[[#This Row],[Transect]])</f>
        <v>6</v>
      </c>
      <c r="F1605" s="1" t="s">
        <v>3</v>
      </c>
      <c r="G1605">
        <v>1</v>
      </c>
      <c r="H1605">
        <f t="shared" si="9"/>
        <v>47</v>
      </c>
      <c r="I1605">
        <v>23.5</v>
      </c>
      <c r="J1605">
        <f>Table2[[#This Row],[Hits]]/Table2[[#This Row],[Points]]*100</f>
        <v>2.1276595744680851</v>
      </c>
      <c r="K1605">
        <f>VLOOKUP(Table2[[#This Row],[Site]],'Site Info'!$A$1:$C$11,2, FALSE)</f>
        <v>33</v>
      </c>
      <c r="L1605">
        <f>VLOOKUP(Table2[[#This Row],[Site]],'Site Info'!$A$1:$C$11,3, FALSE)</f>
        <v>3</v>
      </c>
      <c r="M1605" t="str">
        <f>VLOOKUP(Table2[[#This Row],[Species]],'Species Table'!$A$1:$D$68,3, FALSE)</f>
        <v>Perennial</v>
      </c>
      <c r="O1605" s="15">
        <f>IF(SUMPRODUCT(($A$2:$A1605=A1605)*($B$2:$B1605=B1605)*($F$2:$F1605=F1605))&gt;1,0,1)</f>
        <v>0</v>
      </c>
      <c r="P1605" s="15">
        <f>IF(SUMPRODUCT(($A$2:$A1605=A1605)*($B$2:$B1605=B1605)*($D$2:$D1605=D1605))&gt;1,0,1)</f>
        <v>0</v>
      </c>
    </row>
    <row r="1606" spans="1:16" x14ac:dyDescent="0.35">
      <c r="A1606" t="s">
        <v>21</v>
      </c>
      <c r="B1606">
        <v>2017</v>
      </c>
      <c r="C1606" s="1" t="s">
        <v>179</v>
      </c>
      <c r="D1606" s="6">
        <v>7.1</v>
      </c>
      <c r="E1606" s="6">
        <f>INT(Table2[[#This Row],[Transect]])</f>
        <v>7</v>
      </c>
      <c r="F1606" s="1" t="s">
        <v>2</v>
      </c>
      <c r="G1606">
        <v>2</v>
      </c>
      <c r="H1606">
        <f t="shared" si="9"/>
        <v>50</v>
      </c>
      <c r="I1606">
        <v>25</v>
      </c>
      <c r="J1606">
        <f>Table2[[#This Row],[Hits]]/Table2[[#This Row],[Points]]*100</f>
        <v>4</v>
      </c>
      <c r="K1606">
        <f>VLOOKUP(Table2[[#This Row],[Site]],'Site Info'!$A$1:$C$11,2, FALSE)</f>
        <v>33</v>
      </c>
      <c r="L1606">
        <f>VLOOKUP(Table2[[#This Row],[Site]],'Site Info'!$A$1:$C$11,3, FALSE)</f>
        <v>3</v>
      </c>
      <c r="M1606" t="str">
        <f>VLOOKUP(Table2[[#This Row],[Species]],'Species Table'!$A$1:$D$68,3, FALSE)</f>
        <v>Perennial</v>
      </c>
      <c r="O1606" s="15">
        <f>IF(SUMPRODUCT(($A$2:$A1606=A1606)*($B$2:$B1606=B1606)*($F$2:$F1606=F1606))&gt;1,0,1)</f>
        <v>1</v>
      </c>
      <c r="P1606" s="15">
        <f>IF(SUMPRODUCT(($A$2:$A1606=A1606)*($B$2:$B1606=B1606)*($D$2:$D1606=D1606))&gt;1,0,1)</f>
        <v>1</v>
      </c>
    </row>
    <row r="1607" spans="1:16" hidden="1" x14ac:dyDescent="0.35">
      <c r="A1607" t="s">
        <v>21</v>
      </c>
      <c r="B1607">
        <v>2017</v>
      </c>
      <c r="C1607" s="1" t="s">
        <v>179</v>
      </c>
      <c r="D1607" s="6">
        <v>7.1</v>
      </c>
      <c r="E1607" s="6">
        <f>INT(Table2[[#This Row],[Transect]])</f>
        <v>7</v>
      </c>
      <c r="F1607" s="1" t="s">
        <v>210</v>
      </c>
      <c r="G1607">
        <v>1</v>
      </c>
      <c r="H1607">
        <f t="shared" si="9"/>
        <v>50</v>
      </c>
      <c r="I1607">
        <v>25</v>
      </c>
      <c r="J1607">
        <f>Table2[[#This Row],[Hits]]/Table2[[#This Row],[Points]]*100</f>
        <v>2</v>
      </c>
      <c r="K1607">
        <f>VLOOKUP(Table2[[#This Row],[Site]],'Site Info'!$A$1:$C$11,2, FALSE)</f>
        <v>33</v>
      </c>
      <c r="L1607">
        <f>VLOOKUP(Table2[[#This Row],[Site]],'Site Info'!$A$1:$C$11,3, FALSE)</f>
        <v>3</v>
      </c>
      <c r="M1607" t="str">
        <f>VLOOKUP(Table2[[#This Row],[Species]],'Species Table'!$A$1:$D$68,3, FALSE)</f>
        <v>Annual</v>
      </c>
      <c r="O1607" s="15">
        <f>IF(SUMPRODUCT(($A$2:$A1607=A1607)*($B$2:$B1607=B1607)*($F$2:$F1607=F1607))&gt;1,0,1)</f>
        <v>1</v>
      </c>
      <c r="P1607" s="15">
        <f>IF(SUMPRODUCT(($A$2:$A1607=A1607)*($B$2:$B1607=B1607)*($D$2:$D1607=D1607))&gt;1,0,1)</f>
        <v>0</v>
      </c>
    </row>
    <row r="1608" spans="1:16" hidden="1" x14ac:dyDescent="0.35">
      <c r="A1608" t="s">
        <v>21</v>
      </c>
      <c r="B1608">
        <v>2017</v>
      </c>
      <c r="C1608" s="1" t="s">
        <v>179</v>
      </c>
      <c r="D1608" s="6">
        <v>7.1</v>
      </c>
      <c r="E1608" s="6">
        <f>INT(Table2[[#This Row],[Transect]])</f>
        <v>7</v>
      </c>
      <c r="F1608" s="1" t="s">
        <v>10</v>
      </c>
      <c r="G1608">
        <v>1</v>
      </c>
      <c r="H1608">
        <f t="shared" si="9"/>
        <v>50</v>
      </c>
      <c r="I1608">
        <v>25</v>
      </c>
      <c r="J1608">
        <f>Table2[[#This Row],[Hits]]/Table2[[#This Row],[Points]]*100</f>
        <v>2</v>
      </c>
      <c r="K1608">
        <f>VLOOKUP(Table2[[#This Row],[Site]],'Site Info'!$A$1:$C$11,2, FALSE)</f>
        <v>33</v>
      </c>
      <c r="L1608">
        <f>VLOOKUP(Table2[[#This Row],[Site]],'Site Info'!$A$1:$C$11,3, FALSE)</f>
        <v>3</v>
      </c>
      <c r="M1608" t="str">
        <f>VLOOKUP(Table2[[#This Row],[Species]],'Species Table'!$A$1:$D$68,3, FALSE)</f>
        <v>Annual</v>
      </c>
      <c r="O1608" s="15">
        <f>IF(SUMPRODUCT(($A$2:$A1608=A1608)*($B$2:$B1608=B1608)*($F$2:$F1608=F1608))&gt;1,0,1)</f>
        <v>0</v>
      </c>
      <c r="P1608" s="15">
        <f>IF(SUMPRODUCT(($A$2:$A1608=A1608)*($B$2:$B1608=B1608)*($D$2:$D1608=D1608))&gt;1,0,1)</f>
        <v>0</v>
      </c>
    </row>
    <row r="1609" spans="1:16" hidden="1" x14ac:dyDescent="0.35">
      <c r="A1609" t="s">
        <v>21</v>
      </c>
      <c r="B1609">
        <v>2017</v>
      </c>
      <c r="C1609" s="1" t="s">
        <v>180</v>
      </c>
      <c r="D1609" s="6">
        <v>8.1</v>
      </c>
      <c r="E1609" s="6">
        <f>INT(Table2[[#This Row],[Transect]])</f>
        <v>8</v>
      </c>
      <c r="F1609" s="1" t="s">
        <v>10</v>
      </c>
      <c r="G1609">
        <v>5</v>
      </c>
      <c r="H1609">
        <f t="shared" si="9"/>
        <v>54</v>
      </c>
      <c r="I1609">
        <v>27</v>
      </c>
      <c r="J1609">
        <f>Table2[[#This Row],[Hits]]/Table2[[#This Row],[Points]]*100</f>
        <v>9.2592592592592595</v>
      </c>
      <c r="K1609">
        <f>VLOOKUP(Table2[[#This Row],[Site]],'Site Info'!$A$1:$C$11,2, FALSE)</f>
        <v>33</v>
      </c>
      <c r="L1609">
        <f>VLOOKUP(Table2[[#This Row],[Site]],'Site Info'!$A$1:$C$11,3, FALSE)</f>
        <v>3</v>
      </c>
      <c r="M1609" t="str">
        <f>VLOOKUP(Table2[[#This Row],[Species]],'Species Table'!$A$1:$D$68,3, FALSE)</f>
        <v>Annual</v>
      </c>
      <c r="N1609" s="4" t="s">
        <v>216</v>
      </c>
      <c r="O1609" s="15">
        <f>IF(SUMPRODUCT(($A$2:$A1609=A1609)*($B$2:$B1609=B1609)*($F$2:$F1609=F1609))&gt;1,0,1)</f>
        <v>0</v>
      </c>
      <c r="P1609" s="15">
        <f>IF(SUMPRODUCT(($A$2:$A1609=A1609)*($B$2:$B1609=B1609)*($D$2:$D1609=D1609))&gt;1,0,1)</f>
        <v>1</v>
      </c>
    </row>
    <row r="1610" spans="1:16" x14ac:dyDescent="0.35">
      <c r="A1610" t="s">
        <v>21</v>
      </c>
      <c r="B1610">
        <v>2017</v>
      </c>
      <c r="C1610" s="1" t="s">
        <v>180</v>
      </c>
      <c r="D1610" s="6">
        <v>8.1</v>
      </c>
      <c r="E1610" s="6">
        <f>INT(Table2[[#This Row],[Transect]])</f>
        <v>8</v>
      </c>
      <c r="F1610" s="1" t="s">
        <v>5</v>
      </c>
      <c r="G1610">
        <v>1</v>
      </c>
      <c r="H1610">
        <f t="shared" si="9"/>
        <v>54</v>
      </c>
      <c r="I1610">
        <v>27</v>
      </c>
      <c r="J1610">
        <f>Table2[[#This Row],[Hits]]/Table2[[#This Row],[Points]]*100</f>
        <v>1.8518518518518516</v>
      </c>
      <c r="K1610">
        <f>VLOOKUP(Table2[[#This Row],[Site]],'Site Info'!$A$1:$C$11,2, FALSE)</f>
        <v>33</v>
      </c>
      <c r="L1610">
        <f>VLOOKUP(Table2[[#This Row],[Site]],'Site Info'!$A$1:$C$11,3, FALSE)</f>
        <v>3</v>
      </c>
      <c r="M1610" t="str">
        <f>VLOOKUP(Table2[[#This Row],[Species]],'Species Table'!$A$1:$D$68,3, FALSE)</f>
        <v>Perennial</v>
      </c>
      <c r="N1610" s="4" t="s">
        <v>216</v>
      </c>
      <c r="O1610" s="15">
        <f>IF(SUMPRODUCT(($A$2:$A1610=A1610)*($B$2:$B1610=B1610)*($F$2:$F1610=F1610))&gt;1,0,1)</f>
        <v>1</v>
      </c>
      <c r="P1610" s="15">
        <f>IF(SUMPRODUCT(($A$2:$A1610=A1610)*($B$2:$B1610=B1610)*($D$2:$D1610=D1610))&gt;1,0,1)</f>
        <v>0</v>
      </c>
    </row>
    <row r="1611" spans="1:16" x14ac:dyDescent="0.35">
      <c r="A1611" t="s">
        <v>21</v>
      </c>
      <c r="B1611">
        <v>2017</v>
      </c>
      <c r="C1611" s="1" t="s">
        <v>180</v>
      </c>
      <c r="D1611" s="6">
        <v>8.1</v>
      </c>
      <c r="E1611" s="6">
        <f>INT(Table2[[#This Row],[Transect]])</f>
        <v>8</v>
      </c>
      <c r="F1611" s="1" t="s">
        <v>2</v>
      </c>
      <c r="G1611">
        <v>1</v>
      </c>
      <c r="H1611">
        <f t="shared" si="9"/>
        <v>54</v>
      </c>
      <c r="I1611">
        <v>27</v>
      </c>
      <c r="J1611">
        <f>Table2[[#This Row],[Hits]]/Table2[[#This Row],[Points]]*100</f>
        <v>1.8518518518518516</v>
      </c>
      <c r="K1611">
        <f>VLOOKUP(Table2[[#This Row],[Site]],'Site Info'!$A$1:$C$11,2, FALSE)</f>
        <v>33</v>
      </c>
      <c r="L1611">
        <f>VLOOKUP(Table2[[#This Row],[Site]],'Site Info'!$A$1:$C$11,3, FALSE)</f>
        <v>3</v>
      </c>
      <c r="M1611" t="str">
        <f>VLOOKUP(Table2[[#This Row],[Species]],'Species Table'!$A$1:$D$68,3, FALSE)</f>
        <v>Perennial</v>
      </c>
      <c r="N1611" s="4" t="s">
        <v>216</v>
      </c>
      <c r="O1611" s="15">
        <f>IF(SUMPRODUCT(($A$2:$A1611=A1611)*($B$2:$B1611=B1611)*($F$2:$F1611=F1611))&gt;1,0,1)</f>
        <v>0</v>
      </c>
      <c r="P1611" s="15">
        <f>IF(SUMPRODUCT(($A$2:$A1611=A1611)*($B$2:$B1611=B1611)*($D$2:$D1611=D1611))&gt;1,0,1)</f>
        <v>0</v>
      </c>
    </row>
    <row r="1612" spans="1:16" hidden="1" x14ac:dyDescent="0.35">
      <c r="A1612" t="s">
        <v>21</v>
      </c>
      <c r="B1612">
        <v>2017</v>
      </c>
      <c r="C1612" s="1" t="s">
        <v>182</v>
      </c>
      <c r="D1612" s="6">
        <v>9.1</v>
      </c>
      <c r="E1612" s="6">
        <f>INT(Table2[[#This Row],[Transect]])</f>
        <v>9</v>
      </c>
      <c r="F1612" s="1" t="s">
        <v>210</v>
      </c>
      <c r="G1612">
        <v>1</v>
      </c>
      <c r="H1612">
        <f t="shared" si="9"/>
        <v>52</v>
      </c>
      <c r="I1612">
        <v>26</v>
      </c>
      <c r="J1612">
        <f>Table2[[#This Row],[Hits]]/Table2[[#This Row],[Points]]*100</f>
        <v>1.9230769230769231</v>
      </c>
      <c r="K1612">
        <f>VLOOKUP(Table2[[#This Row],[Site]],'Site Info'!$A$1:$C$11,2, FALSE)</f>
        <v>33</v>
      </c>
      <c r="L1612">
        <f>VLOOKUP(Table2[[#This Row],[Site]],'Site Info'!$A$1:$C$11,3, FALSE)</f>
        <v>3</v>
      </c>
      <c r="M1612" t="str">
        <f>VLOOKUP(Table2[[#This Row],[Species]],'Species Table'!$A$1:$D$68,3, FALSE)</f>
        <v>Annual</v>
      </c>
      <c r="N1612" s="4" t="s">
        <v>217</v>
      </c>
      <c r="O1612" s="15">
        <f>IF(SUMPRODUCT(($A$2:$A1612=A1612)*($B$2:$B1612=B1612)*($F$2:$F1612=F1612))&gt;1,0,1)</f>
        <v>0</v>
      </c>
      <c r="P1612" s="15">
        <f>IF(SUMPRODUCT(($A$2:$A1612=A1612)*($B$2:$B1612=B1612)*($D$2:$D1612=D1612))&gt;1,0,1)</f>
        <v>1</v>
      </c>
    </row>
    <row r="1613" spans="1:16" hidden="1" x14ac:dyDescent="0.35">
      <c r="A1613" t="s">
        <v>21</v>
      </c>
      <c r="B1613">
        <v>2017</v>
      </c>
      <c r="C1613" s="1" t="s">
        <v>182</v>
      </c>
      <c r="D1613" s="6">
        <v>9.1</v>
      </c>
      <c r="E1613" s="6">
        <f>INT(Table2[[#This Row],[Transect]])</f>
        <v>9</v>
      </c>
      <c r="F1613" s="1" t="s">
        <v>10</v>
      </c>
      <c r="G1613">
        <v>2</v>
      </c>
      <c r="H1613">
        <f t="shared" si="9"/>
        <v>52</v>
      </c>
      <c r="I1613">
        <v>26</v>
      </c>
      <c r="J1613">
        <f>Table2[[#This Row],[Hits]]/Table2[[#This Row],[Points]]*100</f>
        <v>3.8461538461538463</v>
      </c>
      <c r="K1613">
        <f>VLOOKUP(Table2[[#This Row],[Site]],'Site Info'!$A$1:$C$11,2, FALSE)</f>
        <v>33</v>
      </c>
      <c r="L1613">
        <f>VLOOKUP(Table2[[#This Row],[Site]],'Site Info'!$A$1:$C$11,3, FALSE)</f>
        <v>3</v>
      </c>
      <c r="M1613" t="str">
        <f>VLOOKUP(Table2[[#This Row],[Species]],'Species Table'!$A$1:$D$68,3, FALSE)</f>
        <v>Annual</v>
      </c>
      <c r="N1613" s="4" t="s">
        <v>217</v>
      </c>
      <c r="O1613" s="15">
        <f>IF(SUMPRODUCT(($A$2:$A1613=A1613)*($B$2:$B1613=B1613)*($F$2:$F1613=F1613))&gt;1,0,1)</f>
        <v>0</v>
      </c>
      <c r="P1613" s="15">
        <f>IF(SUMPRODUCT(($A$2:$A1613=A1613)*($B$2:$B1613=B1613)*($D$2:$D1613=D1613))&gt;1,0,1)</f>
        <v>0</v>
      </c>
    </row>
    <row r="1614" spans="1:16" hidden="1" x14ac:dyDescent="0.35">
      <c r="A1614" t="s">
        <v>21</v>
      </c>
      <c r="B1614">
        <v>2017</v>
      </c>
      <c r="C1614" s="1" t="s">
        <v>181</v>
      </c>
      <c r="D1614" s="6">
        <v>10.1</v>
      </c>
      <c r="E1614" s="6">
        <f>INT(Table2[[#This Row],[Transect]])</f>
        <v>10</v>
      </c>
      <c r="F1614" s="1" t="s">
        <v>10</v>
      </c>
      <c r="G1614">
        <v>6</v>
      </c>
      <c r="H1614">
        <f t="shared" si="9"/>
        <v>37</v>
      </c>
      <c r="I1614" s="10">
        <v>18.5</v>
      </c>
      <c r="J1614" s="10">
        <f>Table2[[#This Row],[Hits]]/Table2[[#This Row],[Points]]*100</f>
        <v>16.216216216216218</v>
      </c>
      <c r="K1614" s="10">
        <f>VLOOKUP(Table2[[#This Row],[Site]],'Site Info'!$A$1:$C$11,2, FALSE)</f>
        <v>33</v>
      </c>
      <c r="L1614" s="10">
        <f>VLOOKUP(Table2[[#This Row],[Site]],'Site Info'!$A$1:$C$11,3, FALSE)</f>
        <v>3</v>
      </c>
      <c r="M1614" t="str">
        <f>VLOOKUP(Table2[[#This Row],[Species]],'Species Table'!$A$1:$D$68,3, FALSE)</f>
        <v>Annual</v>
      </c>
      <c r="N1614" s="4" t="s">
        <v>218</v>
      </c>
      <c r="O1614" s="15">
        <f>IF(SUMPRODUCT(($A$2:$A1614=A1614)*($B$2:$B1614=B1614)*($F$2:$F1614=F1614))&gt;1,0,1)</f>
        <v>0</v>
      </c>
      <c r="P1614" s="15">
        <f>IF(SUMPRODUCT(($A$2:$A1614=A1614)*($B$2:$B1614=B1614)*($D$2:$D1614=D1614))&gt;1,0,1)</f>
        <v>1</v>
      </c>
    </row>
    <row r="1615" spans="1:16" x14ac:dyDescent="0.35">
      <c r="A1615" t="s">
        <v>21</v>
      </c>
      <c r="B1615">
        <v>2017</v>
      </c>
      <c r="C1615" s="1" t="s">
        <v>181</v>
      </c>
      <c r="D1615" s="6">
        <v>10.1</v>
      </c>
      <c r="E1615" s="6">
        <f>INT(Table2[[#This Row],[Transect]])</f>
        <v>10</v>
      </c>
      <c r="F1615" s="1" t="s">
        <v>14</v>
      </c>
      <c r="G1615">
        <v>2</v>
      </c>
      <c r="H1615">
        <f t="shared" ref="H1615:H1678" si="10">I1615*2</f>
        <v>37</v>
      </c>
      <c r="I1615" s="10">
        <v>18.5</v>
      </c>
      <c r="J1615" s="10">
        <f>Table2[[#This Row],[Hits]]/Table2[[#This Row],[Points]]*100</f>
        <v>5.4054054054054053</v>
      </c>
      <c r="K1615" s="10">
        <f>VLOOKUP(Table2[[#This Row],[Site]],'Site Info'!$A$1:$C$11,2, FALSE)</f>
        <v>33</v>
      </c>
      <c r="L1615" s="10">
        <f>VLOOKUP(Table2[[#This Row],[Site]],'Site Info'!$A$1:$C$11,3, FALSE)</f>
        <v>3</v>
      </c>
      <c r="M1615" t="str">
        <f>VLOOKUP(Table2[[#This Row],[Species]],'Species Table'!$A$1:$D$68,3, FALSE)</f>
        <v>Perennial</v>
      </c>
      <c r="N1615" s="4" t="s">
        <v>218</v>
      </c>
      <c r="O1615" s="15">
        <f>IF(SUMPRODUCT(($A$2:$A1615=A1615)*($B$2:$B1615=B1615)*($F$2:$F1615=F1615))&gt;1,0,1)</f>
        <v>0</v>
      </c>
      <c r="P1615" s="15">
        <f>IF(SUMPRODUCT(($A$2:$A1615=A1615)*($B$2:$B1615=B1615)*($D$2:$D1615=D1615))&gt;1,0,1)</f>
        <v>0</v>
      </c>
    </row>
    <row r="1616" spans="1:16" hidden="1" x14ac:dyDescent="0.35">
      <c r="A1616" t="s">
        <v>21</v>
      </c>
      <c r="B1616">
        <v>2017</v>
      </c>
      <c r="C1616" s="1" t="s">
        <v>184</v>
      </c>
      <c r="D1616" s="6">
        <v>11.1</v>
      </c>
      <c r="E1616" s="6">
        <f>INT(Table2[[#This Row],[Transect]])</f>
        <v>11</v>
      </c>
      <c r="F1616" s="1" t="s">
        <v>10</v>
      </c>
      <c r="G1616">
        <v>2</v>
      </c>
      <c r="H1616">
        <f t="shared" si="10"/>
        <v>42</v>
      </c>
      <c r="I1616">
        <v>21</v>
      </c>
      <c r="J1616">
        <f>Table2[[#This Row],[Hits]]/Table2[[#This Row],[Points]]*100</f>
        <v>4.7619047619047619</v>
      </c>
      <c r="K1616">
        <f>VLOOKUP(Table2[[#This Row],[Site]],'Site Info'!$A$1:$C$11,2, FALSE)</f>
        <v>33</v>
      </c>
      <c r="L1616">
        <f>VLOOKUP(Table2[[#This Row],[Site]],'Site Info'!$A$1:$C$11,3, FALSE)</f>
        <v>3</v>
      </c>
      <c r="M1616" t="str">
        <f>VLOOKUP(Table2[[#This Row],[Species]],'Species Table'!$A$1:$D$68,3, FALSE)</f>
        <v>Annual</v>
      </c>
      <c r="O1616" s="15">
        <f>IF(SUMPRODUCT(($A$2:$A1616=A1616)*($B$2:$B1616=B1616)*($F$2:$F1616=F1616))&gt;1,0,1)</f>
        <v>0</v>
      </c>
      <c r="P1616" s="15">
        <f>IF(SUMPRODUCT(($A$2:$A1616=A1616)*($B$2:$B1616=B1616)*($D$2:$D1616=D1616))&gt;1,0,1)</f>
        <v>1</v>
      </c>
    </row>
    <row r="1617" spans="1:16" hidden="1" x14ac:dyDescent="0.35">
      <c r="A1617" t="s">
        <v>21</v>
      </c>
      <c r="B1617">
        <v>2017</v>
      </c>
      <c r="C1617" s="1" t="s">
        <v>183</v>
      </c>
      <c r="D1617" s="6">
        <v>12.1</v>
      </c>
      <c r="E1617" s="6">
        <f>INT(Table2[[#This Row],[Transect]])</f>
        <v>12</v>
      </c>
      <c r="F1617" s="1" t="s">
        <v>10</v>
      </c>
      <c r="G1617">
        <v>9</v>
      </c>
      <c r="H1617">
        <f t="shared" si="10"/>
        <v>38</v>
      </c>
      <c r="I1617">
        <v>19</v>
      </c>
      <c r="J1617">
        <f>Table2[[#This Row],[Hits]]/Table2[[#This Row],[Points]]*100</f>
        <v>23.684210526315788</v>
      </c>
      <c r="K1617">
        <f>VLOOKUP(Table2[[#This Row],[Site]],'Site Info'!$A$1:$C$11,2, FALSE)</f>
        <v>33</v>
      </c>
      <c r="L1617">
        <f>VLOOKUP(Table2[[#This Row],[Site]],'Site Info'!$A$1:$C$11,3, FALSE)</f>
        <v>3</v>
      </c>
      <c r="M1617" t="str">
        <f>VLOOKUP(Table2[[#This Row],[Species]],'Species Table'!$A$1:$D$68,3, FALSE)</f>
        <v>Annual</v>
      </c>
      <c r="O1617" s="15">
        <f>IF(SUMPRODUCT(($A$2:$A1617=A1617)*($B$2:$B1617=B1617)*($F$2:$F1617=F1617))&gt;1,0,1)</f>
        <v>0</v>
      </c>
      <c r="P1617" s="15">
        <f>IF(SUMPRODUCT(($A$2:$A1617=A1617)*($B$2:$B1617=B1617)*($D$2:$D1617=D1617))&gt;1,0,1)</f>
        <v>1</v>
      </c>
    </row>
    <row r="1618" spans="1:16" hidden="1" x14ac:dyDescent="0.35">
      <c r="A1618" t="s">
        <v>21</v>
      </c>
      <c r="B1618">
        <v>2017</v>
      </c>
      <c r="C1618" s="1" t="s">
        <v>185</v>
      </c>
      <c r="D1618" s="6">
        <v>13.1</v>
      </c>
      <c r="E1618" s="6">
        <f>INT(Table2[[#This Row],[Transect]])</f>
        <v>13</v>
      </c>
      <c r="F1618" s="1" t="s">
        <v>10</v>
      </c>
      <c r="G1618">
        <v>4</v>
      </c>
      <c r="H1618">
        <f t="shared" si="10"/>
        <v>29</v>
      </c>
      <c r="I1618">
        <v>14.5</v>
      </c>
      <c r="J1618">
        <f>Table2[[#This Row],[Hits]]/Table2[[#This Row],[Points]]*100</f>
        <v>13.793103448275861</v>
      </c>
      <c r="K1618">
        <f>VLOOKUP(Table2[[#This Row],[Site]],'Site Info'!$A$1:$C$11,2, FALSE)</f>
        <v>33</v>
      </c>
      <c r="L1618">
        <f>VLOOKUP(Table2[[#This Row],[Site]],'Site Info'!$A$1:$C$11,3, FALSE)</f>
        <v>3</v>
      </c>
      <c r="M1618" t="str">
        <f>VLOOKUP(Table2[[#This Row],[Species]],'Species Table'!$A$1:$D$68,3, FALSE)</f>
        <v>Annual</v>
      </c>
      <c r="O1618" s="15">
        <f>IF(SUMPRODUCT(($A$2:$A1618=A1618)*($B$2:$B1618=B1618)*($F$2:$F1618=F1618))&gt;1,0,1)</f>
        <v>0</v>
      </c>
      <c r="P1618" s="15">
        <f>IF(SUMPRODUCT(($A$2:$A1618=A1618)*($B$2:$B1618=B1618)*($D$2:$D1618=D1618))&gt;1,0,1)</f>
        <v>1</v>
      </c>
    </row>
    <row r="1619" spans="1:16" hidden="1" x14ac:dyDescent="0.35">
      <c r="A1619" t="s">
        <v>21</v>
      </c>
      <c r="B1619">
        <v>2017</v>
      </c>
      <c r="C1619" s="1" t="s">
        <v>185</v>
      </c>
      <c r="D1619" s="6">
        <v>13.1</v>
      </c>
      <c r="E1619" s="6">
        <f>INT(Table2[[#This Row],[Transect]])</f>
        <v>13</v>
      </c>
      <c r="F1619" s="1" t="s">
        <v>33</v>
      </c>
      <c r="G1619">
        <v>1</v>
      </c>
      <c r="H1619">
        <f t="shared" si="10"/>
        <v>29</v>
      </c>
      <c r="I1619">
        <v>14.5</v>
      </c>
      <c r="J1619">
        <f>Table2[[#This Row],[Hits]]/Table2[[#This Row],[Points]]*100</f>
        <v>3.4482758620689653</v>
      </c>
      <c r="K1619">
        <f>VLOOKUP(Table2[[#This Row],[Site]],'Site Info'!$A$1:$C$11,2, FALSE)</f>
        <v>33</v>
      </c>
      <c r="L1619">
        <f>VLOOKUP(Table2[[#This Row],[Site]],'Site Info'!$A$1:$C$11,3, FALSE)</f>
        <v>3</v>
      </c>
      <c r="M1619" t="str">
        <f>VLOOKUP(Table2[[#This Row],[Species]],'Species Table'!$A$1:$D$68,3, FALSE)</f>
        <v>Annual</v>
      </c>
      <c r="O1619" s="15">
        <f>IF(SUMPRODUCT(($A$2:$A1619=A1619)*($B$2:$B1619=B1619)*($F$2:$F1619=F1619))&gt;1,0,1)</f>
        <v>0</v>
      </c>
      <c r="P1619" s="15">
        <f>IF(SUMPRODUCT(($A$2:$A1619=A1619)*($B$2:$B1619=B1619)*($D$2:$D1619=D1619))&gt;1,0,1)</f>
        <v>0</v>
      </c>
    </row>
    <row r="1620" spans="1:16" hidden="1" x14ac:dyDescent="0.35">
      <c r="A1620" t="s">
        <v>21</v>
      </c>
      <c r="B1620">
        <v>2017</v>
      </c>
      <c r="C1620" s="1" t="s">
        <v>186</v>
      </c>
      <c r="D1620" s="6">
        <v>14.1</v>
      </c>
      <c r="E1620" s="6">
        <f>INT(Table2[[#This Row],[Transect]])</f>
        <v>14</v>
      </c>
      <c r="F1620" s="1" t="s">
        <v>10</v>
      </c>
      <c r="G1620">
        <v>8</v>
      </c>
      <c r="H1620">
        <f t="shared" si="10"/>
        <v>23</v>
      </c>
      <c r="I1620">
        <v>11.5</v>
      </c>
      <c r="J1620">
        <f>Table2[[#This Row],[Hits]]/Table2[[#This Row],[Points]]*100</f>
        <v>34.782608695652172</v>
      </c>
      <c r="K1620">
        <f>VLOOKUP(Table2[[#This Row],[Site]],'Site Info'!$A$1:$C$11,2, FALSE)</f>
        <v>33</v>
      </c>
      <c r="L1620">
        <f>VLOOKUP(Table2[[#This Row],[Site]],'Site Info'!$A$1:$C$11,3, FALSE)</f>
        <v>3</v>
      </c>
      <c r="M1620" t="str">
        <f>VLOOKUP(Table2[[#This Row],[Species]],'Species Table'!$A$1:$D$68,3, FALSE)</f>
        <v>Annual</v>
      </c>
      <c r="O1620" s="15">
        <f>IF(SUMPRODUCT(($A$2:$A1620=A1620)*($B$2:$B1620=B1620)*($F$2:$F1620=F1620))&gt;1,0,1)</f>
        <v>0</v>
      </c>
      <c r="P1620" s="15">
        <f>IF(SUMPRODUCT(($A$2:$A1620=A1620)*($B$2:$B1620=B1620)*($D$2:$D1620=D1620))&gt;1,0,1)</f>
        <v>1</v>
      </c>
    </row>
    <row r="1621" spans="1:16" x14ac:dyDescent="0.35">
      <c r="A1621" t="s">
        <v>21</v>
      </c>
      <c r="B1621">
        <v>2017</v>
      </c>
      <c r="C1621" s="1" t="s">
        <v>186</v>
      </c>
      <c r="D1621" s="6">
        <v>14.1</v>
      </c>
      <c r="E1621" s="6">
        <f>INT(Table2[[#This Row],[Transect]])</f>
        <v>14</v>
      </c>
      <c r="F1621" s="1" t="s">
        <v>2</v>
      </c>
      <c r="G1621">
        <v>1</v>
      </c>
      <c r="H1621">
        <f t="shared" si="10"/>
        <v>23</v>
      </c>
      <c r="I1621">
        <v>11.5</v>
      </c>
      <c r="J1621">
        <f>Table2[[#This Row],[Hits]]/Table2[[#This Row],[Points]]*100</f>
        <v>4.3478260869565215</v>
      </c>
      <c r="K1621">
        <f>VLOOKUP(Table2[[#This Row],[Site]],'Site Info'!$A$1:$C$11,2, FALSE)</f>
        <v>33</v>
      </c>
      <c r="L1621">
        <f>VLOOKUP(Table2[[#This Row],[Site]],'Site Info'!$A$1:$C$11,3, FALSE)</f>
        <v>3</v>
      </c>
      <c r="M1621" t="str">
        <f>VLOOKUP(Table2[[#This Row],[Species]],'Species Table'!$A$1:$D$68,3, FALSE)</f>
        <v>Perennial</v>
      </c>
      <c r="O1621" s="15">
        <f>IF(SUMPRODUCT(($A$2:$A1621=A1621)*($B$2:$B1621=B1621)*($F$2:$F1621=F1621))&gt;1,0,1)</f>
        <v>0</v>
      </c>
      <c r="P1621" s="15">
        <f>IF(SUMPRODUCT(($A$2:$A1621=A1621)*($B$2:$B1621=B1621)*($D$2:$D1621=D1621))&gt;1,0,1)</f>
        <v>0</v>
      </c>
    </row>
    <row r="1622" spans="1:16" hidden="1" x14ac:dyDescent="0.35">
      <c r="A1622" t="s">
        <v>21</v>
      </c>
      <c r="B1622">
        <v>2017</v>
      </c>
      <c r="C1622" s="1" t="s">
        <v>187</v>
      </c>
      <c r="D1622" s="6">
        <v>15.1</v>
      </c>
      <c r="E1622" s="6">
        <f>INT(Table2[[#This Row],[Transect]])</f>
        <v>15</v>
      </c>
      <c r="F1622" s="1" t="s">
        <v>10</v>
      </c>
      <c r="G1622">
        <v>3</v>
      </c>
      <c r="H1622">
        <f t="shared" si="10"/>
        <v>19</v>
      </c>
      <c r="I1622">
        <v>9.5</v>
      </c>
      <c r="J1622">
        <f>Table2[[#This Row],[Hits]]/Table2[[#This Row],[Points]]*100</f>
        <v>15.789473684210526</v>
      </c>
      <c r="K1622">
        <f>VLOOKUP(Table2[[#This Row],[Site]],'Site Info'!$A$1:$C$11,2, FALSE)</f>
        <v>33</v>
      </c>
      <c r="L1622">
        <f>VLOOKUP(Table2[[#This Row],[Site]],'Site Info'!$A$1:$C$11,3, FALSE)</f>
        <v>3</v>
      </c>
      <c r="M1622" t="str">
        <f>VLOOKUP(Table2[[#This Row],[Species]],'Species Table'!$A$1:$D$68,3, FALSE)</f>
        <v>Annual</v>
      </c>
      <c r="O1622" s="15">
        <f>IF(SUMPRODUCT(($A$2:$A1622=A1622)*($B$2:$B1622=B1622)*($F$2:$F1622=F1622))&gt;1,0,1)</f>
        <v>0</v>
      </c>
      <c r="P1622" s="15">
        <f>IF(SUMPRODUCT(($A$2:$A1622=A1622)*($B$2:$B1622=B1622)*($D$2:$D1622=D1622))&gt;1,0,1)</f>
        <v>1</v>
      </c>
    </row>
    <row r="1623" spans="1:16" hidden="1" x14ac:dyDescent="0.35">
      <c r="A1623" t="s">
        <v>21</v>
      </c>
      <c r="B1623">
        <v>2017</v>
      </c>
      <c r="C1623" s="1" t="s">
        <v>188</v>
      </c>
      <c r="D1623" s="6">
        <v>16.100000000000001</v>
      </c>
      <c r="E1623" s="6">
        <f>INT(Table2[[#This Row],[Transect]])</f>
        <v>16</v>
      </c>
      <c r="F1623" s="1" t="s">
        <v>10</v>
      </c>
      <c r="G1623">
        <v>5</v>
      </c>
      <c r="H1623">
        <f t="shared" si="10"/>
        <v>13</v>
      </c>
      <c r="I1623">
        <v>6.5</v>
      </c>
      <c r="J1623">
        <f>Table2[[#This Row],[Hits]]/Table2[[#This Row],[Points]]*100</f>
        <v>38.461538461538467</v>
      </c>
      <c r="K1623">
        <f>VLOOKUP(Table2[[#This Row],[Site]],'Site Info'!$A$1:$C$11,2, FALSE)</f>
        <v>33</v>
      </c>
      <c r="L1623">
        <f>VLOOKUP(Table2[[#This Row],[Site]],'Site Info'!$A$1:$C$11,3, FALSE)</f>
        <v>3</v>
      </c>
      <c r="M1623" t="str">
        <f>VLOOKUP(Table2[[#This Row],[Species]],'Species Table'!$A$1:$D$68,3, FALSE)</f>
        <v>Annual</v>
      </c>
      <c r="O1623" s="15">
        <f>IF(SUMPRODUCT(($A$2:$A1623=A1623)*($B$2:$B1623=B1623)*($F$2:$F1623=F1623))&gt;1,0,1)</f>
        <v>0</v>
      </c>
      <c r="P1623" s="15">
        <f>IF(SUMPRODUCT(($A$2:$A1623=A1623)*($B$2:$B1623=B1623)*($D$2:$D1623=D1623))&gt;1,0,1)</f>
        <v>1</v>
      </c>
    </row>
    <row r="1624" spans="1:16" x14ac:dyDescent="0.35">
      <c r="A1624" t="s">
        <v>9</v>
      </c>
      <c r="B1624">
        <v>2017</v>
      </c>
      <c r="C1624" s="1" t="s">
        <v>37</v>
      </c>
      <c r="D1624" s="6">
        <v>1.1000000000000001</v>
      </c>
      <c r="E1624" s="6">
        <f>INT(Table2[[#This Row],[Transect]])</f>
        <v>1</v>
      </c>
      <c r="F1624" s="1" t="s">
        <v>12</v>
      </c>
      <c r="G1624">
        <v>7</v>
      </c>
      <c r="H1624">
        <f t="shared" si="10"/>
        <v>200</v>
      </c>
      <c r="I1624">
        <v>100</v>
      </c>
      <c r="J1624">
        <f>Table2[[#This Row],[Hits]]/Table2[[#This Row],[Points]]*100</f>
        <v>3.5000000000000004</v>
      </c>
      <c r="K1624">
        <f>VLOOKUP(Table2[[#This Row],[Site]],'Site Info'!$A$1:$C$11,2, FALSE)</f>
        <v>17.7</v>
      </c>
      <c r="L1624">
        <f>VLOOKUP(Table2[[#This Row],[Site]],'Site Info'!$A$1:$C$11,3, FALSE)</f>
        <v>10</v>
      </c>
      <c r="M1624" t="str">
        <f>VLOOKUP(Table2[[#This Row],[Species]],'Species Table'!$A$1:$D$68,3, FALSE)</f>
        <v>Perennial</v>
      </c>
      <c r="O1624" s="15">
        <f>IF(SUMPRODUCT(($A$2:$A1624=A1624)*($B$2:$B1624=B1624)*($F$2:$F1624=F1624))&gt;1,0,1)</f>
        <v>1</v>
      </c>
      <c r="P1624" s="15">
        <f>IF(SUMPRODUCT(($A$2:$A1624=A1624)*($B$2:$B1624=B1624)*($D$2:$D1624=D1624))&gt;1,0,1)</f>
        <v>1</v>
      </c>
    </row>
    <row r="1625" spans="1:16" hidden="1" x14ac:dyDescent="0.35">
      <c r="A1625" t="s">
        <v>9</v>
      </c>
      <c r="B1625">
        <v>2017</v>
      </c>
      <c r="C1625" s="1" t="s">
        <v>37</v>
      </c>
      <c r="D1625" s="6">
        <v>1.1000000000000001</v>
      </c>
      <c r="E1625" s="6">
        <f>INT(Table2[[#This Row],[Transect]])</f>
        <v>1</v>
      </c>
      <c r="F1625" s="1" t="s">
        <v>10</v>
      </c>
      <c r="G1625">
        <v>15</v>
      </c>
      <c r="H1625">
        <f t="shared" si="10"/>
        <v>200</v>
      </c>
      <c r="I1625">
        <v>100</v>
      </c>
      <c r="J1625">
        <f>Table2[[#This Row],[Hits]]/Table2[[#This Row],[Points]]*100</f>
        <v>7.5</v>
      </c>
      <c r="K1625">
        <f>VLOOKUP(Table2[[#This Row],[Site]],'Site Info'!$A$1:$C$11,2, FALSE)</f>
        <v>17.7</v>
      </c>
      <c r="L1625">
        <f>VLOOKUP(Table2[[#This Row],[Site]],'Site Info'!$A$1:$C$11,3, FALSE)</f>
        <v>10</v>
      </c>
      <c r="M1625" t="str">
        <f>VLOOKUP(Table2[[#This Row],[Species]],'Species Table'!$A$1:$D$68,3, FALSE)</f>
        <v>Annual</v>
      </c>
      <c r="O1625" s="15">
        <f>IF(SUMPRODUCT(($A$2:$A1625=A1625)*($B$2:$B1625=B1625)*($F$2:$F1625=F1625))&gt;1,0,1)</f>
        <v>1</v>
      </c>
      <c r="P1625" s="15">
        <f>IF(SUMPRODUCT(($A$2:$A1625=A1625)*($B$2:$B1625=B1625)*($D$2:$D1625=D1625))&gt;1,0,1)</f>
        <v>0</v>
      </c>
    </row>
    <row r="1626" spans="1:16" x14ac:dyDescent="0.35">
      <c r="A1626" t="s">
        <v>9</v>
      </c>
      <c r="B1626">
        <v>2017</v>
      </c>
      <c r="C1626" s="1" t="s">
        <v>37</v>
      </c>
      <c r="D1626" s="6">
        <v>1.1000000000000001</v>
      </c>
      <c r="E1626" s="6">
        <f>INT(Table2[[#This Row],[Transect]])</f>
        <v>1</v>
      </c>
      <c r="F1626" s="1" t="s">
        <v>11</v>
      </c>
      <c r="G1626">
        <v>27</v>
      </c>
      <c r="H1626">
        <f t="shared" si="10"/>
        <v>200</v>
      </c>
      <c r="I1626">
        <v>100</v>
      </c>
      <c r="J1626">
        <f>Table2[[#This Row],[Hits]]/Table2[[#This Row],[Points]]*100</f>
        <v>13.5</v>
      </c>
      <c r="K1626">
        <f>VLOOKUP(Table2[[#This Row],[Site]],'Site Info'!$A$1:$C$11,2, FALSE)</f>
        <v>17.7</v>
      </c>
      <c r="L1626">
        <f>VLOOKUP(Table2[[#This Row],[Site]],'Site Info'!$A$1:$C$11,3, FALSE)</f>
        <v>10</v>
      </c>
      <c r="M1626" t="str">
        <f>VLOOKUP(Table2[[#This Row],[Species]],'Species Table'!$A$1:$D$68,3, FALSE)</f>
        <v>Perennial</v>
      </c>
      <c r="O1626" s="15">
        <f>IF(SUMPRODUCT(($A$2:$A1626=A1626)*($B$2:$B1626=B1626)*($F$2:$F1626=F1626))&gt;1,0,1)</f>
        <v>1</v>
      </c>
      <c r="P1626" s="15">
        <f>IF(SUMPRODUCT(($A$2:$A1626=A1626)*($B$2:$B1626=B1626)*($D$2:$D1626=D1626))&gt;1,0,1)</f>
        <v>0</v>
      </c>
    </row>
    <row r="1627" spans="1:16" x14ac:dyDescent="0.35">
      <c r="A1627" t="s">
        <v>9</v>
      </c>
      <c r="B1627">
        <v>2017</v>
      </c>
      <c r="C1627" s="1" t="s">
        <v>37</v>
      </c>
      <c r="D1627" s="6">
        <v>1.2</v>
      </c>
      <c r="E1627" s="6">
        <f>INT(Table2[[#This Row],[Transect]])</f>
        <v>1</v>
      </c>
      <c r="F1627" s="1" t="s">
        <v>6</v>
      </c>
      <c r="G1627">
        <v>1</v>
      </c>
      <c r="H1627">
        <f t="shared" si="10"/>
        <v>200</v>
      </c>
      <c r="I1627">
        <v>100</v>
      </c>
      <c r="J1627">
        <f>Table2[[#This Row],[Hits]]/Table2[[#This Row],[Points]]*100</f>
        <v>0.5</v>
      </c>
      <c r="K1627">
        <f>VLOOKUP(Table2[[#This Row],[Site]],'Site Info'!$A$1:$C$11,2, FALSE)</f>
        <v>17.7</v>
      </c>
      <c r="L1627">
        <f>VLOOKUP(Table2[[#This Row],[Site]],'Site Info'!$A$1:$C$11,3, FALSE)</f>
        <v>10</v>
      </c>
      <c r="M1627" t="str">
        <f>VLOOKUP(Table2[[#This Row],[Species]],'Species Table'!$A$1:$D$68,3, FALSE)</f>
        <v>Perennial</v>
      </c>
      <c r="O1627" s="15">
        <f>IF(SUMPRODUCT(($A$2:$A1627=A1627)*($B$2:$B1627=B1627)*($F$2:$F1627=F1627))&gt;1,0,1)</f>
        <v>1</v>
      </c>
      <c r="P1627" s="15">
        <f>IF(SUMPRODUCT(($A$2:$A1627=A1627)*($B$2:$B1627=B1627)*($D$2:$D1627=D1627))&gt;1,0,1)</f>
        <v>1</v>
      </c>
    </row>
    <row r="1628" spans="1:16" x14ac:dyDescent="0.35">
      <c r="A1628" t="s">
        <v>9</v>
      </c>
      <c r="B1628">
        <v>2017</v>
      </c>
      <c r="C1628" s="1" t="s">
        <v>37</v>
      </c>
      <c r="D1628" s="6">
        <v>1.2</v>
      </c>
      <c r="E1628" s="6">
        <f>INT(Table2[[#This Row],[Transect]])</f>
        <v>1</v>
      </c>
      <c r="F1628" s="1" t="s">
        <v>11</v>
      </c>
      <c r="G1628">
        <v>19</v>
      </c>
      <c r="H1628">
        <f t="shared" si="10"/>
        <v>200</v>
      </c>
      <c r="I1628">
        <v>100</v>
      </c>
      <c r="J1628">
        <f>Table2[[#This Row],[Hits]]/Table2[[#This Row],[Points]]*100</f>
        <v>9.5</v>
      </c>
      <c r="K1628">
        <f>VLOOKUP(Table2[[#This Row],[Site]],'Site Info'!$A$1:$C$11,2, FALSE)</f>
        <v>17.7</v>
      </c>
      <c r="L1628">
        <f>VLOOKUP(Table2[[#This Row],[Site]],'Site Info'!$A$1:$C$11,3, FALSE)</f>
        <v>10</v>
      </c>
      <c r="M1628" t="str">
        <f>VLOOKUP(Table2[[#This Row],[Species]],'Species Table'!$A$1:$D$68,3, FALSE)</f>
        <v>Perennial</v>
      </c>
      <c r="O1628" s="15">
        <f>IF(SUMPRODUCT(($A$2:$A1628=A1628)*($B$2:$B1628=B1628)*($F$2:$F1628=F1628))&gt;1,0,1)</f>
        <v>0</v>
      </c>
      <c r="P1628" s="15">
        <f>IF(SUMPRODUCT(($A$2:$A1628=A1628)*($B$2:$B1628=B1628)*($D$2:$D1628=D1628))&gt;1,0,1)</f>
        <v>0</v>
      </c>
    </row>
    <row r="1629" spans="1:16" hidden="1" x14ac:dyDescent="0.35">
      <c r="A1629" t="s">
        <v>9</v>
      </c>
      <c r="B1629">
        <v>2017</v>
      </c>
      <c r="C1629" s="1" t="s">
        <v>37</v>
      </c>
      <c r="D1629" s="6">
        <v>1.2</v>
      </c>
      <c r="E1629" s="6">
        <f>INT(Table2[[#This Row],[Transect]])</f>
        <v>1</v>
      </c>
      <c r="F1629" s="1" t="s">
        <v>10</v>
      </c>
      <c r="G1629">
        <v>7</v>
      </c>
      <c r="H1629">
        <f t="shared" si="10"/>
        <v>200</v>
      </c>
      <c r="I1629">
        <v>100</v>
      </c>
      <c r="J1629">
        <f>Table2[[#This Row],[Hits]]/Table2[[#This Row],[Points]]*100</f>
        <v>3.5000000000000004</v>
      </c>
      <c r="K1629">
        <f>VLOOKUP(Table2[[#This Row],[Site]],'Site Info'!$A$1:$C$11,2, FALSE)</f>
        <v>17.7</v>
      </c>
      <c r="L1629">
        <f>VLOOKUP(Table2[[#This Row],[Site]],'Site Info'!$A$1:$C$11,3, FALSE)</f>
        <v>10</v>
      </c>
      <c r="M1629" t="str">
        <f>VLOOKUP(Table2[[#This Row],[Species]],'Species Table'!$A$1:$D$68,3, FALSE)</f>
        <v>Annual</v>
      </c>
      <c r="O1629" s="15">
        <f>IF(SUMPRODUCT(($A$2:$A1629=A1629)*($B$2:$B1629=B1629)*($F$2:$F1629=F1629))&gt;1,0,1)</f>
        <v>0</v>
      </c>
      <c r="P1629" s="15">
        <f>IF(SUMPRODUCT(($A$2:$A1629=A1629)*($B$2:$B1629=B1629)*($D$2:$D1629=D1629))&gt;1,0,1)</f>
        <v>0</v>
      </c>
    </row>
    <row r="1630" spans="1:16" x14ac:dyDescent="0.35">
      <c r="A1630" t="s">
        <v>9</v>
      </c>
      <c r="B1630">
        <v>2017</v>
      </c>
      <c r="C1630" s="1" t="s">
        <v>38</v>
      </c>
      <c r="D1630" s="6">
        <v>1.3</v>
      </c>
      <c r="E1630" s="6">
        <f>INT(Table2[[#This Row],[Transect]])</f>
        <v>1</v>
      </c>
      <c r="F1630" s="1" t="s">
        <v>11</v>
      </c>
      <c r="G1630">
        <v>9</v>
      </c>
      <c r="H1630">
        <f t="shared" si="10"/>
        <v>200</v>
      </c>
      <c r="I1630">
        <v>100</v>
      </c>
      <c r="J1630">
        <f>Table2[[#This Row],[Hits]]/Table2[[#This Row],[Points]]*100</f>
        <v>4.5</v>
      </c>
      <c r="K1630">
        <f>VLOOKUP(Table2[[#This Row],[Site]],'Site Info'!$A$1:$C$11,2, FALSE)</f>
        <v>17.7</v>
      </c>
      <c r="L1630">
        <f>VLOOKUP(Table2[[#This Row],[Site]],'Site Info'!$A$1:$C$11,3, FALSE)</f>
        <v>10</v>
      </c>
      <c r="M1630" t="str">
        <f>VLOOKUP(Table2[[#This Row],[Species]],'Species Table'!$A$1:$D$68,3, FALSE)</f>
        <v>Perennial</v>
      </c>
      <c r="O1630" s="15">
        <f>IF(SUMPRODUCT(($A$2:$A1630=A1630)*($B$2:$B1630=B1630)*($F$2:$F1630=F1630))&gt;1,0,1)</f>
        <v>0</v>
      </c>
      <c r="P1630" s="15">
        <f>IF(SUMPRODUCT(($A$2:$A1630=A1630)*($B$2:$B1630=B1630)*($D$2:$D1630=D1630))&gt;1,0,1)</f>
        <v>1</v>
      </c>
    </row>
    <row r="1631" spans="1:16" hidden="1" x14ac:dyDescent="0.35">
      <c r="A1631" t="s">
        <v>9</v>
      </c>
      <c r="B1631">
        <v>2017</v>
      </c>
      <c r="C1631" s="1" t="s">
        <v>38</v>
      </c>
      <c r="D1631" s="6">
        <v>1.3</v>
      </c>
      <c r="E1631" s="6">
        <f>INT(Table2[[#This Row],[Transect]])</f>
        <v>1</v>
      </c>
      <c r="F1631" s="1" t="s">
        <v>10</v>
      </c>
      <c r="G1631">
        <v>10</v>
      </c>
      <c r="H1631">
        <f t="shared" si="10"/>
        <v>200</v>
      </c>
      <c r="I1631">
        <v>100</v>
      </c>
      <c r="J1631">
        <f>Table2[[#This Row],[Hits]]/Table2[[#This Row],[Points]]*100</f>
        <v>5</v>
      </c>
      <c r="K1631">
        <f>VLOOKUP(Table2[[#This Row],[Site]],'Site Info'!$A$1:$C$11,2, FALSE)</f>
        <v>17.7</v>
      </c>
      <c r="L1631">
        <f>VLOOKUP(Table2[[#This Row],[Site]],'Site Info'!$A$1:$C$11,3, FALSE)</f>
        <v>10</v>
      </c>
      <c r="M1631" t="str">
        <f>VLOOKUP(Table2[[#This Row],[Species]],'Species Table'!$A$1:$D$68,3, FALSE)</f>
        <v>Annual</v>
      </c>
      <c r="O1631" s="15">
        <f>IF(SUMPRODUCT(($A$2:$A1631=A1631)*($B$2:$B1631=B1631)*($F$2:$F1631=F1631))&gt;1,0,1)</f>
        <v>0</v>
      </c>
      <c r="P1631" s="15">
        <f>IF(SUMPRODUCT(($A$2:$A1631=A1631)*($B$2:$B1631=B1631)*($D$2:$D1631=D1631))&gt;1,0,1)</f>
        <v>0</v>
      </c>
    </row>
    <row r="1632" spans="1:16" x14ac:dyDescent="0.35">
      <c r="A1632" t="s">
        <v>9</v>
      </c>
      <c r="B1632">
        <v>2017</v>
      </c>
      <c r="C1632" s="1" t="s">
        <v>38</v>
      </c>
      <c r="D1632" s="6">
        <v>1.3</v>
      </c>
      <c r="E1632" s="6">
        <f>INT(Table2[[#This Row],[Transect]])</f>
        <v>1</v>
      </c>
      <c r="F1632" s="1" t="s">
        <v>12</v>
      </c>
      <c r="G1632">
        <v>12</v>
      </c>
      <c r="H1632">
        <f t="shared" si="10"/>
        <v>200</v>
      </c>
      <c r="I1632">
        <v>100</v>
      </c>
      <c r="J1632">
        <f>Table2[[#This Row],[Hits]]/Table2[[#This Row],[Points]]*100</f>
        <v>6</v>
      </c>
      <c r="K1632">
        <f>VLOOKUP(Table2[[#This Row],[Site]],'Site Info'!$A$1:$C$11,2, FALSE)</f>
        <v>17.7</v>
      </c>
      <c r="L1632">
        <f>VLOOKUP(Table2[[#This Row],[Site]],'Site Info'!$A$1:$C$11,3, FALSE)</f>
        <v>10</v>
      </c>
      <c r="M1632" t="str">
        <f>VLOOKUP(Table2[[#This Row],[Species]],'Species Table'!$A$1:$D$68,3, FALSE)</f>
        <v>Perennial</v>
      </c>
      <c r="O1632" s="15">
        <f>IF(SUMPRODUCT(($A$2:$A1632=A1632)*($B$2:$B1632=B1632)*($F$2:$F1632=F1632))&gt;1,0,1)</f>
        <v>0</v>
      </c>
      <c r="P1632" s="15">
        <f>IF(SUMPRODUCT(($A$2:$A1632=A1632)*($B$2:$B1632=B1632)*($D$2:$D1632=D1632))&gt;1,0,1)</f>
        <v>0</v>
      </c>
    </row>
    <row r="1633" spans="1:16" x14ac:dyDescent="0.35">
      <c r="A1633" t="s">
        <v>9</v>
      </c>
      <c r="B1633">
        <v>2017</v>
      </c>
      <c r="C1633" s="1" t="s">
        <v>38</v>
      </c>
      <c r="D1633" s="6">
        <v>1.3</v>
      </c>
      <c r="E1633" s="6">
        <f>INT(Table2[[#This Row],[Transect]])</f>
        <v>1</v>
      </c>
      <c r="F1633" s="1" t="s">
        <v>3</v>
      </c>
      <c r="G1633">
        <v>1</v>
      </c>
      <c r="H1633">
        <f t="shared" si="10"/>
        <v>200</v>
      </c>
      <c r="I1633">
        <v>100</v>
      </c>
      <c r="J1633">
        <f>Table2[[#This Row],[Hits]]/Table2[[#This Row],[Points]]*100</f>
        <v>0.5</v>
      </c>
      <c r="K1633">
        <f>VLOOKUP(Table2[[#This Row],[Site]],'Site Info'!$A$1:$C$11,2, FALSE)</f>
        <v>17.7</v>
      </c>
      <c r="L1633">
        <f>VLOOKUP(Table2[[#This Row],[Site]],'Site Info'!$A$1:$C$11,3, FALSE)</f>
        <v>10</v>
      </c>
      <c r="M1633" t="str">
        <f>VLOOKUP(Table2[[#This Row],[Species]],'Species Table'!$A$1:$D$68,3, FALSE)</f>
        <v>Perennial</v>
      </c>
      <c r="O1633" s="15">
        <f>IF(SUMPRODUCT(($A$2:$A1633=A1633)*($B$2:$B1633=B1633)*($F$2:$F1633=F1633))&gt;1,0,1)</f>
        <v>1</v>
      </c>
      <c r="P1633" s="15">
        <f>IF(SUMPRODUCT(($A$2:$A1633=A1633)*($B$2:$B1633=B1633)*($D$2:$D1633=D1633))&gt;1,0,1)</f>
        <v>0</v>
      </c>
    </row>
    <row r="1634" spans="1:16" x14ac:dyDescent="0.35">
      <c r="A1634" t="s">
        <v>9</v>
      </c>
      <c r="B1634">
        <v>2017</v>
      </c>
      <c r="C1634" s="1" t="s">
        <v>38</v>
      </c>
      <c r="D1634" s="6">
        <v>1.3</v>
      </c>
      <c r="E1634" s="6">
        <f>INT(Table2[[#This Row],[Transect]])</f>
        <v>1</v>
      </c>
      <c r="F1634" s="1" t="s">
        <v>6</v>
      </c>
      <c r="G1634">
        <v>7</v>
      </c>
      <c r="H1634">
        <f t="shared" si="10"/>
        <v>200</v>
      </c>
      <c r="I1634">
        <v>100</v>
      </c>
      <c r="J1634">
        <f>Table2[[#This Row],[Hits]]/Table2[[#This Row],[Points]]*100</f>
        <v>3.5000000000000004</v>
      </c>
      <c r="K1634">
        <f>VLOOKUP(Table2[[#This Row],[Site]],'Site Info'!$A$1:$C$11,2, FALSE)</f>
        <v>17.7</v>
      </c>
      <c r="L1634">
        <f>VLOOKUP(Table2[[#This Row],[Site]],'Site Info'!$A$1:$C$11,3, FALSE)</f>
        <v>10</v>
      </c>
      <c r="M1634" t="str">
        <f>VLOOKUP(Table2[[#This Row],[Species]],'Species Table'!$A$1:$D$68,3, FALSE)</f>
        <v>Perennial</v>
      </c>
      <c r="O1634" s="15">
        <f>IF(SUMPRODUCT(($A$2:$A1634=A1634)*($B$2:$B1634=B1634)*($F$2:$F1634=F1634))&gt;1,0,1)</f>
        <v>0</v>
      </c>
      <c r="P1634" s="15">
        <f>IF(SUMPRODUCT(($A$2:$A1634=A1634)*($B$2:$B1634=B1634)*($D$2:$D1634=D1634))&gt;1,0,1)</f>
        <v>0</v>
      </c>
    </row>
    <row r="1635" spans="1:16" x14ac:dyDescent="0.35">
      <c r="A1635" t="s">
        <v>9</v>
      </c>
      <c r="B1635">
        <v>2017</v>
      </c>
      <c r="C1635" s="1" t="s">
        <v>83</v>
      </c>
      <c r="D1635" s="6">
        <v>1.4</v>
      </c>
      <c r="E1635" s="6">
        <f>INT(Table2[[#This Row],[Transect]])</f>
        <v>1</v>
      </c>
      <c r="F1635" s="1" t="s">
        <v>6</v>
      </c>
      <c r="G1635">
        <v>2</v>
      </c>
      <c r="H1635">
        <f t="shared" si="10"/>
        <v>200</v>
      </c>
      <c r="I1635">
        <v>100</v>
      </c>
      <c r="J1635">
        <f>Table2[[#This Row],[Hits]]/Table2[[#This Row],[Points]]*100</f>
        <v>1</v>
      </c>
      <c r="K1635">
        <f>VLOOKUP(Table2[[#This Row],[Site]],'Site Info'!$A$1:$C$11,2, FALSE)</f>
        <v>17.7</v>
      </c>
      <c r="L1635">
        <f>VLOOKUP(Table2[[#This Row],[Site]],'Site Info'!$A$1:$C$11,3, FALSE)</f>
        <v>10</v>
      </c>
      <c r="M1635" t="str">
        <f>VLOOKUP(Table2[[#This Row],[Species]],'Species Table'!$A$1:$D$68,3, FALSE)</f>
        <v>Perennial</v>
      </c>
      <c r="N1635" s="8"/>
      <c r="O1635" s="15">
        <f>IF(SUMPRODUCT(($A$2:$A1635=A1635)*($B$2:$B1635=B1635)*($F$2:$F1635=F1635))&gt;1,0,1)</f>
        <v>0</v>
      </c>
      <c r="P1635" s="15">
        <f>IF(SUMPRODUCT(($A$2:$A1635=A1635)*($B$2:$B1635=B1635)*($D$2:$D1635=D1635))&gt;1,0,1)</f>
        <v>1</v>
      </c>
    </row>
    <row r="1636" spans="1:16" x14ac:dyDescent="0.35">
      <c r="A1636" t="s">
        <v>9</v>
      </c>
      <c r="B1636">
        <v>2017</v>
      </c>
      <c r="C1636" s="1" t="s">
        <v>83</v>
      </c>
      <c r="D1636" s="6">
        <v>1.4</v>
      </c>
      <c r="E1636" s="6">
        <f>INT(Table2[[#This Row],[Transect]])</f>
        <v>1</v>
      </c>
      <c r="F1636" s="1" t="s">
        <v>11</v>
      </c>
      <c r="G1636">
        <v>7</v>
      </c>
      <c r="H1636">
        <f t="shared" si="10"/>
        <v>200</v>
      </c>
      <c r="I1636">
        <v>100</v>
      </c>
      <c r="J1636">
        <f>Table2[[#This Row],[Hits]]/Table2[[#This Row],[Points]]*100</f>
        <v>3.5000000000000004</v>
      </c>
      <c r="K1636">
        <f>VLOOKUP(Table2[[#This Row],[Site]],'Site Info'!$A$1:$C$11,2, FALSE)</f>
        <v>17.7</v>
      </c>
      <c r="L1636">
        <f>VLOOKUP(Table2[[#This Row],[Site]],'Site Info'!$A$1:$C$11,3, FALSE)</f>
        <v>10</v>
      </c>
      <c r="M1636" t="str">
        <f>VLOOKUP(Table2[[#This Row],[Species]],'Species Table'!$A$1:$D$68,3, FALSE)</f>
        <v>Perennial</v>
      </c>
      <c r="N1636" s="8"/>
      <c r="O1636" s="15">
        <f>IF(SUMPRODUCT(($A$2:$A1636=A1636)*($B$2:$B1636=B1636)*($F$2:$F1636=F1636))&gt;1,0,1)</f>
        <v>0</v>
      </c>
      <c r="P1636" s="15">
        <f>IF(SUMPRODUCT(($A$2:$A1636=A1636)*($B$2:$B1636=B1636)*($D$2:$D1636=D1636))&gt;1,0,1)</f>
        <v>0</v>
      </c>
    </row>
    <row r="1637" spans="1:16" x14ac:dyDescent="0.35">
      <c r="A1637" t="s">
        <v>9</v>
      </c>
      <c r="B1637">
        <v>2017</v>
      </c>
      <c r="C1637" s="1" t="s">
        <v>83</v>
      </c>
      <c r="D1637" s="6">
        <v>1.4</v>
      </c>
      <c r="E1637" s="6">
        <f>INT(Table2[[#This Row],[Transect]])</f>
        <v>1</v>
      </c>
      <c r="F1637" s="1" t="s">
        <v>12</v>
      </c>
      <c r="G1637">
        <v>2</v>
      </c>
      <c r="H1637">
        <f t="shared" si="10"/>
        <v>200</v>
      </c>
      <c r="I1637">
        <v>100</v>
      </c>
      <c r="J1637">
        <f>Table2[[#This Row],[Hits]]/Table2[[#This Row],[Points]]*100</f>
        <v>1</v>
      </c>
      <c r="K1637">
        <f>VLOOKUP(Table2[[#This Row],[Site]],'Site Info'!$A$1:$C$11,2, FALSE)</f>
        <v>17.7</v>
      </c>
      <c r="L1637">
        <f>VLOOKUP(Table2[[#This Row],[Site]],'Site Info'!$A$1:$C$11,3, FALSE)</f>
        <v>10</v>
      </c>
      <c r="M1637" t="str">
        <f>VLOOKUP(Table2[[#This Row],[Species]],'Species Table'!$A$1:$D$68,3, FALSE)</f>
        <v>Perennial</v>
      </c>
      <c r="N1637" s="8"/>
      <c r="O1637" s="15">
        <f>IF(SUMPRODUCT(($A$2:$A1637=A1637)*($B$2:$B1637=B1637)*($F$2:$F1637=F1637))&gt;1,0,1)</f>
        <v>0</v>
      </c>
      <c r="P1637" s="15">
        <f>IF(SUMPRODUCT(($A$2:$A1637=A1637)*($B$2:$B1637=B1637)*($D$2:$D1637=D1637))&gt;1,0,1)</f>
        <v>0</v>
      </c>
    </row>
    <row r="1638" spans="1:16" x14ac:dyDescent="0.35">
      <c r="A1638" t="s">
        <v>9</v>
      </c>
      <c r="B1638">
        <v>2017</v>
      </c>
      <c r="C1638" s="1" t="s">
        <v>39</v>
      </c>
      <c r="D1638" s="6">
        <v>1.5</v>
      </c>
      <c r="E1638" s="6">
        <f>INT(Table2[[#This Row],[Transect]])</f>
        <v>1</v>
      </c>
      <c r="F1638" s="1" t="s">
        <v>11</v>
      </c>
      <c r="G1638">
        <v>4</v>
      </c>
      <c r="H1638">
        <f t="shared" si="10"/>
        <v>200</v>
      </c>
      <c r="I1638">
        <v>100</v>
      </c>
      <c r="J1638">
        <f>Table2[[#This Row],[Hits]]/Table2[[#This Row],[Points]]*100</f>
        <v>2</v>
      </c>
      <c r="K1638">
        <f>VLOOKUP(Table2[[#This Row],[Site]],'Site Info'!$A$1:$C$11,2, FALSE)</f>
        <v>17.7</v>
      </c>
      <c r="L1638">
        <f>VLOOKUP(Table2[[#This Row],[Site]],'Site Info'!$A$1:$C$11,3, FALSE)</f>
        <v>10</v>
      </c>
      <c r="M1638" t="str">
        <f>VLOOKUP(Table2[[#This Row],[Species]],'Species Table'!$A$1:$D$68,3, FALSE)</f>
        <v>Perennial</v>
      </c>
      <c r="N1638" s="8"/>
      <c r="O1638" s="15">
        <f>IF(SUMPRODUCT(($A$2:$A1638=A1638)*($B$2:$B1638=B1638)*($F$2:$F1638=F1638))&gt;1,0,1)</f>
        <v>0</v>
      </c>
      <c r="P1638" s="15">
        <f>IF(SUMPRODUCT(($A$2:$A1638=A1638)*($B$2:$B1638=B1638)*($D$2:$D1638=D1638))&gt;1,0,1)</f>
        <v>1</v>
      </c>
    </row>
    <row r="1639" spans="1:16" hidden="1" x14ac:dyDescent="0.35">
      <c r="A1639" t="s">
        <v>9</v>
      </c>
      <c r="B1639">
        <v>2017</v>
      </c>
      <c r="C1639" s="1" t="s">
        <v>39</v>
      </c>
      <c r="D1639" s="6">
        <v>1.5</v>
      </c>
      <c r="E1639" s="6">
        <f>INT(Table2[[#This Row],[Transect]])</f>
        <v>1</v>
      </c>
      <c r="F1639" s="1" t="s">
        <v>33</v>
      </c>
      <c r="G1639">
        <v>3</v>
      </c>
      <c r="H1639">
        <f t="shared" si="10"/>
        <v>200</v>
      </c>
      <c r="I1639">
        <v>100</v>
      </c>
      <c r="J1639">
        <f>Table2[[#This Row],[Hits]]/Table2[[#This Row],[Points]]*100</f>
        <v>1.5</v>
      </c>
      <c r="K1639">
        <f>VLOOKUP(Table2[[#This Row],[Site]],'Site Info'!$A$1:$C$11,2, FALSE)</f>
        <v>17.7</v>
      </c>
      <c r="L1639">
        <f>VLOOKUP(Table2[[#This Row],[Site]],'Site Info'!$A$1:$C$11,3, FALSE)</f>
        <v>10</v>
      </c>
      <c r="M1639" t="str">
        <f>VLOOKUP(Table2[[#This Row],[Species]],'Species Table'!$A$1:$D$68,3, FALSE)</f>
        <v>Annual</v>
      </c>
      <c r="N1639" s="8"/>
      <c r="O1639" s="15">
        <f>IF(SUMPRODUCT(($A$2:$A1639=A1639)*($B$2:$B1639=B1639)*($F$2:$F1639=F1639))&gt;1,0,1)</f>
        <v>1</v>
      </c>
      <c r="P1639" s="15">
        <f>IF(SUMPRODUCT(($A$2:$A1639=A1639)*($B$2:$B1639=B1639)*($D$2:$D1639=D1639))&gt;1,0,1)</f>
        <v>0</v>
      </c>
    </row>
    <row r="1640" spans="1:16" x14ac:dyDescent="0.35">
      <c r="A1640" t="s">
        <v>9</v>
      </c>
      <c r="B1640">
        <v>2017</v>
      </c>
      <c r="C1640" s="1" t="s">
        <v>39</v>
      </c>
      <c r="D1640" s="6">
        <v>1.5</v>
      </c>
      <c r="E1640" s="6">
        <f>INT(Table2[[#This Row],[Transect]])</f>
        <v>1</v>
      </c>
      <c r="F1640" s="1" t="s">
        <v>12</v>
      </c>
      <c r="G1640">
        <v>3</v>
      </c>
      <c r="H1640">
        <f t="shared" si="10"/>
        <v>200</v>
      </c>
      <c r="I1640">
        <v>100</v>
      </c>
      <c r="J1640">
        <f>Table2[[#This Row],[Hits]]/Table2[[#This Row],[Points]]*100</f>
        <v>1.5</v>
      </c>
      <c r="K1640">
        <f>VLOOKUP(Table2[[#This Row],[Site]],'Site Info'!$A$1:$C$11,2, FALSE)</f>
        <v>17.7</v>
      </c>
      <c r="L1640">
        <f>VLOOKUP(Table2[[#This Row],[Site]],'Site Info'!$A$1:$C$11,3, FALSE)</f>
        <v>10</v>
      </c>
      <c r="M1640" t="str">
        <f>VLOOKUP(Table2[[#This Row],[Species]],'Species Table'!$A$1:$D$68,3, FALSE)</f>
        <v>Perennial</v>
      </c>
      <c r="N1640" s="8"/>
      <c r="O1640" s="15">
        <f>IF(SUMPRODUCT(($A$2:$A1640=A1640)*($B$2:$B1640=B1640)*($F$2:$F1640=F1640))&gt;1,0,1)</f>
        <v>0</v>
      </c>
      <c r="P1640" s="15">
        <f>IF(SUMPRODUCT(($A$2:$A1640=A1640)*($B$2:$B1640=B1640)*($D$2:$D1640=D1640))&gt;1,0,1)</f>
        <v>0</v>
      </c>
    </row>
    <row r="1641" spans="1:16" x14ac:dyDescent="0.35">
      <c r="A1641" t="s">
        <v>9</v>
      </c>
      <c r="B1641">
        <v>2017</v>
      </c>
      <c r="C1641" s="1" t="s">
        <v>39</v>
      </c>
      <c r="D1641" s="6">
        <v>1.5</v>
      </c>
      <c r="E1641" s="6">
        <f>INT(Table2[[#This Row],[Transect]])</f>
        <v>1</v>
      </c>
      <c r="F1641" s="1" t="s">
        <v>6</v>
      </c>
      <c r="G1641">
        <v>4</v>
      </c>
      <c r="H1641">
        <f t="shared" si="10"/>
        <v>200</v>
      </c>
      <c r="I1641">
        <v>100</v>
      </c>
      <c r="J1641">
        <f>Table2[[#This Row],[Hits]]/Table2[[#This Row],[Points]]*100</f>
        <v>2</v>
      </c>
      <c r="K1641">
        <f>VLOOKUP(Table2[[#This Row],[Site]],'Site Info'!$A$1:$C$11,2, FALSE)</f>
        <v>17.7</v>
      </c>
      <c r="L1641">
        <f>VLOOKUP(Table2[[#This Row],[Site]],'Site Info'!$A$1:$C$11,3, FALSE)</f>
        <v>10</v>
      </c>
      <c r="M1641" t="str">
        <f>VLOOKUP(Table2[[#This Row],[Species]],'Species Table'!$A$1:$D$68,3, FALSE)</f>
        <v>Perennial</v>
      </c>
      <c r="N1641" s="8"/>
      <c r="O1641" s="15">
        <f>IF(SUMPRODUCT(($A$2:$A1641=A1641)*($B$2:$B1641=B1641)*($F$2:$F1641=F1641))&gt;1,0,1)</f>
        <v>0</v>
      </c>
      <c r="P1641" s="15">
        <f>IF(SUMPRODUCT(($A$2:$A1641=A1641)*($B$2:$B1641=B1641)*($D$2:$D1641=D1641))&gt;1,0,1)</f>
        <v>0</v>
      </c>
    </row>
    <row r="1642" spans="1:16" hidden="1" x14ac:dyDescent="0.35">
      <c r="A1642" t="s">
        <v>9</v>
      </c>
      <c r="B1642">
        <v>2017</v>
      </c>
      <c r="C1642" s="1" t="s">
        <v>40</v>
      </c>
      <c r="D1642" s="6">
        <v>1.6</v>
      </c>
      <c r="E1642" s="6">
        <f>INT(Table2[[#This Row],[Transect]])</f>
        <v>1</v>
      </c>
      <c r="F1642" s="1" t="s">
        <v>10</v>
      </c>
      <c r="G1642">
        <v>1</v>
      </c>
      <c r="H1642">
        <f t="shared" si="10"/>
        <v>200</v>
      </c>
      <c r="I1642">
        <v>100</v>
      </c>
      <c r="J1642">
        <f>Table2[[#This Row],[Hits]]/Table2[[#This Row],[Points]]*100</f>
        <v>0.5</v>
      </c>
      <c r="K1642">
        <f>VLOOKUP(Table2[[#This Row],[Site]],'Site Info'!$A$1:$C$11,2, FALSE)</f>
        <v>17.7</v>
      </c>
      <c r="L1642">
        <f>VLOOKUP(Table2[[#This Row],[Site]],'Site Info'!$A$1:$C$11,3, FALSE)</f>
        <v>10</v>
      </c>
      <c r="M1642" t="str">
        <f>VLOOKUP(Table2[[#This Row],[Species]],'Species Table'!$A$1:$D$68,3, FALSE)</f>
        <v>Annual</v>
      </c>
      <c r="N1642" s="8"/>
      <c r="O1642" s="15">
        <f>IF(SUMPRODUCT(($A$2:$A1642=A1642)*($B$2:$B1642=B1642)*($F$2:$F1642=F1642))&gt;1,0,1)</f>
        <v>0</v>
      </c>
      <c r="P1642" s="15">
        <f>IF(SUMPRODUCT(($A$2:$A1642=A1642)*($B$2:$B1642=B1642)*($D$2:$D1642=D1642))&gt;1,0,1)</f>
        <v>1</v>
      </c>
    </row>
    <row r="1643" spans="1:16" x14ac:dyDescent="0.35">
      <c r="A1643" t="s">
        <v>9</v>
      </c>
      <c r="B1643">
        <v>2017</v>
      </c>
      <c r="C1643" s="1" t="s">
        <v>40</v>
      </c>
      <c r="D1643" s="6">
        <v>1.6</v>
      </c>
      <c r="E1643" s="6">
        <f>INT(Table2[[#This Row],[Transect]])</f>
        <v>1</v>
      </c>
      <c r="F1643" s="1" t="s">
        <v>11</v>
      </c>
      <c r="G1643">
        <v>4</v>
      </c>
      <c r="H1643">
        <f t="shared" si="10"/>
        <v>200</v>
      </c>
      <c r="I1643">
        <v>100</v>
      </c>
      <c r="J1643">
        <f>Table2[[#This Row],[Hits]]/Table2[[#This Row],[Points]]*100</f>
        <v>2</v>
      </c>
      <c r="K1643">
        <f>VLOOKUP(Table2[[#This Row],[Site]],'Site Info'!$A$1:$C$11,2, FALSE)</f>
        <v>17.7</v>
      </c>
      <c r="L1643">
        <f>VLOOKUP(Table2[[#This Row],[Site]],'Site Info'!$A$1:$C$11,3, FALSE)</f>
        <v>10</v>
      </c>
      <c r="M1643" t="str">
        <f>VLOOKUP(Table2[[#This Row],[Species]],'Species Table'!$A$1:$D$68,3, FALSE)</f>
        <v>Perennial</v>
      </c>
      <c r="N1643" s="8"/>
      <c r="O1643" s="15">
        <f>IF(SUMPRODUCT(($A$2:$A1643=A1643)*($B$2:$B1643=B1643)*($F$2:$F1643=F1643))&gt;1,0,1)</f>
        <v>0</v>
      </c>
      <c r="P1643" s="15">
        <f>IF(SUMPRODUCT(($A$2:$A1643=A1643)*($B$2:$B1643=B1643)*($D$2:$D1643=D1643))&gt;1,0,1)</f>
        <v>0</v>
      </c>
    </row>
    <row r="1644" spans="1:16" x14ac:dyDescent="0.35">
      <c r="A1644" t="s">
        <v>9</v>
      </c>
      <c r="B1644">
        <v>2017</v>
      </c>
      <c r="C1644" s="1" t="s">
        <v>40</v>
      </c>
      <c r="D1644" s="6">
        <v>1.6</v>
      </c>
      <c r="E1644" s="6">
        <f>INT(Table2[[#This Row],[Transect]])</f>
        <v>1</v>
      </c>
      <c r="F1644" s="1" t="s">
        <v>12</v>
      </c>
      <c r="G1644">
        <v>2</v>
      </c>
      <c r="H1644">
        <f t="shared" si="10"/>
        <v>200</v>
      </c>
      <c r="I1644">
        <v>100</v>
      </c>
      <c r="J1644">
        <f>Table2[[#This Row],[Hits]]/Table2[[#This Row],[Points]]*100</f>
        <v>1</v>
      </c>
      <c r="K1644">
        <f>VLOOKUP(Table2[[#This Row],[Site]],'Site Info'!$A$1:$C$11,2, FALSE)</f>
        <v>17.7</v>
      </c>
      <c r="L1644">
        <f>VLOOKUP(Table2[[#This Row],[Site]],'Site Info'!$A$1:$C$11,3, FALSE)</f>
        <v>10</v>
      </c>
      <c r="M1644" t="str">
        <f>VLOOKUP(Table2[[#This Row],[Species]],'Species Table'!$A$1:$D$68,3, FALSE)</f>
        <v>Perennial</v>
      </c>
      <c r="N1644" s="8"/>
      <c r="O1644" s="15">
        <f>IF(SUMPRODUCT(($A$2:$A1644=A1644)*($B$2:$B1644=B1644)*($F$2:$F1644=F1644))&gt;1,0,1)</f>
        <v>0</v>
      </c>
      <c r="P1644" s="15">
        <f>IF(SUMPRODUCT(($A$2:$A1644=A1644)*($B$2:$B1644=B1644)*($D$2:$D1644=D1644))&gt;1,0,1)</f>
        <v>0</v>
      </c>
    </row>
    <row r="1645" spans="1:16" x14ac:dyDescent="0.35">
      <c r="A1645" t="s">
        <v>9</v>
      </c>
      <c r="B1645">
        <v>2017</v>
      </c>
      <c r="C1645" s="1" t="s">
        <v>40</v>
      </c>
      <c r="D1645" s="6">
        <v>1.6</v>
      </c>
      <c r="E1645" s="6">
        <f>INT(Table2[[#This Row],[Transect]])</f>
        <v>1</v>
      </c>
      <c r="F1645" s="1" t="s">
        <v>6</v>
      </c>
      <c r="G1645">
        <v>1</v>
      </c>
      <c r="H1645">
        <f t="shared" si="10"/>
        <v>200</v>
      </c>
      <c r="I1645">
        <v>100</v>
      </c>
      <c r="J1645">
        <f>Table2[[#This Row],[Hits]]/Table2[[#This Row],[Points]]*100</f>
        <v>0.5</v>
      </c>
      <c r="K1645">
        <f>VLOOKUP(Table2[[#This Row],[Site]],'Site Info'!$A$1:$C$11,2, FALSE)</f>
        <v>17.7</v>
      </c>
      <c r="L1645">
        <f>VLOOKUP(Table2[[#This Row],[Site]],'Site Info'!$A$1:$C$11,3, FALSE)</f>
        <v>10</v>
      </c>
      <c r="M1645" t="str">
        <f>VLOOKUP(Table2[[#This Row],[Species]],'Species Table'!$A$1:$D$68,3, FALSE)</f>
        <v>Perennial</v>
      </c>
      <c r="N1645" s="8"/>
      <c r="O1645" s="15">
        <f>IF(SUMPRODUCT(($A$2:$A1645=A1645)*($B$2:$B1645=B1645)*($F$2:$F1645=F1645))&gt;1,0,1)</f>
        <v>0</v>
      </c>
      <c r="P1645" s="15">
        <f>IF(SUMPRODUCT(($A$2:$A1645=A1645)*($B$2:$B1645=B1645)*($D$2:$D1645=D1645))&gt;1,0,1)</f>
        <v>0</v>
      </c>
    </row>
    <row r="1646" spans="1:16" x14ac:dyDescent="0.35">
      <c r="A1646" t="s">
        <v>9</v>
      </c>
      <c r="B1646">
        <v>2017</v>
      </c>
      <c r="C1646" s="1" t="s">
        <v>41</v>
      </c>
      <c r="D1646" s="6">
        <v>1.7</v>
      </c>
      <c r="E1646" s="6">
        <f>INT(Table2[[#This Row],[Transect]])</f>
        <v>1</v>
      </c>
      <c r="F1646" s="1" t="s">
        <v>139</v>
      </c>
      <c r="G1646">
        <v>1</v>
      </c>
      <c r="H1646">
        <f t="shared" si="10"/>
        <v>200</v>
      </c>
      <c r="I1646" s="4">
        <v>100</v>
      </c>
      <c r="J1646" s="4">
        <f>Table2[[#This Row],[Hits]]/Table2[[#This Row],[Points]]*100</f>
        <v>0.5</v>
      </c>
      <c r="K1646" s="4">
        <f>VLOOKUP(Table2[[#This Row],[Site]],'Site Info'!$A$1:$C$11,2, FALSE)</f>
        <v>17.7</v>
      </c>
      <c r="L1646" s="4">
        <f>VLOOKUP(Table2[[#This Row],[Site]],'Site Info'!$A$1:$C$11,3, FALSE)</f>
        <v>10</v>
      </c>
      <c r="M1646" t="str">
        <f>VLOOKUP(Table2[[#This Row],[Species]],'Species Table'!$A$1:$D$68,3, FALSE)</f>
        <v>Perennial</v>
      </c>
      <c r="N1646" s="4" t="s">
        <v>220</v>
      </c>
      <c r="O1646" s="15">
        <f>IF(SUMPRODUCT(($A$2:$A1646=A1646)*($B$2:$B1646=B1646)*($F$2:$F1646=F1646))&gt;1,0,1)</f>
        <v>1</v>
      </c>
      <c r="P1646" s="15">
        <f>IF(SUMPRODUCT(($A$2:$A1646=A1646)*($B$2:$B1646=B1646)*($D$2:$D1646=D1646))&gt;1,0,1)</f>
        <v>1</v>
      </c>
    </row>
    <row r="1647" spans="1:16" x14ac:dyDescent="0.35">
      <c r="A1647" t="s">
        <v>9</v>
      </c>
      <c r="B1647">
        <v>2017</v>
      </c>
      <c r="C1647" s="1" t="s">
        <v>41</v>
      </c>
      <c r="D1647" s="6">
        <v>1.7</v>
      </c>
      <c r="E1647" s="6">
        <f>INT(Table2[[#This Row],[Transect]])</f>
        <v>1</v>
      </c>
      <c r="F1647" s="1" t="s">
        <v>11</v>
      </c>
      <c r="G1647">
        <v>16</v>
      </c>
      <c r="H1647">
        <f t="shared" si="10"/>
        <v>200</v>
      </c>
      <c r="I1647" s="4">
        <v>100</v>
      </c>
      <c r="J1647" s="4">
        <f>Table2[[#This Row],[Hits]]/Table2[[#This Row],[Points]]*100</f>
        <v>8</v>
      </c>
      <c r="K1647" s="4">
        <f>VLOOKUP(Table2[[#This Row],[Site]],'Site Info'!$A$1:$C$11,2, FALSE)</f>
        <v>17.7</v>
      </c>
      <c r="L1647" s="4">
        <f>VLOOKUP(Table2[[#This Row],[Site]],'Site Info'!$A$1:$C$11,3, FALSE)</f>
        <v>10</v>
      </c>
      <c r="M1647" t="str">
        <f>VLOOKUP(Table2[[#This Row],[Species]],'Species Table'!$A$1:$D$68,3, FALSE)</f>
        <v>Perennial</v>
      </c>
      <c r="N1647" s="8"/>
      <c r="O1647" s="15">
        <f>IF(SUMPRODUCT(($A$2:$A1647=A1647)*($B$2:$B1647=B1647)*($F$2:$F1647=F1647))&gt;1,0,1)</f>
        <v>0</v>
      </c>
      <c r="P1647" s="15">
        <f>IF(SUMPRODUCT(($A$2:$A1647=A1647)*($B$2:$B1647=B1647)*($D$2:$D1647=D1647))&gt;1,0,1)</f>
        <v>0</v>
      </c>
    </row>
    <row r="1648" spans="1:16" x14ac:dyDescent="0.35">
      <c r="A1648" t="s">
        <v>9</v>
      </c>
      <c r="B1648">
        <v>2017</v>
      </c>
      <c r="C1648" s="1" t="s">
        <v>42</v>
      </c>
      <c r="D1648" s="6">
        <v>1.7</v>
      </c>
      <c r="E1648" s="6">
        <f>INT(Table2[[#This Row],[Transect]])</f>
        <v>1</v>
      </c>
      <c r="F1648" s="1" t="s">
        <v>11</v>
      </c>
      <c r="G1648">
        <v>17</v>
      </c>
      <c r="H1648">
        <f t="shared" si="10"/>
        <v>200</v>
      </c>
      <c r="I1648" s="4">
        <v>100</v>
      </c>
      <c r="J1648" s="4">
        <f>Table2[[#This Row],[Hits]]/Table2[[#This Row],[Points]]*100</f>
        <v>8.5</v>
      </c>
      <c r="K1648" s="4">
        <f>VLOOKUP(Table2[[#This Row],[Site]],'Site Info'!$A$1:$C$11,2, FALSE)</f>
        <v>17.7</v>
      </c>
      <c r="L1648" s="4">
        <f>VLOOKUP(Table2[[#This Row],[Site]],'Site Info'!$A$1:$C$11,3, FALSE)</f>
        <v>10</v>
      </c>
      <c r="M1648" t="str">
        <f>VLOOKUP(Table2[[#This Row],[Species]],'Species Table'!$A$1:$D$68,3, FALSE)</f>
        <v>Perennial</v>
      </c>
      <c r="N1648" s="12" t="s">
        <v>215</v>
      </c>
      <c r="O1648" s="15">
        <f>IF(SUMPRODUCT(($A$2:$A1648=A1648)*($B$2:$B1648=B1648)*($F$2:$F1648=F1648))&gt;1,0,1)</f>
        <v>0</v>
      </c>
      <c r="P1648" s="15">
        <f>IF(SUMPRODUCT(($A$2:$A1648=A1648)*($B$2:$B1648=B1648)*($D$2:$D1648=D1648))&gt;1,0,1)</f>
        <v>0</v>
      </c>
    </row>
    <row r="1649" spans="1:16" hidden="1" x14ac:dyDescent="0.35">
      <c r="A1649" t="s">
        <v>9</v>
      </c>
      <c r="B1649">
        <v>2017</v>
      </c>
      <c r="C1649" s="1" t="s">
        <v>42</v>
      </c>
      <c r="D1649" s="6">
        <v>1.7</v>
      </c>
      <c r="E1649" s="6">
        <f>INT(Table2[[#This Row],[Transect]])</f>
        <v>1</v>
      </c>
      <c r="F1649" s="1" t="s">
        <v>10</v>
      </c>
      <c r="G1649">
        <v>2</v>
      </c>
      <c r="H1649">
        <f t="shared" si="10"/>
        <v>200</v>
      </c>
      <c r="I1649" s="4">
        <v>100</v>
      </c>
      <c r="J1649" s="4">
        <f>Table2[[#This Row],[Hits]]/Table2[[#This Row],[Points]]*100</f>
        <v>1</v>
      </c>
      <c r="K1649" s="4">
        <f>VLOOKUP(Table2[[#This Row],[Site]],'Site Info'!$A$1:$C$11,2, FALSE)</f>
        <v>17.7</v>
      </c>
      <c r="L1649" s="4">
        <f>VLOOKUP(Table2[[#This Row],[Site]],'Site Info'!$A$1:$C$11,3, FALSE)</f>
        <v>10</v>
      </c>
      <c r="M1649" t="str">
        <f>VLOOKUP(Table2[[#This Row],[Species]],'Species Table'!$A$1:$D$68,3, FALSE)</f>
        <v>Annual</v>
      </c>
      <c r="N1649" s="12" t="s">
        <v>215</v>
      </c>
      <c r="O1649" s="15">
        <f>IF(SUMPRODUCT(($A$2:$A1649=A1649)*($B$2:$B1649=B1649)*($F$2:$F1649=F1649))&gt;1,0,1)</f>
        <v>0</v>
      </c>
      <c r="P1649" s="15">
        <f>IF(SUMPRODUCT(($A$2:$A1649=A1649)*($B$2:$B1649=B1649)*($D$2:$D1649=D1649))&gt;1,0,1)</f>
        <v>0</v>
      </c>
    </row>
    <row r="1650" spans="1:16" hidden="1" x14ac:dyDescent="0.35">
      <c r="A1650" t="s">
        <v>9</v>
      </c>
      <c r="B1650">
        <v>2017</v>
      </c>
      <c r="C1650" s="1" t="s">
        <v>43</v>
      </c>
      <c r="D1650" s="6">
        <v>2.1</v>
      </c>
      <c r="E1650" s="6">
        <f>INT(Table2[[#This Row],[Transect]])</f>
        <v>2</v>
      </c>
      <c r="F1650" s="1" t="s">
        <v>10</v>
      </c>
      <c r="G1650">
        <v>7</v>
      </c>
      <c r="H1650">
        <f t="shared" si="10"/>
        <v>200</v>
      </c>
      <c r="I1650">
        <v>100</v>
      </c>
      <c r="J1650">
        <f>Table2[[#This Row],[Hits]]/Table2[[#This Row],[Points]]*100</f>
        <v>3.5000000000000004</v>
      </c>
      <c r="K1650">
        <f>VLOOKUP(Table2[[#This Row],[Site]],'Site Info'!$A$1:$C$11,2, FALSE)</f>
        <v>17.7</v>
      </c>
      <c r="L1650">
        <f>VLOOKUP(Table2[[#This Row],[Site]],'Site Info'!$A$1:$C$11,3, FALSE)</f>
        <v>10</v>
      </c>
      <c r="M1650" t="str">
        <f>VLOOKUP(Table2[[#This Row],[Species]],'Species Table'!$A$1:$D$68,3, FALSE)</f>
        <v>Annual</v>
      </c>
      <c r="N1650" s="8"/>
      <c r="O1650" s="15">
        <f>IF(SUMPRODUCT(($A$2:$A1650=A1650)*($B$2:$B1650=B1650)*($F$2:$F1650=F1650))&gt;1,0,1)</f>
        <v>0</v>
      </c>
      <c r="P1650" s="15">
        <f>IF(SUMPRODUCT(($A$2:$A1650=A1650)*($B$2:$B1650=B1650)*($D$2:$D1650=D1650))&gt;1,0,1)</f>
        <v>1</v>
      </c>
    </row>
    <row r="1651" spans="1:16" x14ac:dyDescent="0.35">
      <c r="A1651" t="s">
        <v>9</v>
      </c>
      <c r="B1651">
        <v>2017</v>
      </c>
      <c r="C1651" s="1" t="s">
        <v>43</v>
      </c>
      <c r="D1651" s="6">
        <v>2.1</v>
      </c>
      <c r="E1651" s="6">
        <f>INT(Table2[[#This Row],[Transect]])</f>
        <v>2</v>
      </c>
      <c r="F1651" s="1" t="s">
        <v>3</v>
      </c>
      <c r="G1651">
        <v>5</v>
      </c>
      <c r="H1651">
        <f t="shared" si="10"/>
        <v>200</v>
      </c>
      <c r="I1651">
        <v>100</v>
      </c>
      <c r="J1651">
        <f>Table2[[#This Row],[Hits]]/Table2[[#This Row],[Points]]*100</f>
        <v>2.5</v>
      </c>
      <c r="K1651">
        <f>VLOOKUP(Table2[[#This Row],[Site]],'Site Info'!$A$1:$C$11,2, FALSE)</f>
        <v>17.7</v>
      </c>
      <c r="L1651">
        <f>VLOOKUP(Table2[[#This Row],[Site]],'Site Info'!$A$1:$C$11,3, FALSE)</f>
        <v>10</v>
      </c>
      <c r="M1651" t="str">
        <f>VLOOKUP(Table2[[#This Row],[Species]],'Species Table'!$A$1:$D$68,3, FALSE)</f>
        <v>Perennial</v>
      </c>
      <c r="N1651" s="8"/>
      <c r="O1651" s="15">
        <f>IF(SUMPRODUCT(($A$2:$A1651=A1651)*($B$2:$B1651=B1651)*($F$2:$F1651=F1651))&gt;1,0,1)</f>
        <v>0</v>
      </c>
      <c r="P1651" s="15">
        <f>IF(SUMPRODUCT(($A$2:$A1651=A1651)*($B$2:$B1651=B1651)*($D$2:$D1651=D1651))&gt;1,0,1)</f>
        <v>0</v>
      </c>
    </row>
    <row r="1652" spans="1:16" hidden="1" x14ac:dyDescent="0.35">
      <c r="A1652" t="s">
        <v>9</v>
      </c>
      <c r="B1652">
        <v>2017</v>
      </c>
      <c r="C1652" s="1" t="s">
        <v>44</v>
      </c>
      <c r="D1652" s="6">
        <v>2.2000000000000002</v>
      </c>
      <c r="E1652" s="6">
        <f>INT(Table2[[#This Row],[Transect]])</f>
        <v>2</v>
      </c>
      <c r="F1652" s="1" t="s">
        <v>10</v>
      </c>
      <c r="G1652">
        <v>7</v>
      </c>
      <c r="H1652">
        <f t="shared" si="10"/>
        <v>200</v>
      </c>
      <c r="I1652">
        <v>100</v>
      </c>
      <c r="J1652">
        <f>Table2[[#This Row],[Hits]]/Table2[[#This Row],[Points]]*100</f>
        <v>3.5000000000000004</v>
      </c>
      <c r="K1652">
        <f>VLOOKUP(Table2[[#This Row],[Site]],'Site Info'!$A$1:$C$11,2, FALSE)</f>
        <v>17.7</v>
      </c>
      <c r="L1652">
        <f>VLOOKUP(Table2[[#This Row],[Site]],'Site Info'!$A$1:$C$11,3, FALSE)</f>
        <v>10</v>
      </c>
      <c r="M1652" t="str">
        <f>VLOOKUP(Table2[[#This Row],[Species]],'Species Table'!$A$1:$D$68,3, FALSE)</f>
        <v>Annual</v>
      </c>
      <c r="N1652" s="3"/>
      <c r="O1652" s="15">
        <f>IF(SUMPRODUCT(($A$2:$A1652=A1652)*($B$2:$B1652=B1652)*($F$2:$F1652=F1652))&gt;1,0,1)</f>
        <v>0</v>
      </c>
      <c r="P1652" s="15">
        <f>IF(SUMPRODUCT(($A$2:$A1652=A1652)*($B$2:$B1652=B1652)*($D$2:$D1652=D1652))&gt;1,0,1)</f>
        <v>1</v>
      </c>
    </row>
    <row r="1653" spans="1:16" x14ac:dyDescent="0.35">
      <c r="A1653" t="s">
        <v>9</v>
      </c>
      <c r="B1653">
        <v>2017</v>
      </c>
      <c r="C1653" s="1" t="s">
        <v>44</v>
      </c>
      <c r="D1653" s="6">
        <v>2.2000000000000002</v>
      </c>
      <c r="E1653" s="6">
        <f>INT(Table2[[#This Row],[Transect]])</f>
        <v>2</v>
      </c>
      <c r="F1653" s="1" t="s">
        <v>11</v>
      </c>
      <c r="G1653">
        <v>5</v>
      </c>
      <c r="H1653">
        <f t="shared" si="10"/>
        <v>200</v>
      </c>
      <c r="I1653">
        <v>100</v>
      </c>
      <c r="J1653">
        <f>Table2[[#This Row],[Hits]]/Table2[[#This Row],[Points]]*100</f>
        <v>2.5</v>
      </c>
      <c r="K1653">
        <f>VLOOKUP(Table2[[#This Row],[Site]],'Site Info'!$A$1:$C$11,2, FALSE)</f>
        <v>17.7</v>
      </c>
      <c r="L1653">
        <f>VLOOKUP(Table2[[#This Row],[Site]],'Site Info'!$A$1:$C$11,3, FALSE)</f>
        <v>10</v>
      </c>
      <c r="M1653" t="str">
        <f>VLOOKUP(Table2[[#This Row],[Species]],'Species Table'!$A$1:$D$68,3, FALSE)</f>
        <v>Perennial</v>
      </c>
      <c r="O1653" s="15">
        <f>IF(SUMPRODUCT(($A$2:$A1653=A1653)*($B$2:$B1653=B1653)*($F$2:$F1653=F1653))&gt;1,0,1)</f>
        <v>0</v>
      </c>
      <c r="P1653" s="15">
        <f>IF(SUMPRODUCT(($A$2:$A1653=A1653)*($B$2:$B1653=B1653)*($D$2:$D1653=D1653))&gt;1,0,1)</f>
        <v>0</v>
      </c>
    </row>
    <row r="1654" spans="1:16" x14ac:dyDescent="0.35">
      <c r="A1654" t="s">
        <v>9</v>
      </c>
      <c r="B1654">
        <v>2017</v>
      </c>
      <c r="C1654" s="1" t="s">
        <v>45</v>
      </c>
      <c r="D1654" s="6">
        <v>2.2999999999999998</v>
      </c>
      <c r="E1654" s="6">
        <f>INT(Table2[[#This Row],[Transect]])</f>
        <v>2</v>
      </c>
      <c r="F1654" s="1" t="s">
        <v>11</v>
      </c>
      <c r="G1654">
        <v>2</v>
      </c>
      <c r="H1654">
        <f t="shared" si="10"/>
        <v>200</v>
      </c>
      <c r="I1654">
        <v>100</v>
      </c>
      <c r="J1654">
        <f>Table2[[#This Row],[Hits]]/Table2[[#This Row],[Points]]*100</f>
        <v>1</v>
      </c>
      <c r="K1654">
        <f>VLOOKUP(Table2[[#This Row],[Site]],'Site Info'!$A$1:$C$11,2, FALSE)</f>
        <v>17.7</v>
      </c>
      <c r="L1654">
        <f>VLOOKUP(Table2[[#This Row],[Site]],'Site Info'!$A$1:$C$11,3, FALSE)</f>
        <v>10</v>
      </c>
      <c r="M1654" t="str">
        <f>VLOOKUP(Table2[[#This Row],[Species]],'Species Table'!$A$1:$D$68,3, FALSE)</f>
        <v>Perennial</v>
      </c>
      <c r="O1654" s="15">
        <f>IF(SUMPRODUCT(($A$2:$A1654=A1654)*($B$2:$B1654=B1654)*($F$2:$F1654=F1654))&gt;1,0,1)</f>
        <v>0</v>
      </c>
      <c r="P1654" s="15">
        <f>IF(SUMPRODUCT(($A$2:$A1654=A1654)*($B$2:$B1654=B1654)*($D$2:$D1654=D1654))&gt;1,0,1)</f>
        <v>1</v>
      </c>
    </row>
    <row r="1655" spans="1:16" x14ac:dyDescent="0.35">
      <c r="A1655" t="s">
        <v>9</v>
      </c>
      <c r="B1655">
        <v>2017</v>
      </c>
      <c r="C1655" s="1" t="s">
        <v>45</v>
      </c>
      <c r="D1655" s="6">
        <v>2.2999999999999998</v>
      </c>
      <c r="E1655" s="6">
        <f>INT(Table2[[#This Row],[Transect]])</f>
        <v>2</v>
      </c>
      <c r="F1655" s="1" t="s">
        <v>12</v>
      </c>
      <c r="G1655">
        <v>1</v>
      </c>
      <c r="H1655">
        <f t="shared" si="10"/>
        <v>200</v>
      </c>
      <c r="I1655">
        <v>100</v>
      </c>
      <c r="J1655">
        <f>Table2[[#This Row],[Hits]]/Table2[[#This Row],[Points]]*100</f>
        <v>0.5</v>
      </c>
      <c r="K1655">
        <f>VLOOKUP(Table2[[#This Row],[Site]],'Site Info'!$A$1:$C$11,2, FALSE)</f>
        <v>17.7</v>
      </c>
      <c r="L1655">
        <f>VLOOKUP(Table2[[#This Row],[Site]],'Site Info'!$A$1:$C$11,3, FALSE)</f>
        <v>10</v>
      </c>
      <c r="M1655" t="str">
        <f>VLOOKUP(Table2[[#This Row],[Species]],'Species Table'!$A$1:$D$68,3, FALSE)</f>
        <v>Perennial</v>
      </c>
      <c r="O1655" s="15">
        <f>IF(SUMPRODUCT(($A$2:$A1655=A1655)*($B$2:$B1655=B1655)*($F$2:$F1655=F1655))&gt;1,0,1)</f>
        <v>0</v>
      </c>
      <c r="P1655" s="15">
        <f>IF(SUMPRODUCT(($A$2:$A1655=A1655)*($B$2:$B1655=B1655)*($D$2:$D1655=D1655))&gt;1,0,1)</f>
        <v>0</v>
      </c>
    </row>
    <row r="1656" spans="1:16" x14ac:dyDescent="0.35">
      <c r="A1656" t="s">
        <v>9</v>
      </c>
      <c r="B1656">
        <v>2017</v>
      </c>
      <c r="C1656" s="1" t="s">
        <v>45</v>
      </c>
      <c r="D1656" s="6">
        <v>2.2999999999999998</v>
      </c>
      <c r="E1656" s="6">
        <f>INT(Table2[[#This Row],[Transect]])</f>
        <v>2</v>
      </c>
      <c r="F1656" s="1" t="s">
        <v>6</v>
      </c>
      <c r="G1656">
        <v>1</v>
      </c>
      <c r="H1656">
        <f t="shared" si="10"/>
        <v>200</v>
      </c>
      <c r="I1656">
        <v>100</v>
      </c>
      <c r="J1656">
        <f>Table2[[#This Row],[Hits]]/Table2[[#This Row],[Points]]*100</f>
        <v>0.5</v>
      </c>
      <c r="K1656">
        <f>VLOOKUP(Table2[[#This Row],[Site]],'Site Info'!$A$1:$C$11,2, FALSE)</f>
        <v>17.7</v>
      </c>
      <c r="L1656">
        <f>VLOOKUP(Table2[[#This Row],[Site]],'Site Info'!$A$1:$C$11,3, FALSE)</f>
        <v>10</v>
      </c>
      <c r="M1656" t="str">
        <f>VLOOKUP(Table2[[#This Row],[Species]],'Species Table'!$A$1:$D$68,3, FALSE)</f>
        <v>Perennial</v>
      </c>
      <c r="O1656" s="15">
        <f>IF(SUMPRODUCT(($A$2:$A1656=A1656)*($B$2:$B1656=B1656)*($F$2:$F1656=F1656))&gt;1,0,1)</f>
        <v>0</v>
      </c>
      <c r="P1656" s="15">
        <f>IF(SUMPRODUCT(($A$2:$A1656=A1656)*($B$2:$B1656=B1656)*($D$2:$D1656=D1656))&gt;1,0,1)</f>
        <v>0</v>
      </c>
    </row>
    <row r="1657" spans="1:16" hidden="1" x14ac:dyDescent="0.35">
      <c r="A1657" t="s">
        <v>9</v>
      </c>
      <c r="B1657">
        <v>2017</v>
      </c>
      <c r="C1657" s="1" t="s">
        <v>46</v>
      </c>
      <c r="D1657" s="6">
        <v>2.4</v>
      </c>
      <c r="E1657" s="6">
        <f>INT(Table2[[#This Row],[Transect]])</f>
        <v>2</v>
      </c>
      <c r="F1657" s="1" t="s">
        <v>10</v>
      </c>
      <c r="G1657">
        <v>1</v>
      </c>
      <c r="H1657">
        <f t="shared" si="10"/>
        <v>200</v>
      </c>
      <c r="I1657">
        <v>100</v>
      </c>
      <c r="J1657">
        <f>Table2[[#This Row],[Hits]]/Table2[[#This Row],[Points]]*100</f>
        <v>0.5</v>
      </c>
      <c r="K1657">
        <f>VLOOKUP(Table2[[#This Row],[Site]],'Site Info'!$A$1:$C$11,2, FALSE)</f>
        <v>17.7</v>
      </c>
      <c r="L1657">
        <f>VLOOKUP(Table2[[#This Row],[Site]],'Site Info'!$A$1:$C$11,3, FALSE)</f>
        <v>10</v>
      </c>
      <c r="M1657" t="str">
        <f>VLOOKUP(Table2[[#This Row],[Species]],'Species Table'!$A$1:$D$68,3, FALSE)</f>
        <v>Annual</v>
      </c>
      <c r="N1657" s="9"/>
      <c r="O1657" s="15">
        <f>IF(SUMPRODUCT(($A$2:$A1657=A1657)*($B$2:$B1657=B1657)*($F$2:$F1657=F1657))&gt;1,0,1)</f>
        <v>0</v>
      </c>
      <c r="P1657" s="15">
        <f>IF(SUMPRODUCT(($A$2:$A1657=A1657)*($B$2:$B1657=B1657)*($D$2:$D1657=D1657))&gt;1,0,1)</f>
        <v>1</v>
      </c>
    </row>
    <row r="1658" spans="1:16" x14ac:dyDescent="0.35">
      <c r="A1658" t="s">
        <v>9</v>
      </c>
      <c r="B1658">
        <v>2017</v>
      </c>
      <c r="C1658" s="1" t="s">
        <v>46</v>
      </c>
      <c r="D1658" s="6">
        <v>2.4</v>
      </c>
      <c r="E1658" s="6">
        <f>INT(Table2[[#This Row],[Transect]])</f>
        <v>2</v>
      </c>
      <c r="F1658" s="1" t="s">
        <v>6</v>
      </c>
      <c r="G1658">
        <v>1</v>
      </c>
      <c r="H1658">
        <f t="shared" si="10"/>
        <v>200</v>
      </c>
      <c r="I1658">
        <v>100</v>
      </c>
      <c r="J1658">
        <f>Table2[[#This Row],[Hits]]/Table2[[#This Row],[Points]]*100</f>
        <v>0.5</v>
      </c>
      <c r="K1658">
        <f>VLOOKUP(Table2[[#This Row],[Site]],'Site Info'!$A$1:$C$11,2, FALSE)</f>
        <v>17.7</v>
      </c>
      <c r="L1658">
        <f>VLOOKUP(Table2[[#This Row],[Site]],'Site Info'!$A$1:$C$11,3, FALSE)</f>
        <v>10</v>
      </c>
      <c r="M1658" t="str">
        <f>VLOOKUP(Table2[[#This Row],[Species]],'Species Table'!$A$1:$D$68,3, FALSE)</f>
        <v>Perennial</v>
      </c>
      <c r="N1658" s="9"/>
      <c r="O1658" s="15">
        <f>IF(SUMPRODUCT(($A$2:$A1658=A1658)*($B$2:$B1658=B1658)*($F$2:$F1658=F1658))&gt;1,0,1)</f>
        <v>0</v>
      </c>
      <c r="P1658" s="15">
        <f>IF(SUMPRODUCT(($A$2:$A1658=A1658)*($B$2:$B1658=B1658)*($D$2:$D1658=D1658))&gt;1,0,1)</f>
        <v>0</v>
      </c>
    </row>
    <row r="1659" spans="1:16" x14ac:dyDescent="0.35">
      <c r="A1659" t="s">
        <v>9</v>
      </c>
      <c r="B1659">
        <v>2017</v>
      </c>
      <c r="C1659" s="1" t="s">
        <v>46</v>
      </c>
      <c r="D1659" s="6">
        <v>2.4</v>
      </c>
      <c r="E1659" s="6">
        <f>INT(Table2[[#This Row],[Transect]])</f>
        <v>2</v>
      </c>
      <c r="F1659" s="1" t="s">
        <v>12</v>
      </c>
      <c r="G1659">
        <v>2</v>
      </c>
      <c r="H1659">
        <f t="shared" si="10"/>
        <v>200</v>
      </c>
      <c r="I1659">
        <v>100</v>
      </c>
      <c r="J1659">
        <f>Table2[[#This Row],[Hits]]/Table2[[#This Row],[Points]]*100</f>
        <v>1</v>
      </c>
      <c r="K1659">
        <f>VLOOKUP(Table2[[#This Row],[Site]],'Site Info'!$A$1:$C$11,2, FALSE)</f>
        <v>17.7</v>
      </c>
      <c r="L1659">
        <f>VLOOKUP(Table2[[#This Row],[Site]],'Site Info'!$A$1:$C$11,3, FALSE)</f>
        <v>10</v>
      </c>
      <c r="M1659" t="str">
        <f>VLOOKUP(Table2[[#This Row],[Species]],'Species Table'!$A$1:$D$68,3, FALSE)</f>
        <v>Perennial</v>
      </c>
      <c r="N1659" s="9"/>
      <c r="O1659" s="15">
        <f>IF(SUMPRODUCT(($A$2:$A1659=A1659)*($B$2:$B1659=B1659)*($F$2:$F1659=F1659))&gt;1,0,1)</f>
        <v>0</v>
      </c>
      <c r="P1659" s="15">
        <f>IF(SUMPRODUCT(($A$2:$A1659=A1659)*($B$2:$B1659=B1659)*($D$2:$D1659=D1659))&gt;1,0,1)</f>
        <v>0</v>
      </c>
    </row>
    <row r="1660" spans="1:16" hidden="1" x14ac:dyDescent="0.35">
      <c r="A1660" t="s">
        <v>9</v>
      </c>
      <c r="B1660">
        <v>2017</v>
      </c>
      <c r="C1660" s="1" t="s">
        <v>47</v>
      </c>
      <c r="D1660" s="6">
        <v>2.5</v>
      </c>
      <c r="E1660" s="6">
        <f>INT(Table2[[#This Row],[Transect]])</f>
        <v>2</v>
      </c>
      <c r="F1660" s="1" t="s">
        <v>10</v>
      </c>
      <c r="G1660">
        <v>5</v>
      </c>
      <c r="H1660">
        <f t="shared" si="10"/>
        <v>200</v>
      </c>
      <c r="I1660">
        <v>100</v>
      </c>
      <c r="J1660">
        <f>Table2[[#This Row],[Hits]]/Table2[[#This Row],[Points]]*100</f>
        <v>2.5</v>
      </c>
      <c r="K1660">
        <f>VLOOKUP(Table2[[#This Row],[Site]],'Site Info'!$A$1:$C$11,2, FALSE)</f>
        <v>17.7</v>
      </c>
      <c r="L1660">
        <f>VLOOKUP(Table2[[#This Row],[Site]],'Site Info'!$A$1:$C$11,3, FALSE)</f>
        <v>10</v>
      </c>
      <c r="M1660" t="str">
        <f>VLOOKUP(Table2[[#This Row],[Species]],'Species Table'!$A$1:$D$68,3, FALSE)</f>
        <v>Annual</v>
      </c>
      <c r="O1660" s="15">
        <f>IF(SUMPRODUCT(($A$2:$A1660=A1660)*($B$2:$B1660=B1660)*($F$2:$F1660=F1660))&gt;1,0,1)</f>
        <v>0</v>
      </c>
      <c r="P1660" s="15">
        <f>IF(SUMPRODUCT(($A$2:$A1660=A1660)*($B$2:$B1660=B1660)*($D$2:$D1660=D1660))&gt;1,0,1)</f>
        <v>1</v>
      </c>
    </row>
    <row r="1661" spans="1:16" x14ac:dyDescent="0.35">
      <c r="A1661" t="s">
        <v>9</v>
      </c>
      <c r="B1661">
        <v>2017</v>
      </c>
      <c r="C1661" s="1" t="s">
        <v>47</v>
      </c>
      <c r="D1661" s="6">
        <v>2.5</v>
      </c>
      <c r="E1661" s="6">
        <f>INT(Table2[[#This Row],[Transect]])</f>
        <v>2</v>
      </c>
      <c r="F1661" s="1" t="s">
        <v>11</v>
      </c>
      <c r="G1661">
        <v>2</v>
      </c>
      <c r="H1661">
        <f t="shared" si="10"/>
        <v>200</v>
      </c>
      <c r="I1661">
        <v>100</v>
      </c>
      <c r="J1661">
        <f>Table2[[#This Row],[Hits]]/Table2[[#This Row],[Points]]*100</f>
        <v>1</v>
      </c>
      <c r="K1661">
        <f>VLOOKUP(Table2[[#This Row],[Site]],'Site Info'!$A$1:$C$11,2, FALSE)</f>
        <v>17.7</v>
      </c>
      <c r="L1661">
        <f>VLOOKUP(Table2[[#This Row],[Site]],'Site Info'!$A$1:$C$11,3, FALSE)</f>
        <v>10</v>
      </c>
      <c r="M1661" t="str">
        <f>VLOOKUP(Table2[[#This Row],[Species]],'Species Table'!$A$1:$D$68,3, FALSE)</f>
        <v>Perennial</v>
      </c>
      <c r="O1661" s="15">
        <f>IF(SUMPRODUCT(($A$2:$A1661=A1661)*($B$2:$B1661=B1661)*($F$2:$F1661=F1661))&gt;1,0,1)</f>
        <v>0</v>
      </c>
      <c r="P1661" s="15">
        <f>IF(SUMPRODUCT(($A$2:$A1661=A1661)*($B$2:$B1661=B1661)*($D$2:$D1661=D1661))&gt;1,0,1)</f>
        <v>0</v>
      </c>
    </row>
    <row r="1662" spans="1:16" x14ac:dyDescent="0.35">
      <c r="A1662" t="s">
        <v>9</v>
      </c>
      <c r="B1662">
        <v>2017</v>
      </c>
      <c r="C1662" s="1" t="s">
        <v>47</v>
      </c>
      <c r="D1662" s="6">
        <v>2.5</v>
      </c>
      <c r="E1662" s="6">
        <f>INT(Table2[[#This Row],[Transect]])</f>
        <v>2</v>
      </c>
      <c r="F1662" s="1" t="s">
        <v>12</v>
      </c>
      <c r="G1662">
        <v>3</v>
      </c>
      <c r="H1662">
        <f t="shared" si="10"/>
        <v>200</v>
      </c>
      <c r="I1662">
        <v>100</v>
      </c>
      <c r="J1662">
        <f>Table2[[#This Row],[Hits]]/Table2[[#This Row],[Points]]*100</f>
        <v>1.5</v>
      </c>
      <c r="K1662">
        <f>VLOOKUP(Table2[[#This Row],[Site]],'Site Info'!$A$1:$C$11,2, FALSE)</f>
        <v>17.7</v>
      </c>
      <c r="L1662">
        <f>VLOOKUP(Table2[[#This Row],[Site]],'Site Info'!$A$1:$C$11,3, FALSE)</f>
        <v>10</v>
      </c>
      <c r="M1662" t="str">
        <f>VLOOKUP(Table2[[#This Row],[Species]],'Species Table'!$A$1:$D$68,3, FALSE)</f>
        <v>Perennial</v>
      </c>
      <c r="O1662" s="15">
        <f>IF(SUMPRODUCT(($A$2:$A1662=A1662)*($B$2:$B1662=B1662)*($F$2:$F1662=F1662))&gt;1,0,1)</f>
        <v>0</v>
      </c>
      <c r="P1662" s="15">
        <f>IF(SUMPRODUCT(($A$2:$A1662=A1662)*($B$2:$B1662=B1662)*($D$2:$D1662=D1662))&gt;1,0,1)</f>
        <v>0</v>
      </c>
    </row>
    <row r="1663" spans="1:16" x14ac:dyDescent="0.35">
      <c r="A1663" t="s">
        <v>9</v>
      </c>
      <c r="B1663">
        <v>2017</v>
      </c>
      <c r="C1663" s="1" t="s">
        <v>47</v>
      </c>
      <c r="D1663" s="6">
        <v>2.5</v>
      </c>
      <c r="E1663" s="6">
        <f>INT(Table2[[#This Row],[Transect]])</f>
        <v>2</v>
      </c>
      <c r="F1663" s="1" t="s">
        <v>6</v>
      </c>
      <c r="G1663">
        <v>1</v>
      </c>
      <c r="H1663">
        <f t="shared" si="10"/>
        <v>200</v>
      </c>
      <c r="I1663">
        <v>100</v>
      </c>
      <c r="J1663">
        <f>Table2[[#This Row],[Hits]]/Table2[[#This Row],[Points]]*100</f>
        <v>0.5</v>
      </c>
      <c r="K1663">
        <f>VLOOKUP(Table2[[#This Row],[Site]],'Site Info'!$A$1:$C$11,2, FALSE)</f>
        <v>17.7</v>
      </c>
      <c r="L1663">
        <f>VLOOKUP(Table2[[#This Row],[Site]],'Site Info'!$A$1:$C$11,3, FALSE)</f>
        <v>10</v>
      </c>
      <c r="M1663" t="str">
        <f>VLOOKUP(Table2[[#This Row],[Species]],'Species Table'!$A$1:$D$68,3, FALSE)</f>
        <v>Perennial</v>
      </c>
      <c r="O1663" s="15">
        <f>IF(SUMPRODUCT(($A$2:$A1663=A1663)*($B$2:$B1663=B1663)*($F$2:$F1663=F1663))&gt;1,0,1)</f>
        <v>0</v>
      </c>
      <c r="P1663" s="15">
        <f>IF(SUMPRODUCT(($A$2:$A1663=A1663)*($B$2:$B1663=B1663)*($D$2:$D1663=D1663))&gt;1,0,1)</f>
        <v>0</v>
      </c>
    </row>
    <row r="1664" spans="1:16" x14ac:dyDescent="0.35">
      <c r="A1664" t="s">
        <v>9</v>
      </c>
      <c r="B1664">
        <v>2017</v>
      </c>
      <c r="C1664" s="1" t="s">
        <v>47</v>
      </c>
      <c r="D1664" s="6">
        <v>2.5</v>
      </c>
      <c r="E1664" s="6">
        <f>INT(Table2[[#This Row],[Transect]])</f>
        <v>2</v>
      </c>
      <c r="F1664" s="1" t="s">
        <v>3</v>
      </c>
      <c r="G1664">
        <v>1</v>
      </c>
      <c r="H1664">
        <f t="shared" si="10"/>
        <v>200</v>
      </c>
      <c r="I1664">
        <v>100</v>
      </c>
      <c r="J1664">
        <f>Table2[[#This Row],[Hits]]/Table2[[#This Row],[Points]]*100</f>
        <v>0.5</v>
      </c>
      <c r="K1664">
        <f>VLOOKUP(Table2[[#This Row],[Site]],'Site Info'!$A$1:$C$11,2, FALSE)</f>
        <v>17.7</v>
      </c>
      <c r="L1664">
        <f>VLOOKUP(Table2[[#This Row],[Site]],'Site Info'!$A$1:$C$11,3, FALSE)</f>
        <v>10</v>
      </c>
      <c r="M1664" t="str">
        <f>VLOOKUP(Table2[[#This Row],[Species]],'Species Table'!$A$1:$D$68,3, FALSE)</f>
        <v>Perennial</v>
      </c>
      <c r="O1664" s="15">
        <f>IF(SUMPRODUCT(($A$2:$A1664=A1664)*($B$2:$B1664=B1664)*($F$2:$F1664=F1664))&gt;1,0,1)</f>
        <v>0</v>
      </c>
      <c r="P1664" s="15">
        <f>IF(SUMPRODUCT(($A$2:$A1664=A1664)*($B$2:$B1664=B1664)*($D$2:$D1664=D1664))&gt;1,0,1)</f>
        <v>0</v>
      </c>
    </row>
    <row r="1665" spans="1:16" hidden="1" x14ac:dyDescent="0.35">
      <c r="A1665" t="s">
        <v>9</v>
      </c>
      <c r="B1665">
        <v>2017</v>
      </c>
      <c r="C1665" s="1" t="s">
        <v>48</v>
      </c>
      <c r="D1665" s="6">
        <v>2.6</v>
      </c>
      <c r="E1665" s="6">
        <f>INT(Table2[[#This Row],[Transect]])</f>
        <v>2</v>
      </c>
      <c r="F1665" s="1" t="s">
        <v>10</v>
      </c>
      <c r="G1665">
        <v>6</v>
      </c>
      <c r="H1665">
        <f t="shared" si="10"/>
        <v>200</v>
      </c>
      <c r="I1665">
        <v>100</v>
      </c>
      <c r="J1665">
        <f>Table2[[#This Row],[Hits]]/Table2[[#This Row],[Points]]*100</f>
        <v>3</v>
      </c>
      <c r="K1665">
        <f>VLOOKUP(Table2[[#This Row],[Site]],'Site Info'!$A$1:$C$11,2, FALSE)</f>
        <v>17.7</v>
      </c>
      <c r="L1665">
        <f>VLOOKUP(Table2[[#This Row],[Site]],'Site Info'!$A$1:$C$11,3, FALSE)</f>
        <v>10</v>
      </c>
      <c r="M1665" t="str">
        <f>VLOOKUP(Table2[[#This Row],[Species]],'Species Table'!$A$1:$D$68,3, FALSE)</f>
        <v>Annual</v>
      </c>
      <c r="O1665" s="15">
        <f>IF(SUMPRODUCT(($A$2:$A1665=A1665)*($B$2:$B1665=B1665)*($F$2:$F1665=F1665))&gt;1,0,1)</f>
        <v>0</v>
      </c>
      <c r="P1665" s="15">
        <f>IF(SUMPRODUCT(($A$2:$A1665=A1665)*($B$2:$B1665=B1665)*($D$2:$D1665=D1665))&gt;1,0,1)</f>
        <v>1</v>
      </c>
    </row>
    <row r="1666" spans="1:16" x14ac:dyDescent="0.35">
      <c r="A1666" t="s">
        <v>9</v>
      </c>
      <c r="B1666">
        <v>2017</v>
      </c>
      <c r="C1666" s="1" t="s">
        <v>48</v>
      </c>
      <c r="D1666" s="6">
        <v>2.6</v>
      </c>
      <c r="E1666" s="6">
        <f>INT(Table2[[#This Row],[Transect]])</f>
        <v>2</v>
      </c>
      <c r="F1666" s="1" t="s">
        <v>6</v>
      </c>
      <c r="G1666">
        <v>2</v>
      </c>
      <c r="H1666">
        <f t="shared" si="10"/>
        <v>200</v>
      </c>
      <c r="I1666">
        <v>100</v>
      </c>
      <c r="J1666">
        <f>Table2[[#This Row],[Hits]]/Table2[[#This Row],[Points]]*100</f>
        <v>1</v>
      </c>
      <c r="K1666">
        <f>VLOOKUP(Table2[[#This Row],[Site]],'Site Info'!$A$1:$C$11,2, FALSE)</f>
        <v>17.7</v>
      </c>
      <c r="L1666">
        <f>VLOOKUP(Table2[[#This Row],[Site]],'Site Info'!$A$1:$C$11,3, FALSE)</f>
        <v>10</v>
      </c>
      <c r="M1666" t="str">
        <f>VLOOKUP(Table2[[#This Row],[Species]],'Species Table'!$A$1:$D$68,3, FALSE)</f>
        <v>Perennial</v>
      </c>
      <c r="O1666" s="15">
        <f>IF(SUMPRODUCT(($A$2:$A1666=A1666)*($B$2:$B1666=B1666)*($F$2:$F1666=F1666))&gt;1,0,1)</f>
        <v>0</v>
      </c>
      <c r="P1666" s="15">
        <f>IF(SUMPRODUCT(($A$2:$A1666=A1666)*($B$2:$B1666=B1666)*($D$2:$D1666=D1666))&gt;1,0,1)</f>
        <v>0</v>
      </c>
    </row>
    <row r="1667" spans="1:16" x14ac:dyDescent="0.35">
      <c r="A1667" t="s">
        <v>9</v>
      </c>
      <c r="B1667">
        <v>2017</v>
      </c>
      <c r="C1667" s="1" t="s">
        <v>48</v>
      </c>
      <c r="D1667" s="6">
        <v>2.6</v>
      </c>
      <c r="E1667" s="6">
        <f>INT(Table2[[#This Row],[Transect]])</f>
        <v>2</v>
      </c>
      <c r="F1667" s="1" t="s">
        <v>12</v>
      </c>
      <c r="G1667">
        <v>1</v>
      </c>
      <c r="H1667">
        <f t="shared" si="10"/>
        <v>200</v>
      </c>
      <c r="I1667">
        <v>100</v>
      </c>
      <c r="J1667">
        <f>Table2[[#This Row],[Hits]]/Table2[[#This Row],[Points]]*100</f>
        <v>0.5</v>
      </c>
      <c r="K1667">
        <f>VLOOKUP(Table2[[#This Row],[Site]],'Site Info'!$A$1:$C$11,2, FALSE)</f>
        <v>17.7</v>
      </c>
      <c r="L1667">
        <f>VLOOKUP(Table2[[#This Row],[Site]],'Site Info'!$A$1:$C$11,3, FALSE)</f>
        <v>10</v>
      </c>
      <c r="M1667" t="str">
        <f>VLOOKUP(Table2[[#This Row],[Species]],'Species Table'!$A$1:$D$68,3, FALSE)</f>
        <v>Perennial</v>
      </c>
      <c r="O1667" s="15">
        <f>IF(SUMPRODUCT(($A$2:$A1667=A1667)*($B$2:$B1667=B1667)*($F$2:$F1667=F1667))&gt;1,0,1)</f>
        <v>0</v>
      </c>
      <c r="P1667" s="15">
        <f>IF(SUMPRODUCT(($A$2:$A1667=A1667)*($B$2:$B1667=B1667)*($D$2:$D1667=D1667))&gt;1,0,1)</f>
        <v>0</v>
      </c>
    </row>
    <row r="1668" spans="1:16" hidden="1" x14ac:dyDescent="0.35">
      <c r="A1668" t="s">
        <v>9</v>
      </c>
      <c r="B1668">
        <v>2017</v>
      </c>
      <c r="C1668" s="1" t="s">
        <v>48</v>
      </c>
      <c r="D1668" s="6">
        <v>2.6</v>
      </c>
      <c r="E1668" s="6">
        <f>INT(Table2[[#This Row],[Transect]])</f>
        <v>2</v>
      </c>
      <c r="F1668" s="1" t="s">
        <v>33</v>
      </c>
      <c r="G1668">
        <v>6</v>
      </c>
      <c r="H1668">
        <f t="shared" si="10"/>
        <v>200</v>
      </c>
      <c r="I1668">
        <v>100</v>
      </c>
      <c r="J1668">
        <f>Table2[[#This Row],[Hits]]/Table2[[#This Row],[Points]]*100</f>
        <v>3</v>
      </c>
      <c r="K1668">
        <f>VLOOKUP(Table2[[#This Row],[Site]],'Site Info'!$A$1:$C$11,2, FALSE)</f>
        <v>17.7</v>
      </c>
      <c r="L1668">
        <f>VLOOKUP(Table2[[#This Row],[Site]],'Site Info'!$A$1:$C$11,3, FALSE)</f>
        <v>10</v>
      </c>
      <c r="M1668" t="str">
        <f>VLOOKUP(Table2[[#This Row],[Species]],'Species Table'!$A$1:$D$68,3, FALSE)</f>
        <v>Annual</v>
      </c>
      <c r="O1668" s="15">
        <f>IF(SUMPRODUCT(($A$2:$A1668=A1668)*($B$2:$B1668=B1668)*($F$2:$F1668=F1668))&gt;1,0,1)</f>
        <v>0</v>
      </c>
      <c r="P1668" s="15">
        <f>IF(SUMPRODUCT(($A$2:$A1668=A1668)*($B$2:$B1668=B1668)*($D$2:$D1668=D1668))&gt;1,0,1)</f>
        <v>0</v>
      </c>
    </row>
    <row r="1669" spans="1:16" x14ac:dyDescent="0.35">
      <c r="A1669" t="s">
        <v>9</v>
      </c>
      <c r="B1669">
        <v>2017</v>
      </c>
      <c r="C1669" s="1" t="s">
        <v>48</v>
      </c>
      <c r="D1669" s="6">
        <v>2.6</v>
      </c>
      <c r="E1669" s="6">
        <f>INT(Table2[[#This Row],[Transect]])</f>
        <v>2</v>
      </c>
      <c r="F1669" s="1" t="s">
        <v>5</v>
      </c>
      <c r="G1669">
        <v>1</v>
      </c>
      <c r="H1669">
        <f t="shared" si="10"/>
        <v>200</v>
      </c>
      <c r="I1669">
        <v>100</v>
      </c>
      <c r="J1669">
        <f>Table2[[#This Row],[Hits]]/Table2[[#This Row],[Points]]*100</f>
        <v>0.5</v>
      </c>
      <c r="K1669">
        <f>VLOOKUP(Table2[[#This Row],[Site]],'Site Info'!$A$1:$C$11,2, FALSE)</f>
        <v>17.7</v>
      </c>
      <c r="L1669">
        <f>VLOOKUP(Table2[[#This Row],[Site]],'Site Info'!$A$1:$C$11,3, FALSE)</f>
        <v>10</v>
      </c>
      <c r="M1669" t="str">
        <f>VLOOKUP(Table2[[#This Row],[Species]],'Species Table'!$A$1:$D$68,3, FALSE)</f>
        <v>Perennial</v>
      </c>
      <c r="O1669" s="15">
        <f>IF(SUMPRODUCT(($A$2:$A1669=A1669)*($B$2:$B1669=B1669)*($F$2:$F1669=F1669))&gt;1,0,1)</f>
        <v>1</v>
      </c>
      <c r="P1669" s="15">
        <f>IF(SUMPRODUCT(($A$2:$A1669=A1669)*($B$2:$B1669=B1669)*($D$2:$D1669=D1669))&gt;1,0,1)</f>
        <v>0</v>
      </c>
    </row>
    <row r="1670" spans="1:16" x14ac:dyDescent="0.35">
      <c r="A1670" t="s">
        <v>9</v>
      </c>
      <c r="B1670">
        <v>2017</v>
      </c>
      <c r="C1670" s="1" t="s">
        <v>49</v>
      </c>
      <c r="D1670" s="6">
        <v>2.7</v>
      </c>
      <c r="E1670" s="6">
        <f>INT(Table2[[#This Row],[Transect]])</f>
        <v>2</v>
      </c>
      <c r="F1670" s="1" t="s">
        <v>11</v>
      </c>
      <c r="G1670">
        <v>5</v>
      </c>
      <c r="H1670">
        <f t="shared" si="10"/>
        <v>200</v>
      </c>
      <c r="I1670" s="4">
        <v>100</v>
      </c>
      <c r="J1670" s="4">
        <f>Table2[[#This Row],[Hits]]/Table2[[#This Row],[Points]]*100</f>
        <v>2.5</v>
      </c>
      <c r="K1670" s="4">
        <f>VLOOKUP(Table2[[#This Row],[Site]],'Site Info'!$A$1:$C$11,2, FALSE)</f>
        <v>17.7</v>
      </c>
      <c r="L1670" s="4">
        <f>VLOOKUP(Table2[[#This Row],[Site]],'Site Info'!$A$1:$C$11,3, FALSE)</f>
        <v>10</v>
      </c>
      <c r="M1670" t="str">
        <f>VLOOKUP(Table2[[#This Row],[Species]],'Species Table'!$A$1:$D$68,3, FALSE)</f>
        <v>Perennial</v>
      </c>
      <c r="N1670" s="8"/>
      <c r="O1670" s="15">
        <f>IF(SUMPRODUCT(($A$2:$A1670=A1670)*($B$2:$B1670=B1670)*($F$2:$F1670=F1670))&gt;1,0,1)</f>
        <v>0</v>
      </c>
      <c r="P1670" s="15">
        <f>IF(SUMPRODUCT(($A$2:$A1670=A1670)*($B$2:$B1670=B1670)*($D$2:$D1670=D1670))&gt;1,0,1)</f>
        <v>1</v>
      </c>
    </row>
    <row r="1671" spans="1:16" hidden="1" x14ac:dyDescent="0.35">
      <c r="A1671" t="s">
        <v>9</v>
      </c>
      <c r="B1671">
        <v>2017</v>
      </c>
      <c r="C1671" s="1" t="s">
        <v>49</v>
      </c>
      <c r="D1671" s="6">
        <v>2.7</v>
      </c>
      <c r="E1671" s="6">
        <f>INT(Table2[[#This Row],[Transect]])</f>
        <v>2</v>
      </c>
      <c r="F1671" s="1" t="s">
        <v>10</v>
      </c>
      <c r="G1671">
        <v>1</v>
      </c>
      <c r="H1671">
        <f t="shared" si="10"/>
        <v>200</v>
      </c>
      <c r="I1671" s="4">
        <v>100</v>
      </c>
      <c r="J1671" s="4">
        <f>Table2[[#This Row],[Hits]]/Table2[[#This Row],[Points]]*100</f>
        <v>0.5</v>
      </c>
      <c r="K1671" s="4">
        <f>VLOOKUP(Table2[[#This Row],[Site]],'Site Info'!$A$1:$C$11,2, FALSE)</f>
        <v>17.7</v>
      </c>
      <c r="L1671" s="4">
        <f>VLOOKUP(Table2[[#This Row],[Site]],'Site Info'!$A$1:$C$11,3, FALSE)</f>
        <v>10</v>
      </c>
      <c r="M1671" t="str">
        <f>VLOOKUP(Table2[[#This Row],[Species]],'Species Table'!$A$1:$D$68,3, FALSE)</f>
        <v>Annual</v>
      </c>
      <c r="N1671" s="8"/>
      <c r="O1671" s="15">
        <f>IF(SUMPRODUCT(($A$2:$A1671=A1671)*($B$2:$B1671=B1671)*($F$2:$F1671=F1671))&gt;1,0,1)</f>
        <v>0</v>
      </c>
      <c r="P1671" s="15">
        <f>IF(SUMPRODUCT(($A$2:$A1671=A1671)*($B$2:$B1671=B1671)*($D$2:$D1671=D1671))&gt;1,0,1)</f>
        <v>0</v>
      </c>
    </row>
    <row r="1672" spans="1:16" x14ac:dyDescent="0.35">
      <c r="A1672" t="s">
        <v>9</v>
      </c>
      <c r="B1672">
        <v>2017</v>
      </c>
      <c r="C1672" s="1" t="s">
        <v>50</v>
      </c>
      <c r="D1672" s="6">
        <v>3.1</v>
      </c>
      <c r="E1672" s="6">
        <f>INT(Table2[[#This Row],[Transect]])</f>
        <v>3</v>
      </c>
      <c r="F1672" s="1" t="s">
        <v>11</v>
      </c>
      <c r="G1672">
        <v>3</v>
      </c>
      <c r="H1672">
        <f t="shared" si="10"/>
        <v>200</v>
      </c>
      <c r="I1672">
        <v>100</v>
      </c>
      <c r="J1672">
        <f>Table2[[#This Row],[Hits]]/Table2[[#This Row],[Points]]*100</f>
        <v>1.5</v>
      </c>
      <c r="K1672">
        <f>VLOOKUP(Table2[[#This Row],[Site]],'Site Info'!$A$1:$C$11,2, FALSE)</f>
        <v>17.7</v>
      </c>
      <c r="L1672">
        <f>VLOOKUP(Table2[[#This Row],[Site]],'Site Info'!$A$1:$C$11,3, FALSE)</f>
        <v>10</v>
      </c>
      <c r="M1672" t="str">
        <f>VLOOKUP(Table2[[#This Row],[Species]],'Species Table'!$A$1:$D$68,3, FALSE)</f>
        <v>Perennial</v>
      </c>
      <c r="O1672" s="15">
        <f>IF(SUMPRODUCT(($A$2:$A1672=A1672)*($B$2:$B1672=B1672)*($F$2:$F1672=F1672))&gt;1,0,1)</f>
        <v>0</v>
      </c>
      <c r="P1672" s="15">
        <f>IF(SUMPRODUCT(($A$2:$A1672=A1672)*($B$2:$B1672=B1672)*($D$2:$D1672=D1672))&gt;1,0,1)</f>
        <v>1</v>
      </c>
    </row>
    <row r="1673" spans="1:16" hidden="1" x14ac:dyDescent="0.35">
      <c r="A1673" t="s">
        <v>9</v>
      </c>
      <c r="B1673">
        <v>2017</v>
      </c>
      <c r="C1673" s="1" t="s">
        <v>50</v>
      </c>
      <c r="D1673" s="6">
        <v>3.1</v>
      </c>
      <c r="E1673" s="6">
        <f>INT(Table2[[#This Row],[Transect]])</f>
        <v>3</v>
      </c>
      <c r="F1673" s="1" t="s">
        <v>10</v>
      </c>
      <c r="G1673">
        <v>1</v>
      </c>
      <c r="H1673">
        <f t="shared" si="10"/>
        <v>200</v>
      </c>
      <c r="I1673">
        <v>100</v>
      </c>
      <c r="J1673">
        <f>Table2[[#This Row],[Hits]]/Table2[[#This Row],[Points]]*100</f>
        <v>0.5</v>
      </c>
      <c r="K1673">
        <f>VLOOKUP(Table2[[#This Row],[Site]],'Site Info'!$A$1:$C$11,2, FALSE)</f>
        <v>17.7</v>
      </c>
      <c r="L1673">
        <f>VLOOKUP(Table2[[#This Row],[Site]],'Site Info'!$A$1:$C$11,3, FALSE)</f>
        <v>10</v>
      </c>
      <c r="M1673" t="str">
        <f>VLOOKUP(Table2[[#This Row],[Species]],'Species Table'!$A$1:$D$68,3, FALSE)</f>
        <v>Annual</v>
      </c>
      <c r="O1673" s="15">
        <f>IF(SUMPRODUCT(($A$2:$A1673=A1673)*($B$2:$B1673=B1673)*($F$2:$F1673=F1673))&gt;1,0,1)</f>
        <v>0</v>
      </c>
      <c r="P1673" s="15">
        <f>IF(SUMPRODUCT(($A$2:$A1673=A1673)*($B$2:$B1673=B1673)*($D$2:$D1673=D1673))&gt;1,0,1)</f>
        <v>0</v>
      </c>
    </row>
    <row r="1674" spans="1:16" hidden="1" x14ac:dyDescent="0.35">
      <c r="A1674" t="s">
        <v>9</v>
      </c>
      <c r="B1674">
        <v>2017</v>
      </c>
      <c r="C1674" s="1" t="s">
        <v>51</v>
      </c>
      <c r="D1674" s="6">
        <v>3.2</v>
      </c>
      <c r="E1674" s="6">
        <f>INT(Table2[[#This Row],[Transect]])</f>
        <v>3</v>
      </c>
      <c r="F1674" s="1" t="s">
        <v>10</v>
      </c>
      <c r="G1674">
        <v>0</v>
      </c>
      <c r="H1674">
        <f t="shared" si="10"/>
        <v>200</v>
      </c>
      <c r="I1674">
        <v>100</v>
      </c>
      <c r="J1674">
        <f>Table2[[#This Row],[Hits]]/Table2[[#This Row],[Points]]*100</f>
        <v>0</v>
      </c>
      <c r="K1674">
        <f>VLOOKUP(Table2[[#This Row],[Site]],'Site Info'!$A$1:$C$11,2, FALSE)</f>
        <v>17.7</v>
      </c>
      <c r="L1674">
        <f>VLOOKUP(Table2[[#This Row],[Site]],'Site Info'!$A$1:$C$11,3, FALSE)</f>
        <v>10</v>
      </c>
      <c r="M1674" t="str">
        <f>VLOOKUP(Table2[[#This Row],[Species]],'Species Table'!$A$1:$D$68,3, FALSE)</f>
        <v>Annual</v>
      </c>
      <c r="O1674" s="15">
        <f>IF(SUMPRODUCT(($A$2:$A1674=A1674)*($B$2:$B1674=B1674)*($F$2:$F1674=F1674))&gt;1,0,1)</f>
        <v>0</v>
      </c>
      <c r="P1674" s="15">
        <f>IF(SUMPRODUCT(($A$2:$A1674=A1674)*($B$2:$B1674=B1674)*($D$2:$D1674=D1674))&gt;1,0,1)</f>
        <v>1</v>
      </c>
    </row>
    <row r="1675" spans="1:16" hidden="1" x14ac:dyDescent="0.35">
      <c r="A1675" t="s">
        <v>9</v>
      </c>
      <c r="B1675">
        <v>2017</v>
      </c>
      <c r="C1675" s="1" t="s">
        <v>52</v>
      </c>
      <c r="D1675" s="6">
        <v>3.3</v>
      </c>
      <c r="E1675" s="6">
        <f>INT(Table2[[#This Row],[Transect]])</f>
        <v>3</v>
      </c>
      <c r="F1675" s="1" t="s">
        <v>10</v>
      </c>
      <c r="G1675">
        <v>0</v>
      </c>
      <c r="H1675">
        <f t="shared" si="10"/>
        <v>200</v>
      </c>
      <c r="I1675">
        <v>100</v>
      </c>
      <c r="J1675">
        <f>Table2[[#This Row],[Hits]]/Table2[[#This Row],[Points]]*100</f>
        <v>0</v>
      </c>
      <c r="K1675">
        <f>VLOOKUP(Table2[[#This Row],[Site]],'Site Info'!$A$1:$C$11,2, FALSE)</f>
        <v>17.7</v>
      </c>
      <c r="L1675">
        <f>VLOOKUP(Table2[[#This Row],[Site]],'Site Info'!$A$1:$C$11,3, FALSE)</f>
        <v>10</v>
      </c>
      <c r="M1675" t="str">
        <f>VLOOKUP(Table2[[#This Row],[Species]],'Species Table'!$A$1:$D$68,3, FALSE)</f>
        <v>Annual</v>
      </c>
      <c r="O1675" s="15">
        <f>IF(SUMPRODUCT(($A$2:$A1675=A1675)*($B$2:$B1675=B1675)*($F$2:$F1675=F1675))&gt;1,0,1)</f>
        <v>0</v>
      </c>
      <c r="P1675" s="15">
        <f>IF(SUMPRODUCT(($A$2:$A1675=A1675)*($B$2:$B1675=B1675)*($D$2:$D1675=D1675))&gt;1,0,1)</f>
        <v>1</v>
      </c>
    </row>
    <row r="1676" spans="1:16" x14ac:dyDescent="0.35">
      <c r="A1676" t="s">
        <v>9</v>
      </c>
      <c r="B1676">
        <v>2017</v>
      </c>
      <c r="C1676" s="1" t="s">
        <v>101</v>
      </c>
      <c r="D1676" s="6">
        <v>3.4</v>
      </c>
      <c r="E1676" s="6">
        <f>INT(Table2[[#This Row],[Transect]])</f>
        <v>3</v>
      </c>
      <c r="F1676" s="1" t="s">
        <v>12</v>
      </c>
      <c r="G1676">
        <v>11</v>
      </c>
      <c r="H1676">
        <f t="shared" si="10"/>
        <v>200</v>
      </c>
      <c r="I1676">
        <v>100</v>
      </c>
      <c r="J1676">
        <f>Table2[[#This Row],[Hits]]/Table2[[#This Row],[Points]]*100</f>
        <v>5.5</v>
      </c>
      <c r="K1676">
        <f>VLOOKUP(Table2[[#This Row],[Site]],'Site Info'!$A$1:$C$11,2, FALSE)</f>
        <v>17.7</v>
      </c>
      <c r="L1676">
        <f>VLOOKUP(Table2[[#This Row],[Site]],'Site Info'!$A$1:$C$11,3, FALSE)</f>
        <v>10</v>
      </c>
      <c r="M1676" t="str">
        <f>VLOOKUP(Table2[[#This Row],[Species]],'Species Table'!$A$1:$D$68,3, FALSE)</f>
        <v>Perennial</v>
      </c>
      <c r="N1676" s="9"/>
      <c r="O1676" s="15">
        <f>IF(SUMPRODUCT(($A$2:$A1676=A1676)*($B$2:$B1676=B1676)*($F$2:$F1676=F1676))&gt;1,0,1)</f>
        <v>0</v>
      </c>
      <c r="P1676" s="15">
        <f>IF(SUMPRODUCT(($A$2:$A1676=A1676)*($B$2:$B1676=B1676)*($D$2:$D1676=D1676))&gt;1,0,1)</f>
        <v>1</v>
      </c>
    </row>
    <row r="1677" spans="1:16" x14ac:dyDescent="0.35">
      <c r="A1677" t="s">
        <v>9</v>
      </c>
      <c r="B1677">
        <v>2017</v>
      </c>
      <c r="C1677" s="1" t="s">
        <v>101</v>
      </c>
      <c r="D1677" s="6">
        <v>3.4</v>
      </c>
      <c r="E1677" s="6">
        <f>INT(Table2[[#This Row],[Transect]])</f>
        <v>3</v>
      </c>
      <c r="F1677" s="1" t="s">
        <v>5</v>
      </c>
      <c r="G1677">
        <v>1</v>
      </c>
      <c r="H1677">
        <f t="shared" si="10"/>
        <v>200</v>
      </c>
      <c r="I1677">
        <v>100</v>
      </c>
      <c r="J1677">
        <f>Table2[[#This Row],[Hits]]/Table2[[#This Row],[Points]]*100</f>
        <v>0.5</v>
      </c>
      <c r="K1677">
        <f>VLOOKUP(Table2[[#This Row],[Site]],'Site Info'!$A$1:$C$11,2, FALSE)</f>
        <v>17.7</v>
      </c>
      <c r="L1677">
        <f>VLOOKUP(Table2[[#This Row],[Site]],'Site Info'!$A$1:$C$11,3, FALSE)</f>
        <v>10</v>
      </c>
      <c r="M1677" t="str">
        <f>VLOOKUP(Table2[[#This Row],[Species]],'Species Table'!$A$1:$D$68,3, FALSE)</f>
        <v>Perennial</v>
      </c>
      <c r="N1677" s="9"/>
      <c r="O1677" s="15">
        <f>IF(SUMPRODUCT(($A$2:$A1677=A1677)*($B$2:$B1677=B1677)*($F$2:$F1677=F1677))&gt;1,0,1)</f>
        <v>0</v>
      </c>
      <c r="P1677" s="15">
        <f>IF(SUMPRODUCT(($A$2:$A1677=A1677)*($B$2:$B1677=B1677)*($D$2:$D1677=D1677))&gt;1,0,1)</f>
        <v>0</v>
      </c>
    </row>
    <row r="1678" spans="1:16" x14ac:dyDescent="0.35">
      <c r="A1678" t="s">
        <v>9</v>
      </c>
      <c r="B1678">
        <v>2017</v>
      </c>
      <c r="C1678" s="1" t="s">
        <v>101</v>
      </c>
      <c r="D1678" s="6">
        <v>3.4</v>
      </c>
      <c r="E1678" s="6">
        <f>INT(Table2[[#This Row],[Transect]])</f>
        <v>3</v>
      </c>
      <c r="F1678" s="1" t="s">
        <v>6</v>
      </c>
      <c r="G1678">
        <v>10</v>
      </c>
      <c r="H1678">
        <f t="shared" si="10"/>
        <v>200</v>
      </c>
      <c r="I1678">
        <v>100</v>
      </c>
      <c r="J1678">
        <f>Table2[[#This Row],[Hits]]/Table2[[#This Row],[Points]]*100</f>
        <v>5</v>
      </c>
      <c r="K1678">
        <f>VLOOKUP(Table2[[#This Row],[Site]],'Site Info'!$A$1:$C$11,2, FALSE)</f>
        <v>17.7</v>
      </c>
      <c r="L1678">
        <f>VLOOKUP(Table2[[#This Row],[Site]],'Site Info'!$A$1:$C$11,3, FALSE)</f>
        <v>10</v>
      </c>
      <c r="M1678" t="str">
        <f>VLOOKUP(Table2[[#This Row],[Species]],'Species Table'!$A$1:$D$68,3, FALSE)</f>
        <v>Perennial</v>
      </c>
      <c r="N1678" s="9"/>
      <c r="O1678" s="15">
        <f>IF(SUMPRODUCT(($A$2:$A1678=A1678)*($B$2:$B1678=B1678)*($F$2:$F1678=F1678))&gt;1,0,1)</f>
        <v>0</v>
      </c>
      <c r="P1678" s="15">
        <f>IF(SUMPRODUCT(($A$2:$A1678=A1678)*($B$2:$B1678=B1678)*($D$2:$D1678=D1678))&gt;1,0,1)</f>
        <v>0</v>
      </c>
    </row>
    <row r="1679" spans="1:16" hidden="1" x14ac:dyDescent="0.35">
      <c r="A1679" t="s">
        <v>9</v>
      </c>
      <c r="B1679">
        <v>2017</v>
      </c>
      <c r="C1679" s="1" t="s">
        <v>102</v>
      </c>
      <c r="D1679" s="6">
        <v>3.5</v>
      </c>
      <c r="E1679" s="6">
        <f>INT(Table2[[#This Row],[Transect]])</f>
        <v>3</v>
      </c>
      <c r="F1679" s="1" t="s">
        <v>10</v>
      </c>
      <c r="G1679">
        <v>1</v>
      </c>
      <c r="H1679">
        <f t="shared" ref="H1679:H1742" si="11">I1679*2</f>
        <v>200</v>
      </c>
      <c r="I1679">
        <v>100</v>
      </c>
      <c r="J1679">
        <f>Table2[[#This Row],[Hits]]/Table2[[#This Row],[Points]]*100</f>
        <v>0.5</v>
      </c>
      <c r="K1679">
        <f>VLOOKUP(Table2[[#This Row],[Site]],'Site Info'!$A$1:$C$11,2, FALSE)</f>
        <v>17.7</v>
      </c>
      <c r="L1679">
        <f>VLOOKUP(Table2[[#This Row],[Site]],'Site Info'!$A$1:$C$11,3, FALSE)</f>
        <v>10</v>
      </c>
      <c r="M1679" t="str">
        <f>VLOOKUP(Table2[[#This Row],[Species]],'Species Table'!$A$1:$D$68,3, FALSE)</f>
        <v>Annual</v>
      </c>
      <c r="O1679" s="15">
        <f>IF(SUMPRODUCT(($A$2:$A1679=A1679)*($B$2:$B1679=B1679)*($F$2:$F1679=F1679))&gt;1,0,1)</f>
        <v>0</v>
      </c>
      <c r="P1679" s="15">
        <f>IF(SUMPRODUCT(($A$2:$A1679=A1679)*($B$2:$B1679=B1679)*($D$2:$D1679=D1679))&gt;1,0,1)</f>
        <v>1</v>
      </c>
    </row>
    <row r="1680" spans="1:16" x14ac:dyDescent="0.35">
      <c r="A1680" t="s">
        <v>9</v>
      </c>
      <c r="B1680">
        <v>2017</v>
      </c>
      <c r="C1680" s="1" t="s">
        <v>102</v>
      </c>
      <c r="D1680" s="6">
        <v>3.5</v>
      </c>
      <c r="E1680" s="6">
        <f>INT(Table2[[#This Row],[Transect]])</f>
        <v>3</v>
      </c>
      <c r="F1680" s="1" t="s">
        <v>6</v>
      </c>
      <c r="G1680">
        <v>10</v>
      </c>
      <c r="H1680">
        <f t="shared" si="11"/>
        <v>200</v>
      </c>
      <c r="I1680">
        <v>100</v>
      </c>
      <c r="J1680">
        <f>Table2[[#This Row],[Hits]]/Table2[[#This Row],[Points]]*100</f>
        <v>5</v>
      </c>
      <c r="K1680">
        <f>VLOOKUP(Table2[[#This Row],[Site]],'Site Info'!$A$1:$C$11,2, FALSE)</f>
        <v>17.7</v>
      </c>
      <c r="L1680">
        <f>VLOOKUP(Table2[[#This Row],[Site]],'Site Info'!$A$1:$C$11,3, FALSE)</f>
        <v>10</v>
      </c>
      <c r="M1680" t="str">
        <f>VLOOKUP(Table2[[#This Row],[Species]],'Species Table'!$A$1:$D$68,3, FALSE)</f>
        <v>Perennial</v>
      </c>
      <c r="O1680" s="15">
        <f>IF(SUMPRODUCT(($A$2:$A1680=A1680)*($B$2:$B1680=B1680)*($F$2:$F1680=F1680))&gt;1,0,1)</f>
        <v>0</v>
      </c>
      <c r="P1680" s="15">
        <f>IF(SUMPRODUCT(($A$2:$A1680=A1680)*($B$2:$B1680=B1680)*($D$2:$D1680=D1680))&gt;1,0,1)</f>
        <v>0</v>
      </c>
    </row>
    <row r="1681" spans="1:16" x14ac:dyDescent="0.35">
      <c r="A1681" t="s">
        <v>9</v>
      </c>
      <c r="B1681">
        <v>2017</v>
      </c>
      <c r="C1681" s="1" t="s">
        <v>102</v>
      </c>
      <c r="D1681" s="6">
        <v>3.5</v>
      </c>
      <c r="E1681" s="6">
        <f>INT(Table2[[#This Row],[Transect]])</f>
        <v>3</v>
      </c>
      <c r="F1681" s="1" t="s">
        <v>5</v>
      </c>
      <c r="G1681">
        <v>3</v>
      </c>
      <c r="H1681">
        <f t="shared" si="11"/>
        <v>200</v>
      </c>
      <c r="I1681">
        <v>100</v>
      </c>
      <c r="J1681">
        <f>Table2[[#This Row],[Hits]]/Table2[[#This Row],[Points]]*100</f>
        <v>1.5</v>
      </c>
      <c r="K1681">
        <f>VLOOKUP(Table2[[#This Row],[Site]],'Site Info'!$A$1:$C$11,2, FALSE)</f>
        <v>17.7</v>
      </c>
      <c r="L1681">
        <f>VLOOKUP(Table2[[#This Row],[Site]],'Site Info'!$A$1:$C$11,3, FALSE)</f>
        <v>10</v>
      </c>
      <c r="M1681" t="str">
        <f>VLOOKUP(Table2[[#This Row],[Species]],'Species Table'!$A$1:$D$68,3, FALSE)</f>
        <v>Perennial</v>
      </c>
      <c r="O1681" s="15">
        <f>IF(SUMPRODUCT(($A$2:$A1681=A1681)*($B$2:$B1681=B1681)*($F$2:$F1681=F1681))&gt;1,0,1)</f>
        <v>0</v>
      </c>
      <c r="P1681" s="15">
        <f>IF(SUMPRODUCT(($A$2:$A1681=A1681)*($B$2:$B1681=B1681)*($D$2:$D1681=D1681))&gt;1,0,1)</f>
        <v>0</v>
      </c>
    </row>
    <row r="1682" spans="1:16" x14ac:dyDescent="0.35">
      <c r="A1682" t="s">
        <v>9</v>
      </c>
      <c r="B1682">
        <v>2017</v>
      </c>
      <c r="C1682" s="1" t="s">
        <v>102</v>
      </c>
      <c r="D1682" s="6">
        <v>3.5</v>
      </c>
      <c r="E1682" s="6">
        <f>INT(Table2[[#This Row],[Transect]])</f>
        <v>3</v>
      </c>
      <c r="F1682" s="1" t="s">
        <v>12</v>
      </c>
      <c r="G1682">
        <v>2</v>
      </c>
      <c r="H1682">
        <f t="shared" si="11"/>
        <v>200</v>
      </c>
      <c r="I1682">
        <v>100</v>
      </c>
      <c r="J1682">
        <f>Table2[[#This Row],[Hits]]/Table2[[#This Row],[Points]]*100</f>
        <v>1</v>
      </c>
      <c r="K1682">
        <f>VLOOKUP(Table2[[#This Row],[Site]],'Site Info'!$A$1:$C$11,2, FALSE)</f>
        <v>17.7</v>
      </c>
      <c r="L1682">
        <f>VLOOKUP(Table2[[#This Row],[Site]],'Site Info'!$A$1:$C$11,3, FALSE)</f>
        <v>10</v>
      </c>
      <c r="M1682" t="str">
        <f>VLOOKUP(Table2[[#This Row],[Species]],'Species Table'!$A$1:$D$68,3, FALSE)</f>
        <v>Perennial</v>
      </c>
      <c r="O1682" s="15">
        <f>IF(SUMPRODUCT(($A$2:$A1682=A1682)*($B$2:$B1682=B1682)*($F$2:$F1682=F1682))&gt;1,0,1)</f>
        <v>0</v>
      </c>
      <c r="P1682" s="15">
        <f>IF(SUMPRODUCT(($A$2:$A1682=A1682)*($B$2:$B1682=B1682)*($D$2:$D1682=D1682))&gt;1,0,1)</f>
        <v>0</v>
      </c>
    </row>
    <row r="1683" spans="1:16" x14ac:dyDescent="0.35">
      <c r="A1683" t="s">
        <v>9</v>
      </c>
      <c r="B1683">
        <v>2017</v>
      </c>
      <c r="C1683" s="1" t="s">
        <v>102</v>
      </c>
      <c r="D1683" s="6">
        <v>3.5</v>
      </c>
      <c r="E1683" s="6">
        <f>INT(Table2[[#This Row],[Transect]])</f>
        <v>3</v>
      </c>
      <c r="F1683" s="1" t="s">
        <v>11</v>
      </c>
      <c r="G1683">
        <v>1</v>
      </c>
      <c r="H1683">
        <f t="shared" si="11"/>
        <v>200</v>
      </c>
      <c r="I1683">
        <v>100</v>
      </c>
      <c r="J1683">
        <f>Table2[[#This Row],[Hits]]/Table2[[#This Row],[Points]]*100</f>
        <v>0.5</v>
      </c>
      <c r="K1683">
        <f>VLOOKUP(Table2[[#This Row],[Site]],'Site Info'!$A$1:$C$11,2, FALSE)</f>
        <v>17.7</v>
      </c>
      <c r="L1683">
        <f>VLOOKUP(Table2[[#This Row],[Site]],'Site Info'!$A$1:$C$11,3, FALSE)</f>
        <v>10</v>
      </c>
      <c r="M1683" t="str">
        <f>VLOOKUP(Table2[[#This Row],[Species]],'Species Table'!$A$1:$D$68,3, FALSE)</f>
        <v>Perennial</v>
      </c>
      <c r="O1683" s="15">
        <f>IF(SUMPRODUCT(($A$2:$A1683=A1683)*($B$2:$B1683=B1683)*($F$2:$F1683=F1683))&gt;1,0,1)</f>
        <v>0</v>
      </c>
      <c r="P1683" s="15">
        <f>IF(SUMPRODUCT(($A$2:$A1683=A1683)*($B$2:$B1683=B1683)*($D$2:$D1683=D1683))&gt;1,0,1)</f>
        <v>0</v>
      </c>
    </row>
    <row r="1684" spans="1:16" hidden="1" x14ac:dyDescent="0.35">
      <c r="A1684" t="s">
        <v>9</v>
      </c>
      <c r="B1684">
        <v>2017</v>
      </c>
      <c r="C1684" s="1" t="s">
        <v>53</v>
      </c>
      <c r="D1684" s="6">
        <v>3.6</v>
      </c>
      <c r="E1684" s="6">
        <f>INT(Table2[[#This Row],[Transect]])</f>
        <v>3</v>
      </c>
      <c r="F1684" s="1" t="s">
        <v>10</v>
      </c>
      <c r="G1684">
        <v>9</v>
      </c>
      <c r="H1684">
        <f t="shared" si="11"/>
        <v>200</v>
      </c>
      <c r="I1684">
        <v>100</v>
      </c>
      <c r="J1684">
        <f>Table2[[#This Row],[Hits]]/Table2[[#This Row],[Points]]*100</f>
        <v>4.5</v>
      </c>
      <c r="K1684">
        <f>VLOOKUP(Table2[[#This Row],[Site]],'Site Info'!$A$1:$C$11,2, FALSE)</f>
        <v>17.7</v>
      </c>
      <c r="L1684">
        <f>VLOOKUP(Table2[[#This Row],[Site]],'Site Info'!$A$1:$C$11,3, FALSE)</f>
        <v>10</v>
      </c>
      <c r="M1684" t="str">
        <f>VLOOKUP(Table2[[#This Row],[Species]],'Species Table'!$A$1:$D$68,3, FALSE)</f>
        <v>Annual</v>
      </c>
      <c r="O1684" s="15">
        <f>IF(SUMPRODUCT(($A$2:$A1684=A1684)*($B$2:$B1684=B1684)*($F$2:$F1684=F1684))&gt;1,0,1)</f>
        <v>0</v>
      </c>
      <c r="P1684" s="15">
        <f>IF(SUMPRODUCT(($A$2:$A1684=A1684)*($B$2:$B1684=B1684)*($D$2:$D1684=D1684))&gt;1,0,1)</f>
        <v>1</v>
      </c>
    </row>
    <row r="1685" spans="1:16" x14ac:dyDescent="0.35">
      <c r="A1685" t="s">
        <v>9</v>
      </c>
      <c r="B1685">
        <v>2017</v>
      </c>
      <c r="C1685" s="1" t="s">
        <v>53</v>
      </c>
      <c r="D1685" s="6">
        <v>3.6</v>
      </c>
      <c r="E1685" s="6">
        <f>INT(Table2[[#This Row],[Transect]])</f>
        <v>3</v>
      </c>
      <c r="F1685" s="1" t="s">
        <v>4</v>
      </c>
      <c r="G1685">
        <v>2</v>
      </c>
      <c r="H1685">
        <f t="shared" si="11"/>
        <v>200</v>
      </c>
      <c r="I1685">
        <v>100</v>
      </c>
      <c r="J1685">
        <f>Table2[[#This Row],[Hits]]/Table2[[#This Row],[Points]]*100</f>
        <v>1</v>
      </c>
      <c r="K1685">
        <f>VLOOKUP(Table2[[#This Row],[Site]],'Site Info'!$A$1:$C$11,2, FALSE)</f>
        <v>17.7</v>
      </c>
      <c r="L1685">
        <f>VLOOKUP(Table2[[#This Row],[Site]],'Site Info'!$A$1:$C$11,3, FALSE)</f>
        <v>10</v>
      </c>
      <c r="M1685" t="str">
        <f>VLOOKUP(Table2[[#This Row],[Species]],'Species Table'!$A$1:$D$68,3, FALSE)</f>
        <v>Perennial</v>
      </c>
      <c r="O1685" s="15">
        <f>IF(SUMPRODUCT(($A$2:$A1685=A1685)*($B$2:$B1685=B1685)*($F$2:$F1685=F1685))&gt;1,0,1)</f>
        <v>1</v>
      </c>
      <c r="P1685" s="15">
        <f>IF(SUMPRODUCT(($A$2:$A1685=A1685)*($B$2:$B1685=B1685)*($D$2:$D1685=D1685))&gt;1,0,1)</f>
        <v>0</v>
      </c>
    </row>
    <row r="1686" spans="1:16" x14ac:dyDescent="0.35">
      <c r="A1686" t="s">
        <v>9</v>
      </c>
      <c r="B1686">
        <v>2017</v>
      </c>
      <c r="C1686" s="1" t="s">
        <v>53</v>
      </c>
      <c r="D1686" s="6">
        <v>3.6</v>
      </c>
      <c r="E1686" s="6">
        <f>INT(Table2[[#This Row],[Transect]])</f>
        <v>3</v>
      </c>
      <c r="F1686" s="1" t="s">
        <v>12</v>
      </c>
      <c r="G1686">
        <v>1</v>
      </c>
      <c r="H1686">
        <f t="shared" si="11"/>
        <v>200</v>
      </c>
      <c r="I1686">
        <v>100</v>
      </c>
      <c r="J1686">
        <f>Table2[[#This Row],[Hits]]/Table2[[#This Row],[Points]]*100</f>
        <v>0.5</v>
      </c>
      <c r="K1686">
        <f>VLOOKUP(Table2[[#This Row],[Site]],'Site Info'!$A$1:$C$11,2, FALSE)</f>
        <v>17.7</v>
      </c>
      <c r="L1686">
        <f>VLOOKUP(Table2[[#This Row],[Site]],'Site Info'!$A$1:$C$11,3, FALSE)</f>
        <v>10</v>
      </c>
      <c r="M1686" t="str">
        <f>VLOOKUP(Table2[[#This Row],[Species]],'Species Table'!$A$1:$D$68,3, FALSE)</f>
        <v>Perennial</v>
      </c>
      <c r="O1686" s="15">
        <f>IF(SUMPRODUCT(($A$2:$A1686=A1686)*($B$2:$B1686=B1686)*($F$2:$F1686=F1686))&gt;1,0,1)</f>
        <v>0</v>
      </c>
      <c r="P1686" s="15">
        <f>IF(SUMPRODUCT(($A$2:$A1686=A1686)*($B$2:$B1686=B1686)*($D$2:$D1686=D1686))&gt;1,0,1)</f>
        <v>0</v>
      </c>
    </row>
    <row r="1687" spans="1:16" x14ac:dyDescent="0.35">
      <c r="A1687" t="s">
        <v>9</v>
      </c>
      <c r="B1687">
        <v>2017</v>
      </c>
      <c r="C1687" s="1" t="s">
        <v>54</v>
      </c>
      <c r="D1687" s="6">
        <v>3.7</v>
      </c>
      <c r="E1687" s="6">
        <f>INT(Table2[[#This Row],[Transect]])</f>
        <v>3</v>
      </c>
      <c r="F1687" s="1" t="s">
        <v>11</v>
      </c>
      <c r="G1687">
        <v>12</v>
      </c>
      <c r="H1687">
        <f t="shared" si="11"/>
        <v>200</v>
      </c>
      <c r="I1687">
        <v>100</v>
      </c>
      <c r="J1687">
        <f>Table2[[#This Row],[Hits]]/Table2[[#This Row],[Points]]*100</f>
        <v>6</v>
      </c>
      <c r="K1687">
        <f>VLOOKUP(Table2[[#This Row],[Site]],'Site Info'!$A$1:$C$11,2, FALSE)</f>
        <v>17.7</v>
      </c>
      <c r="L1687">
        <f>VLOOKUP(Table2[[#This Row],[Site]],'Site Info'!$A$1:$C$11,3, FALSE)</f>
        <v>10</v>
      </c>
      <c r="M1687" t="str">
        <f>VLOOKUP(Table2[[#This Row],[Species]],'Species Table'!$A$1:$D$68,3, FALSE)</f>
        <v>Perennial</v>
      </c>
      <c r="N1687" s="8"/>
      <c r="O1687" s="15">
        <f>IF(SUMPRODUCT(($A$2:$A1687=A1687)*($B$2:$B1687=B1687)*($F$2:$F1687=F1687))&gt;1,0,1)</f>
        <v>0</v>
      </c>
      <c r="P1687" s="15">
        <f>IF(SUMPRODUCT(($A$2:$A1687=A1687)*($B$2:$B1687=B1687)*($D$2:$D1687=D1687))&gt;1,0,1)</f>
        <v>1</v>
      </c>
    </row>
    <row r="1688" spans="1:16" hidden="1" x14ac:dyDescent="0.35">
      <c r="A1688" t="s">
        <v>9</v>
      </c>
      <c r="B1688">
        <v>2017</v>
      </c>
      <c r="C1688" s="1" t="s">
        <v>54</v>
      </c>
      <c r="D1688" s="6">
        <v>3.7</v>
      </c>
      <c r="E1688" s="6">
        <f>INT(Table2[[#This Row],[Transect]])</f>
        <v>3</v>
      </c>
      <c r="F1688" s="1" t="s">
        <v>10</v>
      </c>
      <c r="G1688">
        <v>3</v>
      </c>
      <c r="H1688">
        <f t="shared" si="11"/>
        <v>200</v>
      </c>
      <c r="I1688">
        <v>100</v>
      </c>
      <c r="J1688">
        <f>Table2[[#This Row],[Hits]]/Table2[[#This Row],[Points]]*100</f>
        <v>1.5</v>
      </c>
      <c r="K1688">
        <f>VLOOKUP(Table2[[#This Row],[Site]],'Site Info'!$A$1:$C$11,2, FALSE)</f>
        <v>17.7</v>
      </c>
      <c r="L1688">
        <f>VLOOKUP(Table2[[#This Row],[Site]],'Site Info'!$A$1:$C$11,3, FALSE)</f>
        <v>10</v>
      </c>
      <c r="M1688" t="str">
        <f>VLOOKUP(Table2[[#This Row],[Species]],'Species Table'!$A$1:$D$68,3, FALSE)</f>
        <v>Annual</v>
      </c>
      <c r="N1688" s="8"/>
      <c r="O1688" s="15">
        <f>IF(SUMPRODUCT(($A$2:$A1688=A1688)*($B$2:$B1688=B1688)*($F$2:$F1688=F1688))&gt;1,0,1)</f>
        <v>0</v>
      </c>
      <c r="P1688" s="15">
        <f>IF(SUMPRODUCT(($A$2:$A1688=A1688)*($B$2:$B1688=B1688)*($D$2:$D1688=D1688))&gt;1,0,1)</f>
        <v>0</v>
      </c>
    </row>
    <row r="1689" spans="1:16" x14ac:dyDescent="0.35">
      <c r="A1689" t="s">
        <v>9</v>
      </c>
      <c r="B1689">
        <v>2017</v>
      </c>
      <c r="C1689" s="1" t="s">
        <v>55</v>
      </c>
      <c r="D1689" s="6">
        <v>4.0999999999999996</v>
      </c>
      <c r="E1689" s="6">
        <f>INT(Table2[[#This Row],[Transect]])</f>
        <v>4</v>
      </c>
      <c r="F1689" s="1" t="s">
        <v>11</v>
      </c>
      <c r="G1689">
        <v>14</v>
      </c>
      <c r="H1689">
        <f t="shared" si="11"/>
        <v>200</v>
      </c>
      <c r="I1689">
        <v>100</v>
      </c>
      <c r="J1689">
        <f>Table2[[#This Row],[Hits]]/Table2[[#This Row],[Points]]*100</f>
        <v>7.0000000000000009</v>
      </c>
      <c r="K1689">
        <f>VLOOKUP(Table2[[#This Row],[Site]],'Site Info'!$A$1:$C$11,2, FALSE)</f>
        <v>17.7</v>
      </c>
      <c r="L1689">
        <f>VLOOKUP(Table2[[#This Row],[Site]],'Site Info'!$A$1:$C$11,3, FALSE)</f>
        <v>10</v>
      </c>
      <c r="M1689" t="str">
        <f>VLOOKUP(Table2[[#This Row],[Species]],'Species Table'!$A$1:$D$68,3, FALSE)</f>
        <v>Perennial</v>
      </c>
      <c r="O1689" s="15">
        <f>IF(SUMPRODUCT(($A$2:$A1689=A1689)*($B$2:$B1689=B1689)*($F$2:$F1689=F1689))&gt;1,0,1)</f>
        <v>0</v>
      </c>
      <c r="P1689" s="15">
        <f>IF(SUMPRODUCT(($A$2:$A1689=A1689)*($B$2:$B1689=B1689)*($D$2:$D1689=D1689))&gt;1,0,1)</f>
        <v>1</v>
      </c>
    </row>
    <row r="1690" spans="1:16" hidden="1" x14ac:dyDescent="0.35">
      <c r="A1690" t="s">
        <v>9</v>
      </c>
      <c r="B1690">
        <v>2017</v>
      </c>
      <c r="C1690" s="1" t="s">
        <v>55</v>
      </c>
      <c r="D1690" s="6">
        <v>4.0999999999999996</v>
      </c>
      <c r="E1690" s="6">
        <f>INT(Table2[[#This Row],[Transect]])</f>
        <v>4</v>
      </c>
      <c r="F1690" s="1" t="s">
        <v>10</v>
      </c>
      <c r="G1690">
        <v>10</v>
      </c>
      <c r="H1690">
        <f t="shared" si="11"/>
        <v>200</v>
      </c>
      <c r="I1690">
        <v>100</v>
      </c>
      <c r="J1690">
        <f>Table2[[#This Row],[Hits]]/Table2[[#This Row],[Points]]*100</f>
        <v>5</v>
      </c>
      <c r="K1690">
        <f>VLOOKUP(Table2[[#This Row],[Site]],'Site Info'!$A$1:$C$11,2, FALSE)</f>
        <v>17.7</v>
      </c>
      <c r="L1690">
        <f>VLOOKUP(Table2[[#This Row],[Site]],'Site Info'!$A$1:$C$11,3, FALSE)</f>
        <v>10</v>
      </c>
      <c r="M1690" t="str">
        <f>VLOOKUP(Table2[[#This Row],[Species]],'Species Table'!$A$1:$D$68,3, FALSE)</f>
        <v>Annual</v>
      </c>
      <c r="O1690" s="15">
        <f>IF(SUMPRODUCT(($A$2:$A1690=A1690)*($B$2:$B1690=B1690)*($F$2:$F1690=F1690))&gt;1,0,1)</f>
        <v>0</v>
      </c>
      <c r="P1690" s="15">
        <f>IF(SUMPRODUCT(($A$2:$A1690=A1690)*($B$2:$B1690=B1690)*($D$2:$D1690=D1690))&gt;1,0,1)</f>
        <v>0</v>
      </c>
    </row>
    <row r="1691" spans="1:16" x14ac:dyDescent="0.35">
      <c r="A1691" t="s">
        <v>9</v>
      </c>
      <c r="B1691">
        <v>2017</v>
      </c>
      <c r="C1691" s="1" t="s">
        <v>56</v>
      </c>
      <c r="D1691" s="6">
        <v>4.2</v>
      </c>
      <c r="E1691" s="6">
        <f>INT(Table2[[#This Row],[Transect]])</f>
        <v>4</v>
      </c>
      <c r="F1691" s="1" t="s">
        <v>11</v>
      </c>
      <c r="G1691">
        <v>3</v>
      </c>
      <c r="H1691">
        <f t="shared" si="11"/>
        <v>200</v>
      </c>
      <c r="I1691">
        <v>100</v>
      </c>
      <c r="J1691">
        <f>Table2[[#This Row],[Hits]]/Table2[[#This Row],[Points]]*100</f>
        <v>1.5</v>
      </c>
      <c r="K1691">
        <f>VLOOKUP(Table2[[#This Row],[Site]],'Site Info'!$A$1:$C$11,2, FALSE)</f>
        <v>17.7</v>
      </c>
      <c r="L1691">
        <f>VLOOKUP(Table2[[#This Row],[Site]],'Site Info'!$A$1:$C$11,3, FALSE)</f>
        <v>10</v>
      </c>
      <c r="M1691" t="str">
        <f>VLOOKUP(Table2[[#This Row],[Species]],'Species Table'!$A$1:$D$68,3, FALSE)</f>
        <v>Perennial</v>
      </c>
      <c r="O1691" s="15">
        <f>IF(SUMPRODUCT(($A$2:$A1691=A1691)*($B$2:$B1691=B1691)*($F$2:$F1691=F1691))&gt;1,0,1)</f>
        <v>0</v>
      </c>
      <c r="P1691" s="15">
        <f>IF(SUMPRODUCT(($A$2:$A1691=A1691)*($B$2:$B1691=B1691)*($D$2:$D1691=D1691))&gt;1,0,1)</f>
        <v>1</v>
      </c>
    </row>
    <row r="1692" spans="1:16" hidden="1" x14ac:dyDescent="0.35">
      <c r="A1692" t="s">
        <v>9</v>
      </c>
      <c r="B1692">
        <v>2017</v>
      </c>
      <c r="C1692" s="1" t="s">
        <v>56</v>
      </c>
      <c r="D1692" s="6">
        <v>4.2</v>
      </c>
      <c r="E1692" s="6">
        <f>INT(Table2[[#This Row],[Transect]])</f>
        <v>4</v>
      </c>
      <c r="F1692" s="1" t="s">
        <v>10</v>
      </c>
      <c r="G1692">
        <v>3</v>
      </c>
      <c r="H1692">
        <f t="shared" si="11"/>
        <v>200</v>
      </c>
      <c r="I1692">
        <v>100</v>
      </c>
      <c r="J1692">
        <f>Table2[[#This Row],[Hits]]/Table2[[#This Row],[Points]]*100</f>
        <v>1.5</v>
      </c>
      <c r="K1692">
        <f>VLOOKUP(Table2[[#This Row],[Site]],'Site Info'!$A$1:$C$11,2, FALSE)</f>
        <v>17.7</v>
      </c>
      <c r="L1692">
        <f>VLOOKUP(Table2[[#This Row],[Site]],'Site Info'!$A$1:$C$11,3, FALSE)</f>
        <v>10</v>
      </c>
      <c r="M1692" t="str">
        <f>VLOOKUP(Table2[[#This Row],[Species]],'Species Table'!$A$1:$D$68,3, FALSE)</f>
        <v>Annual</v>
      </c>
      <c r="O1692" s="15">
        <f>IF(SUMPRODUCT(($A$2:$A1692=A1692)*($B$2:$B1692=B1692)*($F$2:$F1692=F1692))&gt;1,0,1)</f>
        <v>0</v>
      </c>
      <c r="P1692" s="15">
        <f>IF(SUMPRODUCT(($A$2:$A1692=A1692)*($B$2:$B1692=B1692)*($D$2:$D1692=D1692))&gt;1,0,1)</f>
        <v>0</v>
      </c>
    </row>
    <row r="1693" spans="1:16" x14ac:dyDescent="0.35">
      <c r="A1693" t="s">
        <v>9</v>
      </c>
      <c r="B1693">
        <v>2017</v>
      </c>
      <c r="C1693" s="1" t="s">
        <v>56</v>
      </c>
      <c r="D1693" s="6">
        <v>4.2</v>
      </c>
      <c r="E1693" s="6">
        <f>INT(Table2[[#This Row],[Transect]])</f>
        <v>4</v>
      </c>
      <c r="F1693" s="1" t="s">
        <v>6</v>
      </c>
      <c r="G1693">
        <v>1</v>
      </c>
      <c r="H1693">
        <f t="shared" si="11"/>
        <v>200</v>
      </c>
      <c r="I1693">
        <v>100</v>
      </c>
      <c r="J1693">
        <f>Table2[[#This Row],[Hits]]/Table2[[#This Row],[Points]]*100</f>
        <v>0.5</v>
      </c>
      <c r="K1693">
        <f>VLOOKUP(Table2[[#This Row],[Site]],'Site Info'!$A$1:$C$11,2, FALSE)</f>
        <v>17.7</v>
      </c>
      <c r="L1693">
        <f>VLOOKUP(Table2[[#This Row],[Site]],'Site Info'!$A$1:$C$11,3, FALSE)</f>
        <v>10</v>
      </c>
      <c r="M1693" t="str">
        <f>VLOOKUP(Table2[[#This Row],[Species]],'Species Table'!$A$1:$D$68,3, FALSE)</f>
        <v>Perennial</v>
      </c>
      <c r="O1693" s="15">
        <f>IF(SUMPRODUCT(($A$2:$A1693=A1693)*($B$2:$B1693=B1693)*($F$2:$F1693=F1693))&gt;1,0,1)</f>
        <v>0</v>
      </c>
      <c r="P1693" s="15">
        <f>IF(SUMPRODUCT(($A$2:$A1693=A1693)*($B$2:$B1693=B1693)*($D$2:$D1693=D1693))&gt;1,0,1)</f>
        <v>0</v>
      </c>
    </row>
    <row r="1694" spans="1:16" x14ac:dyDescent="0.35">
      <c r="A1694" t="s">
        <v>9</v>
      </c>
      <c r="B1694">
        <v>2017</v>
      </c>
      <c r="C1694" s="1" t="s">
        <v>57</v>
      </c>
      <c r="D1694" s="6">
        <v>4.3</v>
      </c>
      <c r="E1694" s="6">
        <f>INT(Table2[[#This Row],[Transect]])</f>
        <v>4</v>
      </c>
      <c r="F1694" s="1" t="s">
        <v>6</v>
      </c>
      <c r="G1694">
        <v>4</v>
      </c>
      <c r="H1694">
        <f t="shared" si="11"/>
        <v>200</v>
      </c>
      <c r="I1694">
        <v>100</v>
      </c>
      <c r="J1694">
        <f>Table2[[#This Row],[Hits]]/Table2[[#This Row],[Points]]*100</f>
        <v>2</v>
      </c>
      <c r="K1694">
        <f>VLOOKUP(Table2[[#This Row],[Site]],'Site Info'!$A$1:$C$11,2, FALSE)</f>
        <v>17.7</v>
      </c>
      <c r="L1694">
        <f>VLOOKUP(Table2[[#This Row],[Site]],'Site Info'!$A$1:$C$11,3, FALSE)</f>
        <v>10</v>
      </c>
      <c r="M1694" t="str">
        <f>VLOOKUP(Table2[[#This Row],[Species]],'Species Table'!$A$1:$D$68,3, FALSE)</f>
        <v>Perennial</v>
      </c>
      <c r="O1694" s="15">
        <f>IF(SUMPRODUCT(($A$2:$A1694=A1694)*($B$2:$B1694=B1694)*($F$2:$F1694=F1694))&gt;1,0,1)</f>
        <v>0</v>
      </c>
      <c r="P1694" s="15">
        <f>IF(SUMPRODUCT(($A$2:$A1694=A1694)*($B$2:$B1694=B1694)*($D$2:$D1694=D1694))&gt;1,0,1)</f>
        <v>1</v>
      </c>
    </row>
    <row r="1695" spans="1:16" x14ac:dyDescent="0.35">
      <c r="A1695" t="s">
        <v>9</v>
      </c>
      <c r="B1695">
        <v>2017</v>
      </c>
      <c r="C1695" s="1" t="s">
        <v>57</v>
      </c>
      <c r="D1695" s="6">
        <v>4.3</v>
      </c>
      <c r="E1695" s="6">
        <f>INT(Table2[[#This Row],[Transect]])</f>
        <v>4</v>
      </c>
      <c r="F1695" s="1" t="s">
        <v>11</v>
      </c>
      <c r="G1695">
        <v>5</v>
      </c>
      <c r="H1695">
        <f t="shared" si="11"/>
        <v>200</v>
      </c>
      <c r="I1695">
        <v>100</v>
      </c>
      <c r="J1695">
        <f>Table2[[#This Row],[Hits]]/Table2[[#This Row],[Points]]*100</f>
        <v>2.5</v>
      </c>
      <c r="K1695">
        <f>VLOOKUP(Table2[[#This Row],[Site]],'Site Info'!$A$1:$C$11,2, FALSE)</f>
        <v>17.7</v>
      </c>
      <c r="L1695">
        <f>VLOOKUP(Table2[[#This Row],[Site]],'Site Info'!$A$1:$C$11,3, FALSE)</f>
        <v>10</v>
      </c>
      <c r="M1695" t="str">
        <f>VLOOKUP(Table2[[#This Row],[Species]],'Species Table'!$A$1:$D$68,3, FALSE)</f>
        <v>Perennial</v>
      </c>
      <c r="O1695" s="15">
        <f>IF(SUMPRODUCT(($A$2:$A1695=A1695)*($B$2:$B1695=B1695)*($F$2:$F1695=F1695))&gt;1,0,1)</f>
        <v>0</v>
      </c>
      <c r="P1695" s="15">
        <f>IF(SUMPRODUCT(($A$2:$A1695=A1695)*($B$2:$B1695=B1695)*($D$2:$D1695=D1695))&gt;1,0,1)</f>
        <v>0</v>
      </c>
    </row>
    <row r="1696" spans="1:16" x14ac:dyDescent="0.35">
      <c r="A1696" t="s">
        <v>9</v>
      </c>
      <c r="B1696">
        <v>2017</v>
      </c>
      <c r="C1696" s="1" t="s">
        <v>58</v>
      </c>
      <c r="D1696" s="6">
        <v>4.4000000000000004</v>
      </c>
      <c r="E1696" s="6">
        <f>INT(Table2[[#This Row],[Transect]])</f>
        <v>4</v>
      </c>
      <c r="F1696" s="1" t="s">
        <v>6</v>
      </c>
      <c r="G1696">
        <v>7</v>
      </c>
      <c r="H1696">
        <f t="shared" si="11"/>
        <v>200</v>
      </c>
      <c r="I1696">
        <v>100</v>
      </c>
      <c r="J1696">
        <f>Table2[[#This Row],[Hits]]/Table2[[#This Row],[Points]]*100</f>
        <v>3.5000000000000004</v>
      </c>
      <c r="K1696">
        <f>VLOOKUP(Table2[[#This Row],[Site]],'Site Info'!$A$1:$C$11,2, FALSE)</f>
        <v>17.7</v>
      </c>
      <c r="L1696">
        <f>VLOOKUP(Table2[[#This Row],[Site]],'Site Info'!$A$1:$C$11,3, FALSE)</f>
        <v>10</v>
      </c>
      <c r="M1696" t="str">
        <f>VLOOKUP(Table2[[#This Row],[Species]],'Species Table'!$A$1:$D$68,3, FALSE)</f>
        <v>Perennial</v>
      </c>
      <c r="N1696" s="9"/>
      <c r="O1696" s="15">
        <f>IF(SUMPRODUCT(($A$2:$A1696=A1696)*($B$2:$B1696=B1696)*($F$2:$F1696=F1696))&gt;1,0,1)</f>
        <v>0</v>
      </c>
      <c r="P1696" s="15">
        <f>IF(SUMPRODUCT(($A$2:$A1696=A1696)*($B$2:$B1696=B1696)*($D$2:$D1696=D1696))&gt;1,0,1)</f>
        <v>1</v>
      </c>
    </row>
    <row r="1697" spans="1:16" hidden="1" x14ac:dyDescent="0.35">
      <c r="A1697" t="s">
        <v>9</v>
      </c>
      <c r="B1697">
        <v>2017</v>
      </c>
      <c r="C1697" s="1" t="s">
        <v>59</v>
      </c>
      <c r="D1697" s="6">
        <v>4.5</v>
      </c>
      <c r="E1697" s="6">
        <f>INT(Table2[[#This Row],[Transect]])</f>
        <v>4</v>
      </c>
      <c r="F1697" s="1" t="s">
        <v>10</v>
      </c>
      <c r="G1697">
        <v>7</v>
      </c>
      <c r="H1697">
        <f t="shared" si="11"/>
        <v>200</v>
      </c>
      <c r="I1697">
        <v>100</v>
      </c>
      <c r="J1697">
        <f>Table2[[#This Row],[Hits]]/Table2[[#This Row],[Points]]*100</f>
        <v>3.5000000000000004</v>
      </c>
      <c r="K1697">
        <f>VLOOKUP(Table2[[#This Row],[Site]],'Site Info'!$A$1:$C$11,2, FALSE)</f>
        <v>17.7</v>
      </c>
      <c r="L1697">
        <f>VLOOKUP(Table2[[#This Row],[Site]],'Site Info'!$A$1:$C$11,3, FALSE)</f>
        <v>10</v>
      </c>
      <c r="M1697" t="str">
        <f>VLOOKUP(Table2[[#This Row],[Species]],'Species Table'!$A$1:$D$68,3, FALSE)</f>
        <v>Annual</v>
      </c>
      <c r="O1697" s="15">
        <f>IF(SUMPRODUCT(($A$2:$A1697=A1697)*($B$2:$B1697=B1697)*($F$2:$F1697=F1697))&gt;1,0,1)</f>
        <v>0</v>
      </c>
      <c r="P1697" s="15">
        <f>IF(SUMPRODUCT(($A$2:$A1697=A1697)*($B$2:$B1697=B1697)*($D$2:$D1697=D1697))&gt;1,0,1)</f>
        <v>1</v>
      </c>
    </row>
    <row r="1698" spans="1:16" x14ac:dyDescent="0.35">
      <c r="A1698" t="s">
        <v>9</v>
      </c>
      <c r="B1698">
        <v>2017</v>
      </c>
      <c r="C1698" s="1" t="s">
        <v>59</v>
      </c>
      <c r="D1698" s="6">
        <v>4.5</v>
      </c>
      <c r="E1698" s="6">
        <f>INT(Table2[[#This Row],[Transect]])</f>
        <v>4</v>
      </c>
      <c r="F1698" s="1" t="s">
        <v>6</v>
      </c>
      <c r="G1698">
        <v>3</v>
      </c>
      <c r="H1698">
        <f t="shared" si="11"/>
        <v>200</v>
      </c>
      <c r="I1698">
        <v>100</v>
      </c>
      <c r="J1698">
        <f>Table2[[#This Row],[Hits]]/Table2[[#This Row],[Points]]*100</f>
        <v>1.5</v>
      </c>
      <c r="K1698">
        <f>VLOOKUP(Table2[[#This Row],[Site]],'Site Info'!$A$1:$C$11,2, FALSE)</f>
        <v>17.7</v>
      </c>
      <c r="L1698">
        <f>VLOOKUP(Table2[[#This Row],[Site]],'Site Info'!$A$1:$C$11,3, FALSE)</f>
        <v>10</v>
      </c>
      <c r="M1698" t="str">
        <f>VLOOKUP(Table2[[#This Row],[Species]],'Species Table'!$A$1:$D$68,3, FALSE)</f>
        <v>Perennial</v>
      </c>
      <c r="O1698" s="15">
        <f>IF(SUMPRODUCT(($A$2:$A1698=A1698)*($B$2:$B1698=B1698)*($F$2:$F1698=F1698))&gt;1,0,1)</f>
        <v>0</v>
      </c>
      <c r="P1698" s="15">
        <f>IF(SUMPRODUCT(($A$2:$A1698=A1698)*($B$2:$B1698=B1698)*($D$2:$D1698=D1698))&gt;1,0,1)</f>
        <v>0</v>
      </c>
    </row>
    <row r="1699" spans="1:16" x14ac:dyDescent="0.35">
      <c r="A1699" t="s">
        <v>9</v>
      </c>
      <c r="B1699">
        <v>2017</v>
      </c>
      <c r="C1699" s="1" t="s">
        <v>59</v>
      </c>
      <c r="D1699" s="6">
        <v>4.5</v>
      </c>
      <c r="E1699" s="6">
        <f>INT(Table2[[#This Row],[Transect]])</f>
        <v>4</v>
      </c>
      <c r="F1699" s="1" t="s">
        <v>12</v>
      </c>
      <c r="G1699">
        <v>2</v>
      </c>
      <c r="H1699">
        <f t="shared" si="11"/>
        <v>200</v>
      </c>
      <c r="I1699">
        <v>100</v>
      </c>
      <c r="J1699">
        <f>Table2[[#This Row],[Hits]]/Table2[[#This Row],[Points]]*100</f>
        <v>1</v>
      </c>
      <c r="K1699">
        <f>VLOOKUP(Table2[[#This Row],[Site]],'Site Info'!$A$1:$C$11,2, FALSE)</f>
        <v>17.7</v>
      </c>
      <c r="L1699">
        <f>VLOOKUP(Table2[[#This Row],[Site]],'Site Info'!$A$1:$C$11,3, FALSE)</f>
        <v>10</v>
      </c>
      <c r="M1699" t="str">
        <f>VLOOKUP(Table2[[#This Row],[Species]],'Species Table'!$A$1:$D$68,3, FALSE)</f>
        <v>Perennial</v>
      </c>
      <c r="O1699" s="15">
        <f>IF(SUMPRODUCT(($A$2:$A1699=A1699)*($B$2:$B1699=B1699)*($F$2:$F1699=F1699))&gt;1,0,1)</f>
        <v>0</v>
      </c>
      <c r="P1699" s="15">
        <f>IF(SUMPRODUCT(($A$2:$A1699=A1699)*($B$2:$B1699=B1699)*($D$2:$D1699=D1699))&gt;1,0,1)</f>
        <v>0</v>
      </c>
    </row>
    <row r="1700" spans="1:16" hidden="1" x14ac:dyDescent="0.35">
      <c r="A1700" t="s">
        <v>9</v>
      </c>
      <c r="B1700">
        <v>2017</v>
      </c>
      <c r="C1700" s="1" t="s">
        <v>60</v>
      </c>
      <c r="D1700" s="6">
        <v>4.5999999999999996</v>
      </c>
      <c r="E1700" s="6">
        <f>INT(Table2[[#This Row],[Transect]])</f>
        <v>4</v>
      </c>
      <c r="F1700" s="1" t="s">
        <v>10</v>
      </c>
      <c r="G1700">
        <v>6</v>
      </c>
      <c r="H1700">
        <f t="shared" si="11"/>
        <v>200</v>
      </c>
      <c r="I1700">
        <v>100</v>
      </c>
      <c r="J1700">
        <f>Table2[[#This Row],[Hits]]/Table2[[#This Row],[Points]]*100</f>
        <v>3</v>
      </c>
      <c r="K1700">
        <f>VLOOKUP(Table2[[#This Row],[Site]],'Site Info'!$A$1:$C$11,2, FALSE)</f>
        <v>17.7</v>
      </c>
      <c r="L1700">
        <f>VLOOKUP(Table2[[#This Row],[Site]],'Site Info'!$A$1:$C$11,3, FALSE)</f>
        <v>10</v>
      </c>
      <c r="M1700" t="str">
        <f>VLOOKUP(Table2[[#This Row],[Species]],'Species Table'!$A$1:$D$68,3, FALSE)</f>
        <v>Annual</v>
      </c>
      <c r="O1700" s="15">
        <f>IF(SUMPRODUCT(($A$2:$A1700=A1700)*($B$2:$B1700=B1700)*($F$2:$F1700=F1700))&gt;1,0,1)</f>
        <v>0</v>
      </c>
      <c r="P1700" s="15">
        <f>IF(SUMPRODUCT(($A$2:$A1700=A1700)*($B$2:$B1700=B1700)*($D$2:$D1700=D1700))&gt;1,0,1)</f>
        <v>1</v>
      </c>
    </row>
    <row r="1701" spans="1:16" x14ac:dyDescent="0.35">
      <c r="A1701" t="s">
        <v>9</v>
      </c>
      <c r="B1701">
        <v>2017</v>
      </c>
      <c r="C1701" s="1" t="s">
        <v>60</v>
      </c>
      <c r="D1701" s="6">
        <v>4.5999999999999996</v>
      </c>
      <c r="E1701" s="6">
        <f>INT(Table2[[#This Row],[Transect]])</f>
        <v>4</v>
      </c>
      <c r="F1701" s="1" t="s">
        <v>31</v>
      </c>
      <c r="G1701">
        <v>10</v>
      </c>
      <c r="H1701">
        <f t="shared" si="11"/>
        <v>200</v>
      </c>
      <c r="I1701">
        <v>100</v>
      </c>
      <c r="J1701">
        <f>Table2[[#This Row],[Hits]]/Table2[[#This Row],[Points]]*100</f>
        <v>5</v>
      </c>
      <c r="K1701">
        <f>VLOOKUP(Table2[[#This Row],[Site]],'Site Info'!$A$1:$C$11,2, FALSE)</f>
        <v>17.7</v>
      </c>
      <c r="L1701">
        <f>VLOOKUP(Table2[[#This Row],[Site]],'Site Info'!$A$1:$C$11,3, FALSE)</f>
        <v>10</v>
      </c>
      <c r="M1701" t="str">
        <f>VLOOKUP(Table2[[#This Row],[Species]],'Species Table'!$A$1:$D$68,3, FALSE)</f>
        <v>Perennial</v>
      </c>
      <c r="O1701" s="15">
        <f>IF(SUMPRODUCT(($A$2:$A1701=A1701)*($B$2:$B1701=B1701)*($F$2:$F1701=F1701))&gt;1,0,1)</f>
        <v>1</v>
      </c>
      <c r="P1701" s="15">
        <f>IF(SUMPRODUCT(($A$2:$A1701=A1701)*($B$2:$B1701=B1701)*($D$2:$D1701=D1701))&gt;1,0,1)</f>
        <v>0</v>
      </c>
    </row>
    <row r="1702" spans="1:16" x14ac:dyDescent="0.35">
      <c r="A1702" t="s">
        <v>9</v>
      </c>
      <c r="B1702">
        <v>2017</v>
      </c>
      <c r="C1702" s="1" t="s">
        <v>60</v>
      </c>
      <c r="D1702" s="6">
        <v>4.5999999999999996</v>
      </c>
      <c r="E1702" s="6">
        <f>INT(Table2[[#This Row],[Transect]])</f>
        <v>4</v>
      </c>
      <c r="F1702" s="1" t="s">
        <v>11</v>
      </c>
      <c r="G1702">
        <v>3</v>
      </c>
      <c r="H1702">
        <f t="shared" si="11"/>
        <v>200</v>
      </c>
      <c r="I1702">
        <v>100</v>
      </c>
      <c r="J1702">
        <f>Table2[[#This Row],[Hits]]/Table2[[#This Row],[Points]]*100</f>
        <v>1.5</v>
      </c>
      <c r="K1702">
        <f>VLOOKUP(Table2[[#This Row],[Site]],'Site Info'!$A$1:$C$11,2, FALSE)</f>
        <v>17.7</v>
      </c>
      <c r="L1702">
        <f>VLOOKUP(Table2[[#This Row],[Site]],'Site Info'!$A$1:$C$11,3, FALSE)</f>
        <v>10</v>
      </c>
      <c r="M1702" t="str">
        <f>VLOOKUP(Table2[[#This Row],[Species]],'Species Table'!$A$1:$D$68,3, FALSE)</f>
        <v>Perennial</v>
      </c>
      <c r="O1702" s="15">
        <f>IF(SUMPRODUCT(($A$2:$A1702=A1702)*($B$2:$B1702=B1702)*($F$2:$F1702=F1702))&gt;1,0,1)</f>
        <v>0</v>
      </c>
      <c r="P1702" s="15">
        <f>IF(SUMPRODUCT(($A$2:$A1702=A1702)*($B$2:$B1702=B1702)*($D$2:$D1702=D1702))&gt;1,0,1)</f>
        <v>0</v>
      </c>
    </row>
    <row r="1703" spans="1:16" x14ac:dyDescent="0.35">
      <c r="A1703" t="s">
        <v>9</v>
      </c>
      <c r="B1703">
        <v>2017</v>
      </c>
      <c r="C1703" s="1" t="s">
        <v>61</v>
      </c>
      <c r="D1703" s="6">
        <v>4.7</v>
      </c>
      <c r="E1703" s="6">
        <f>INT(Table2[[#This Row],[Transect]])</f>
        <v>4</v>
      </c>
      <c r="F1703" s="1" t="s">
        <v>12</v>
      </c>
      <c r="G1703">
        <v>8</v>
      </c>
      <c r="H1703">
        <f t="shared" si="11"/>
        <v>200</v>
      </c>
      <c r="I1703">
        <v>100</v>
      </c>
      <c r="J1703">
        <f>Table2[[#This Row],[Hits]]/Table2[[#This Row],[Points]]*100</f>
        <v>4</v>
      </c>
      <c r="K1703">
        <f>VLOOKUP(Table2[[#This Row],[Site]],'Site Info'!$A$1:$C$11,2, FALSE)</f>
        <v>17.7</v>
      </c>
      <c r="L1703">
        <f>VLOOKUP(Table2[[#This Row],[Site]],'Site Info'!$A$1:$C$11,3, FALSE)</f>
        <v>10</v>
      </c>
      <c r="M1703" t="str">
        <f>VLOOKUP(Table2[[#This Row],[Species]],'Species Table'!$A$1:$D$68,3, FALSE)</f>
        <v>Perennial</v>
      </c>
      <c r="N1703" s="8"/>
      <c r="O1703" s="15">
        <f>IF(SUMPRODUCT(($A$2:$A1703=A1703)*($B$2:$B1703=B1703)*($F$2:$F1703=F1703))&gt;1,0,1)</f>
        <v>0</v>
      </c>
      <c r="P1703" s="15">
        <f>IF(SUMPRODUCT(($A$2:$A1703=A1703)*($B$2:$B1703=B1703)*($D$2:$D1703=D1703))&gt;1,0,1)</f>
        <v>1</v>
      </c>
    </row>
    <row r="1704" spans="1:16" x14ac:dyDescent="0.35">
      <c r="A1704" t="s">
        <v>9</v>
      </c>
      <c r="B1704">
        <v>2017</v>
      </c>
      <c r="C1704" s="1" t="s">
        <v>61</v>
      </c>
      <c r="D1704" s="6">
        <v>4.7</v>
      </c>
      <c r="E1704" s="6">
        <f>INT(Table2[[#This Row],[Transect]])</f>
        <v>4</v>
      </c>
      <c r="F1704" s="1" t="s">
        <v>3</v>
      </c>
      <c r="G1704">
        <v>2</v>
      </c>
      <c r="H1704">
        <f t="shared" si="11"/>
        <v>200</v>
      </c>
      <c r="I1704">
        <v>100</v>
      </c>
      <c r="J1704">
        <f>Table2[[#This Row],[Hits]]/Table2[[#This Row],[Points]]*100</f>
        <v>1</v>
      </c>
      <c r="K1704">
        <f>VLOOKUP(Table2[[#This Row],[Site]],'Site Info'!$A$1:$C$11,2, FALSE)</f>
        <v>17.7</v>
      </c>
      <c r="L1704">
        <f>VLOOKUP(Table2[[#This Row],[Site]],'Site Info'!$A$1:$C$11,3, FALSE)</f>
        <v>10</v>
      </c>
      <c r="M1704" t="str">
        <f>VLOOKUP(Table2[[#This Row],[Species]],'Species Table'!$A$1:$D$68,3, FALSE)</f>
        <v>Perennial</v>
      </c>
      <c r="N1704" s="8"/>
      <c r="O1704" s="15">
        <f>IF(SUMPRODUCT(($A$2:$A1704=A1704)*($B$2:$B1704=B1704)*($F$2:$F1704=F1704))&gt;1,0,1)</f>
        <v>0</v>
      </c>
      <c r="P1704" s="15">
        <f>IF(SUMPRODUCT(($A$2:$A1704=A1704)*($B$2:$B1704=B1704)*($D$2:$D1704=D1704))&gt;1,0,1)</f>
        <v>0</v>
      </c>
    </row>
    <row r="1705" spans="1:16" hidden="1" x14ac:dyDescent="0.35">
      <c r="A1705" t="s">
        <v>9</v>
      </c>
      <c r="B1705">
        <v>2017</v>
      </c>
      <c r="C1705" s="1" t="s">
        <v>61</v>
      </c>
      <c r="D1705" s="6">
        <v>4.7</v>
      </c>
      <c r="E1705" s="6">
        <f>INT(Table2[[#This Row],[Transect]])</f>
        <v>4</v>
      </c>
      <c r="F1705" s="1" t="s">
        <v>10</v>
      </c>
      <c r="G1705">
        <v>3</v>
      </c>
      <c r="H1705">
        <f t="shared" si="11"/>
        <v>200</v>
      </c>
      <c r="I1705">
        <v>100</v>
      </c>
      <c r="J1705">
        <f>Table2[[#This Row],[Hits]]/Table2[[#This Row],[Points]]*100</f>
        <v>1.5</v>
      </c>
      <c r="K1705">
        <f>VLOOKUP(Table2[[#This Row],[Site]],'Site Info'!$A$1:$C$11,2, FALSE)</f>
        <v>17.7</v>
      </c>
      <c r="L1705">
        <f>VLOOKUP(Table2[[#This Row],[Site]],'Site Info'!$A$1:$C$11,3, FALSE)</f>
        <v>10</v>
      </c>
      <c r="M1705" t="str">
        <f>VLOOKUP(Table2[[#This Row],[Species]],'Species Table'!$A$1:$D$68,3, FALSE)</f>
        <v>Annual</v>
      </c>
      <c r="N1705" s="8"/>
      <c r="O1705" s="15">
        <f>IF(SUMPRODUCT(($A$2:$A1705=A1705)*($B$2:$B1705=B1705)*($F$2:$F1705=F1705))&gt;1,0,1)</f>
        <v>0</v>
      </c>
      <c r="P1705" s="15">
        <f>IF(SUMPRODUCT(($A$2:$A1705=A1705)*($B$2:$B1705=B1705)*($D$2:$D1705=D1705))&gt;1,0,1)</f>
        <v>0</v>
      </c>
    </row>
    <row r="1706" spans="1:16" x14ac:dyDescent="0.35">
      <c r="A1706" t="s">
        <v>9</v>
      </c>
      <c r="B1706">
        <v>2017</v>
      </c>
      <c r="C1706" s="1" t="s">
        <v>62</v>
      </c>
      <c r="D1706" s="6">
        <v>5.0999999999999996</v>
      </c>
      <c r="E1706" s="6">
        <f>INT(Table2[[#This Row],[Transect]])</f>
        <v>5</v>
      </c>
      <c r="F1706" s="1" t="s">
        <v>3</v>
      </c>
      <c r="G1706">
        <v>12</v>
      </c>
      <c r="H1706">
        <f t="shared" si="11"/>
        <v>200</v>
      </c>
      <c r="I1706">
        <v>100</v>
      </c>
      <c r="J1706">
        <f>Table2[[#This Row],[Hits]]/Table2[[#This Row],[Points]]*100</f>
        <v>6</v>
      </c>
      <c r="K1706">
        <f>VLOOKUP(Table2[[#This Row],[Site]],'Site Info'!$A$1:$C$11,2, FALSE)</f>
        <v>17.7</v>
      </c>
      <c r="L1706">
        <f>VLOOKUP(Table2[[#This Row],[Site]],'Site Info'!$A$1:$C$11,3, FALSE)</f>
        <v>10</v>
      </c>
      <c r="M1706" t="str">
        <f>VLOOKUP(Table2[[#This Row],[Species]],'Species Table'!$A$1:$D$68,3, FALSE)</f>
        <v>Perennial</v>
      </c>
      <c r="O1706" s="15">
        <f>IF(SUMPRODUCT(($A$2:$A1706=A1706)*($B$2:$B1706=B1706)*($F$2:$F1706=F1706))&gt;1,0,1)</f>
        <v>0</v>
      </c>
      <c r="P1706" s="15">
        <f>IF(SUMPRODUCT(($A$2:$A1706=A1706)*($B$2:$B1706=B1706)*($D$2:$D1706=D1706))&gt;1,0,1)</f>
        <v>1</v>
      </c>
    </row>
    <row r="1707" spans="1:16" hidden="1" x14ac:dyDescent="0.35">
      <c r="A1707" t="s">
        <v>9</v>
      </c>
      <c r="B1707">
        <v>2017</v>
      </c>
      <c r="C1707" s="1" t="s">
        <v>62</v>
      </c>
      <c r="D1707" s="6">
        <v>5.0999999999999996</v>
      </c>
      <c r="E1707" s="6">
        <f>INT(Table2[[#This Row],[Transect]])</f>
        <v>5</v>
      </c>
      <c r="F1707" s="1" t="s">
        <v>10</v>
      </c>
      <c r="G1707">
        <v>7</v>
      </c>
      <c r="H1707">
        <f t="shared" si="11"/>
        <v>200</v>
      </c>
      <c r="I1707">
        <v>100</v>
      </c>
      <c r="J1707">
        <f>Table2[[#This Row],[Hits]]/Table2[[#This Row],[Points]]*100</f>
        <v>3.5000000000000004</v>
      </c>
      <c r="K1707">
        <f>VLOOKUP(Table2[[#This Row],[Site]],'Site Info'!$A$1:$C$11,2, FALSE)</f>
        <v>17.7</v>
      </c>
      <c r="L1707">
        <f>VLOOKUP(Table2[[#This Row],[Site]],'Site Info'!$A$1:$C$11,3, FALSE)</f>
        <v>10</v>
      </c>
      <c r="M1707" t="str">
        <f>VLOOKUP(Table2[[#This Row],[Species]],'Species Table'!$A$1:$D$68,3, FALSE)</f>
        <v>Annual</v>
      </c>
      <c r="O1707" s="15">
        <f>IF(SUMPRODUCT(($A$2:$A1707=A1707)*($B$2:$B1707=B1707)*($F$2:$F1707=F1707))&gt;1,0,1)</f>
        <v>0</v>
      </c>
      <c r="P1707" s="15">
        <f>IF(SUMPRODUCT(($A$2:$A1707=A1707)*($B$2:$B1707=B1707)*($D$2:$D1707=D1707))&gt;1,0,1)</f>
        <v>0</v>
      </c>
    </row>
    <row r="1708" spans="1:16" hidden="1" x14ac:dyDescent="0.35">
      <c r="A1708" t="s">
        <v>9</v>
      </c>
      <c r="B1708">
        <v>2017</v>
      </c>
      <c r="C1708" s="1" t="s">
        <v>63</v>
      </c>
      <c r="D1708" s="6">
        <v>5.2</v>
      </c>
      <c r="E1708" s="6">
        <f>INT(Table2[[#This Row],[Transect]])</f>
        <v>5</v>
      </c>
      <c r="F1708" s="1" t="s">
        <v>10</v>
      </c>
      <c r="G1708">
        <v>10</v>
      </c>
      <c r="H1708">
        <f t="shared" si="11"/>
        <v>200</v>
      </c>
      <c r="I1708">
        <v>100</v>
      </c>
      <c r="J1708">
        <f>Table2[[#This Row],[Hits]]/Table2[[#This Row],[Points]]*100</f>
        <v>5</v>
      </c>
      <c r="K1708">
        <f>VLOOKUP(Table2[[#This Row],[Site]],'Site Info'!$A$1:$C$11,2, FALSE)</f>
        <v>17.7</v>
      </c>
      <c r="L1708">
        <f>VLOOKUP(Table2[[#This Row],[Site]],'Site Info'!$A$1:$C$11,3, FALSE)</f>
        <v>10</v>
      </c>
      <c r="M1708" t="str">
        <f>VLOOKUP(Table2[[#This Row],[Species]],'Species Table'!$A$1:$D$68,3, FALSE)</f>
        <v>Annual</v>
      </c>
      <c r="O1708" s="15">
        <f>IF(SUMPRODUCT(($A$2:$A1708=A1708)*($B$2:$B1708=B1708)*($F$2:$F1708=F1708))&gt;1,0,1)</f>
        <v>0</v>
      </c>
      <c r="P1708" s="15">
        <f>IF(SUMPRODUCT(($A$2:$A1708=A1708)*($B$2:$B1708=B1708)*($D$2:$D1708=D1708))&gt;1,0,1)</f>
        <v>1</v>
      </c>
    </row>
    <row r="1709" spans="1:16" x14ac:dyDescent="0.35">
      <c r="A1709" t="s">
        <v>9</v>
      </c>
      <c r="B1709">
        <v>2017</v>
      </c>
      <c r="C1709" s="1" t="s">
        <v>63</v>
      </c>
      <c r="D1709" s="6">
        <v>5.2</v>
      </c>
      <c r="E1709" s="6">
        <f>INT(Table2[[#This Row],[Transect]])</f>
        <v>5</v>
      </c>
      <c r="F1709" s="1" t="s">
        <v>11</v>
      </c>
      <c r="G1709">
        <v>2</v>
      </c>
      <c r="H1709">
        <f t="shared" si="11"/>
        <v>200</v>
      </c>
      <c r="I1709">
        <v>100</v>
      </c>
      <c r="J1709">
        <f>Table2[[#This Row],[Hits]]/Table2[[#This Row],[Points]]*100</f>
        <v>1</v>
      </c>
      <c r="K1709">
        <f>VLOOKUP(Table2[[#This Row],[Site]],'Site Info'!$A$1:$C$11,2, FALSE)</f>
        <v>17.7</v>
      </c>
      <c r="L1709">
        <f>VLOOKUP(Table2[[#This Row],[Site]],'Site Info'!$A$1:$C$11,3, FALSE)</f>
        <v>10</v>
      </c>
      <c r="M1709" t="str">
        <f>VLOOKUP(Table2[[#This Row],[Species]],'Species Table'!$A$1:$D$68,3, FALSE)</f>
        <v>Perennial</v>
      </c>
      <c r="O1709" s="15">
        <f>IF(SUMPRODUCT(($A$2:$A1709=A1709)*($B$2:$B1709=B1709)*($F$2:$F1709=F1709))&gt;1,0,1)</f>
        <v>0</v>
      </c>
      <c r="P1709" s="15">
        <f>IF(SUMPRODUCT(($A$2:$A1709=A1709)*($B$2:$B1709=B1709)*($D$2:$D1709=D1709))&gt;1,0,1)</f>
        <v>0</v>
      </c>
    </row>
    <row r="1710" spans="1:16" x14ac:dyDescent="0.35">
      <c r="A1710" t="s">
        <v>9</v>
      </c>
      <c r="B1710">
        <v>2017</v>
      </c>
      <c r="C1710" s="1" t="s">
        <v>63</v>
      </c>
      <c r="D1710" s="6">
        <v>5.2</v>
      </c>
      <c r="E1710" s="6">
        <f>INT(Table2[[#This Row],[Transect]])</f>
        <v>5</v>
      </c>
      <c r="F1710" s="1" t="s">
        <v>12</v>
      </c>
      <c r="G1710">
        <v>2</v>
      </c>
      <c r="H1710">
        <f t="shared" si="11"/>
        <v>200</v>
      </c>
      <c r="I1710">
        <v>100</v>
      </c>
      <c r="J1710">
        <f>Table2[[#This Row],[Hits]]/Table2[[#This Row],[Points]]*100</f>
        <v>1</v>
      </c>
      <c r="K1710">
        <f>VLOOKUP(Table2[[#This Row],[Site]],'Site Info'!$A$1:$C$11,2, FALSE)</f>
        <v>17.7</v>
      </c>
      <c r="L1710">
        <f>VLOOKUP(Table2[[#This Row],[Site]],'Site Info'!$A$1:$C$11,3, FALSE)</f>
        <v>10</v>
      </c>
      <c r="M1710" t="str">
        <f>VLOOKUP(Table2[[#This Row],[Species]],'Species Table'!$A$1:$D$68,3, FALSE)</f>
        <v>Perennial</v>
      </c>
      <c r="O1710" s="15">
        <f>IF(SUMPRODUCT(($A$2:$A1710=A1710)*($B$2:$B1710=B1710)*($F$2:$F1710=F1710))&gt;1,0,1)</f>
        <v>0</v>
      </c>
      <c r="P1710" s="15">
        <f>IF(SUMPRODUCT(($A$2:$A1710=A1710)*($B$2:$B1710=B1710)*($D$2:$D1710=D1710))&gt;1,0,1)</f>
        <v>0</v>
      </c>
    </row>
    <row r="1711" spans="1:16" x14ac:dyDescent="0.35">
      <c r="A1711" t="s">
        <v>9</v>
      </c>
      <c r="B1711">
        <v>2017</v>
      </c>
      <c r="C1711" s="1" t="s">
        <v>64</v>
      </c>
      <c r="D1711" s="6">
        <v>5.3</v>
      </c>
      <c r="E1711" s="6">
        <f>INT(Table2[[#This Row],[Transect]])</f>
        <v>5</v>
      </c>
      <c r="F1711" s="1" t="s">
        <v>11</v>
      </c>
      <c r="G1711">
        <v>11</v>
      </c>
      <c r="H1711">
        <f t="shared" si="11"/>
        <v>200</v>
      </c>
      <c r="I1711">
        <v>100</v>
      </c>
      <c r="J1711">
        <f>Table2[[#This Row],[Hits]]/Table2[[#This Row],[Points]]*100</f>
        <v>5.5</v>
      </c>
      <c r="K1711">
        <f>VLOOKUP(Table2[[#This Row],[Site]],'Site Info'!$A$1:$C$11,2, FALSE)</f>
        <v>17.7</v>
      </c>
      <c r="L1711">
        <f>VLOOKUP(Table2[[#This Row],[Site]],'Site Info'!$A$1:$C$11,3, FALSE)</f>
        <v>10</v>
      </c>
      <c r="M1711" t="str">
        <f>VLOOKUP(Table2[[#This Row],[Species]],'Species Table'!$A$1:$D$68,3, FALSE)</f>
        <v>Perennial</v>
      </c>
      <c r="O1711" s="15">
        <f>IF(SUMPRODUCT(($A$2:$A1711=A1711)*($B$2:$B1711=B1711)*($F$2:$F1711=F1711))&gt;1,0,1)</f>
        <v>0</v>
      </c>
      <c r="P1711" s="15">
        <f>IF(SUMPRODUCT(($A$2:$A1711=A1711)*($B$2:$B1711=B1711)*($D$2:$D1711=D1711))&gt;1,0,1)</f>
        <v>1</v>
      </c>
    </row>
    <row r="1712" spans="1:16" hidden="1" x14ac:dyDescent="0.35">
      <c r="A1712" t="s">
        <v>9</v>
      </c>
      <c r="B1712">
        <v>2017</v>
      </c>
      <c r="C1712" s="1" t="s">
        <v>64</v>
      </c>
      <c r="D1712" s="6">
        <v>5.3</v>
      </c>
      <c r="E1712" s="6">
        <f>INT(Table2[[#This Row],[Transect]])</f>
        <v>5</v>
      </c>
      <c r="F1712" s="1" t="s">
        <v>10</v>
      </c>
      <c r="G1712">
        <v>7</v>
      </c>
      <c r="H1712">
        <f t="shared" si="11"/>
        <v>200</v>
      </c>
      <c r="I1712">
        <v>100</v>
      </c>
      <c r="J1712">
        <f>Table2[[#This Row],[Hits]]/Table2[[#This Row],[Points]]*100</f>
        <v>3.5000000000000004</v>
      </c>
      <c r="K1712">
        <f>VLOOKUP(Table2[[#This Row],[Site]],'Site Info'!$A$1:$C$11,2, FALSE)</f>
        <v>17.7</v>
      </c>
      <c r="L1712">
        <f>VLOOKUP(Table2[[#This Row],[Site]],'Site Info'!$A$1:$C$11,3, FALSE)</f>
        <v>10</v>
      </c>
      <c r="M1712" t="str">
        <f>VLOOKUP(Table2[[#This Row],[Species]],'Species Table'!$A$1:$D$68,3, FALSE)</f>
        <v>Annual</v>
      </c>
      <c r="O1712" s="15">
        <f>IF(SUMPRODUCT(($A$2:$A1712=A1712)*($B$2:$B1712=B1712)*($F$2:$F1712=F1712))&gt;1,0,1)</f>
        <v>0</v>
      </c>
      <c r="P1712" s="15">
        <f>IF(SUMPRODUCT(($A$2:$A1712=A1712)*($B$2:$B1712=B1712)*($D$2:$D1712=D1712))&gt;1,0,1)</f>
        <v>0</v>
      </c>
    </row>
    <row r="1713" spans="1:16" x14ac:dyDescent="0.35">
      <c r="A1713" t="s">
        <v>9</v>
      </c>
      <c r="B1713">
        <v>2017</v>
      </c>
      <c r="C1713" s="1" t="s">
        <v>64</v>
      </c>
      <c r="D1713" s="6">
        <v>5.3</v>
      </c>
      <c r="E1713" s="6">
        <f>INT(Table2[[#This Row],[Transect]])</f>
        <v>5</v>
      </c>
      <c r="F1713" s="1" t="s">
        <v>12</v>
      </c>
      <c r="G1713">
        <v>1</v>
      </c>
      <c r="H1713">
        <f t="shared" si="11"/>
        <v>200</v>
      </c>
      <c r="I1713">
        <v>100</v>
      </c>
      <c r="J1713">
        <f>Table2[[#This Row],[Hits]]/Table2[[#This Row],[Points]]*100</f>
        <v>0.5</v>
      </c>
      <c r="K1713">
        <f>VLOOKUP(Table2[[#This Row],[Site]],'Site Info'!$A$1:$C$11,2, FALSE)</f>
        <v>17.7</v>
      </c>
      <c r="L1713">
        <f>VLOOKUP(Table2[[#This Row],[Site]],'Site Info'!$A$1:$C$11,3, FALSE)</f>
        <v>10</v>
      </c>
      <c r="M1713" t="str">
        <f>VLOOKUP(Table2[[#This Row],[Species]],'Species Table'!$A$1:$D$68,3, FALSE)</f>
        <v>Perennial</v>
      </c>
      <c r="O1713" s="15">
        <f>IF(SUMPRODUCT(($A$2:$A1713=A1713)*($B$2:$B1713=B1713)*($F$2:$F1713=F1713))&gt;1,0,1)</f>
        <v>0</v>
      </c>
      <c r="P1713" s="15">
        <f>IF(SUMPRODUCT(($A$2:$A1713=A1713)*($B$2:$B1713=B1713)*($D$2:$D1713=D1713))&gt;1,0,1)</f>
        <v>0</v>
      </c>
    </row>
    <row r="1714" spans="1:16" x14ac:dyDescent="0.35">
      <c r="A1714" t="s">
        <v>9</v>
      </c>
      <c r="B1714">
        <v>2017</v>
      </c>
      <c r="C1714" s="1" t="s">
        <v>64</v>
      </c>
      <c r="D1714" s="6">
        <v>5.3</v>
      </c>
      <c r="E1714" s="6">
        <f>INT(Table2[[#This Row],[Transect]])</f>
        <v>5</v>
      </c>
      <c r="F1714" s="1" t="s">
        <v>6</v>
      </c>
      <c r="G1714">
        <v>2</v>
      </c>
      <c r="H1714">
        <f t="shared" si="11"/>
        <v>200</v>
      </c>
      <c r="I1714">
        <v>100</v>
      </c>
      <c r="J1714">
        <f>Table2[[#This Row],[Hits]]/Table2[[#This Row],[Points]]*100</f>
        <v>1</v>
      </c>
      <c r="K1714">
        <f>VLOOKUP(Table2[[#This Row],[Site]],'Site Info'!$A$1:$C$11,2, FALSE)</f>
        <v>17.7</v>
      </c>
      <c r="L1714">
        <f>VLOOKUP(Table2[[#This Row],[Site]],'Site Info'!$A$1:$C$11,3, FALSE)</f>
        <v>10</v>
      </c>
      <c r="M1714" t="str">
        <f>VLOOKUP(Table2[[#This Row],[Species]],'Species Table'!$A$1:$D$68,3, FALSE)</f>
        <v>Perennial</v>
      </c>
      <c r="O1714" s="15">
        <f>IF(SUMPRODUCT(($A$2:$A1714=A1714)*($B$2:$B1714=B1714)*($F$2:$F1714=F1714))&gt;1,0,1)</f>
        <v>0</v>
      </c>
      <c r="P1714" s="15">
        <f>IF(SUMPRODUCT(($A$2:$A1714=A1714)*($B$2:$B1714=B1714)*($D$2:$D1714=D1714))&gt;1,0,1)</f>
        <v>0</v>
      </c>
    </row>
    <row r="1715" spans="1:16" hidden="1" x14ac:dyDescent="0.35">
      <c r="A1715" t="s">
        <v>9</v>
      </c>
      <c r="B1715">
        <v>2017</v>
      </c>
      <c r="C1715" s="1" t="s">
        <v>86</v>
      </c>
      <c r="D1715" s="6">
        <v>5.4</v>
      </c>
      <c r="E1715" s="6">
        <f>INT(Table2[[#This Row],[Transect]])</f>
        <v>5</v>
      </c>
      <c r="F1715" s="1" t="s">
        <v>10</v>
      </c>
      <c r="G1715">
        <v>1</v>
      </c>
      <c r="H1715">
        <f t="shared" si="11"/>
        <v>200</v>
      </c>
      <c r="I1715">
        <v>100</v>
      </c>
      <c r="J1715">
        <f>Table2[[#This Row],[Hits]]/Table2[[#This Row],[Points]]*100</f>
        <v>0.5</v>
      </c>
      <c r="K1715">
        <f>VLOOKUP(Table2[[#This Row],[Site]],'Site Info'!$A$1:$C$11,2, FALSE)</f>
        <v>17.7</v>
      </c>
      <c r="L1715">
        <f>VLOOKUP(Table2[[#This Row],[Site]],'Site Info'!$A$1:$C$11,3, FALSE)</f>
        <v>10</v>
      </c>
      <c r="M1715" t="str">
        <f>VLOOKUP(Table2[[#This Row],[Species]],'Species Table'!$A$1:$D$68,3, FALSE)</f>
        <v>Annual</v>
      </c>
      <c r="O1715" s="15">
        <f>IF(SUMPRODUCT(($A$2:$A1715=A1715)*($B$2:$B1715=B1715)*($F$2:$F1715=F1715))&gt;1,0,1)</f>
        <v>0</v>
      </c>
      <c r="P1715" s="15">
        <f>IF(SUMPRODUCT(($A$2:$A1715=A1715)*($B$2:$B1715=B1715)*($D$2:$D1715=D1715))&gt;1,0,1)</f>
        <v>1</v>
      </c>
    </row>
    <row r="1716" spans="1:16" x14ac:dyDescent="0.35">
      <c r="A1716" t="s">
        <v>9</v>
      </c>
      <c r="B1716">
        <v>2017</v>
      </c>
      <c r="C1716" s="1" t="s">
        <v>86</v>
      </c>
      <c r="D1716" s="6">
        <v>5.4</v>
      </c>
      <c r="E1716" s="6">
        <f>INT(Table2[[#This Row],[Transect]])</f>
        <v>5</v>
      </c>
      <c r="F1716" s="1" t="s">
        <v>6</v>
      </c>
      <c r="G1716">
        <v>7</v>
      </c>
      <c r="H1716">
        <f t="shared" si="11"/>
        <v>200</v>
      </c>
      <c r="I1716">
        <v>100</v>
      </c>
      <c r="J1716">
        <f>Table2[[#This Row],[Hits]]/Table2[[#This Row],[Points]]*100</f>
        <v>3.5000000000000004</v>
      </c>
      <c r="K1716">
        <f>VLOOKUP(Table2[[#This Row],[Site]],'Site Info'!$A$1:$C$11,2, FALSE)</f>
        <v>17.7</v>
      </c>
      <c r="L1716">
        <f>VLOOKUP(Table2[[#This Row],[Site]],'Site Info'!$A$1:$C$11,3, FALSE)</f>
        <v>10</v>
      </c>
      <c r="M1716" t="str">
        <f>VLOOKUP(Table2[[#This Row],[Species]],'Species Table'!$A$1:$D$68,3, FALSE)</f>
        <v>Perennial</v>
      </c>
      <c r="O1716" s="15">
        <f>IF(SUMPRODUCT(($A$2:$A1716=A1716)*($B$2:$B1716=B1716)*($F$2:$F1716=F1716))&gt;1,0,1)</f>
        <v>0</v>
      </c>
      <c r="P1716" s="15">
        <f>IF(SUMPRODUCT(($A$2:$A1716=A1716)*($B$2:$B1716=B1716)*($D$2:$D1716=D1716))&gt;1,0,1)</f>
        <v>0</v>
      </c>
    </row>
    <row r="1717" spans="1:16" x14ac:dyDescent="0.35">
      <c r="A1717" t="s">
        <v>9</v>
      </c>
      <c r="B1717">
        <v>2017</v>
      </c>
      <c r="C1717" s="1" t="s">
        <v>86</v>
      </c>
      <c r="D1717" s="6">
        <v>5.4</v>
      </c>
      <c r="E1717" s="6">
        <f>INT(Table2[[#This Row],[Transect]])</f>
        <v>5</v>
      </c>
      <c r="F1717" s="1" t="s">
        <v>12</v>
      </c>
      <c r="G1717">
        <v>1</v>
      </c>
      <c r="H1717">
        <f t="shared" si="11"/>
        <v>200</v>
      </c>
      <c r="I1717">
        <v>100</v>
      </c>
      <c r="J1717">
        <f>Table2[[#This Row],[Hits]]/Table2[[#This Row],[Points]]*100</f>
        <v>0.5</v>
      </c>
      <c r="K1717">
        <f>VLOOKUP(Table2[[#This Row],[Site]],'Site Info'!$A$1:$C$11,2, FALSE)</f>
        <v>17.7</v>
      </c>
      <c r="L1717">
        <f>VLOOKUP(Table2[[#This Row],[Site]],'Site Info'!$A$1:$C$11,3, FALSE)</f>
        <v>10</v>
      </c>
      <c r="M1717" t="str">
        <f>VLOOKUP(Table2[[#This Row],[Species]],'Species Table'!$A$1:$D$68,3, FALSE)</f>
        <v>Perennial</v>
      </c>
      <c r="O1717" s="15">
        <f>IF(SUMPRODUCT(($A$2:$A1717=A1717)*($B$2:$B1717=B1717)*($F$2:$F1717=F1717))&gt;1,0,1)</f>
        <v>0</v>
      </c>
      <c r="P1717" s="15">
        <f>IF(SUMPRODUCT(($A$2:$A1717=A1717)*($B$2:$B1717=B1717)*($D$2:$D1717=D1717))&gt;1,0,1)</f>
        <v>0</v>
      </c>
    </row>
    <row r="1718" spans="1:16" x14ac:dyDescent="0.35">
      <c r="A1718" t="s">
        <v>9</v>
      </c>
      <c r="B1718">
        <v>2017</v>
      </c>
      <c r="C1718" s="1" t="s">
        <v>86</v>
      </c>
      <c r="D1718" s="6">
        <v>5.4</v>
      </c>
      <c r="E1718" s="6">
        <f>INT(Table2[[#This Row],[Transect]])</f>
        <v>5</v>
      </c>
      <c r="F1718" s="1" t="s">
        <v>11</v>
      </c>
      <c r="G1718">
        <v>1</v>
      </c>
      <c r="H1718">
        <f t="shared" si="11"/>
        <v>200</v>
      </c>
      <c r="I1718">
        <v>100</v>
      </c>
      <c r="J1718">
        <f>Table2[[#This Row],[Hits]]/Table2[[#This Row],[Points]]*100</f>
        <v>0.5</v>
      </c>
      <c r="K1718">
        <f>VLOOKUP(Table2[[#This Row],[Site]],'Site Info'!$A$1:$C$11,2, FALSE)</f>
        <v>17.7</v>
      </c>
      <c r="L1718">
        <f>VLOOKUP(Table2[[#This Row],[Site]],'Site Info'!$A$1:$C$11,3, FALSE)</f>
        <v>10</v>
      </c>
      <c r="M1718" t="str">
        <f>VLOOKUP(Table2[[#This Row],[Species]],'Species Table'!$A$1:$D$68,3, FALSE)</f>
        <v>Perennial</v>
      </c>
      <c r="O1718" s="15">
        <f>IF(SUMPRODUCT(($A$2:$A1718=A1718)*($B$2:$B1718=B1718)*($F$2:$F1718=F1718))&gt;1,0,1)</f>
        <v>0</v>
      </c>
      <c r="P1718" s="15">
        <f>IF(SUMPRODUCT(($A$2:$A1718=A1718)*($B$2:$B1718=B1718)*($D$2:$D1718=D1718))&gt;1,0,1)</f>
        <v>0</v>
      </c>
    </row>
    <row r="1719" spans="1:16" x14ac:dyDescent="0.35">
      <c r="A1719" t="s">
        <v>9</v>
      </c>
      <c r="B1719">
        <v>2017</v>
      </c>
      <c r="C1719" s="1" t="s">
        <v>65</v>
      </c>
      <c r="D1719" s="6">
        <v>5.5</v>
      </c>
      <c r="E1719" s="6">
        <f>INT(Table2[[#This Row],[Transect]])</f>
        <v>5</v>
      </c>
      <c r="F1719" s="1" t="s">
        <v>6</v>
      </c>
      <c r="G1719">
        <v>3</v>
      </c>
      <c r="H1719">
        <f t="shared" si="11"/>
        <v>200</v>
      </c>
      <c r="I1719">
        <v>100</v>
      </c>
      <c r="J1719">
        <f>Table2[[#This Row],[Hits]]/Table2[[#This Row],[Points]]*100</f>
        <v>1.5</v>
      </c>
      <c r="K1719">
        <f>VLOOKUP(Table2[[#This Row],[Site]],'Site Info'!$A$1:$C$11,2, FALSE)</f>
        <v>17.7</v>
      </c>
      <c r="L1719">
        <f>VLOOKUP(Table2[[#This Row],[Site]],'Site Info'!$A$1:$C$11,3, FALSE)</f>
        <v>10</v>
      </c>
      <c r="M1719" t="str">
        <f>VLOOKUP(Table2[[#This Row],[Species]],'Species Table'!$A$1:$D$68,3, FALSE)</f>
        <v>Perennial</v>
      </c>
      <c r="O1719" s="15">
        <f>IF(SUMPRODUCT(($A$2:$A1719=A1719)*($B$2:$B1719=B1719)*($F$2:$F1719=F1719))&gt;1,0,1)</f>
        <v>0</v>
      </c>
      <c r="P1719" s="15">
        <f>IF(SUMPRODUCT(($A$2:$A1719=A1719)*($B$2:$B1719=B1719)*($D$2:$D1719=D1719))&gt;1,0,1)</f>
        <v>1</v>
      </c>
    </row>
    <row r="1720" spans="1:16" x14ac:dyDescent="0.35">
      <c r="A1720" t="s">
        <v>9</v>
      </c>
      <c r="B1720">
        <v>2017</v>
      </c>
      <c r="C1720" s="1" t="s">
        <v>65</v>
      </c>
      <c r="D1720" s="6">
        <v>5.5</v>
      </c>
      <c r="E1720" s="6">
        <f>INT(Table2[[#This Row],[Transect]])</f>
        <v>5</v>
      </c>
      <c r="F1720" s="1" t="s">
        <v>3</v>
      </c>
      <c r="G1720">
        <v>1</v>
      </c>
      <c r="H1720">
        <f t="shared" si="11"/>
        <v>200</v>
      </c>
      <c r="I1720">
        <v>100</v>
      </c>
      <c r="J1720">
        <f>Table2[[#This Row],[Hits]]/Table2[[#This Row],[Points]]*100</f>
        <v>0.5</v>
      </c>
      <c r="K1720">
        <f>VLOOKUP(Table2[[#This Row],[Site]],'Site Info'!$A$1:$C$11,2, FALSE)</f>
        <v>17.7</v>
      </c>
      <c r="L1720">
        <f>VLOOKUP(Table2[[#This Row],[Site]],'Site Info'!$A$1:$C$11,3, FALSE)</f>
        <v>10</v>
      </c>
      <c r="M1720" t="str">
        <f>VLOOKUP(Table2[[#This Row],[Species]],'Species Table'!$A$1:$D$68,3, FALSE)</f>
        <v>Perennial</v>
      </c>
      <c r="O1720" s="15">
        <f>IF(SUMPRODUCT(($A$2:$A1720=A1720)*($B$2:$B1720=B1720)*($F$2:$F1720=F1720))&gt;1,0,1)</f>
        <v>0</v>
      </c>
      <c r="P1720" s="15">
        <f>IF(SUMPRODUCT(($A$2:$A1720=A1720)*($B$2:$B1720=B1720)*($D$2:$D1720=D1720))&gt;1,0,1)</f>
        <v>0</v>
      </c>
    </row>
    <row r="1721" spans="1:16" x14ac:dyDescent="0.35">
      <c r="A1721" t="s">
        <v>9</v>
      </c>
      <c r="B1721">
        <v>2017</v>
      </c>
      <c r="C1721" s="1" t="s">
        <v>65</v>
      </c>
      <c r="D1721" s="6">
        <v>5.5</v>
      </c>
      <c r="E1721" s="6">
        <f>INT(Table2[[#This Row],[Transect]])</f>
        <v>5</v>
      </c>
      <c r="F1721" s="1" t="s">
        <v>11</v>
      </c>
      <c r="G1721">
        <v>4</v>
      </c>
      <c r="H1721">
        <f t="shared" si="11"/>
        <v>200</v>
      </c>
      <c r="I1721">
        <v>100</v>
      </c>
      <c r="J1721">
        <f>Table2[[#This Row],[Hits]]/Table2[[#This Row],[Points]]*100</f>
        <v>2</v>
      </c>
      <c r="K1721">
        <f>VLOOKUP(Table2[[#This Row],[Site]],'Site Info'!$A$1:$C$11,2, FALSE)</f>
        <v>17.7</v>
      </c>
      <c r="L1721">
        <f>VLOOKUP(Table2[[#This Row],[Site]],'Site Info'!$A$1:$C$11,3, FALSE)</f>
        <v>10</v>
      </c>
      <c r="M1721" t="str">
        <f>VLOOKUP(Table2[[#This Row],[Species]],'Species Table'!$A$1:$D$68,3, FALSE)</f>
        <v>Perennial</v>
      </c>
      <c r="O1721" s="15">
        <f>IF(SUMPRODUCT(($A$2:$A1721=A1721)*($B$2:$B1721=B1721)*($F$2:$F1721=F1721))&gt;1,0,1)</f>
        <v>0</v>
      </c>
      <c r="P1721" s="15">
        <f>IF(SUMPRODUCT(($A$2:$A1721=A1721)*($B$2:$B1721=B1721)*($D$2:$D1721=D1721))&gt;1,0,1)</f>
        <v>0</v>
      </c>
    </row>
    <row r="1722" spans="1:16" x14ac:dyDescent="0.35">
      <c r="A1722" t="s">
        <v>9</v>
      </c>
      <c r="B1722">
        <v>2017</v>
      </c>
      <c r="C1722" s="1" t="s">
        <v>128</v>
      </c>
      <c r="D1722" s="6">
        <v>5.6</v>
      </c>
      <c r="E1722" s="6">
        <f>INT(Table2[[#This Row],[Transect]])</f>
        <v>5</v>
      </c>
      <c r="F1722" s="1" t="s">
        <v>6</v>
      </c>
      <c r="G1722">
        <v>3</v>
      </c>
      <c r="H1722">
        <f t="shared" si="11"/>
        <v>200</v>
      </c>
      <c r="I1722">
        <v>100</v>
      </c>
      <c r="J1722">
        <f>Table2[[#This Row],[Hits]]/Table2[[#This Row],[Points]]*100</f>
        <v>1.5</v>
      </c>
      <c r="K1722">
        <f>VLOOKUP(Table2[[#This Row],[Site]],'Site Info'!$A$1:$C$11,2, FALSE)</f>
        <v>17.7</v>
      </c>
      <c r="L1722">
        <f>VLOOKUP(Table2[[#This Row],[Site]],'Site Info'!$A$1:$C$11,3, FALSE)</f>
        <v>10</v>
      </c>
      <c r="M1722" t="str">
        <f>VLOOKUP(Table2[[#This Row],[Species]],'Species Table'!$A$1:$D$68,3, FALSE)</f>
        <v>Perennial</v>
      </c>
      <c r="O1722" s="15">
        <f>IF(SUMPRODUCT(($A$2:$A1722=A1722)*($B$2:$B1722=B1722)*($F$2:$F1722=F1722))&gt;1,0,1)</f>
        <v>0</v>
      </c>
      <c r="P1722" s="15">
        <f>IF(SUMPRODUCT(($A$2:$A1722=A1722)*($B$2:$B1722=B1722)*($D$2:$D1722=D1722))&gt;1,0,1)</f>
        <v>1</v>
      </c>
    </row>
    <row r="1723" spans="1:16" x14ac:dyDescent="0.35">
      <c r="A1723" t="s">
        <v>9</v>
      </c>
      <c r="B1723">
        <v>2017</v>
      </c>
      <c r="C1723" s="1" t="s">
        <v>128</v>
      </c>
      <c r="D1723" s="6">
        <v>5.6</v>
      </c>
      <c r="E1723" s="6">
        <f>INT(Table2[[#This Row],[Transect]])</f>
        <v>5</v>
      </c>
      <c r="F1723" s="1" t="s">
        <v>11</v>
      </c>
      <c r="G1723">
        <v>5</v>
      </c>
      <c r="H1723">
        <f t="shared" si="11"/>
        <v>200</v>
      </c>
      <c r="I1723">
        <v>100</v>
      </c>
      <c r="J1723">
        <f>Table2[[#This Row],[Hits]]/Table2[[#This Row],[Points]]*100</f>
        <v>2.5</v>
      </c>
      <c r="K1723">
        <f>VLOOKUP(Table2[[#This Row],[Site]],'Site Info'!$A$1:$C$11,2, FALSE)</f>
        <v>17.7</v>
      </c>
      <c r="L1723">
        <f>VLOOKUP(Table2[[#This Row],[Site]],'Site Info'!$A$1:$C$11,3, FALSE)</f>
        <v>10</v>
      </c>
      <c r="M1723" t="str">
        <f>VLOOKUP(Table2[[#This Row],[Species]],'Species Table'!$A$1:$D$68,3, FALSE)</f>
        <v>Perennial</v>
      </c>
      <c r="O1723" s="15">
        <f>IF(SUMPRODUCT(($A$2:$A1723=A1723)*($B$2:$B1723=B1723)*($F$2:$F1723=F1723))&gt;1,0,1)</f>
        <v>0</v>
      </c>
      <c r="P1723" s="15">
        <f>IF(SUMPRODUCT(($A$2:$A1723=A1723)*($B$2:$B1723=B1723)*($D$2:$D1723=D1723))&gt;1,0,1)</f>
        <v>0</v>
      </c>
    </row>
    <row r="1724" spans="1:16" hidden="1" x14ac:dyDescent="0.35">
      <c r="A1724" t="s">
        <v>9</v>
      </c>
      <c r="B1724">
        <v>2017</v>
      </c>
      <c r="C1724" s="1" t="s">
        <v>66</v>
      </c>
      <c r="D1724" s="6">
        <v>5.7</v>
      </c>
      <c r="E1724" s="6">
        <f>INT(Table2[[#This Row],[Transect]])</f>
        <v>5</v>
      </c>
      <c r="F1724" s="1" t="s">
        <v>10</v>
      </c>
      <c r="G1724">
        <v>2</v>
      </c>
      <c r="H1724">
        <f t="shared" si="11"/>
        <v>200</v>
      </c>
      <c r="I1724">
        <v>100</v>
      </c>
      <c r="J1724">
        <f>Table2[[#This Row],[Hits]]/Table2[[#This Row],[Points]]*100</f>
        <v>1</v>
      </c>
      <c r="K1724">
        <f>VLOOKUP(Table2[[#This Row],[Site]],'Site Info'!$A$1:$C$11,2, FALSE)</f>
        <v>17.7</v>
      </c>
      <c r="L1724">
        <f>VLOOKUP(Table2[[#This Row],[Site]],'Site Info'!$A$1:$C$11,3, FALSE)</f>
        <v>10</v>
      </c>
      <c r="M1724" t="str">
        <f>VLOOKUP(Table2[[#This Row],[Species]],'Species Table'!$A$1:$D$68,3, FALSE)</f>
        <v>Annual</v>
      </c>
      <c r="N1724" s="8"/>
      <c r="O1724" s="15">
        <f>IF(SUMPRODUCT(($A$2:$A1724=A1724)*($B$2:$B1724=B1724)*($F$2:$F1724=F1724))&gt;1,0,1)</f>
        <v>0</v>
      </c>
      <c r="P1724" s="15">
        <f>IF(SUMPRODUCT(($A$2:$A1724=A1724)*($B$2:$B1724=B1724)*($D$2:$D1724=D1724))&gt;1,0,1)</f>
        <v>1</v>
      </c>
    </row>
    <row r="1725" spans="1:16" x14ac:dyDescent="0.35">
      <c r="A1725" t="s">
        <v>9</v>
      </c>
      <c r="B1725">
        <v>2017</v>
      </c>
      <c r="C1725" s="1" t="s">
        <v>66</v>
      </c>
      <c r="D1725" s="6">
        <v>5.7</v>
      </c>
      <c r="E1725" s="6">
        <f>INT(Table2[[#This Row],[Transect]])</f>
        <v>5</v>
      </c>
      <c r="F1725" s="1" t="s">
        <v>11</v>
      </c>
      <c r="G1725">
        <v>5</v>
      </c>
      <c r="H1725">
        <f t="shared" si="11"/>
        <v>200</v>
      </c>
      <c r="I1725">
        <v>100</v>
      </c>
      <c r="J1725">
        <f>Table2[[#This Row],[Hits]]/Table2[[#This Row],[Points]]*100</f>
        <v>2.5</v>
      </c>
      <c r="K1725">
        <f>VLOOKUP(Table2[[#This Row],[Site]],'Site Info'!$A$1:$C$11,2, FALSE)</f>
        <v>17.7</v>
      </c>
      <c r="L1725">
        <f>VLOOKUP(Table2[[#This Row],[Site]],'Site Info'!$A$1:$C$11,3, FALSE)</f>
        <v>10</v>
      </c>
      <c r="M1725" t="str">
        <f>VLOOKUP(Table2[[#This Row],[Species]],'Species Table'!$A$1:$D$68,3, FALSE)</f>
        <v>Perennial</v>
      </c>
      <c r="N1725" s="8"/>
      <c r="O1725" s="15">
        <f>IF(SUMPRODUCT(($A$2:$A1725=A1725)*($B$2:$B1725=B1725)*($F$2:$F1725=F1725))&gt;1,0,1)</f>
        <v>0</v>
      </c>
      <c r="P1725" s="15">
        <f>IF(SUMPRODUCT(($A$2:$A1725=A1725)*($B$2:$B1725=B1725)*($D$2:$D1725=D1725))&gt;1,0,1)</f>
        <v>0</v>
      </c>
    </row>
    <row r="1726" spans="1:16" hidden="1" x14ac:dyDescent="0.35">
      <c r="A1726" t="s">
        <v>9</v>
      </c>
      <c r="B1726">
        <v>2017</v>
      </c>
      <c r="C1726" s="1" t="s">
        <v>67</v>
      </c>
      <c r="D1726" s="6">
        <v>6.1</v>
      </c>
      <c r="E1726" s="6">
        <f>INT(Table2[[#This Row],[Transect]])</f>
        <v>6</v>
      </c>
      <c r="F1726" s="1" t="s">
        <v>10</v>
      </c>
      <c r="G1726">
        <v>7</v>
      </c>
      <c r="H1726">
        <f t="shared" si="11"/>
        <v>200</v>
      </c>
      <c r="I1726">
        <v>100</v>
      </c>
      <c r="J1726">
        <f>Table2[[#This Row],[Hits]]/Table2[[#This Row],[Points]]*100</f>
        <v>3.5000000000000004</v>
      </c>
      <c r="K1726">
        <f>VLOOKUP(Table2[[#This Row],[Site]],'Site Info'!$A$1:$C$11,2, FALSE)</f>
        <v>17.7</v>
      </c>
      <c r="L1726">
        <f>VLOOKUP(Table2[[#This Row],[Site]],'Site Info'!$A$1:$C$11,3, FALSE)</f>
        <v>10</v>
      </c>
      <c r="M1726" t="str">
        <f>VLOOKUP(Table2[[#This Row],[Species]],'Species Table'!$A$1:$D$68,3, FALSE)</f>
        <v>Annual</v>
      </c>
      <c r="N1726" s="8"/>
      <c r="O1726" s="15">
        <f>IF(SUMPRODUCT(($A$2:$A1726=A1726)*($B$2:$B1726=B1726)*($F$2:$F1726=F1726))&gt;1,0,1)</f>
        <v>0</v>
      </c>
      <c r="P1726" s="15">
        <f>IF(SUMPRODUCT(($A$2:$A1726=A1726)*($B$2:$B1726=B1726)*($D$2:$D1726=D1726))&gt;1,0,1)</f>
        <v>1</v>
      </c>
    </row>
    <row r="1727" spans="1:16" hidden="1" x14ac:dyDescent="0.35">
      <c r="A1727" t="s">
        <v>9</v>
      </c>
      <c r="B1727">
        <v>2017</v>
      </c>
      <c r="C1727" s="1" t="s">
        <v>88</v>
      </c>
      <c r="D1727" s="6">
        <v>6.2</v>
      </c>
      <c r="E1727" s="6">
        <f>INT(Table2[[#This Row],[Transect]])</f>
        <v>6</v>
      </c>
      <c r="F1727" s="1" t="s">
        <v>10</v>
      </c>
      <c r="G1727">
        <v>1</v>
      </c>
      <c r="H1727">
        <f t="shared" si="11"/>
        <v>200</v>
      </c>
      <c r="I1727">
        <v>100</v>
      </c>
      <c r="J1727">
        <f>Table2[[#This Row],[Hits]]/Table2[[#This Row],[Points]]*100</f>
        <v>0.5</v>
      </c>
      <c r="K1727">
        <f>VLOOKUP(Table2[[#This Row],[Site]],'Site Info'!$A$1:$C$11,2, FALSE)</f>
        <v>17.7</v>
      </c>
      <c r="L1727">
        <f>VLOOKUP(Table2[[#This Row],[Site]],'Site Info'!$A$1:$C$11,3, FALSE)</f>
        <v>10</v>
      </c>
      <c r="M1727" t="str">
        <f>VLOOKUP(Table2[[#This Row],[Species]],'Species Table'!$A$1:$D$68,3, FALSE)</f>
        <v>Annual</v>
      </c>
      <c r="N1727" s="8"/>
      <c r="O1727" s="15">
        <f>IF(SUMPRODUCT(($A$2:$A1727=A1727)*($B$2:$B1727=B1727)*($F$2:$F1727=F1727))&gt;1,0,1)</f>
        <v>0</v>
      </c>
      <c r="P1727" s="15">
        <f>IF(SUMPRODUCT(($A$2:$A1727=A1727)*($B$2:$B1727=B1727)*($D$2:$D1727=D1727))&gt;1,0,1)</f>
        <v>1</v>
      </c>
    </row>
    <row r="1728" spans="1:16" x14ac:dyDescent="0.35">
      <c r="A1728" t="s">
        <v>9</v>
      </c>
      <c r="B1728">
        <v>2017</v>
      </c>
      <c r="C1728" s="1" t="s">
        <v>88</v>
      </c>
      <c r="D1728" s="6">
        <v>6.2</v>
      </c>
      <c r="E1728" s="6">
        <f>INT(Table2[[#This Row],[Transect]])</f>
        <v>6</v>
      </c>
      <c r="F1728" s="1" t="s">
        <v>6</v>
      </c>
      <c r="G1728">
        <v>1</v>
      </c>
      <c r="H1728">
        <f t="shared" si="11"/>
        <v>200</v>
      </c>
      <c r="I1728">
        <v>100</v>
      </c>
      <c r="J1728">
        <f>Table2[[#This Row],[Hits]]/Table2[[#This Row],[Points]]*100</f>
        <v>0.5</v>
      </c>
      <c r="K1728">
        <f>VLOOKUP(Table2[[#This Row],[Site]],'Site Info'!$A$1:$C$11,2, FALSE)</f>
        <v>17.7</v>
      </c>
      <c r="L1728">
        <f>VLOOKUP(Table2[[#This Row],[Site]],'Site Info'!$A$1:$C$11,3, FALSE)</f>
        <v>10</v>
      </c>
      <c r="M1728" t="str">
        <f>VLOOKUP(Table2[[#This Row],[Species]],'Species Table'!$A$1:$D$68,3, FALSE)</f>
        <v>Perennial</v>
      </c>
      <c r="N1728" s="8"/>
      <c r="O1728" s="15">
        <f>IF(SUMPRODUCT(($A$2:$A1728=A1728)*($B$2:$B1728=B1728)*($F$2:$F1728=F1728))&gt;1,0,1)</f>
        <v>0</v>
      </c>
      <c r="P1728" s="15">
        <f>IF(SUMPRODUCT(($A$2:$A1728=A1728)*($B$2:$B1728=B1728)*($D$2:$D1728=D1728))&gt;1,0,1)</f>
        <v>0</v>
      </c>
    </row>
    <row r="1729" spans="1:16" hidden="1" x14ac:dyDescent="0.35">
      <c r="A1729" t="s">
        <v>9</v>
      </c>
      <c r="B1729">
        <v>2017</v>
      </c>
      <c r="C1729" s="1" t="s">
        <v>68</v>
      </c>
      <c r="D1729" s="6">
        <v>6.3</v>
      </c>
      <c r="E1729" s="6">
        <f>INT(Table2[[#This Row],[Transect]])</f>
        <v>6</v>
      </c>
      <c r="F1729" s="1" t="s">
        <v>10</v>
      </c>
      <c r="G1729">
        <v>1</v>
      </c>
      <c r="H1729">
        <f t="shared" si="11"/>
        <v>200</v>
      </c>
      <c r="I1729">
        <v>100</v>
      </c>
      <c r="J1729">
        <f>Table2[[#This Row],[Hits]]/Table2[[#This Row],[Points]]*100</f>
        <v>0.5</v>
      </c>
      <c r="K1729">
        <f>VLOOKUP(Table2[[#This Row],[Site]],'Site Info'!$A$1:$C$11,2, FALSE)</f>
        <v>17.7</v>
      </c>
      <c r="L1729">
        <f>VLOOKUP(Table2[[#This Row],[Site]],'Site Info'!$A$1:$C$11,3, FALSE)</f>
        <v>10</v>
      </c>
      <c r="M1729" t="str">
        <f>VLOOKUP(Table2[[#This Row],[Species]],'Species Table'!$A$1:$D$68,3, FALSE)</f>
        <v>Annual</v>
      </c>
      <c r="N1729" s="8"/>
      <c r="O1729" s="15">
        <f>IF(SUMPRODUCT(($A$2:$A1729=A1729)*($B$2:$B1729=B1729)*($F$2:$F1729=F1729))&gt;1,0,1)</f>
        <v>0</v>
      </c>
      <c r="P1729" s="15">
        <f>IF(SUMPRODUCT(($A$2:$A1729=A1729)*($B$2:$B1729=B1729)*($D$2:$D1729=D1729))&gt;1,0,1)</f>
        <v>1</v>
      </c>
    </row>
    <row r="1730" spans="1:16" x14ac:dyDescent="0.35">
      <c r="A1730" t="s">
        <v>9</v>
      </c>
      <c r="B1730">
        <v>2017</v>
      </c>
      <c r="C1730" s="1" t="s">
        <v>68</v>
      </c>
      <c r="D1730" s="6">
        <v>6.3</v>
      </c>
      <c r="E1730" s="6">
        <f>INT(Table2[[#This Row],[Transect]])</f>
        <v>6</v>
      </c>
      <c r="F1730" s="1" t="s">
        <v>11</v>
      </c>
      <c r="G1730">
        <v>4</v>
      </c>
      <c r="H1730">
        <f t="shared" si="11"/>
        <v>200</v>
      </c>
      <c r="I1730">
        <v>100</v>
      </c>
      <c r="J1730">
        <f>Table2[[#This Row],[Hits]]/Table2[[#This Row],[Points]]*100</f>
        <v>2</v>
      </c>
      <c r="K1730">
        <f>VLOOKUP(Table2[[#This Row],[Site]],'Site Info'!$A$1:$C$11,2, FALSE)</f>
        <v>17.7</v>
      </c>
      <c r="L1730">
        <f>VLOOKUP(Table2[[#This Row],[Site]],'Site Info'!$A$1:$C$11,3, FALSE)</f>
        <v>10</v>
      </c>
      <c r="M1730" t="str">
        <f>VLOOKUP(Table2[[#This Row],[Species]],'Species Table'!$A$1:$D$68,3, FALSE)</f>
        <v>Perennial</v>
      </c>
      <c r="N1730" s="8"/>
      <c r="O1730" s="15">
        <f>IF(SUMPRODUCT(($A$2:$A1730=A1730)*($B$2:$B1730=B1730)*($F$2:$F1730=F1730))&gt;1,0,1)</f>
        <v>0</v>
      </c>
      <c r="P1730" s="15">
        <f>IF(SUMPRODUCT(($A$2:$A1730=A1730)*($B$2:$B1730=B1730)*($D$2:$D1730=D1730))&gt;1,0,1)</f>
        <v>0</v>
      </c>
    </row>
    <row r="1731" spans="1:16" x14ac:dyDescent="0.35">
      <c r="A1731" t="s">
        <v>9</v>
      </c>
      <c r="B1731">
        <v>2017</v>
      </c>
      <c r="C1731" s="1" t="s">
        <v>68</v>
      </c>
      <c r="D1731" s="6">
        <v>6.3</v>
      </c>
      <c r="E1731" s="6">
        <f>INT(Table2[[#This Row],[Transect]])</f>
        <v>6</v>
      </c>
      <c r="F1731" s="1" t="s">
        <v>6</v>
      </c>
      <c r="G1731">
        <v>1</v>
      </c>
      <c r="H1731">
        <f t="shared" si="11"/>
        <v>200</v>
      </c>
      <c r="I1731">
        <v>100</v>
      </c>
      <c r="J1731">
        <f>Table2[[#This Row],[Hits]]/Table2[[#This Row],[Points]]*100</f>
        <v>0.5</v>
      </c>
      <c r="K1731">
        <f>VLOOKUP(Table2[[#This Row],[Site]],'Site Info'!$A$1:$C$11,2, FALSE)</f>
        <v>17.7</v>
      </c>
      <c r="L1731">
        <f>VLOOKUP(Table2[[#This Row],[Site]],'Site Info'!$A$1:$C$11,3, FALSE)</f>
        <v>10</v>
      </c>
      <c r="M1731" t="str">
        <f>VLOOKUP(Table2[[#This Row],[Species]],'Species Table'!$A$1:$D$68,3, FALSE)</f>
        <v>Perennial</v>
      </c>
      <c r="N1731" s="8"/>
      <c r="O1731" s="15">
        <f>IF(SUMPRODUCT(($A$2:$A1731=A1731)*($B$2:$B1731=B1731)*($F$2:$F1731=F1731))&gt;1,0,1)</f>
        <v>0</v>
      </c>
      <c r="P1731" s="15">
        <f>IF(SUMPRODUCT(($A$2:$A1731=A1731)*($B$2:$B1731=B1731)*($D$2:$D1731=D1731))&gt;1,0,1)</f>
        <v>0</v>
      </c>
    </row>
    <row r="1732" spans="1:16" hidden="1" x14ac:dyDescent="0.35">
      <c r="A1732" t="s">
        <v>9</v>
      </c>
      <c r="B1732">
        <v>2017</v>
      </c>
      <c r="C1732" s="1" t="s">
        <v>89</v>
      </c>
      <c r="D1732" s="6">
        <v>6.4</v>
      </c>
      <c r="E1732" s="6">
        <f>INT(Table2[[#This Row],[Transect]])</f>
        <v>6</v>
      </c>
      <c r="F1732" s="1" t="s">
        <v>10</v>
      </c>
      <c r="G1732">
        <v>3</v>
      </c>
      <c r="H1732">
        <f t="shared" si="11"/>
        <v>200</v>
      </c>
      <c r="I1732">
        <v>100</v>
      </c>
      <c r="J1732">
        <f>Table2[[#This Row],[Hits]]/Table2[[#This Row],[Points]]*100</f>
        <v>1.5</v>
      </c>
      <c r="K1732">
        <f>VLOOKUP(Table2[[#This Row],[Site]],'Site Info'!$A$1:$C$11,2, FALSE)</f>
        <v>17.7</v>
      </c>
      <c r="L1732">
        <f>VLOOKUP(Table2[[#This Row],[Site]],'Site Info'!$A$1:$C$11,3, FALSE)</f>
        <v>10</v>
      </c>
      <c r="M1732" t="str">
        <f>VLOOKUP(Table2[[#This Row],[Species]],'Species Table'!$A$1:$D$68,3, FALSE)</f>
        <v>Annual</v>
      </c>
      <c r="N1732" s="8"/>
      <c r="O1732" s="15">
        <f>IF(SUMPRODUCT(($A$2:$A1732=A1732)*($B$2:$B1732=B1732)*($F$2:$F1732=F1732))&gt;1,0,1)</f>
        <v>0</v>
      </c>
      <c r="P1732" s="15">
        <f>IF(SUMPRODUCT(($A$2:$A1732=A1732)*($B$2:$B1732=B1732)*($D$2:$D1732=D1732))&gt;1,0,1)</f>
        <v>1</v>
      </c>
    </row>
    <row r="1733" spans="1:16" x14ac:dyDescent="0.35">
      <c r="A1733" t="s">
        <v>9</v>
      </c>
      <c r="B1733">
        <v>2017</v>
      </c>
      <c r="C1733" s="1" t="s">
        <v>89</v>
      </c>
      <c r="D1733" s="6">
        <v>6.4</v>
      </c>
      <c r="E1733" s="6">
        <f>INT(Table2[[#This Row],[Transect]])</f>
        <v>6</v>
      </c>
      <c r="F1733" s="1" t="s">
        <v>11</v>
      </c>
      <c r="G1733">
        <v>2</v>
      </c>
      <c r="H1733">
        <f t="shared" si="11"/>
        <v>200</v>
      </c>
      <c r="I1733">
        <v>100</v>
      </c>
      <c r="J1733">
        <f>Table2[[#This Row],[Hits]]/Table2[[#This Row],[Points]]*100</f>
        <v>1</v>
      </c>
      <c r="K1733">
        <f>VLOOKUP(Table2[[#This Row],[Site]],'Site Info'!$A$1:$C$11,2, FALSE)</f>
        <v>17.7</v>
      </c>
      <c r="L1733">
        <f>VLOOKUP(Table2[[#This Row],[Site]],'Site Info'!$A$1:$C$11,3, FALSE)</f>
        <v>10</v>
      </c>
      <c r="M1733" t="str">
        <f>VLOOKUP(Table2[[#This Row],[Species]],'Species Table'!$A$1:$D$68,3, FALSE)</f>
        <v>Perennial</v>
      </c>
      <c r="N1733" s="8"/>
      <c r="O1733" s="15">
        <f>IF(SUMPRODUCT(($A$2:$A1733=A1733)*($B$2:$B1733=B1733)*($F$2:$F1733=F1733))&gt;1,0,1)</f>
        <v>0</v>
      </c>
      <c r="P1733" s="15">
        <f>IF(SUMPRODUCT(($A$2:$A1733=A1733)*($B$2:$B1733=B1733)*($D$2:$D1733=D1733))&gt;1,0,1)</f>
        <v>0</v>
      </c>
    </row>
    <row r="1734" spans="1:16" hidden="1" x14ac:dyDescent="0.35">
      <c r="A1734" t="s">
        <v>9</v>
      </c>
      <c r="B1734">
        <v>2017</v>
      </c>
      <c r="C1734" s="1" t="s">
        <v>69</v>
      </c>
      <c r="D1734" s="6">
        <v>6.5</v>
      </c>
      <c r="E1734" s="6">
        <f>INT(Table2[[#This Row],[Transect]])</f>
        <v>6</v>
      </c>
      <c r="F1734" s="1" t="s">
        <v>10</v>
      </c>
      <c r="G1734">
        <v>1</v>
      </c>
      <c r="H1734">
        <f t="shared" si="11"/>
        <v>200</v>
      </c>
      <c r="I1734">
        <v>100</v>
      </c>
      <c r="J1734">
        <f>Table2[[#This Row],[Hits]]/Table2[[#This Row],[Points]]*100</f>
        <v>0.5</v>
      </c>
      <c r="K1734">
        <f>VLOOKUP(Table2[[#This Row],[Site]],'Site Info'!$A$1:$C$11,2, FALSE)</f>
        <v>17.7</v>
      </c>
      <c r="L1734">
        <f>VLOOKUP(Table2[[#This Row],[Site]],'Site Info'!$A$1:$C$11,3, FALSE)</f>
        <v>10</v>
      </c>
      <c r="M1734" t="str">
        <f>VLOOKUP(Table2[[#This Row],[Species]],'Species Table'!$A$1:$D$68,3, FALSE)</f>
        <v>Annual</v>
      </c>
      <c r="N1734" s="8"/>
      <c r="O1734" s="15">
        <f>IF(SUMPRODUCT(($A$2:$A1734=A1734)*($B$2:$B1734=B1734)*($F$2:$F1734=F1734))&gt;1,0,1)</f>
        <v>0</v>
      </c>
      <c r="P1734" s="15">
        <f>IF(SUMPRODUCT(($A$2:$A1734=A1734)*($B$2:$B1734=B1734)*($D$2:$D1734=D1734))&gt;1,0,1)</f>
        <v>1</v>
      </c>
    </row>
    <row r="1735" spans="1:16" x14ac:dyDescent="0.35">
      <c r="A1735" t="s">
        <v>9</v>
      </c>
      <c r="B1735">
        <v>2017</v>
      </c>
      <c r="C1735" s="1" t="s">
        <v>69</v>
      </c>
      <c r="D1735" s="6">
        <v>6.5</v>
      </c>
      <c r="E1735" s="6">
        <f>INT(Table2[[#This Row],[Transect]])</f>
        <v>6</v>
      </c>
      <c r="F1735" s="1" t="s">
        <v>11</v>
      </c>
      <c r="G1735">
        <v>9</v>
      </c>
      <c r="H1735">
        <f t="shared" si="11"/>
        <v>200</v>
      </c>
      <c r="I1735">
        <v>100</v>
      </c>
      <c r="J1735">
        <f>Table2[[#This Row],[Hits]]/Table2[[#This Row],[Points]]*100</f>
        <v>4.5</v>
      </c>
      <c r="K1735">
        <f>VLOOKUP(Table2[[#This Row],[Site]],'Site Info'!$A$1:$C$11,2, FALSE)</f>
        <v>17.7</v>
      </c>
      <c r="L1735">
        <f>VLOOKUP(Table2[[#This Row],[Site]],'Site Info'!$A$1:$C$11,3, FALSE)</f>
        <v>10</v>
      </c>
      <c r="M1735" t="str">
        <f>VLOOKUP(Table2[[#This Row],[Species]],'Species Table'!$A$1:$D$68,3, FALSE)</f>
        <v>Perennial</v>
      </c>
      <c r="N1735" s="8"/>
      <c r="O1735" s="15">
        <f>IF(SUMPRODUCT(($A$2:$A1735=A1735)*($B$2:$B1735=B1735)*($F$2:$F1735=F1735))&gt;1,0,1)</f>
        <v>0</v>
      </c>
      <c r="P1735" s="15">
        <f>IF(SUMPRODUCT(($A$2:$A1735=A1735)*($B$2:$B1735=B1735)*($D$2:$D1735=D1735))&gt;1,0,1)</f>
        <v>0</v>
      </c>
    </row>
    <row r="1736" spans="1:16" x14ac:dyDescent="0.35">
      <c r="A1736" t="s">
        <v>9</v>
      </c>
      <c r="B1736">
        <v>2017</v>
      </c>
      <c r="C1736" s="1" t="s">
        <v>69</v>
      </c>
      <c r="D1736" s="6">
        <v>6.5</v>
      </c>
      <c r="E1736" s="6">
        <f>INT(Table2[[#This Row],[Transect]])</f>
        <v>6</v>
      </c>
      <c r="F1736" s="1" t="s">
        <v>6</v>
      </c>
      <c r="G1736">
        <v>1</v>
      </c>
      <c r="H1736">
        <f t="shared" si="11"/>
        <v>200</v>
      </c>
      <c r="I1736">
        <v>100</v>
      </c>
      <c r="J1736">
        <f>Table2[[#This Row],[Hits]]/Table2[[#This Row],[Points]]*100</f>
        <v>0.5</v>
      </c>
      <c r="K1736">
        <f>VLOOKUP(Table2[[#This Row],[Site]],'Site Info'!$A$1:$C$11,2, FALSE)</f>
        <v>17.7</v>
      </c>
      <c r="L1736">
        <f>VLOOKUP(Table2[[#This Row],[Site]],'Site Info'!$A$1:$C$11,3, FALSE)</f>
        <v>10</v>
      </c>
      <c r="M1736" t="str">
        <f>VLOOKUP(Table2[[#This Row],[Species]],'Species Table'!$A$1:$D$68,3, FALSE)</f>
        <v>Perennial</v>
      </c>
      <c r="N1736" s="8"/>
      <c r="O1736" s="15">
        <f>IF(SUMPRODUCT(($A$2:$A1736=A1736)*($B$2:$B1736=B1736)*($F$2:$F1736=F1736))&gt;1,0,1)</f>
        <v>0</v>
      </c>
      <c r="P1736" s="15">
        <f>IF(SUMPRODUCT(($A$2:$A1736=A1736)*($B$2:$B1736=B1736)*($D$2:$D1736=D1736))&gt;1,0,1)</f>
        <v>0</v>
      </c>
    </row>
    <row r="1737" spans="1:16" hidden="1" x14ac:dyDescent="0.35">
      <c r="A1737" t="s">
        <v>9</v>
      </c>
      <c r="B1737">
        <v>2017</v>
      </c>
      <c r="C1737" s="1" t="s">
        <v>129</v>
      </c>
      <c r="D1737" s="6">
        <v>6.6</v>
      </c>
      <c r="E1737" s="6">
        <f>INT(Table2[[#This Row],[Transect]])</f>
        <v>6</v>
      </c>
      <c r="F1737" s="1" t="s">
        <v>10</v>
      </c>
      <c r="G1737">
        <v>3</v>
      </c>
      <c r="H1737">
        <f t="shared" si="11"/>
        <v>200</v>
      </c>
      <c r="I1737">
        <v>100</v>
      </c>
      <c r="J1737">
        <f>Table2[[#This Row],[Hits]]/Table2[[#This Row],[Points]]*100</f>
        <v>1.5</v>
      </c>
      <c r="K1737">
        <f>VLOOKUP(Table2[[#This Row],[Site]],'Site Info'!$A$1:$C$11,2, FALSE)</f>
        <v>17.7</v>
      </c>
      <c r="L1737">
        <f>VLOOKUP(Table2[[#This Row],[Site]],'Site Info'!$A$1:$C$11,3, FALSE)</f>
        <v>10</v>
      </c>
      <c r="M1737" t="str">
        <f>VLOOKUP(Table2[[#This Row],[Species]],'Species Table'!$A$1:$D$68,3, FALSE)</f>
        <v>Annual</v>
      </c>
      <c r="N1737" s="8"/>
      <c r="O1737" s="15">
        <f>IF(SUMPRODUCT(($A$2:$A1737=A1737)*($B$2:$B1737=B1737)*($F$2:$F1737=F1737))&gt;1,0,1)</f>
        <v>0</v>
      </c>
      <c r="P1737" s="15">
        <f>IF(SUMPRODUCT(($A$2:$A1737=A1737)*($B$2:$B1737=B1737)*($D$2:$D1737=D1737))&gt;1,0,1)</f>
        <v>1</v>
      </c>
    </row>
    <row r="1738" spans="1:16" x14ac:dyDescent="0.35">
      <c r="A1738" t="s">
        <v>9</v>
      </c>
      <c r="B1738">
        <v>2017</v>
      </c>
      <c r="C1738" s="1" t="s">
        <v>129</v>
      </c>
      <c r="D1738" s="6">
        <v>6.6</v>
      </c>
      <c r="E1738" s="6">
        <f>INT(Table2[[#This Row],[Transect]])</f>
        <v>6</v>
      </c>
      <c r="F1738" s="1" t="s">
        <v>12</v>
      </c>
      <c r="G1738">
        <v>1</v>
      </c>
      <c r="H1738">
        <f t="shared" si="11"/>
        <v>200</v>
      </c>
      <c r="I1738">
        <v>100</v>
      </c>
      <c r="J1738">
        <f>Table2[[#This Row],[Hits]]/Table2[[#This Row],[Points]]*100</f>
        <v>0.5</v>
      </c>
      <c r="K1738">
        <f>VLOOKUP(Table2[[#This Row],[Site]],'Site Info'!$A$1:$C$11,2, FALSE)</f>
        <v>17.7</v>
      </c>
      <c r="L1738">
        <f>VLOOKUP(Table2[[#This Row],[Site]],'Site Info'!$A$1:$C$11,3, FALSE)</f>
        <v>10</v>
      </c>
      <c r="M1738" t="str">
        <f>VLOOKUP(Table2[[#This Row],[Species]],'Species Table'!$A$1:$D$68,3, FALSE)</f>
        <v>Perennial</v>
      </c>
      <c r="N1738" s="8"/>
      <c r="O1738" s="15">
        <f>IF(SUMPRODUCT(($A$2:$A1738=A1738)*($B$2:$B1738=B1738)*($F$2:$F1738=F1738))&gt;1,0,1)</f>
        <v>0</v>
      </c>
      <c r="P1738" s="15">
        <f>IF(SUMPRODUCT(($A$2:$A1738=A1738)*($B$2:$B1738=B1738)*($D$2:$D1738=D1738))&gt;1,0,1)</f>
        <v>0</v>
      </c>
    </row>
    <row r="1739" spans="1:16" x14ac:dyDescent="0.35">
      <c r="A1739" t="s">
        <v>9</v>
      </c>
      <c r="B1739">
        <v>2017</v>
      </c>
      <c r="C1739" s="1" t="s">
        <v>129</v>
      </c>
      <c r="D1739" s="6">
        <v>6.6</v>
      </c>
      <c r="E1739" s="6">
        <f>INT(Table2[[#This Row],[Transect]])</f>
        <v>6</v>
      </c>
      <c r="F1739" s="1" t="s">
        <v>11</v>
      </c>
      <c r="G1739">
        <v>2</v>
      </c>
      <c r="H1739">
        <f t="shared" si="11"/>
        <v>200</v>
      </c>
      <c r="I1739">
        <v>100</v>
      </c>
      <c r="J1739">
        <f>Table2[[#This Row],[Hits]]/Table2[[#This Row],[Points]]*100</f>
        <v>1</v>
      </c>
      <c r="K1739">
        <f>VLOOKUP(Table2[[#This Row],[Site]],'Site Info'!$A$1:$C$11,2, FALSE)</f>
        <v>17.7</v>
      </c>
      <c r="L1739">
        <f>VLOOKUP(Table2[[#This Row],[Site]],'Site Info'!$A$1:$C$11,3, FALSE)</f>
        <v>10</v>
      </c>
      <c r="M1739" t="str">
        <f>VLOOKUP(Table2[[#This Row],[Species]],'Species Table'!$A$1:$D$68,3, FALSE)</f>
        <v>Perennial</v>
      </c>
      <c r="N1739" s="8"/>
      <c r="O1739" s="15">
        <f>IF(SUMPRODUCT(($A$2:$A1739=A1739)*($B$2:$B1739=B1739)*($F$2:$F1739=F1739))&gt;1,0,1)</f>
        <v>0</v>
      </c>
      <c r="P1739" s="15">
        <f>IF(SUMPRODUCT(($A$2:$A1739=A1739)*($B$2:$B1739=B1739)*($D$2:$D1739=D1739))&gt;1,0,1)</f>
        <v>0</v>
      </c>
    </row>
    <row r="1740" spans="1:16" hidden="1" x14ac:dyDescent="0.35">
      <c r="A1740" t="s">
        <v>9</v>
      </c>
      <c r="B1740">
        <v>2017</v>
      </c>
      <c r="C1740" s="1" t="s">
        <v>70</v>
      </c>
      <c r="D1740" s="6">
        <v>6.7</v>
      </c>
      <c r="E1740" s="6">
        <f>INT(Table2[[#This Row],[Transect]])</f>
        <v>6</v>
      </c>
      <c r="F1740" s="1" t="s">
        <v>10</v>
      </c>
      <c r="G1740">
        <v>14</v>
      </c>
      <c r="H1740">
        <f t="shared" si="11"/>
        <v>200</v>
      </c>
      <c r="I1740">
        <v>100</v>
      </c>
      <c r="J1740">
        <f>Table2[[#This Row],[Hits]]/Table2[[#This Row],[Points]]*100</f>
        <v>7.0000000000000009</v>
      </c>
      <c r="K1740">
        <f>VLOOKUP(Table2[[#This Row],[Site]],'Site Info'!$A$1:$C$11,2, FALSE)</f>
        <v>17.7</v>
      </c>
      <c r="L1740">
        <f>VLOOKUP(Table2[[#This Row],[Site]],'Site Info'!$A$1:$C$11,3, FALSE)</f>
        <v>10</v>
      </c>
      <c r="M1740" t="str">
        <f>VLOOKUP(Table2[[#This Row],[Species]],'Species Table'!$A$1:$D$68,3, FALSE)</f>
        <v>Annual</v>
      </c>
      <c r="N1740" s="8"/>
      <c r="O1740" s="15">
        <f>IF(SUMPRODUCT(($A$2:$A1740=A1740)*($B$2:$B1740=B1740)*($F$2:$F1740=F1740))&gt;1,0,1)</f>
        <v>0</v>
      </c>
      <c r="P1740" s="15">
        <f>IF(SUMPRODUCT(($A$2:$A1740=A1740)*($B$2:$B1740=B1740)*($D$2:$D1740=D1740))&gt;1,0,1)</f>
        <v>1</v>
      </c>
    </row>
    <row r="1741" spans="1:16" x14ac:dyDescent="0.35">
      <c r="A1741" t="s">
        <v>9</v>
      </c>
      <c r="B1741">
        <v>2017</v>
      </c>
      <c r="C1741" s="1" t="s">
        <v>70</v>
      </c>
      <c r="D1741" s="6">
        <v>6.7</v>
      </c>
      <c r="E1741" s="6">
        <f>INT(Table2[[#This Row],[Transect]])</f>
        <v>6</v>
      </c>
      <c r="F1741" s="1" t="s">
        <v>11</v>
      </c>
      <c r="G1741">
        <v>7</v>
      </c>
      <c r="H1741">
        <f t="shared" si="11"/>
        <v>200</v>
      </c>
      <c r="I1741">
        <v>100</v>
      </c>
      <c r="J1741">
        <f>Table2[[#This Row],[Hits]]/Table2[[#This Row],[Points]]*100</f>
        <v>3.5000000000000004</v>
      </c>
      <c r="K1741">
        <f>VLOOKUP(Table2[[#This Row],[Site]],'Site Info'!$A$1:$C$11,2, FALSE)</f>
        <v>17.7</v>
      </c>
      <c r="L1741">
        <f>VLOOKUP(Table2[[#This Row],[Site]],'Site Info'!$A$1:$C$11,3, FALSE)</f>
        <v>10</v>
      </c>
      <c r="M1741" t="str">
        <f>VLOOKUP(Table2[[#This Row],[Species]],'Species Table'!$A$1:$D$68,3, FALSE)</f>
        <v>Perennial</v>
      </c>
      <c r="N1741" s="8"/>
      <c r="O1741" s="15">
        <f>IF(SUMPRODUCT(($A$2:$A1741=A1741)*($B$2:$B1741=B1741)*($F$2:$F1741=F1741))&gt;1,0,1)</f>
        <v>0</v>
      </c>
      <c r="P1741" s="15">
        <f>IF(SUMPRODUCT(($A$2:$A1741=A1741)*($B$2:$B1741=B1741)*($D$2:$D1741=D1741))&gt;1,0,1)</f>
        <v>0</v>
      </c>
    </row>
    <row r="1742" spans="1:16" x14ac:dyDescent="0.35">
      <c r="A1742" t="s">
        <v>9</v>
      </c>
      <c r="B1742">
        <v>2017</v>
      </c>
      <c r="C1742" s="1" t="s">
        <v>70</v>
      </c>
      <c r="D1742" s="6">
        <v>6.7</v>
      </c>
      <c r="E1742" s="6">
        <f>INT(Table2[[#This Row],[Transect]])</f>
        <v>6</v>
      </c>
      <c r="F1742" s="1" t="s">
        <v>3</v>
      </c>
      <c r="G1742">
        <v>4</v>
      </c>
      <c r="H1742">
        <f t="shared" si="11"/>
        <v>200</v>
      </c>
      <c r="I1742">
        <v>100</v>
      </c>
      <c r="J1742">
        <f>Table2[[#This Row],[Hits]]/Table2[[#This Row],[Points]]*100</f>
        <v>2</v>
      </c>
      <c r="K1742">
        <f>VLOOKUP(Table2[[#This Row],[Site]],'Site Info'!$A$1:$C$11,2, FALSE)</f>
        <v>17.7</v>
      </c>
      <c r="L1742">
        <f>VLOOKUP(Table2[[#This Row],[Site]],'Site Info'!$A$1:$C$11,3, FALSE)</f>
        <v>10</v>
      </c>
      <c r="M1742" t="str">
        <f>VLOOKUP(Table2[[#This Row],[Species]],'Species Table'!$A$1:$D$68,3, FALSE)</f>
        <v>Perennial</v>
      </c>
      <c r="N1742" s="8"/>
      <c r="O1742" s="15">
        <f>IF(SUMPRODUCT(($A$2:$A1742=A1742)*($B$2:$B1742=B1742)*($F$2:$F1742=F1742))&gt;1,0,1)</f>
        <v>0</v>
      </c>
      <c r="P1742" s="15">
        <f>IF(SUMPRODUCT(($A$2:$A1742=A1742)*($B$2:$B1742=B1742)*($D$2:$D1742=D1742))&gt;1,0,1)</f>
        <v>0</v>
      </c>
    </row>
    <row r="1743" spans="1:16" x14ac:dyDescent="0.35">
      <c r="A1743" t="s">
        <v>9</v>
      </c>
      <c r="B1743">
        <v>2017</v>
      </c>
      <c r="C1743" s="1" t="s">
        <v>70</v>
      </c>
      <c r="D1743" s="6">
        <v>6.7</v>
      </c>
      <c r="E1743" s="6">
        <f>INT(Table2[[#This Row],[Transect]])</f>
        <v>6</v>
      </c>
      <c r="F1743" s="1" t="s">
        <v>214</v>
      </c>
      <c r="G1743">
        <v>1</v>
      </c>
      <c r="H1743">
        <f t="shared" ref="H1743:H1806" si="12">I1743*2</f>
        <v>200</v>
      </c>
      <c r="I1743">
        <v>100</v>
      </c>
      <c r="J1743">
        <f>Table2[[#This Row],[Hits]]/Table2[[#This Row],[Points]]*100</f>
        <v>0.5</v>
      </c>
      <c r="K1743">
        <f>VLOOKUP(Table2[[#This Row],[Site]],'Site Info'!$A$1:$C$11,2, FALSE)</f>
        <v>17.7</v>
      </c>
      <c r="L1743">
        <f>VLOOKUP(Table2[[#This Row],[Site]],'Site Info'!$A$1:$C$11,3, FALSE)</f>
        <v>10</v>
      </c>
      <c r="M1743" t="str">
        <f>VLOOKUP(Table2[[#This Row],[Species]],'Species Table'!$A$1:$D$68,3, FALSE)</f>
        <v>Perennial</v>
      </c>
      <c r="N1743" s="8"/>
      <c r="O1743" s="15">
        <f>IF(SUMPRODUCT(($A$2:$A1743=A1743)*($B$2:$B1743=B1743)*($F$2:$F1743=F1743))&gt;1,0,1)</f>
        <v>1</v>
      </c>
      <c r="P1743" s="15">
        <f>IF(SUMPRODUCT(($A$2:$A1743=A1743)*($B$2:$B1743=B1743)*($D$2:$D1743=D1743))&gt;1,0,1)</f>
        <v>0</v>
      </c>
    </row>
    <row r="1744" spans="1:16" hidden="1" x14ac:dyDescent="0.35">
      <c r="A1744" t="s">
        <v>9</v>
      </c>
      <c r="B1744">
        <v>2017</v>
      </c>
      <c r="C1744" s="1" t="s">
        <v>70</v>
      </c>
      <c r="D1744" s="6">
        <v>6.7</v>
      </c>
      <c r="E1744" s="6">
        <f>INT(Table2[[#This Row],[Transect]])</f>
        <v>6</v>
      </c>
      <c r="F1744" s="1" t="s">
        <v>135</v>
      </c>
      <c r="G1744">
        <v>1</v>
      </c>
      <c r="H1744">
        <f t="shared" si="12"/>
        <v>200</v>
      </c>
      <c r="I1744">
        <v>100</v>
      </c>
      <c r="J1744">
        <f>Table2[[#This Row],[Hits]]/Table2[[#This Row],[Points]]*100</f>
        <v>0.5</v>
      </c>
      <c r="K1744">
        <f>VLOOKUP(Table2[[#This Row],[Site]],'Site Info'!$A$1:$C$11,2, FALSE)</f>
        <v>17.7</v>
      </c>
      <c r="L1744">
        <f>VLOOKUP(Table2[[#This Row],[Site]],'Site Info'!$A$1:$C$11,3, FALSE)</f>
        <v>10</v>
      </c>
      <c r="M1744" t="str">
        <f>VLOOKUP(Table2[[#This Row],[Species]],'Species Table'!$A$1:$D$68,3, FALSE)</f>
        <v>Annual</v>
      </c>
      <c r="N1744" s="8"/>
      <c r="O1744" s="15">
        <f>IF(SUMPRODUCT(($A$2:$A1744=A1744)*($B$2:$B1744=B1744)*($F$2:$F1744=F1744))&gt;1,0,1)</f>
        <v>1</v>
      </c>
      <c r="P1744" s="15">
        <f>IF(SUMPRODUCT(($A$2:$A1744=A1744)*($B$2:$B1744=B1744)*($D$2:$D1744=D1744))&gt;1,0,1)</f>
        <v>0</v>
      </c>
    </row>
    <row r="1745" spans="1:16" hidden="1" x14ac:dyDescent="0.35">
      <c r="A1745" t="s">
        <v>9</v>
      </c>
      <c r="B1745">
        <v>2017</v>
      </c>
      <c r="C1745" s="1" t="s">
        <v>71</v>
      </c>
      <c r="D1745" s="6">
        <v>7.1</v>
      </c>
      <c r="E1745" s="6">
        <f>INT(Table2[[#This Row],[Transect]])</f>
        <v>7</v>
      </c>
      <c r="F1745" s="1" t="s">
        <v>10</v>
      </c>
      <c r="G1745">
        <v>3</v>
      </c>
      <c r="H1745">
        <f t="shared" si="12"/>
        <v>200</v>
      </c>
      <c r="I1745">
        <v>100</v>
      </c>
      <c r="J1745">
        <f>Table2[[#This Row],[Hits]]/Table2[[#This Row],[Points]]*100</f>
        <v>1.5</v>
      </c>
      <c r="K1745">
        <f>VLOOKUP(Table2[[#This Row],[Site]],'Site Info'!$A$1:$C$11,2, FALSE)</f>
        <v>17.7</v>
      </c>
      <c r="L1745">
        <f>VLOOKUP(Table2[[#This Row],[Site]],'Site Info'!$A$1:$C$11,3, FALSE)</f>
        <v>10</v>
      </c>
      <c r="M1745" t="str">
        <f>VLOOKUP(Table2[[#This Row],[Species]],'Species Table'!$A$1:$D$68,3, FALSE)</f>
        <v>Annual</v>
      </c>
      <c r="N1745" s="8"/>
      <c r="O1745" s="15">
        <f>IF(SUMPRODUCT(($A$2:$A1745=A1745)*($B$2:$B1745=B1745)*($F$2:$F1745=F1745))&gt;1,0,1)</f>
        <v>0</v>
      </c>
      <c r="P1745" s="15">
        <f>IF(SUMPRODUCT(($A$2:$A1745=A1745)*($B$2:$B1745=B1745)*($D$2:$D1745=D1745))&gt;1,0,1)</f>
        <v>1</v>
      </c>
    </row>
    <row r="1746" spans="1:16" hidden="1" x14ac:dyDescent="0.35">
      <c r="A1746" t="s">
        <v>9</v>
      </c>
      <c r="B1746">
        <v>2017</v>
      </c>
      <c r="C1746" s="1" t="s">
        <v>71</v>
      </c>
      <c r="D1746" s="6">
        <v>7.1</v>
      </c>
      <c r="E1746" s="6">
        <f>INT(Table2[[#This Row],[Transect]])</f>
        <v>7</v>
      </c>
      <c r="F1746" s="1" t="s">
        <v>210</v>
      </c>
      <c r="G1746">
        <v>4</v>
      </c>
      <c r="H1746">
        <f t="shared" si="12"/>
        <v>200</v>
      </c>
      <c r="I1746">
        <v>100</v>
      </c>
      <c r="J1746">
        <f>Table2[[#This Row],[Hits]]/Table2[[#This Row],[Points]]*100</f>
        <v>2</v>
      </c>
      <c r="K1746">
        <f>VLOOKUP(Table2[[#This Row],[Site]],'Site Info'!$A$1:$C$11,2, FALSE)</f>
        <v>17.7</v>
      </c>
      <c r="L1746">
        <f>VLOOKUP(Table2[[#This Row],[Site]],'Site Info'!$A$1:$C$11,3, FALSE)</f>
        <v>10</v>
      </c>
      <c r="M1746" t="str">
        <f>VLOOKUP(Table2[[#This Row],[Species]],'Species Table'!$A$1:$D$68,3, FALSE)</f>
        <v>Annual</v>
      </c>
      <c r="N1746" s="8"/>
      <c r="O1746" s="15">
        <f>IF(SUMPRODUCT(($A$2:$A1746=A1746)*($B$2:$B1746=B1746)*($F$2:$F1746=F1746))&gt;1,0,1)</f>
        <v>1</v>
      </c>
      <c r="P1746" s="15">
        <f>IF(SUMPRODUCT(($A$2:$A1746=A1746)*($B$2:$B1746=B1746)*($D$2:$D1746=D1746))&gt;1,0,1)</f>
        <v>0</v>
      </c>
    </row>
    <row r="1747" spans="1:16" hidden="1" x14ac:dyDescent="0.35">
      <c r="A1747" t="s">
        <v>9</v>
      </c>
      <c r="B1747">
        <v>2017</v>
      </c>
      <c r="C1747" s="1" t="s">
        <v>72</v>
      </c>
      <c r="D1747" s="6">
        <v>7.2</v>
      </c>
      <c r="E1747" s="6">
        <f>INT(Table2[[#This Row],[Transect]])</f>
        <v>7</v>
      </c>
      <c r="F1747" s="1" t="s">
        <v>10</v>
      </c>
      <c r="G1747">
        <v>2</v>
      </c>
      <c r="H1747">
        <f t="shared" si="12"/>
        <v>200</v>
      </c>
      <c r="I1747">
        <v>100</v>
      </c>
      <c r="J1747">
        <f>Table2[[#This Row],[Hits]]/Table2[[#This Row],[Points]]*100</f>
        <v>1</v>
      </c>
      <c r="K1747">
        <f>VLOOKUP(Table2[[#This Row],[Site]],'Site Info'!$A$1:$C$11,2, FALSE)</f>
        <v>17.7</v>
      </c>
      <c r="L1747">
        <f>VLOOKUP(Table2[[#This Row],[Site]],'Site Info'!$A$1:$C$11,3, FALSE)</f>
        <v>10</v>
      </c>
      <c r="M1747" t="str">
        <f>VLOOKUP(Table2[[#This Row],[Species]],'Species Table'!$A$1:$D$68,3, FALSE)</f>
        <v>Annual</v>
      </c>
      <c r="N1747" s="8"/>
      <c r="O1747" s="15">
        <f>IF(SUMPRODUCT(($A$2:$A1747=A1747)*($B$2:$B1747=B1747)*($F$2:$F1747=F1747))&gt;1,0,1)</f>
        <v>0</v>
      </c>
      <c r="P1747" s="15">
        <f>IF(SUMPRODUCT(($A$2:$A1747=A1747)*($B$2:$B1747=B1747)*($D$2:$D1747=D1747))&gt;1,0,1)</f>
        <v>1</v>
      </c>
    </row>
    <row r="1748" spans="1:16" hidden="1" x14ac:dyDescent="0.35">
      <c r="A1748" t="s">
        <v>9</v>
      </c>
      <c r="B1748">
        <v>2017</v>
      </c>
      <c r="C1748" s="1" t="s">
        <v>72</v>
      </c>
      <c r="D1748" s="6">
        <v>7.2</v>
      </c>
      <c r="E1748" s="6">
        <f>INT(Table2[[#This Row],[Transect]])</f>
        <v>7</v>
      </c>
      <c r="F1748" s="1" t="s">
        <v>210</v>
      </c>
      <c r="G1748">
        <v>1</v>
      </c>
      <c r="H1748">
        <f t="shared" si="12"/>
        <v>200</v>
      </c>
      <c r="I1748">
        <v>100</v>
      </c>
      <c r="J1748">
        <f>Table2[[#This Row],[Hits]]/Table2[[#This Row],[Points]]*100</f>
        <v>0.5</v>
      </c>
      <c r="K1748">
        <f>VLOOKUP(Table2[[#This Row],[Site]],'Site Info'!$A$1:$C$11,2, FALSE)</f>
        <v>17.7</v>
      </c>
      <c r="L1748">
        <f>VLOOKUP(Table2[[#This Row],[Site]],'Site Info'!$A$1:$C$11,3, FALSE)</f>
        <v>10</v>
      </c>
      <c r="M1748" t="str">
        <f>VLOOKUP(Table2[[#This Row],[Species]],'Species Table'!$A$1:$D$68,3, FALSE)</f>
        <v>Annual</v>
      </c>
      <c r="N1748" s="8"/>
      <c r="O1748" s="15">
        <f>IF(SUMPRODUCT(($A$2:$A1748=A1748)*($B$2:$B1748=B1748)*($F$2:$F1748=F1748))&gt;1,0,1)</f>
        <v>0</v>
      </c>
      <c r="P1748" s="15">
        <f>IF(SUMPRODUCT(($A$2:$A1748=A1748)*($B$2:$B1748=B1748)*($D$2:$D1748=D1748))&gt;1,0,1)</f>
        <v>0</v>
      </c>
    </row>
    <row r="1749" spans="1:16" hidden="1" x14ac:dyDescent="0.35">
      <c r="A1749" t="s">
        <v>9</v>
      </c>
      <c r="B1749">
        <v>2017</v>
      </c>
      <c r="C1749" s="1" t="s">
        <v>73</v>
      </c>
      <c r="D1749" s="6">
        <v>7.3</v>
      </c>
      <c r="E1749" s="6">
        <f>INT(Table2[[#This Row],[Transect]])</f>
        <v>7</v>
      </c>
      <c r="F1749" s="1" t="s">
        <v>10</v>
      </c>
      <c r="G1749">
        <v>4</v>
      </c>
      <c r="H1749">
        <f t="shared" si="12"/>
        <v>200</v>
      </c>
      <c r="I1749">
        <v>100</v>
      </c>
      <c r="J1749">
        <f>Table2[[#This Row],[Hits]]/Table2[[#This Row],[Points]]*100</f>
        <v>2</v>
      </c>
      <c r="K1749">
        <f>VLOOKUP(Table2[[#This Row],[Site]],'Site Info'!$A$1:$C$11,2, FALSE)</f>
        <v>17.7</v>
      </c>
      <c r="L1749">
        <f>VLOOKUP(Table2[[#This Row],[Site]],'Site Info'!$A$1:$C$11,3, FALSE)</f>
        <v>10</v>
      </c>
      <c r="M1749" t="str">
        <f>VLOOKUP(Table2[[#This Row],[Species]],'Species Table'!$A$1:$D$68,3, FALSE)</f>
        <v>Annual</v>
      </c>
      <c r="N1749" s="8"/>
      <c r="O1749" s="15">
        <f>IF(SUMPRODUCT(($A$2:$A1749=A1749)*($B$2:$B1749=B1749)*($F$2:$F1749=F1749))&gt;1,0,1)</f>
        <v>0</v>
      </c>
      <c r="P1749" s="15">
        <f>IF(SUMPRODUCT(($A$2:$A1749=A1749)*($B$2:$B1749=B1749)*($D$2:$D1749=D1749))&gt;1,0,1)</f>
        <v>1</v>
      </c>
    </row>
    <row r="1750" spans="1:16" hidden="1" x14ac:dyDescent="0.35">
      <c r="A1750" t="s">
        <v>9</v>
      </c>
      <c r="B1750">
        <v>2017</v>
      </c>
      <c r="C1750" s="1" t="s">
        <v>130</v>
      </c>
      <c r="D1750" s="6">
        <v>7.4</v>
      </c>
      <c r="E1750" s="6">
        <f>INT(Table2[[#This Row],[Transect]])</f>
        <v>7</v>
      </c>
      <c r="F1750" s="1" t="s">
        <v>10</v>
      </c>
      <c r="G1750">
        <v>4</v>
      </c>
      <c r="H1750">
        <f t="shared" si="12"/>
        <v>200</v>
      </c>
      <c r="I1750">
        <v>100</v>
      </c>
      <c r="J1750">
        <f>Table2[[#This Row],[Hits]]/Table2[[#This Row],[Points]]*100</f>
        <v>2</v>
      </c>
      <c r="K1750">
        <f>VLOOKUP(Table2[[#This Row],[Site]],'Site Info'!$A$1:$C$11,2, FALSE)</f>
        <v>17.7</v>
      </c>
      <c r="L1750">
        <f>VLOOKUP(Table2[[#This Row],[Site]],'Site Info'!$A$1:$C$11,3, FALSE)</f>
        <v>10</v>
      </c>
      <c r="M1750" t="str">
        <f>VLOOKUP(Table2[[#This Row],[Species]],'Species Table'!$A$1:$D$68,3, FALSE)</f>
        <v>Annual</v>
      </c>
      <c r="N1750" s="8"/>
      <c r="O1750" s="15">
        <f>IF(SUMPRODUCT(($A$2:$A1750=A1750)*($B$2:$B1750=B1750)*($F$2:$F1750=F1750))&gt;1,0,1)</f>
        <v>0</v>
      </c>
      <c r="P1750" s="15">
        <f>IF(SUMPRODUCT(($A$2:$A1750=A1750)*($B$2:$B1750=B1750)*($D$2:$D1750=D1750))&gt;1,0,1)</f>
        <v>1</v>
      </c>
    </row>
    <row r="1751" spans="1:16" hidden="1" x14ac:dyDescent="0.35">
      <c r="A1751" t="s">
        <v>9</v>
      </c>
      <c r="B1751">
        <v>2017</v>
      </c>
      <c r="C1751" s="1" t="s">
        <v>74</v>
      </c>
      <c r="D1751" s="6">
        <v>7.5</v>
      </c>
      <c r="E1751" s="6">
        <f>INT(Table2[[#This Row],[Transect]])</f>
        <v>7</v>
      </c>
      <c r="F1751" s="1" t="s">
        <v>10</v>
      </c>
      <c r="G1751">
        <v>1</v>
      </c>
      <c r="H1751">
        <f t="shared" si="12"/>
        <v>200</v>
      </c>
      <c r="I1751">
        <v>100</v>
      </c>
      <c r="J1751">
        <f>Table2[[#This Row],[Hits]]/Table2[[#This Row],[Points]]*100</f>
        <v>0.5</v>
      </c>
      <c r="K1751">
        <f>VLOOKUP(Table2[[#This Row],[Site]],'Site Info'!$A$1:$C$11,2, FALSE)</f>
        <v>17.7</v>
      </c>
      <c r="L1751">
        <f>VLOOKUP(Table2[[#This Row],[Site]],'Site Info'!$A$1:$C$11,3, FALSE)</f>
        <v>10</v>
      </c>
      <c r="M1751" t="str">
        <f>VLOOKUP(Table2[[#This Row],[Species]],'Species Table'!$A$1:$D$68,3, FALSE)</f>
        <v>Annual</v>
      </c>
      <c r="N1751" s="8"/>
      <c r="O1751" s="15">
        <f>IF(SUMPRODUCT(($A$2:$A1751=A1751)*($B$2:$B1751=B1751)*($F$2:$F1751=F1751))&gt;1,0,1)</f>
        <v>0</v>
      </c>
      <c r="P1751" s="15">
        <f>IF(SUMPRODUCT(($A$2:$A1751=A1751)*($B$2:$B1751=B1751)*($D$2:$D1751=D1751))&gt;1,0,1)</f>
        <v>1</v>
      </c>
    </row>
    <row r="1752" spans="1:16" x14ac:dyDescent="0.35">
      <c r="A1752" t="s">
        <v>9</v>
      </c>
      <c r="B1752">
        <v>2017</v>
      </c>
      <c r="C1752" s="1" t="s">
        <v>74</v>
      </c>
      <c r="D1752" s="6">
        <v>7.5</v>
      </c>
      <c r="E1752" s="6">
        <f>INT(Table2[[#This Row],[Transect]])</f>
        <v>7</v>
      </c>
      <c r="F1752" s="1" t="s">
        <v>31</v>
      </c>
      <c r="G1752">
        <v>3</v>
      </c>
      <c r="H1752">
        <f t="shared" si="12"/>
        <v>200</v>
      </c>
      <c r="I1752">
        <v>100</v>
      </c>
      <c r="J1752">
        <f>Table2[[#This Row],[Hits]]/Table2[[#This Row],[Points]]*100</f>
        <v>1.5</v>
      </c>
      <c r="K1752">
        <f>VLOOKUP(Table2[[#This Row],[Site]],'Site Info'!$A$1:$C$11,2, FALSE)</f>
        <v>17.7</v>
      </c>
      <c r="L1752">
        <f>VLOOKUP(Table2[[#This Row],[Site]],'Site Info'!$A$1:$C$11,3, FALSE)</f>
        <v>10</v>
      </c>
      <c r="M1752" t="str">
        <f>VLOOKUP(Table2[[#This Row],[Species]],'Species Table'!$A$1:$D$68,3, FALSE)</f>
        <v>Perennial</v>
      </c>
      <c r="N1752" s="8"/>
      <c r="O1752" s="15">
        <f>IF(SUMPRODUCT(($A$2:$A1752=A1752)*($B$2:$B1752=B1752)*($F$2:$F1752=F1752))&gt;1,0,1)</f>
        <v>0</v>
      </c>
      <c r="P1752" s="15">
        <f>IF(SUMPRODUCT(($A$2:$A1752=A1752)*($B$2:$B1752=B1752)*($D$2:$D1752=D1752))&gt;1,0,1)</f>
        <v>0</v>
      </c>
    </row>
    <row r="1753" spans="1:16" x14ac:dyDescent="0.35">
      <c r="A1753" t="s">
        <v>9</v>
      </c>
      <c r="B1753">
        <v>2017</v>
      </c>
      <c r="C1753" s="1" t="s">
        <v>74</v>
      </c>
      <c r="D1753" s="6">
        <v>7.5</v>
      </c>
      <c r="E1753" s="6">
        <f>INT(Table2[[#This Row],[Transect]])</f>
        <v>7</v>
      </c>
      <c r="F1753" s="1" t="s">
        <v>11</v>
      </c>
      <c r="G1753">
        <v>11</v>
      </c>
      <c r="H1753">
        <f t="shared" si="12"/>
        <v>200</v>
      </c>
      <c r="I1753">
        <v>100</v>
      </c>
      <c r="J1753">
        <f>Table2[[#This Row],[Hits]]/Table2[[#This Row],[Points]]*100</f>
        <v>5.5</v>
      </c>
      <c r="K1753">
        <f>VLOOKUP(Table2[[#This Row],[Site]],'Site Info'!$A$1:$C$11,2, FALSE)</f>
        <v>17.7</v>
      </c>
      <c r="L1753">
        <f>VLOOKUP(Table2[[#This Row],[Site]],'Site Info'!$A$1:$C$11,3, FALSE)</f>
        <v>10</v>
      </c>
      <c r="M1753" t="str">
        <f>VLOOKUP(Table2[[#This Row],[Species]],'Species Table'!$A$1:$D$68,3, FALSE)</f>
        <v>Perennial</v>
      </c>
      <c r="O1753" s="15">
        <f>IF(SUMPRODUCT(($A$2:$A1753=A1753)*($B$2:$B1753=B1753)*($F$2:$F1753=F1753))&gt;1,0,1)</f>
        <v>0</v>
      </c>
      <c r="P1753" s="15">
        <f>IF(SUMPRODUCT(($A$2:$A1753=A1753)*($B$2:$B1753=B1753)*($D$2:$D1753=D1753))&gt;1,0,1)</f>
        <v>0</v>
      </c>
    </row>
    <row r="1754" spans="1:16" hidden="1" x14ac:dyDescent="0.35">
      <c r="A1754" t="s">
        <v>9</v>
      </c>
      <c r="B1754">
        <v>2017</v>
      </c>
      <c r="C1754" s="1" t="s">
        <v>75</v>
      </c>
      <c r="D1754" s="6">
        <v>7.6</v>
      </c>
      <c r="E1754" s="6">
        <f>INT(Table2[[#This Row],[Transect]])</f>
        <v>7</v>
      </c>
      <c r="F1754" s="1" t="s">
        <v>10</v>
      </c>
      <c r="G1754">
        <v>3</v>
      </c>
      <c r="H1754">
        <f t="shared" si="12"/>
        <v>200</v>
      </c>
      <c r="I1754">
        <v>100</v>
      </c>
      <c r="J1754">
        <f>Table2[[#This Row],[Hits]]/Table2[[#This Row],[Points]]*100</f>
        <v>1.5</v>
      </c>
      <c r="K1754">
        <f>VLOOKUP(Table2[[#This Row],[Site]],'Site Info'!$A$1:$C$11,2, FALSE)</f>
        <v>17.7</v>
      </c>
      <c r="L1754">
        <f>VLOOKUP(Table2[[#This Row],[Site]],'Site Info'!$A$1:$C$11,3, FALSE)</f>
        <v>10</v>
      </c>
      <c r="M1754" t="str">
        <f>VLOOKUP(Table2[[#This Row],[Species]],'Species Table'!$A$1:$D$68,3, FALSE)</f>
        <v>Annual</v>
      </c>
      <c r="O1754" s="15">
        <f>IF(SUMPRODUCT(($A$2:$A1754=A1754)*($B$2:$B1754=B1754)*($F$2:$F1754=F1754))&gt;1,0,1)</f>
        <v>0</v>
      </c>
      <c r="P1754" s="15">
        <f>IF(SUMPRODUCT(($A$2:$A1754=A1754)*($B$2:$B1754=B1754)*($D$2:$D1754=D1754))&gt;1,0,1)</f>
        <v>1</v>
      </c>
    </row>
    <row r="1755" spans="1:16" x14ac:dyDescent="0.35">
      <c r="A1755" t="s">
        <v>9</v>
      </c>
      <c r="B1755">
        <v>2017</v>
      </c>
      <c r="C1755" s="1" t="s">
        <v>75</v>
      </c>
      <c r="D1755" s="6">
        <v>7.6</v>
      </c>
      <c r="E1755" s="6">
        <f>INT(Table2[[#This Row],[Transect]])</f>
        <v>7</v>
      </c>
      <c r="F1755" s="1" t="s">
        <v>11</v>
      </c>
      <c r="G1755">
        <v>2</v>
      </c>
      <c r="H1755">
        <f t="shared" si="12"/>
        <v>200</v>
      </c>
      <c r="I1755">
        <v>100</v>
      </c>
      <c r="J1755">
        <f>Table2[[#This Row],[Hits]]/Table2[[#This Row],[Points]]*100</f>
        <v>1</v>
      </c>
      <c r="K1755">
        <f>VLOOKUP(Table2[[#This Row],[Site]],'Site Info'!$A$1:$C$11,2, FALSE)</f>
        <v>17.7</v>
      </c>
      <c r="L1755">
        <f>VLOOKUP(Table2[[#This Row],[Site]],'Site Info'!$A$1:$C$11,3, FALSE)</f>
        <v>10</v>
      </c>
      <c r="M1755" t="str">
        <f>VLOOKUP(Table2[[#This Row],[Species]],'Species Table'!$A$1:$D$68,3, FALSE)</f>
        <v>Perennial</v>
      </c>
      <c r="O1755" s="15">
        <f>IF(SUMPRODUCT(($A$2:$A1755=A1755)*($B$2:$B1755=B1755)*($F$2:$F1755=F1755))&gt;1,0,1)</f>
        <v>0</v>
      </c>
      <c r="P1755" s="15">
        <f>IF(SUMPRODUCT(($A$2:$A1755=A1755)*($B$2:$B1755=B1755)*($D$2:$D1755=D1755))&gt;1,0,1)</f>
        <v>0</v>
      </c>
    </row>
    <row r="1756" spans="1:16" x14ac:dyDescent="0.35">
      <c r="A1756" t="s">
        <v>9</v>
      </c>
      <c r="B1756">
        <v>2017</v>
      </c>
      <c r="C1756" s="1" t="s">
        <v>76</v>
      </c>
      <c r="D1756" s="6">
        <v>7.7</v>
      </c>
      <c r="E1756" s="6">
        <f>INT(Table2[[#This Row],[Transect]])</f>
        <v>7</v>
      </c>
      <c r="F1756" s="1" t="s">
        <v>14</v>
      </c>
      <c r="G1756">
        <v>1</v>
      </c>
      <c r="H1756">
        <f t="shared" si="12"/>
        <v>200</v>
      </c>
      <c r="I1756">
        <v>100</v>
      </c>
      <c r="J1756">
        <f>Table2[[#This Row],[Hits]]/Table2[[#This Row],[Points]]*100</f>
        <v>0.5</v>
      </c>
      <c r="K1756">
        <f>VLOOKUP(Table2[[#This Row],[Site]],'Site Info'!$A$1:$C$11,2, FALSE)</f>
        <v>17.7</v>
      </c>
      <c r="L1756">
        <f>VLOOKUP(Table2[[#This Row],[Site]],'Site Info'!$A$1:$C$11,3, FALSE)</f>
        <v>10</v>
      </c>
      <c r="M1756" t="str">
        <f>VLOOKUP(Table2[[#This Row],[Species]],'Species Table'!$A$1:$D$68,3, FALSE)</f>
        <v>Perennial</v>
      </c>
      <c r="O1756" s="15">
        <f>IF(SUMPRODUCT(($A$2:$A1756=A1756)*($B$2:$B1756=B1756)*($F$2:$F1756=F1756))&gt;1,0,1)</f>
        <v>1</v>
      </c>
      <c r="P1756" s="15">
        <f>IF(SUMPRODUCT(($A$2:$A1756=A1756)*($B$2:$B1756=B1756)*($D$2:$D1756=D1756))&gt;1,0,1)</f>
        <v>1</v>
      </c>
    </row>
    <row r="1757" spans="1:16" x14ac:dyDescent="0.35">
      <c r="A1757" t="s">
        <v>9</v>
      </c>
      <c r="B1757">
        <v>2017</v>
      </c>
      <c r="C1757" s="1" t="s">
        <v>76</v>
      </c>
      <c r="D1757" s="6">
        <v>7.7</v>
      </c>
      <c r="E1757" s="6">
        <f>INT(Table2[[#This Row],[Transect]])</f>
        <v>7</v>
      </c>
      <c r="F1757" s="1" t="s">
        <v>3</v>
      </c>
      <c r="G1757">
        <v>8</v>
      </c>
      <c r="H1757">
        <f t="shared" si="12"/>
        <v>200</v>
      </c>
      <c r="I1757">
        <v>100</v>
      </c>
      <c r="J1757">
        <f>Table2[[#This Row],[Hits]]/Table2[[#This Row],[Points]]*100</f>
        <v>4</v>
      </c>
      <c r="K1757">
        <f>VLOOKUP(Table2[[#This Row],[Site]],'Site Info'!$A$1:$C$11,2, FALSE)</f>
        <v>17.7</v>
      </c>
      <c r="L1757">
        <f>VLOOKUP(Table2[[#This Row],[Site]],'Site Info'!$A$1:$C$11,3, FALSE)</f>
        <v>10</v>
      </c>
      <c r="M1757" t="str">
        <f>VLOOKUP(Table2[[#This Row],[Species]],'Species Table'!$A$1:$D$68,3, FALSE)</f>
        <v>Perennial</v>
      </c>
      <c r="O1757" s="15">
        <f>IF(SUMPRODUCT(($A$2:$A1757=A1757)*($B$2:$B1757=B1757)*($F$2:$F1757=F1757))&gt;1,0,1)</f>
        <v>0</v>
      </c>
      <c r="P1757" s="15">
        <f>IF(SUMPRODUCT(($A$2:$A1757=A1757)*($B$2:$B1757=B1757)*($D$2:$D1757=D1757))&gt;1,0,1)</f>
        <v>0</v>
      </c>
    </row>
    <row r="1758" spans="1:16" x14ac:dyDescent="0.35">
      <c r="A1758" t="s">
        <v>9</v>
      </c>
      <c r="B1758">
        <v>2017</v>
      </c>
      <c r="C1758" s="1" t="s">
        <v>76</v>
      </c>
      <c r="D1758" s="6">
        <v>7.7</v>
      </c>
      <c r="E1758" s="6">
        <f>INT(Table2[[#This Row],[Transect]])</f>
        <v>7</v>
      </c>
      <c r="F1758" s="1" t="s">
        <v>11</v>
      </c>
      <c r="G1758">
        <v>3</v>
      </c>
      <c r="H1758">
        <f t="shared" si="12"/>
        <v>200</v>
      </c>
      <c r="I1758">
        <v>100</v>
      </c>
      <c r="J1758">
        <f>Table2[[#This Row],[Hits]]/Table2[[#This Row],[Points]]*100</f>
        <v>1.5</v>
      </c>
      <c r="K1758">
        <f>VLOOKUP(Table2[[#This Row],[Site]],'Site Info'!$A$1:$C$11,2, FALSE)</f>
        <v>17.7</v>
      </c>
      <c r="L1758">
        <f>VLOOKUP(Table2[[#This Row],[Site]],'Site Info'!$A$1:$C$11,3, FALSE)</f>
        <v>10</v>
      </c>
      <c r="M1758" t="str">
        <f>VLOOKUP(Table2[[#This Row],[Species]],'Species Table'!$A$1:$D$68,3, FALSE)</f>
        <v>Perennial</v>
      </c>
      <c r="O1758" s="15">
        <f>IF(SUMPRODUCT(($A$2:$A1758=A1758)*($B$2:$B1758=B1758)*($F$2:$F1758=F1758))&gt;1,0,1)</f>
        <v>0</v>
      </c>
      <c r="P1758" s="15">
        <f>IF(SUMPRODUCT(($A$2:$A1758=A1758)*($B$2:$B1758=B1758)*($D$2:$D1758=D1758))&gt;1,0,1)</f>
        <v>0</v>
      </c>
    </row>
    <row r="1759" spans="1:16" hidden="1" x14ac:dyDescent="0.35">
      <c r="A1759" t="s">
        <v>9</v>
      </c>
      <c r="B1759">
        <v>2017</v>
      </c>
      <c r="C1759" s="1" t="s">
        <v>76</v>
      </c>
      <c r="D1759" s="6">
        <v>7.7</v>
      </c>
      <c r="E1759" s="6">
        <f>INT(Table2[[#This Row],[Transect]])</f>
        <v>7</v>
      </c>
      <c r="F1759" s="1" t="s">
        <v>10</v>
      </c>
      <c r="G1759">
        <v>2</v>
      </c>
      <c r="H1759">
        <f t="shared" si="12"/>
        <v>200</v>
      </c>
      <c r="I1759">
        <v>100</v>
      </c>
      <c r="J1759">
        <f>Table2[[#This Row],[Hits]]/Table2[[#This Row],[Points]]*100</f>
        <v>1</v>
      </c>
      <c r="K1759">
        <f>VLOOKUP(Table2[[#This Row],[Site]],'Site Info'!$A$1:$C$11,2, FALSE)</f>
        <v>17.7</v>
      </c>
      <c r="L1759">
        <f>VLOOKUP(Table2[[#This Row],[Site]],'Site Info'!$A$1:$C$11,3, FALSE)</f>
        <v>10</v>
      </c>
      <c r="M1759" t="str">
        <f>VLOOKUP(Table2[[#This Row],[Species]],'Species Table'!$A$1:$D$68,3, FALSE)</f>
        <v>Annual</v>
      </c>
      <c r="O1759" s="15">
        <f>IF(SUMPRODUCT(($A$2:$A1759=A1759)*($B$2:$B1759=B1759)*($F$2:$F1759=F1759))&gt;1,0,1)</f>
        <v>0</v>
      </c>
      <c r="P1759" s="15">
        <f>IF(SUMPRODUCT(($A$2:$A1759=A1759)*($B$2:$B1759=B1759)*($D$2:$D1759=D1759))&gt;1,0,1)</f>
        <v>0</v>
      </c>
    </row>
    <row r="1760" spans="1:16" x14ac:dyDescent="0.35">
      <c r="A1760" t="s">
        <v>9</v>
      </c>
      <c r="B1760">
        <v>2017</v>
      </c>
      <c r="C1760" s="1" t="s">
        <v>77</v>
      </c>
      <c r="D1760" s="6">
        <v>8.1</v>
      </c>
      <c r="E1760" s="6">
        <f>INT(Table2[[#This Row],[Transect]])</f>
        <v>8</v>
      </c>
      <c r="F1760" s="1" t="s">
        <v>14</v>
      </c>
      <c r="G1760">
        <v>31</v>
      </c>
      <c r="H1760">
        <f t="shared" si="12"/>
        <v>200</v>
      </c>
      <c r="I1760">
        <v>100</v>
      </c>
      <c r="J1760">
        <f>Table2[[#This Row],[Hits]]/Table2[[#This Row],[Points]]*100</f>
        <v>15.5</v>
      </c>
      <c r="K1760">
        <f>VLOOKUP(Table2[[#This Row],[Site]],'Site Info'!$A$1:$C$11,2, FALSE)</f>
        <v>17.7</v>
      </c>
      <c r="L1760">
        <f>VLOOKUP(Table2[[#This Row],[Site]],'Site Info'!$A$1:$C$11,3, FALSE)</f>
        <v>10</v>
      </c>
      <c r="M1760" t="str">
        <f>VLOOKUP(Table2[[#This Row],[Species]],'Species Table'!$A$1:$D$68,3, FALSE)</f>
        <v>Perennial</v>
      </c>
      <c r="O1760" s="15">
        <f>IF(SUMPRODUCT(($A$2:$A1760=A1760)*($B$2:$B1760=B1760)*($F$2:$F1760=F1760))&gt;1,0,1)</f>
        <v>0</v>
      </c>
      <c r="P1760" s="15">
        <f>IF(SUMPRODUCT(($A$2:$A1760=A1760)*($B$2:$B1760=B1760)*($D$2:$D1760=D1760))&gt;1,0,1)</f>
        <v>1</v>
      </c>
    </row>
    <row r="1761" spans="1:16" x14ac:dyDescent="0.35">
      <c r="A1761" t="s">
        <v>9</v>
      </c>
      <c r="B1761">
        <v>2017</v>
      </c>
      <c r="C1761" s="1" t="s">
        <v>77</v>
      </c>
      <c r="D1761" s="6">
        <v>8.1</v>
      </c>
      <c r="E1761" s="6">
        <f>INT(Table2[[#This Row],[Transect]])</f>
        <v>8</v>
      </c>
      <c r="F1761" s="1" t="s">
        <v>2</v>
      </c>
      <c r="G1761">
        <v>1</v>
      </c>
      <c r="H1761">
        <f t="shared" si="12"/>
        <v>200</v>
      </c>
      <c r="I1761">
        <v>100</v>
      </c>
      <c r="J1761">
        <f>Table2[[#This Row],[Hits]]/Table2[[#This Row],[Points]]*100</f>
        <v>0.5</v>
      </c>
      <c r="K1761">
        <f>VLOOKUP(Table2[[#This Row],[Site]],'Site Info'!$A$1:$C$11,2, FALSE)</f>
        <v>17.7</v>
      </c>
      <c r="L1761">
        <f>VLOOKUP(Table2[[#This Row],[Site]],'Site Info'!$A$1:$C$11,3, FALSE)</f>
        <v>10</v>
      </c>
      <c r="M1761" t="str">
        <f>VLOOKUP(Table2[[#This Row],[Species]],'Species Table'!$A$1:$D$68,3, FALSE)</f>
        <v>Perennial</v>
      </c>
      <c r="O1761" s="15">
        <f>IF(SUMPRODUCT(($A$2:$A1761=A1761)*($B$2:$B1761=B1761)*($F$2:$F1761=F1761))&gt;1,0,1)</f>
        <v>1</v>
      </c>
      <c r="P1761" s="15">
        <f>IF(SUMPRODUCT(($A$2:$A1761=A1761)*($B$2:$B1761=B1761)*($D$2:$D1761=D1761))&gt;1,0,1)</f>
        <v>0</v>
      </c>
    </row>
    <row r="1762" spans="1:16" hidden="1" x14ac:dyDescent="0.35">
      <c r="A1762" t="s">
        <v>9</v>
      </c>
      <c r="B1762">
        <v>2017</v>
      </c>
      <c r="C1762" s="1" t="s">
        <v>78</v>
      </c>
      <c r="D1762" s="6">
        <v>8.1999999999999993</v>
      </c>
      <c r="E1762" s="6">
        <f>INT(Table2[[#This Row],[Transect]])</f>
        <v>8</v>
      </c>
      <c r="F1762" s="1" t="s">
        <v>10</v>
      </c>
      <c r="G1762">
        <v>4</v>
      </c>
      <c r="H1762">
        <f t="shared" si="12"/>
        <v>200</v>
      </c>
      <c r="I1762">
        <v>100</v>
      </c>
      <c r="J1762">
        <f>Table2[[#This Row],[Hits]]/Table2[[#This Row],[Points]]*100</f>
        <v>2</v>
      </c>
      <c r="K1762">
        <f>VLOOKUP(Table2[[#This Row],[Site]],'Site Info'!$A$1:$C$11,2, FALSE)</f>
        <v>17.7</v>
      </c>
      <c r="L1762">
        <f>VLOOKUP(Table2[[#This Row],[Site]],'Site Info'!$A$1:$C$11,3, FALSE)</f>
        <v>10</v>
      </c>
      <c r="M1762" t="str">
        <f>VLOOKUP(Table2[[#This Row],[Species]],'Species Table'!$A$1:$D$68,3, FALSE)</f>
        <v>Annual</v>
      </c>
      <c r="O1762" s="15">
        <f>IF(SUMPRODUCT(($A$2:$A1762=A1762)*($B$2:$B1762=B1762)*($F$2:$F1762=F1762))&gt;1,0,1)</f>
        <v>0</v>
      </c>
      <c r="P1762" s="15">
        <f>IF(SUMPRODUCT(($A$2:$A1762=A1762)*($B$2:$B1762=B1762)*($D$2:$D1762=D1762))&gt;1,0,1)</f>
        <v>1</v>
      </c>
    </row>
    <row r="1763" spans="1:16" x14ac:dyDescent="0.35">
      <c r="A1763" t="s">
        <v>9</v>
      </c>
      <c r="B1763">
        <v>2017</v>
      </c>
      <c r="C1763" s="1" t="s">
        <v>78</v>
      </c>
      <c r="D1763" s="6">
        <v>8.1999999999999993</v>
      </c>
      <c r="E1763" s="6">
        <f>INT(Table2[[#This Row],[Transect]])</f>
        <v>8</v>
      </c>
      <c r="F1763" s="1" t="s">
        <v>3</v>
      </c>
      <c r="G1763">
        <v>5</v>
      </c>
      <c r="H1763">
        <f t="shared" si="12"/>
        <v>200</v>
      </c>
      <c r="I1763">
        <v>100</v>
      </c>
      <c r="J1763">
        <f>Table2[[#This Row],[Hits]]/Table2[[#This Row],[Points]]*100</f>
        <v>2.5</v>
      </c>
      <c r="K1763">
        <f>VLOOKUP(Table2[[#This Row],[Site]],'Site Info'!$A$1:$C$11,2, FALSE)</f>
        <v>17.7</v>
      </c>
      <c r="L1763">
        <f>VLOOKUP(Table2[[#This Row],[Site]],'Site Info'!$A$1:$C$11,3, FALSE)</f>
        <v>10</v>
      </c>
      <c r="M1763" t="str">
        <f>VLOOKUP(Table2[[#This Row],[Species]],'Species Table'!$A$1:$D$68,3, FALSE)</f>
        <v>Perennial</v>
      </c>
      <c r="O1763" s="15">
        <f>IF(SUMPRODUCT(($A$2:$A1763=A1763)*($B$2:$B1763=B1763)*($F$2:$F1763=F1763))&gt;1,0,1)</f>
        <v>0</v>
      </c>
      <c r="P1763" s="15">
        <f>IF(SUMPRODUCT(($A$2:$A1763=A1763)*($B$2:$B1763=B1763)*($D$2:$D1763=D1763))&gt;1,0,1)</f>
        <v>0</v>
      </c>
    </row>
    <row r="1764" spans="1:16" x14ac:dyDescent="0.35">
      <c r="A1764" t="s">
        <v>9</v>
      </c>
      <c r="B1764">
        <v>2017</v>
      </c>
      <c r="C1764" s="1" t="s">
        <v>78</v>
      </c>
      <c r="D1764" s="6">
        <v>8.1999999999999993</v>
      </c>
      <c r="E1764" s="6">
        <f>INT(Table2[[#This Row],[Transect]])</f>
        <v>8</v>
      </c>
      <c r="F1764" s="1" t="s">
        <v>32</v>
      </c>
      <c r="G1764">
        <v>1</v>
      </c>
      <c r="H1764">
        <f t="shared" si="12"/>
        <v>200</v>
      </c>
      <c r="I1764">
        <v>100</v>
      </c>
      <c r="J1764">
        <f>Table2[[#This Row],[Hits]]/Table2[[#This Row],[Points]]*100</f>
        <v>0.5</v>
      </c>
      <c r="K1764">
        <f>VLOOKUP(Table2[[#This Row],[Site]],'Site Info'!$A$1:$C$11,2, FALSE)</f>
        <v>17.7</v>
      </c>
      <c r="L1764">
        <f>VLOOKUP(Table2[[#This Row],[Site]],'Site Info'!$A$1:$C$11,3, FALSE)</f>
        <v>10</v>
      </c>
      <c r="M1764" t="str">
        <f>VLOOKUP(Table2[[#This Row],[Species]],'Species Table'!$A$1:$D$68,3, FALSE)</f>
        <v>Perennial</v>
      </c>
      <c r="O1764" s="15">
        <f>IF(SUMPRODUCT(($A$2:$A1764=A1764)*($B$2:$B1764=B1764)*($F$2:$F1764=F1764))&gt;1,0,1)</f>
        <v>1</v>
      </c>
      <c r="P1764" s="15">
        <f>IF(SUMPRODUCT(($A$2:$A1764=A1764)*($B$2:$B1764=B1764)*($D$2:$D1764=D1764))&gt;1,0,1)</f>
        <v>0</v>
      </c>
    </row>
    <row r="1765" spans="1:16" hidden="1" x14ac:dyDescent="0.35">
      <c r="A1765" t="s">
        <v>9</v>
      </c>
      <c r="B1765">
        <v>2017</v>
      </c>
      <c r="C1765" s="1" t="s">
        <v>79</v>
      </c>
      <c r="D1765" s="6">
        <v>8.3000000000000007</v>
      </c>
      <c r="E1765" s="6">
        <f>INT(Table2[[#This Row],[Transect]])</f>
        <v>8</v>
      </c>
      <c r="F1765" s="1" t="s">
        <v>10</v>
      </c>
      <c r="G1765">
        <v>15</v>
      </c>
      <c r="H1765">
        <f t="shared" si="12"/>
        <v>200</v>
      </c>
      <c r="I1765">
        <v>100</v>
      </c>
      <c r="J1765">
        <f>Table2[[#This Row],[Hits]]/Table2[[#This Row],[Points]]*100</f>
        <v>7.5</v>
      </c>
      <c r="K1765">
        <f>VLOOKUP(Table2[[#This Row],[Site]],'Site Info'!$A$1:$C$11,2, FALSE)</f>
        <v>17.7</v>
      </c>
      <c r="L1765">
        <f>VLOOKUP(Table2[[#This Row],[Site]],'Site Info'!$A$1:$C$11,3, FALSE)</f>
        <v>10</v>
      </c>
      <c r="M1765" t="str">
        <f>VLOOKUP(Table2[[#This Row],[Species]],'Species Table'!$A$1:$D$68,3, FALSE)</f>
        <v>Annual</v>
      </c>
      <c r="O1765" s="15">
        <f>IF(SUMPRODUCT(($A$2:$A1765=A1765)*($B$2:$B1765=B1765)*($F$2:$F1765=F1765))&gt;1,0,1)</f>
        <v>0</v>
      </c>
      <c r="P1765" s="15">
        <f>IF(SUMPRODUCT(($A$2:$A1765=A1765)*($B$2:$B1765=B1765)*($D$2:$D1765=D1765))&gt;1,0,1)</f>
        <v>1</v>
      </c>
    </row>
    <row r="1766" spans="1:16" x14ac:dyDescent="0.35">
      <c r="A1766" t="s">
        <v>9</v>
      </c>
      <c r="B1766">
        <v>2017</v>
      </c>
      <c r="C1766" s="1" t="s">
        <v>79</v>
      </c>
      <c r="D1766" s="6">
        <v>8.3000000000000007</v>
      </c>
      <c r="E1766" s="6">
        <f>INT(Table2[[#This Row],[Transect]])</f>
        <v>8</v>
      </c>
      <c r="F1766" s="1" t="s">
        <v>3</v>
      </c>
      <c r="G1766">
        <v>2</v>
      </c>
      <c r="H1766">
        <f t="shared" si="12"/>
        <v>200</v>
      </c>
      <c r="I1766">
        <v>100</v>
      </c>
      <c r="J1766">
        <f>Table2[[#This Row],[Hits]]/Table2[[#This Row],[Points]]*100</f>
        <v>1</v>
      </c>
      <c r="K1766">
        <f>VLOOKUP(Table2[[#This Row],[Site]],'Site Info'!$A$1:$C$11,2, FALSE)</f>
        <v>17.7</v>
      </c>
      <c r="L1766">
        <f>VLOOKUP(Table2[[#This Row],[Site]],'Site Info'!$A$1:$C$11,3, FALSE)</f>
        <v>10</v>
      </c>
      <c r="M1766" t="str">
        <f>VLOOKUP(Table2[[#This Row],[Species]],'Species Table'!$A$1:$D$68,3, FALSE)</f>
        <v>Perennial</v>
      </c>
      <c r="O1766" s="15">
        <f>IF(SUMPRODUCT(($A$2:$A1766=A1766)*($B$2:$B1766=B1766)*($F$2:$F1766=F1766))&gt;1,0,1)</f>
        <v>0</v>
      </c>
      <c r="P1766" s="15">
        <f>IF(SUMPRODUCT(($A$2:$A1766=A1766)*($B$2:$B1766=B1766)*($D$2:$D1766=D1766))&gt;1,0,1)</f>
        <v>0</v>
      </c>
    </row>
    <row r="1767" spans="1:16" x14ac:dyDescent="0.35">
      <c r="A1767" t="s">
        <v>9</v>
      </c>
      <c r="B1767">
        <v>2017</v>
      </c>
      <c r="C1767" s="1" t="s">
        <v>79</v>
      </c>
      <c r="D1767" s="6">
        <v>8.3000000000000007</v>
      </c>
      <c r="E1767" s="6">
        <f>INT(Table2[[#This Row],[Transect]])</f>
        <v>8</v>
      </c>
      <c r="F1767" s="1" t="s">
        <v>6</v>
      </c>
      <c r="G1767">
        <v>2</v>
      </c>
      <c r="H1767">
        <f t="shared" si="12"/>
        <v>200</v>
      </c>
      <c r="I1767">
        <v>100</v>
      </c>
      <c r="J1767">
        <f>Table2[[#This Row],[Hits]]/Table2[[#This Row],[Points]]*100</f>
        <v>1</v>
      </c>
      <c r="K1767">
        <f>VLOOKUP(Table2[[#This Row],[Site]],'Site Info'!$A$1:$C$11,2, FALSE)</f>
        <v>17.7</v>
      </c>
      <c r="L1767">
        <f>VLOOKUP(Table2[[#This Row],[Site]],'Site Info'!$A$1:$C$11,3, FALSE)</f>
        <v>10</v>
      </c>
      <c r="M1767" t="str">
        <f>VLOOKUP(Table2[[#This Row],[Species]],'Species Table'!$A$1:$D$68,3, FALSE)</f>
        <v>Perennial</v>
      </c>
      <c r="O1767" s="15">
        <f>IF(SUMPRODUCT(($A$2:$A1767=A1767)*($B$2:$B1767=B1767)*($F$2:$F1767=F1767))&gt;1,0,1)</f>
        <v>0</v>
      </c>
      <c r="P1767" s="15">
        <f>IF(SUMPRODUCT(($A$2:$A1767=A1767)*($B$2:$B1767=B1767)*($D$2:$D1767=D1767))&gt;1,0,1)</f>
        <v>0</v>
      </c>
    </row>
    <row r="1768" spans="1:16" x14ac:dyDescent="0.35">
      <c r="A1768" t="s">
        <v>9</v>
      </c>
      <c r="B1768">
        <v>2017</v>
      </c>
      <c r="C1768" s="1" t="s">
        <v>80</v>
      </c>
      <c r="D1768" s="6">
        <v>8.4</v>
      </c>
      <c r="E1768" s="6">
        <f>INT(Table2[[#This Row],[Transect]])</f>
        <v>8</v>
      </c>
      <c r="F1768" s="1" t="s">
        <v>3</v>
      </c>
      <c r="G1768">
        <v>1</v>
      </c>
      <c r="H1768">
        <f t="shared" si="12"/>
        <v>200</v>
      </c>
      <c r="I1768">
        <v>100</v>
      </c>
      <c r="J1768">
        <f>Table2[[#This Row],[Hits]]/Table2[[#This Row],[Points]]*100</f>
        <v>0.5</v>
      </c>
      <c r="K1768">
        <f>VLOOKUP(Table2[[#This Row],[Site]],'Site Info'!$A$1:$C$11,2, FALSE)</f>
        <v>17.7</v>
      </c>
      <c r="L1768">
        <f>VLOOKUP(Table2[[#This Row],[Site]],'Site Info'!$A$1:$C$11,3, FALSE)</f>
        <v>10</v>
      </c>
      <c r="M1768" t="str">
        <f>VLOOKUP(Table2[[#This Row],[Species]],'Species Table'!$A$1:$D$68,3, FALSE)</f>
        <v>Perennial</v>
      </c>
      <c r="O1768" s="15">
        <f>IF(SUMPRODUCT(($A$2:$A1768=A1768)*($B$2:$B1768=B1768)*($F$2:$F1768=F1768))&gt;1,0,1)</f>
        <v>0</v>
      </c>
      <c r="P1768" s="15">
        <f>IF(SUMPRODUCT(($A$2:$A1768=A1768)*($B$2:$B1768=B1768)*($D$2:$D1768=D1768))&gt;1,0,1)</f>
        <v>1</v>
      </c>
    </row>
    <row r="1769" spans="1:16" hidden="1" x14ac:dyDescent="0.35">
      <c r="A1769" t="s">
        <v>9</v>
      </c>
      <c r="B1769">
        <v>2017</v>
      </c>
      <c r="C1769" s="1" t="s">
        <v>80</v>
      </c>
      <c r="D1769" s="6">
        <v>8.4</v>
      </c>
      <c r="E1769" s="6">
        <f>INT(Table2[[#This Row],[Transect]])</f>
        <v>8</v>
      </c>
      <c r="F1769" s="1" t="s">
        <v>10</v>
      </c>
      <c r="G1769">
        <v>1</v>
      </c>
      <c r="H1769">
        <f t="shared" si="12"/>
        <v>200</v>
      </c>
      <c r="I1769">
        <v>100</v>
      </c>
      <c r="J1769">
        <f>Table2[[#This Row],[Hits]]/Table2[[#This Row],[Points]]*100</f>
        <v>0.5</v>
      </c>
      <c r="K1769">
        <f>VLOOKUP(Table2[[#This Row],[Site]],'Site Info'!$A$1:$C$11,2, FALSE)</f>
        <v>17.7</v>
      </c>
      <c r="L1769">
        <f>VLOOKUP(Table2[[#This Row],[Site]],'Site Info'!$A$1:$C$11,3, FALSE)</f>
        <v>10</v>
      </c>
      <c r="M1769" t="str">
        <f>VLOOKUP(Table2[[#This Row],[Species]],'Species Table'!$A$1:$D$68,3, FALSE)</f>
        <v>Annual</v>
      </c>
      <c r="O1769" s="15">
        <f>IF(SUMPRODUCT(($A$2:$A1769=A1769)*($B$2:$B1769=B1769)*($F$2:$F1769=F1769))&gt;1,0,1)</f>
        <v>0</v>
      </c>
      <c r="P1769" s="15">
        <f>IF(SUMPRODUCT(($A$2:$A1769=A1769)*($B$2:$B1769=B1769)*($D$2:$D1769=D1769))&gt;1,0,1)</f>
        <v>0</v>
      </c>
    </row>
    <row r="1770" spans="1:16" x14ac:dyDescent="0.35">
      <c r="A1770" t="s">
        <v>9</v>
      </c>
      <c r="B1770">
        <v>2017</v>
      </c>
      <c r="C1770" s="1" t="s">
        <v>80</v>
      </c>
      <c r="D1770" s="6">
        <v>8.4</v>
      </c>
      <c r="E1770" s="6">
        <f>INT(Table2[[#This Row],[Transect]])</f>
        <v>8</v>
      </c>
      <c r="F1770" s="1" t="s">
        <v>6</v>
      </c>
      <c r="G1770">
        <v>29</v>
      </c>
      <c r="H1770">
        <f t="shared" si="12"/>
        <v>200</v>
      </c>
      <c r="I1770">
        <v>100</v>
      </c>
      <c r="J1770">
        <f>Table2[[#This Row],[Hits]]/Table2[[#This Row],[Points]]*100</f>
        <v>14.499999999999998</v>
      </c>
      <c r="K1770">
        <f>VLOOKUP(Table2[[#This Row],[Site]],'Site Info'!$A$1:$C$11,2, FALSE)</f>
        <v>17.7</v>
      </c>
      <c r="L1770">
        <f>VLOOKUP(Table2[[#This Row],[Site]],'Site Info'!$A$1:$C$11,3, FALSE)</f>
        <v>10</v>
      </c>
      <c r="M1770" t="str">
        <f>VLOOKUP(Table2[[#This Row],[Species]],'Species Table'!$A$1:$D$68,3, FALSE)</f>
        <v>Perennial</v>
      </c>
      <c r="N1770" s="8"/>
      <c r="O1770" s="15">
        <f>IF(SUMPRODUCT(($A$2:$A1770=A1770)*($B$2:$B1770=B1770)*($F$2:$F1770=F1770))&gt;1,0,1)</f>
        <v>0</v>
      </c>
      <c r="P1770" s="15">
        <f>IF(SUMPRODUCT(($A$2:$A1770=A1770)*($B$2:$B1770=B1770)*($D$2:$D1770=D1770))&gt;1,0,1)</f>
        <v>0</v>
      </c>
    </row>
    <row r="1771" spans="1:16" x14ac:dyDescent="0.35">
      <c r="A1771" t="s">
        <v>9</v>
      </c>
      <c r="B1771">
        <v>2017</v>
      </c>
      <c r="C1771" s="1" t="s">
        <v>81</v>
      </c>
      <c r="D1771" s="6">
        <v>8.5</v>
      </c>
      <c r="E1771" s="6">
        <f>INT(Table2[[#This Row],[Transect]])</f>
        <v>8</v>
      </c>
      <c r="F1771" s="1" t="s">
        <v>6</v>
      </c>
      <c r="G1771">
        <v>14</v>
      </c>
      <c r="H1771">
        <f t="shared" si="12"/>
        <v>200</v>
      </c>
      <c r="I1771">
        <v>100</v>
      </c>
      <c r="J1771">
        <f>Table2[[#This Row],[Hits]]/Table2[[#This Row],[Points]]*100</f>
        <v>7.0000000000000009</v>
      </c>
      <c r="K1771">
        <f>VLOOKUP(Table2[[#This Row],[Site]],'Site Info'!$A$1:$C$11,2, FALSE)</f>
        <v>17.7</v>
      </c>
      <c r="L1771">
        <f>VLOOKUP(Table2[[#This Row],[Site]],'Site Info'!$A$1:$C$11,3, FALSE)</f>
        <v>10</v>
      </c>
      <c r="M1771" t="str">
        <f>VLOOKUP(Table2[[#This Row],[Species]],'Species Table'!$A$1:$D$68,3, FALSE)</f>
        <v>Perennial</v>
      </c>
      <c r="N1771" s="8"/>
      <c r="O1771" s="15">
        <f>IF(SUMPRODUCT(($A$2:$A1771=A1771)*($B$2:$B1771=B1771)*($F$2:$F1771=F1771))&gt;1,0,1)</f>
        <v>0</v>
      </c>
      <c r="P1771" s="15">
        <f>IF(SUMPRODUCT(($A$2:$A1771=A1771)*($B$2:$B1771=B1771)*($D$2:$D1771=D1771))&gt;1,0,1)</f>
        <v>1</v>
      </c>
    </row>
    <row r="1772" spans="1:16" hidden="1" x14ac:dyDescent="0.35">
      <c r="A1772" t="s">
        <v>9</v>
      </c>
      <c r="B1772">
        <v>2017</v>
      </c>
      <c r="C1772" s="1" t="s">
        <v>81</v>
      </c>
      <c r="D1772" s="6">
        <v>8.5</v>
      </c>
      <c r="E1772" s="6">
        <f>INT(Table2[[#This Row],[Transect]])</f>
        <v>8</v>
      </c>
      <c r="F1772" s="1" t="s">
        <v>10</v>
      </c>
      <c r="G1772">
        <v>3</v>
      </c>
      <c r="H1772">
        <f t="shared" si="12"/>
        <v>200</v>
      </c>
      <c r="I1772">
        <v>100</v>
      </c>
      <c r="J1772">
        <f>Table2[[#This Row],[Hits]]/Table2[[#This Row],[Points]]*100</f>
        <v>1.5</v>
      </c>
      <c r="K1772">
        <f>VLOOKUP(Table2[[#This Row],[Site]],'Site Info'!$A$1:$C$11,2, FALSE)</f>
        <v>17.7</v>
      </c>
      <c r="L1772">
        <f>VLOOKUP(Table2[[#This Row],[Site]],'Site Info'!$A$1:$C$11,3, FALSE)</f>
        <v>10</v>
      </c>
      <c r="M1772" t="str">
        <f>VLOOKUP(Table2[[#This Row],[Species]],'Species Table'!$A$1:$D$68,3, FALSE)</f>
        <v>Annual</v>
      </c>
      <c r="N1772" s="8"/>
      <c r="O1772" s="15">
        <f>IF(SUMPRODUCT(($A$2:$A1772=A1772)*($B$2:$B1772=B1772)*($F$2:$F1772=F1772))&gt;1,0,1)</f>
        <v>0</v>
      </c>
      <c r="P1772" s="15">
        <f>IF(SUMPRODUCT(($A$2:$A1772=A1772)*($B$2:$B1772=B1772)*($D$2:$D1772=D1772))&gt;1,0,1)</f>
        <v>0</v>
      </c>
    </row>
    <row r="1773" spans="1:16" x14ac:dyDescent="0.35">
      <c r="A1773" t="s">
        <v>9</v>
      </c>
      <c r="B1773">
        <v>2017</v>
      </c>
      <c r="C1773" s="1" t="s">
        <v>81</v>
      </c>
      <c r="D1773" s="6">
        <v>8.5</v>
      </c>
      <c r="E1773" s="6">
        <f>INT(Table2[[#This Row],[Transect]])</f>
        <v>8</v>
      </c>
      <c r="F1773" s="1" t="s">
        <v>15</v>
      </c>
      <c r="G1773">
        <v>1</v>
      </c>
      <c r="H1773">
        <f t="shared" si="12"/>
        <v>200</v>
      </c>
      <c r="I1773">
        <v>100</v>
      </c>
      <c r="J1773">
        <f>Table2[[#This Row],[Hits]]/Table2[[#This Row],[Points]]*100</f>
        <v>0.5</v>
      </c>
      <c r="K1773">
        <f>VLOOKUP(Table2[[#This Row],[Site]],'Site Info'!$A$1:$C$11,2, FALSE)</f>
        <v>17.7</v>
      </c>
      <c r="L1773">
        <f>VLOOKUP(Table2[[#This Row],[Site]],'Site Info'!$A$1:$C$11,3, FALSE)</f>
        <v>10</v>
      </c>
      <c r="M1773" t="str">
        <f>VLOOKUP(Table2[[#This Row],[Species]],'Species Table'!$A$1:$D$68,3, FALSE)</f>
        <v>Perennial</v>
      </c>
      <c r="N1773" s="8"/>
      <c r="O1773" s="15">
        <f>IF(SUMPRODUCT(($A$2:$A1773=A1773)*($B$2:$B1773=B1773)*($F$2:$F1773=F1773))&gt;1,0,1)</f>
        <v>1</v>
      </c>
      <c r="P1773" s="15">
        <f>IF(SUMPRODUCT(($A$2:$A1773=A1773)*($B$2:$B1773=B1773)*($D$2:$D1773=D1773))&gt;1,0,1)</f>
        <v>0</v>
      </c>
    </row>
    <row r="1774" spans="1:16" x14ac:dyDescent="0.35">
      <c r="A1774" t="s">
        <v>9</v>
      </c>
      <c r="B1774">
        <v>2017</v>
      </c>
      <c r="C1774" s="1" t="s">
        <v>81</v>
      </c>
      <c r="D1774" s="6">
        <v>8.5</v>
      </c>
      <c r="E1774" s="6">
        <f>INT(Table2[[#This Row],[Transect]])</f>
        <v>8</v>
      </c>
      <c r="F1774" s="1" t="s">
        <v>3</v>
      </c>
      <c r="G1774">
        <v>4</v>
      </c>
      <c r="H1774">
        <f t="shared" si="12"/>
        <v>200</v>
      </c>
      <c r="I1774">
        <v>100</v>
      </c>
      <c r="J1774">
        <f>Table2[[#This Row],[Hits]]/Table2[[#This Row],[Points]]*100</f>
        <v>2</v>
      </c>
      <c r="K1774">
        <f>VLOOKUP(Table2[[#This Row],[Site]],'Site Info'!$A$1:$C$11,2, FALSE)</f>
        <v>17.7</v>
      </c>
      <c r="L1774">
        <f>VLOOKUP(Table2[[#This Row],[Site]],'Site Info'!$A$1:$C$11,3, FALSE)</f>
        <v>10</v>
      </c>
      <c r="M1774" t="str">
        <f>VLOOKUP(Table2[[#This Row],[Species]],'Species Table'!$A$1:$D$68,3, FALSE)</f>
        <v>Perennial</v>
      </c>
      <c r="N1774" s="8"/>
      <c r="O1774" s="15">
        <f>IF(SUMPRODUCT(($A$2:$A1774=A1774)*($B$2:$B1774=B1774)*($F$2:$F1774=F1774))&gt;1,0,1)</f>
        <v>0</v>
      </c>
      <c r="P1774" s="15">
        <f>IF(SUMPRODUCT(($A$2:$A1774=A1774)*($B$2:$B1774=B1774)*($D$2:$D1774=D1774))&gt;1,0,1)</f>
        <v>0</v>
      </c>
    </row>
    <row r="1775" spans="1:16" hidden="1" x14ac:dyDescent="0.35">
      <c r="A1775" t="s">
        <v>161</v>
      </c>
      <c r="B1775">
        <v>2017</v>
      </c>
      <c r="C1775" s="1" t="s">
        <v>162</v>
      </c>
      <c r="D1775" s="7" t="s">
        <v>166</v>
      </c>
      <c r="E1775" s="6">
        <f>INT(Table2[[#This Row],[Transect]])</f>
        <v>1</v>
      </c>
      <c r="F1775" s="1" t="s">
        <v>10</v>
      </c>
      <c r="G1775">
        <v>34</v>
      </c>
      <c r="H1775">
        <f t="shared" si="12"/>
        <v>200</v>
      </c>
      <c r="I1775">
        <v>100</v>
      </c>
      <c r="J1775">
        <f>Table2[[#This Row],[Hits]]/Table2[[#This Row],[Points]]*100</f>
        <v>17</v>
      </c>
      <c r="K1775">
        <f>VLOOKUP(Table2[[#This Row],[Site]],'Site Info'!$A$1:$C$11,2, FALSE)</f>
        <v>17.7</v>
      </c>
      <c r="L1775">
        <f>VLOOKUP(Table2[[#This Row],[Site]],'Site Info'!$A$1:$C$11,3, FALSE)</f>
        <v>10</v>
      </c>
      <c r="M1775" t="str">
        <f>VLOOKUP(Table2[[#This Row],[Species]],'Species Table'!$A$1:$D$68,3, FALSE)</f>
        <v>Annual</v>
      </c>
      <c r="N1775" s="8"/>
      <c r="O1775" s="15">
        <f>IF(SUMPRODUCT(($A$2:$A1775=A1775)*($B$2:$B1775=B1775)*($F$2:$F1775=F1775))&gt;1,0,1)</f>
        <v>1</v>
      </c>
      <c r="P1775" s="15">
        <f>IF(SUMPRODUCT(($A$2:$A1775=A1775)*($B$2:$B1775=B1775)*($D$2:$D1775=D1775))&gt;1,0,1)</f>
        <v>1</v>
      </c>
    </row>
    <row r="1776" spans="1:16" x14ac:dyDescent="0.35">
      <c r="A1776" t="s">
        <v>161</v>
      </c>
      <c r="B1776">
        <v>2017</v>
      </c>
      <c r="C1776" s="1" t="s">
        <v>162</v>
      </c>
      <c r="D1776" s="7" t="s">
        <v>166</v>
      </c>
      <c r="E1776" s="6">
        <f>INT(Table2[[#This Row],[Transect]])</f>
        <v>1</v>
      </c>
      <c r="F1776" s="1" t="s">
        <v>11</v>
      </c>
      <c r="G1776">
        <v>12</v>
      </c>
      <c r="H1776">
        <f t="shared" si="12"/>
        <v>200</v>
      </c>
      <c r="I1776">
        <v>100</v>
      </c>
      <c r="J1776">
        <f>Table2[[#This Row],[Hits]]/Table2[[#This Row],[Points]]*100</f>
        <v>6</v>
      </c>
      <c r="K1776">
        <f>VLOOKUP(Table2[[#This Row],[Site]],'Site Info'!$A$1:$C$11,2, FALSE)</f>
        <v>17.7</v>
      </c>
      <c r="L1776">
        <f>VLOOKUP(Table2[[#This Row],[Site]],'Site Info'!$A$1:$C$11,3, FALSE)</f>
        <v>10</v>
      </c>
      <c r="M1776" t="str">
        <f>VLOOKUP(Table2[[#This Row],[Species]],'Species Table'!$A$1:$D$68,3, FALSE)</f>
        <v>Perennial</v>
      </c>
      <c r="N1776" s="8"/>
      <c r="O1776" s="15">
        <f>IF(SUMPRODUCT(($A$2:$A1776=A1776)*($B$2:$B1776=B1776)*($F$2:$F1776=F1776))&gt;1,0,1)</f>
        <v>1</v>
      </c>
      <c r="P1776" s="15">
        <f>IF(SUMPRODUCT(($A$2:$A1776=A1776)*($B$2:$B1776=B1776)*($D$2:$D1776=D1776))&gt;1,0,1)</f>
        <v>0</v>
      </c>
    </row>
    <row r="1777" spans="1:16" hidden="1" x14ac:dyDescent="0.35">
      <c r="A1777" t="s">
        <v>161</v>
      </c>
      <c r="B1777">
        <v>2017</v>
      </c>
      <c r="C1777" s="1" t="s">
        <v>37</v>
      </c>
      <c r="D1777" s="6">
        <v>1.1000000000000001</v>
      </c>
      <c r="E1777" s="6">
        <f>INT(Table2[[#This Row],[Transect]])</f>
        <v>1</v>
      </c>
      <c r="F1777" s="1" t="s">
        <v>10</v>
      </c>
      <c r="G1777">
        <v>37</v>
      </c>
      <c r="H1777">
        <f t="shared" si="12"/>
        <v>180</v>
      </c>
      <c r="I1777">
        <v>90</v>
      </c>
      <c r="J1777">
        <f>Table2[[#This Row],[Hits]]/Table2[[#This Row],[Points]]*100</f>
        <v>20.555555555555554</v>
      </c>
      <c r="K1777">
        <f>VLOOKUP(Table2[[#This Row],[Site]],'Site Info'!$A$1:$C$11,2, FALSE)</f>
        <v>17.7</v>
      </c>
      <c r="L1777">
        <f>VLOOKUP(Table2[[#This Row],[Site]],'Site Info'!$A$1:$C$11,3, FALSE)</f>
        <v>10</v>
      </c>
      <c r="M1777" t="str">
        <f>VLOOKUP(Table2[[#This Row],[Species]],'Species Table'!$A$1:$D$68,3, FALSE)</f>
        <v>Annual</v>
      </c>
      <c r="O1777" s="15">
        <f>IF(SUMPRODUCT(($A$2:$A1777=A1777)*($B$2:$B1777=B1777)*($F$2:$F1777=F1777))&gt;1,0,1)</f>
        <v>0</v>
      </c>
      <c r="P1777" s="15">
        <f>IF(SUMPRODUCT(($A$2:$A1777=A1777)*($B$2:$B1777=B1777)*($D$2:$D1777=D1777))&gt;1,0,1)</f>
        <v>1</v>
      </c>
    </row>
    <row r="1778" spans="1:16" x14ac:dyDescent="0.35">
      <c r="A1778" t="s">
        <v>161</v>
      </c>
      <c r="B1778">
        <v>2017</v>
      </c>
      <c r="C1778" s="1" t="s">
        <v>37</v>
      </c>
      <c r="D1778" s="6">
        <v>1.1000000000000001</v>
      </c>
      <c r="E1778" s="6">
        <f>INT(Table2[[#This Row],[Transect]])</f>
        <v>1</v>
      </c>
      <c r="F1778" s="1" t="s">
        <v>11</v>
      </c>
      <c r="G1778">
        <v>4</v>
      </c>
      <c r="H1778">
        <f t="shared" si="12"/>
        <v>180</v>
      </c>
      <c r="I1778">
        <v>90</v>
      </c>
      <c r="J1778">
        <f>Table2[[#This Row],[Hits]]/Table2[[#This Row],[Points]]*100</f>
        <v>2.2222222222222223</v>
      </c>
      <c r="K1778">
        <f>VLOOKUP(Table2[[#This Row],[Site]],'Site Info'!$A$1:$C$11,2, FALSE)</f>
        <v>17.7</v>
      </c>
      <c r="L1778">
        <f>VLOOKUP(Table2[[#This Row],[Site]],'Site Info'!$A$1:$C$11,3, FALSE)</f>
        <v>10</v>
      </c>
      <c r="M1778" t="str">
        <f>VLOOKUP(Table2[[#This Row],[Species]],'Species Table'!$A$1:$D$68,3, FALSE)</f>
        <v>Perennial</v>
      </c>
      <c r="O1778" s="15">
        <f>IF(SUMPRODUCT(($A$2:$A1778=A1778)*($B$2:$B1778=B1778)*($F$2:$F1778=F1778))&gt;1,0,1)</f>
        <v>0</v>
      </c>
      <c r="P1778" s="15">
        <f>IF(SUMPRODUCT(($A$2:$A1778=A1778)*($B$2:$B1778=B1778)*($D$2:$D1778=D1778))&gt;1,0,1)</f>
        <v>0</v>
      </c>
    </row>
    <row r="1779" spans="1:16" hidden="1" x14ac:dyDescent="0.35">
      <c r="A1779" t="s">
        <v>161</v>
      </c>
      <c r="B1779">
        <v>2017</v>
      </c>
      <c r="C1779" s="1" t="s">
        <v>163</v>
      </c>
      <c r="D1779" s="7" t="s">
        <v>167</v>
      </c>
      <c r="E1779" s="6">
        <f>INT(Table2[[#This Row],[Transect]])</f>
        <v>2</v>
      </c>
      <c r="F1779" s="1" t="s">
        <v>10</v>
      </c>
      <c r="G1779">
        <v>13</v>
      </c>
      <c r="H1779">
        <f t="shared" si="12"/>
        <v>200</v>
      </c>
      <c r="I1779">
        <v>100</v>
      </c>
      <c r="J1779">
        <f>Table2[[#This Row],[Hits]]/Table2[[#This Row],[Points]]*100</f>
        <v>6.5</v>
      </c>
      <c r="K1779">
        <f>VLOOKUP(Table2[[#This Row],[Site]],'Site Info'!$A$1:$C$11,2, FALSE)</f>
        <v>17.7</v>
      </c>
      <c r="L1779">
        <f>VLOOKUP(Table2[[#This Row],[Site]],'Site Info'!$A$1:$C$11,3, FALSE)</f>
        <v>10</v>
      </c>
      <c r="M1779" t="str">
        <f>VLOOKUP(Table2[[#This Row],[Species]],'Species Table'!$A$1:$D$68,3, FALSE)</f>
        <v>Annual</v>
      </c>
      <c r="O1779" s="15">
        <f>IF(SUMPRODUCT(($A$2:$A1779=A1779)*($B$2:$B1779=B1779)*($F$2:$F1779=F1779))&gt;1,0,1)</f>
        <v>0</v>
      </c>
      <c r="P1779" s="15">
        <f>IF(SUMPRODUCT(($A$2:$A1779=A1779)*($B$2:$B1779=B1779)*($D$2:$D1779=D1779))&gt;1,0,1)</f>
        <v>1</v>
      </c>
    </row>
    <row r="1780" spans="1:16" x14ac:dyDescent="0.35">
      <c r="A1780" t="s">
        <v>161</v>
      </c>
      <c r="B1780">
        <v>2017</v>
      </c>
      <c r="C1780" s="1" t="s">
        <v>163</v>
      </c>
      <c r="D1780" s="7" t="s">
        <v>167</v>
      </c>
      <c r="E1780" s="6">
        <f>INT(Table2[[#This Row],[Transect]])</f>
        <v>2</v>
      </c>
      <c r="F1780" s="1" t="s">
        <v>11</v>
      </c>
      <c r="G1780">
        <v>4</v>
      </c>
      <c r="H1780">
        <f t="shared" si="12"/>
        <v>200</v>
      </c>
      <c r="I1780">
        <v>100</v>
      </c>
      <c r="J1780">
        <f>Table2[[#This Row],[Hits]]/Table2[[#This Row],[Points]]*100</f>
        <v>2</v>
      </c>
      <c r="K1780">
        <f>VLOOKUP(Table2[[#This Row],[Site]],'Site Info'!$A$1:$C$11,2, FALSE)</f>
        <v>17.7</v>
      </c>
      <c r="L1780">
        <f>VLOOKUP(Table2[[#This Row],[Site]],'Site Info'!$A$1:$C$11,3, FALSE)</f>
        <v>10</v>
      </c>
      <c r="M1780" t="str">
        <f>VLOOKUP(Table2[[#This Row],[Species]],'Species Table'!$A$1:$D$68,3, FALSE)</f>
        <v>Perennial</v>
      </c>
      <c r="O1780" s="15">
        <f>IF(SUMPRODUCT(($A$2:$A1780=A1780)*($B$2:$B1780=B1780)*($F$2:$F1780=F1780))&gt;1,0,1)</f>
        <v>0</v>
      </c>
      <c r="P1780" s="15">
        <f>IF(SUMPRODUCT(($A$2:$A1780=A1780)*($B$2:$B1780=B1780)*($D$2:$D1780=D1780))&gt;1,0,1)</f>
        <v>0</v>
      </c>
    </row>
    <row r="1781" spans="1:16" x14ac:dyDescent="0.35">
      <c r="A1781" t="s">
        <v>161</v>
      </c>
      <c r="B1781">
        <v>2017</v>
      </c>
      <c r="C1781" s="1" t="s">
        <v>43</v>
      </c>
      <c r="D1781" s="7">
        <v>2.1</v>
      </c>
      <c r="E1781" s="6">
        <f>INT(Table2[[#This Row],[Transect]])</f>
        <v>2</v>
      </c>
      <c r="F1781" s="1" t="s">
        <v>11</v>
      </c>
      <c r="G1781">
        <v>15</v>
      </c>
      <c r="H1781">
        <f t="shared" si="12"/>
        <v>149</v>
      </c>
      <c r="I1781">
        <v>74.5</v>
      </c>
      <c r="J1781">
        <f>Table2[[#This Row],[Hits]]/Table2[[#This Row],[Points]]*100</f>
        <v>10.067114093959731</v>
      </c>
      <c r="K1781">
        <f>VLOOKUP(Table2[[#This Row],[Site]],'Site Info'!$A$1:$C$11,2, FALSE)</f>
        <v>17.7</v>
      </c>
      <c r="L1781">
        <f>VLOOKUP(Table2[[#This Row],[Site]],'Site Info'!$A$1:$C$11,3, FALSE)</f>
        <v>10</v>
      </c>
      <c r="M1781" t="str">
        <f>VLOOKUP(Table2[[#This Row],[Species]],'Species Table'!$A$1:$D$68,3, FALSE)</f>
        <v>Perennial</v>
      </c>
      <c r="O1781" s="15">
        <f>IF(SUMPRODUCT(($A$2:$A1781=A1781)*($B$2:$B1781=B1781)*($F$2:$F1781=F1781))&gt;1,0,1)</f>
        <v>0</v>
      </c>
      <c r="P1781" s="15">
        <f>IF(SUMPRODUCT(($A$2:$A1781=A1781)*($B$2:$B1781=B1781)*($D$2:$D1781=D1781))&gt;1,0,1)</f>
        <v>1</v>
      </c>
    </row>
    <row r="1782" spans="1:16" hidden="1" x14ac:dyDescent="0.35">
      <c r="A1782" t="s">
        <v>161</v>
      </c>
      <c r="B1782">
        <v>2017</v>
      </c>
      <c r="C1782" s="1" t="s">
        <v>43</v>
      </c>
      <c r="D1782" s="7">
        <v>2.1</v>
      </c>
      <c r="E1782" s="6">
        <f>INT(Table2[[#This Row],[Transect]])</f>
        <v>2</v>
      </c>
      <c r="F1782" s="1" t="s">
        <v>10</v>
      </c>
      <c r="G1782">
        <v>6</v>
      </c>
      <c r="H1782">
        <f t="shared" si="12"/>
        <v>149</v>
      </c>
      <c r="I1782">
        <v>74.5</v>
      </c>
      <c r="J1782">
        <f>Table2[[#This Row],[Hits]]/Table2[[#This Row],[Points]]*100</f>
        <v>4.0268456375838921</v>
      </c>
      <c r="K1782">
        <f>VLOOKUP(Table2[[#This Row],[Site]],'Site Info'!$A$1:$C$11,2, FALSE)</f>
        <v>17.7</v>
      </c>
      <c r="L1782">
        <f>VLOOKUP(Table2[[#This Row],[Site]],'Site Info'!$A$1:$C$11,3, FALSE)</f>
        <v>10</v>
      </c>
      <c r="M1782" t="str">
        <f>VLOOKUP(Table2[[#This Row],[Species]],'Species Table'!$A$1:$D$68,3, FALSE)</f>
        <v>Annual</v>
      </c>
      <c r="O1782" s="15">
        <f>IF(SUMPRODUCT(($A$2:$A1782=A1782)*($B$2:$B1782=B1782)*($F$2:$F1782=F1782))&gt;1,0,1)</f>
        <v>0</v>
      </c>
      <c r="P1782" s="15">
        <f>IF(SUMPRODUCT(($A$2:$A1782=A1782)*($B$2:$B1782=B1782)*($D$2:$D1782=D1782))&gt;1,0,1)</f>
        <v>0</v>
      </c>
    </row>
    <row r="1783" spans="1:16" hidden="1" x14ac:dyDescent="0.35">
      <c r="A1783" t="s">
        <v>161</v>
      </c>
      <c r="B1783">
        <v>2017</v>
      </c>
      <c r="C1783" s="1" t="s">
        <v>164</v>
      </c>
      <c r="D1783" s="7" t="s">
        <v>168</v>
      </c>
      <c r="E1783" s="6">
        <f>INT(Table2[[#This Row],[Transect]])</f>
        <v>3</v>
      </c>
      <c r="F1783" s="1" t="s">
        <v>10</v>
      </c>
      <c r="G1783">
        <v>32</v>
      </c>
      <c r="H1783">
        <f t="shared" si="12"/>
        <v>200</v>
      </c>
      <c r="I1783">
        <v>100</v>
      </c>
      <c r="J1783">
        <f>Table2[[#This Row],[Hits]]/Table2[[#This Row],[Points]]*100</f>
        <v>16</v>
      </c>
      <c r="K1783">
        <f>VLOOKUP(Table2[[#This Row],[Site]],'Site Info'!$A$1:$C$11,2, FALSE)</f>
        <v>17.7</v>
      </c>
      <c r="L1783">
        <f>VLOOKUP(Table2[[#This Row],[Site]],'Site Info'!$A$1:$C$11,3, FALSE)</f>
        <v>10</v>
      </c>
      <c r="M1783" t="str">
        <f>VLOOKUP(Table2[[#This Row],[Species]],'Species Table'!$A$1:$D$68,3, FALSE)</f>
        <v>Annual</v>
      </c>
      <c r="O1783" s="15">
        <f>IF(SUMPRODUCT(($A$2:$A1783=A1783)*($B$2:$B1783=B1783)*($F$2:$F1783=F1783))&gt;1,0,1)</f>
        <v>0</v>
      </c>
      <c r="P1783" s="15">
        <f>IF(SUMPRODUCT(($A$2:$A1783=A1783)*($B$2:$B1783=B1783)*($D$2:$D1783=D1783))&gt;1,0,1)</f>
        <v>1</v>
      </c>
    </row>
    <row r="1784" spans="1:16" hidden="1" x14ac:dyDescent="0.35">
      <c r="A1784" t="s">
        <v>161</v>
      </c>
      <c r="B1784">
        <v>2017</v>
      </c>
      <c r="C1784" s="1" t="s">
        <v>50</v>
      </c>
      <c r="D1784" s="7">
        <v>3.1</v>
      </c>
      <c r="E1784" s="6">
        <f>INT(Table2[[#This Row],[Transect]])</f>
        <v>3</v>
      </c>
      <c r="F1784" s="1" t="s">
        <v>10</v>
      </c>
      <c r="G1784">
        <v>27</v>
      </c>
      <c r="H1784">
        <f t="shared" si="12"/>
        <v>119</v>
      </c>
      <c r="I1784">
        <v>59.5</v>
      </c>
      <c r="J1784">
        <f>Table2[[#This Row],[Hits]]/Table2[[#This Row],[Points]]*100</f>
        <v>22.689075630252102</v>
      </c>
      <c r="K1784">
        <f>VLOOKUP(Table2[[#This Row],[Site]],'Site Info'!$A$1:$C$11,2, FALSE)</f>
        <v>17.7</v>
      </c>
      <c r="L1784">
        <f>VLOOKUP(Table2[[#This Row],[Site]],'Site Info'!$A$1:$C$11,3, FALSE)</f>
        <v>10</v>
      </c>
      <c r="M1784" t="str">
        <f>VLOOKUP(Table2[[#This Row],[Species]],'Species Table'!$A$1:$D$68,3, FALSE)</f>
        <v>Annual</v>
      </c>
      <c r="O1784" s="15">
        <f>IF(SUMPRODUCT(($A$2:$A1784=A1784)*($B$2:$B1784=B1784)*($F$2:$F1784=F1784))&gt;1,0,1)</f>
        <v>0</v>
      </c>
      <c r="P1784" s="15">
        <f>IF(SUMPRODUCT(($A$2:$A1784=A1784)*($B$2:$B1784=B1784)*($D$2:$D1784=D1784))&gt;1,0,1)</f>
        <v>1</v>
      </c>
    </row>
    <row r="1785" spans="1:16" hidden="1" x14ac:dyDescent="0.35">
      <c r="A1785" t="s">
        <v>161</v>
      </c>
      <c r="B1785">
        <v>2017</v>
      </c>
      <c r="C1785" s="1" t="s">
        <v>165</v>
      </c>
      <c r="D1785" s="7" t="s">
        <v>169</v>
      </c>
      <c r="E1785" s="6">
        <f>INT(Table2[[#This Row],[Transect]])</f>
        <v>4</v>
      </c>
      <c r="F1785" s="1" t="s">
        <v>10</v>
      </c>
      <c r="G1785">
        <v>47</v>
      </c>
      <c r="H1785">
        <f t="shared" si="12"/>
        <v>200</v>
      </c>
      <c r="I1785">
        <v>100</v>
      </c>
      <c r="J1785">
        <f>Table2[[#This Row],[Hits]]/Table2[[#This Row],[Points]]*100</f>
        <v>23.5</v>
      </c>
      <c r="K1785">
        <f>VLOOKUP(Table2[[#This Row],[Site]],'Site Info'!$A$1:$C$11,2, FALSE)</f>
        <v>17.7</v>
      </c>
      <c r="L1785">
        <f>VLOOKUP(Table2[[#This Row],[Site]],'Site Info'!$A$1:$C$11,3, FALSE)</f>
        <v>10</v>
      </c>
      <c r="M1785" t="str">
        <f>VLOOKUP(Table2[[#This Row],[Species]],'Species Table'!$A$1:$D$68,3, FALSE)</f>
        <v>Annual</v>
      </c>
      <c r="O1785" s="15">
        <f>IF(SUMPRODUCT(($A$2:$A1785=A1785)*($B$2:$B1785=B1785)*($F$2:$F1785=F1785))&gt;1,0,1)</f>
        <v>0</v>
      </c>
      <c r="P1785" s="15">
        <f>IF(SUMPRODUCT(($A$2:$A1785=A1785)*($B$2:$B1785=B1785)*($D$2:$D1785=D1785))&gt;1,0,1)</f>
        <v>1</v>
      </c>
    </row>
    <row r="1786" spans="1:16" x14ac:dyDescent="0.35">
      <c r="A1786" t="s">
        <v>161</v>
      </c>
      <c r="B1786">
        <v>2017</v>
      </c>
      <c r="C1786" s="1" t="s">
        <v>165</v>
      </c>
      <c r="D1786" s="7" t="s">
        <v>169</v>
      </c>
      <c r="E1786" s="6">
        <f>INT(Table2[[#This Row],[Transect]])</f>
        <v>4</v>
      </c>
      <c r="F1786" s="1" t="s">
        <v>11</v>
      </c>
      <c r="G1786">
        <v>1</v>
      </c>
      <c r="H1786">
        <f t="shared" si="12"/>
        <v>200</v>
      </c>
      <c r="I1786">
        <v>100</v>
      </c>
      <c r="J1786">
        <f>Table2[[#This Row],[Hits]]/Table2[[#This Row],[Points]]*100</f>
        <v>0.5</v>
      </c>
      <c r="K1786">
        <f>VLOOKUP(Table2[[#This Row],[Site]],'Site Info'!$A$1:$C$11,2, FALSE)</f>
        <v>17.7</v>
      </c>
      <c r="L1786">
        <f>VLOOKUP(Table2[[#This Row],[Site]],'Site Info'!$A$1:$C$11,3, FALSE)</f>
        <v>10</v>
      </c>
      <c r="M1786" t="str">
        <f>VLOOKUP(Table2[[#This Row],[Species]],'Species Table'!$A$1:$D$68,3, FALSE)</f>
        <v>Perennial</v>
      </c>
      <c r="O1786" s="15">
        <f>IF(SUMPRODUCT(($A$2:$A1786=A1786)*($B$2:$B1786=B1786)*($F$2:$F1786=F1786))&gt;1,0,1)</f>
        <v>0</v>
      </c>
      <c r="P1786" s="15">
        <f>IF(SUMPRODUCT(($A$2:$A1786=A1786)*($B$2:$B1786=B1786)*($D$2:$D1786=D1786))&gt;1,0,1)</f>
        <v>0</v>
      </c>
    </row>
    <row r="1787" spans="1:16" hidden="1" x14ac:dyDescent="0.35">
      <c r="A1787" t="s">
        <v>161</v>
      </c>
      <c r="B1787">
        <v>2017</v>
      </c>
      <c r="C1787" s="1" t="s">
        <v>55</v>
      </c>
      <c r="D1787" s="7">
        <v>4.0999999999999996</v>
      </c>
      <c r="E1787" s="6">
        <f>INT(Table2[[#This Row],[Transect]])</f>
        <v>4</v>
      </c>
      <c r="F1787" s="1" t="s">
        <v>10</v>
      </c>
      <c r="G1787">
        <v>17</v>
      </c>
      <c r="H1787">
        <f t="shared" si="12"/>
        <v>92</v>
      </c>
      <c r="I1787">
        <v>46</v>
      </c>
      <c r="J1787">
        <f>Table2[[#This Row],[Hits]]/Table2[[#This Row],[Points]]*100</f>
        <v>18.478260869565215</v>
      </c>
      <c r="K1787">
        <f>VLOOKUP(Table2[[#This Row],[Site]],'Site Info'!$A$1:$C$11,2, FALSE)</f>
        <v>17.7</v>
      </c>
      <c r="L1787">
        <f>VLOOKUP(Table2[[#This Row],[Site]],'Site Info'!$A$1:$C$11,3, FALSE)</f>
        <v>10</v>
      </c>
      <c r="M1787" t="str">
        <f>VLOOKUP(Table2[[#This Row],[Species]],'Species Table'!$A$1:$D$68,3, FALSE)</f>
        <v>Annual</v>
      </c>
      <c r="O1787" s="15">
        <f>IF(SUMPRODUCT(($A$2:$A1787=A1787)*($B$2:$B1787=B1787)*($F$2:$F1787=F1787))&gt;1,0,1)</f>
        <v>0</v>
      </c>
      <c r="P1787" s="15">
        <f>IF(SUMPRODUCT(($A$2:$A1787=A1787)*($B$2:$B1787=B1787)*($D$2:$D1787=D1787))&gt;1,0,1)</f>
        <v>1</v>
      </c>
    </row>
    <row r="1788" spans="1:16" x14ac:dyDescent="0.35">
      <c r="A1788" t="s">
        <v>105</v>
      </c>
      <c r="B1788">
        <v>2017</v>
      </c>
      <c r="C1788" s="1" t="s">
        <v>37</v>
      </c>
      <c r="D1788" s="6">
        <v>1.1000000000000001</v>
      </c>
      <c r="E1788" s="6">
        <f>INT(Table2[[#This Row],[Transect]])</f>
        <v>1</v>
      </c>
      <c r="F1788" s="1" t="s">
        <v>6</v>
      </c>
      <c r="G1788">
        <v>46</v>
      </c>
      <c r="H1788">
        <f t="shared" si="12"/>
        <v>200</v>
      </c>
      <c r="I1788">
        <v>100</v>
      </c>
      <c r="J1788">
        <f>Table2[[#This Row],[Hits]]/Table2[[#This Row],[Points]]*100</f>
        <v>23</v>
      </c>
      <c r="K1788">
        <f>VLOOKUP(Table2[[#This Row],[Site]],'Site Info'!$A$1:$C$11,2, FALSE)</f>
        <v>17</v>
      </c>
      <c r="L1788">
        <f>VLOOKUP(Table2[[#This Row],[Site]],'Site Info'!$A$1:$C$11,3, FALSE)</f>
        <v>4</v>
      </c>
      <c r="M1788" t="str">
        <f>VLOOKUP(Table2[[#This Row],[Species]],'Species Table'!$A$1:$D$68,3, FALSE)</f>
        <v>Perennial</v>
      </c>
      <c r="O1788" s="15">
        <f>IF(SUMPRODUCT(($A$2:$A1788=A1788)*($B$2:$B1788=B1788)*($F$2:$F1788=F1788))&gt;1,0,1)</f>
        <v>1</v>
      </c>
      <c r="P1788" s="15">
        <f>IF(SUMPRODUCT(($A$2:$A1788=A1788)*($B$2:$B1788=B1788)*($D$2:$D1788=D1788))&gt;1,0,1)</f>
        <v>1</v>
      </c>
    </row>
    <row r="1789" spans="1:16" x14ac:dyDescent="0.35">
      <c r="A1789" t="s">
        <v>105</v>
      </c>
      <c r="B1789">
        <v>2017</v>
      </c>
      <c r="C1789" s="1" t="s">
        <v>38</v>
      </c>
      <c r="D1789" s="6">
        <v>1.2</v>
      </c>
      <c r="E1789" s="6">
        <f>INT(Table2[[#This Row],[Transect]])</f>
        <v>1</v>
      </c>
      <c r="F1789" s="1" t="s">
        <v>6</v>
      </c>
      <c r="G1789">
        <v>5</v>
      </c>
      <c r="H1789">
        <f t="shared" si="12"/>
        <v>200</v>
      </c>
      <c r="I1789">
        <v>100</v>
      </c>
      <c r="J1789">
        <f>Table2[[#This Row],[Hits]]/Table2[[#This Row],[Points]]*100</f>
        <v>2.5</v>
      </c>
      <c r="K1789">
        <f>VLOOKUP(Table2[[#This Row],[Site]],'Site Info'!$A$1:$C$11,2, FALSE)</f>
        <v>17</v>
      </c>
      <c r="L1789">
        <f>VLOOKUP(Table2[[#This Row],[Site]],'Site Info'!$A$1:$C$11,3, FALSE)</f>
        <v>4</v>
      </c>
      <c r="M1789" t="str">
        <f>VLOOKUP(Table2[[#This Row],[Species]],'Species Table'!$A$1:$D$68,3, FALSE)</f>
        <v>Perennial</v>
      </c>
      <c r="O1789" s="15">
        <f>IF(SUMPRODUCT(($A$2:$A1789=A1789)*($B$2:$B1789=B1789)*($F$2:$F1789=F1789))&gt;1,0,1)</f>
        <v>0</v>
      </c>
      <c r="P1789" s="15">
        <f>IF(SUMPRODUCT(($A$2:$A1789=A1789)*($B$2:$B1789=B1789)*($D$2:$D1789=D1789))&gt;1,0,1)</f>
        <v>1</v>
      </c>
    </row>
    <row r="1790" spans="1:16" hidden="1" x14ac:dyDescent="0.35">
      <c r="A1790" t="s">
        <v>105</v>
      </c>
      <c r="B1790">
        <v>2017</v>
      </c>
      <c r="C1790" s="1" t="s">
        <v>38</v>
      </c>
      <c r="D1790" s="6">
        <v>1.2</v>
      </c>
      <c r="E1790" s="6">
        <f>INT(Table2[[#This Row],[Transect]])</f>
        <v>1</v>
      </c>
      <c r="F1790" s="1" t="s">
        <v>10</v>
      </c>
      <c r="G1790">
        <v>30</v>
      </c>
      <c r="H1790">
        <f t="shared" si="12"/>
        <v>200</v>
      </c>
      <c r="I1790">
        <v>100</v>
      </c>
      <c r="J1790">
        <f>Table2[[#This Row],[Hits]]/Table2[[#This Row],[Points]]*100</f>
        <v>15</v>
      </c>
      <c r="K1790">
        <f>VLOOKUP(Table2[[#This Row],[Site]],'Site Info'!$A$1:$C$11,2, FALSE)</f>
        <v>17</v>
      </c>
      <c r="L1790">
        <f>VLOOKUP(Table2[[#This Row],[Site]],'Site Info'!$A$1:$C$11,3, FALSE)</f>
        <v>4</v>
      </c>
      <c r="M1790" t="str">
        <f>VLOOKUP(Table2[[#This Row],[Species]],'Species Table'!$A$1:$D$68,3, FALSE)</f>
        <v>Annual</v>
      </c>
      <c r="O1790" s="15">
        <f>IF(SUMPRODUCT(($A$2:$A1790=A1790)*($B$2:$B1790=B1790)*($F$2:$F1790=F1790))&gt;1,0,1)</f>
        <v>1</v>
      </c>
      <c r="P1790" s="15">
        <f>IF(SUMPRODUCT(($A$2:$A1790=A1790)*($B$2:$B1790=B1790)*($D$2:$D1790=D1790))&gt;1,0,1)</f>
        <v>0</v>
      </c>
    </row>
    <row r="1791" spans="1:16" x14ac:dyDescent="0.35">
      <c r="A1791" t="s">
        <v>105</v>
      </c>
      <c r="B1791">
        <v>2017</v>
      </c>
      <c r="C1791" s="1" t="s">
        <v>38</v>
      </c>
      <c r="D1791" s="6">
        <v>1.2</v>
      </c>
      <c r="E1791" s="6">
        <f>INT(Table2[[#This Row],[Transect]])</f>
        <v>1</v>
      </c>
      <c r="F1791" s="1" t="s">
        <v>11</v>
      </c>
      <c r="G1791">
        <v>4</v>
      </c>
      <c r="H1791">
        <f t="shared" si="12"/>
        <v>200</v>
      </c>
      <c r="I1791">
        <v>100</v>
      </c>
      <c r="J1791">
        <f>Table2[[#This Row],[Hits]]/Table2[[#This Row],[Points]]*100</f>
        <v>2</v>
      </c>
      <c r="K1791">
        <f>VLOOKUP(Table2[[#This Row],[Site]],'Site Info'!$A$1:$C$11,2, FALSE)</f>
        <v>17</v>
      </c>
      <c r="L1791">
        <f>VLOOKUP(Table2[[#This Row],[Site]],'Site Info'!$A$1:$C$11,3, FALSE)</f>
        <v>4</v>
      </c>
      <c r="M1791" t="str">
        <f>VLOOKUP(Table2[[#This Row],[Species]],'Species Table'!$A$1:$D$68,3, FALSE)</f>
        <v>Perennial</v>
      </c>
      <c r="O1791" s="15">
        <f>IF(SUMPRODUCT(($A$2:$A1791=A1791)*($B$2:$B1791=B1791)*($F$2:$F1791=F1791))&gt;1,0,1)</f>
        <v>1</v>
      </c>
      <c r="P1791" s="15">
        <f>IF(SUMPRODUCT(($A$2:$A1791=A1791)*($B$2:$B1791=B1791)*($D$2:$D1791=D1791))&gt;1,0,1)</f>
        <v>0</v>
      </c>
    </row>
    <row r="1792" spans="1:16" hidden="1" x14ac:dyDescent="0.35">
      <c r="A1792" t="s">
        <v>105</v>
      </c>
      <c r="B1792">
        <v>2017</v>
      </c>
      <c r="C1792" s="1" t="s">
        <v>83</v>
      </c>
      <c r="D1792" s="6">
        <v>1.3</v>
      </c>
      <c r="E1792" s="6">
        <f>INT(Table2[[#This Row],[Transect]])</f>
        <v>1</v>
      </c>
      <c r="F1792" s="1" t="s">
        <v>10</v>
      </c>
      <c r="G1792">
        <v>23</v>
      </c>
      <c r="H1792">
        <f t="shared" si="12"/>
        <v>200</v>
      </c>
      <c r="I1792">
        <v>100</v>
      </c>
      <c r="J1792">
        <f>Table2[[#This Row],[Hits]]/Table2[[#This Row],[Points]]*100</f>
        <v>11.5</v>
      </c>
      <c r="K1792">
        <f>VLOOKUP(Table2[[#This Row],[Site]],'Site Info'!$A$1:$C$11,2, FALSE)</f>
        <v>17</v>
      </c>
      <c r="L1792">
        <f>VLOOKUP(Table2[[#This Row],[Site]],'Site Info'!$A$1:$C$11,3, FALSE)</f>
        <v>4</v>
      </c>
      <c r="M1792" t="str">
        <f>VLOOKUP(Table2[[#This Row],[Species]],'Species Table'!$A$1:$D$68,3, FALSE)</f>
        <v>Annual</v>
      </c>
      <c r="O1792" s="15">
        <f>IF(SUMPRODUCT(($A$2:$A1792=A1792)*($B$2:$B1792=B1792)*($F$2:$F1792=F1792))&gt;1,0,1)</f>
        <v>0</v>
      </c>
      <c r="P1792" s="15">
        <f>IF(SUMPRODUCT(($A$2:$A1792=A1792)*($B$2:$B1792=B1792)*($D$2:$D1792=D1792))&gt;1,0,1)</f>
        <v>1</v>
      </c>
    </row>
    <row r="1793" spans="1:16" x14ac:dyDescent="0.35">
      <c r="A1793" t="s">
        <v>105</v>
      </c>
      <c r="B1793">
        <v>2017</v>
      </c>
      <c r="C1793" s="1" t="s">
        <v>83</v>
      </c>
      <c r="D1793" s="6">
        <v>1.3</v>
      </c>
      <c r="E1793" s="6">
        <f>INT(Table2[[#This Row],[Transect]])</f>
        <v>1</v>
      </c>
      <c r="F1793" s="1" t="s">
        <v>11</v>
      </c>
      <c r="G1793">
        <v>5</v>
      </c>
      <c r="H1793">
        <f t="shared" si="12"/>
        <v>200</v>
      </c>
      <c r="I1793">
        <v>100</v>
      </c>
      <c r="J1793">
        <f>Table2[[#This Row],[Hits]]/Table2[[#This Row],[Points]]*100</f>
        <v>2.5</v>
      </c>
      <c r="K1793">
        <f>VLOOKUP(Table2[[#This Row],[Site]],'Site Info'!$A$1:$C$11,2, FALSE)</f>
        <v>17</v>
      </c>
      <c r="L1793">
        <f>VLOOKUP(Table2[[#This Row],[Site]],'Site Info'!$A$1:$C$11,3, FALSE)</f>
        <v>4</v>
      </c>
      <c r="M1793" t="str">
        <f>VLOOKUP(Table2[[#This Row],[Species]],'Species Table'!$A$1:$D$68,3, FALSE)</f>
        <v>Perennial</v>
      </c>
      <c r="O1793" s="15">
        <f>IF(SUMPRODUCT(($A$2:$A1793=A1793)*($B$2:$B1793=B1793)*($F$2:$F1793=F1793))&gt;1,0,1)</f>
        <v>0</v>
      </c>
      <c r="P1793" s="15">
        <f>IF(SUMPRODUCT(($A$2:$A1793=A1793)*($B$2:$B1793=B1793)*($D$2:$D1793=D1793))&gt;1,0,1)</f>
        <v>0</v>
      </c>
    </row>
    <row r="1794" spans="1:16" hidden="1" x14ac:dyDescent="0.35">
      <c r="A1794" t="s">
        <v>105</v>
      </c>
      <c r="B1794">
        <v>2017</v>
      </c>
      <c r="C1794" s="1" t="s">
        <v>83</v>
      </c>
      <c r="D1794" s="6">
        <v>1.3</v>
      </c>
      <c r="E1794" s="6">
        <f>INT(Table2[[#This Row],[Transect]])</f>
        <v>1</v>
      </c>
      <c r="F1794" s="1" t="s">
        <v>33</v>
      </c>
      <c r="G1794">
        <v>2</v>
      </c>
      <c r="H1794">
        <f t="shared" si="12"/>
        <v>200</v>
      </c>
      <c r="I1794">
        <v>100</v>
      </c>
      <c r="J1794">
        <f>Table2[[#This Row],[Hits]]/Table2[[#This Row],[Points]]*100</f>
        <v>1</v>
      </c>
      <c r="K1794">
        <f>VLOOKUP(Table2[[#This Row],[Site]],'Site Info'!$A$1:$C$11,2, FALSE)</f>
        <v>17</v>
      </c>
      <c r="L1794">
        <f>VLOOKUP(Table2[[#This Row],[Site]],'Site Info'!$A$1:$C$11,3, FALSE)</f>
        <v>4</v>
      </c>
      <c r="M1794" t="str">
        <f>VLOOKUP(Table2[[#This Row],[Species]],'Species Table'!$A$1:$D$68,3, FALSE)</f>
        <v>Annual</v>
      </c>
      <c r="O1794" s="15">
        <f>IF(SUMPRODUCT(($A$2:$A1794=A1794)*($B$2:$B1794=B1794)*($F$2:$F1794=F1794))&gt;1,0,1)</f>
        <v>1</v>
      </c>
      <c r="P1794" s="15">
        <f>IF(SUMPRODUCT(($A$2:$A1794=A1794)*($B$2:$B1794=B1794)*($D$2:$D1794=D1794))&gt;1,0,1)</f>
        <v>0</v>
      </c>
    </row>
    <row r="1795" spans="1:16" hidden="1" x14ac:dyDescent="0.35">
      <c r="A1795" t="s">
        <v>105</v>
      </c>
      <c r="B1795">
        <v>2017</v>
      </c>
      <c r="C1795" s="1" t="s">
        <v>39</v>
      </c>
      <c r="D1795" s="6">
        <v>1.4</v>
      </c>
      <c r="E1795" s="6">
        <f>INT(Table2[[#This Row],[Transect]])</f>
        <v>1</v>
      </c>
      <c r="F1795" s="1" t="s">
        <v>10</v>
      </c>
      <c r="G1795">
        <v>17</v>
      </c>
      <c r="H1795">
        <f t="shared" si="12"/>
        <v>200</v>
      </c>
      <c r="I1795">
        <v>100</v>
      </c>
      <c r="J1795">
        <f>Table2[[#This Row],[Hits]]/Table2[[#This Row],[Points]]*100</f>
        <v>8.5</v>
      </c>
      <c r="K1795">
        <f>VLOOKUP(Table2[[#This Row],[Site]],'Site Info'!$A$1:$C$11,2, FALSE)</f>
        <v>17</v>
      </c>
      <c r="L1795">
        <f>VLOOKUP(Table2[[#This Row],[Site]],'Site Info'!$A$1:$C$11,3, FALSE)</f>
        <v>4</v>
      </c>
      <c r="M1795" t="str">
        <f>VLOOKUP(Table2[[#This Row],[Species]],'Species Table'!$A$1:$D$68,3, FALSE)</f>
        <v>Annual</v>
      </c>
      <c r="O1795" s="15">
        <f>IF(SUMPRODUCT(($A$2:$A1795=A1795)*($B$2:$B1795=B1795)*($F$2:$F1795=F1795))&gt;1,0,1)</f>
        <v>0</v>
      </c>
      <c r="P1795" s="15">
        <f>IF(SUMPRODUCT(($A$2:$A1795=A1795)*($B$2:$B1795=B1795)*($D$2:$D1795=D1795))&gt;1,0,1)</f>
        <v>1</v>
      </c>
    </row>
    <row r="1796" spans="1:16" hidden="1" x14ac:dyDescent="0.35">
      <c r="A1796" t="s">
        <v>105</v>
      </c>
      <c r="B1796">
        <v>2017</v>
      </c>
      <c r="C1796" s="1" t="s">
        <v>39</v>
      </c>
      <c r="D1796" s="6">
        <v>1.4</v>
      </c>
      <c r="E1796" s="6">
        <f>INT(Table2[[#This Row],[Transect]])</f>
        <v>1</v>
      </c>
      <c r="F1796" s="1" t="s">
        <v>33</v>
      </c>
      <c r="G1796">
        <v>1</v>
      </c>
      <c r="H1796">
        <f t="shared" si="12"/>
        <v>200</v>
      </c>
      <c r="I1796">
        <v>100</v>
      </c>
      <c r="J1796">
        <f>Table2[[#This Row],[Hits]]/Table2[[#This Row],[Points]]*100</f>
        <v>0.5</v>
      </c>
      <c r="K1796">
        <f>VLOOKUP(Table2[[#This Row],[Site]],'Site Info'!$A$1:$C$11,2, FALSE)</f>
        <v>17</v>
      </c>
      <c r="L1796">
        <f>VLOOKUP(Table2[[#This Row],[Site]],'Site Info'!$A$1:$C$11,3, FALSE)</f>
        <v>4</v>
      </c>
      <c r="M1796" t="str">
        <f>VLOOKUP(Table2[[#This Row],[Species]],'Species Table'!$A$1:$D$68,3, FALSE)</f>
        <v>Annual</v>
      </c>
      <c r="O1796" s="15">
        <f>IF(SUMPRODUCT(($A$2:$A1796=A1796)*($B$2:$B1796=B1796)*($F$2:$F1796=F1796))&gt;1,0,1)</f>
        <v>0</v>
      </c>
      <c r="P1796" s="15">
        <f>IF(SUMPRODUCT(($A$2:$A1796=A1796)*($B$2:$B1796=B1796)*($D$2:$D1796=D1796))&gt;1,0,1)</f>
        <v>0</v>
      </c>
    </row>
    <row r="1797" spans="1:16" hidden="1" x14ac:dyDescent="0.35">
      <c r="A1797" t="s">
        <v>105</v>
      </c>
      <c r="B1797">
        <v>2017</v>
      </c>
      <c r="C1797" s="1" t="s">
        <v>40</v>
      </c>
      <c r="D1797" s="6">
        <v>1.5</v>
      </c>
      <c r="E1797" s="6">
        <f>INT(Table2[[#This Row],[Transect]])</f>
        <v>1</v>
      </c>
      <c r="F1797" s="1" t="s">
        <v>33</v>
      </c>
      <c r="G1797">
        <v>3</v>
      </c>
      <c r="H1797">
        <f t="shared" si="12"/>
        <v>200</v>
      </c>
      <c r="I1797">
        <v>100</v>
      </c>
      <c r="J1797">
        <f>Table2[[#This Row],[Hits]]/Table2[[#This Row],[Points]]*100</f>
        <v>1.5</v>
      </c>
      <c r="K1797">
        <f>VLOOKUP(Table2[[#This Row],[Site]],'Site Info'!$A$1:$C$11,2, FALSE)</f>
        <v>17</v>
      </c>
      <c r="L1797">
        <f>VLOOKUP(Table2[[#This Row],[Site]],'Site Info'!$A$1:$C$11,3, FALSE)</f>
        <v>4</v>
      </c>
      <c r="M1797" t="str">
        <f>VLOOKUP(Table2[[#This Row],[Species]],'Species Table'!$A$1:$D$68,3, FALSE)</f>
        <v>Annual</v>
      </c>
      <c r="O1797" s="15">
        <f>IF(SUMPRODUCT(($A$2:$A1797=A1797)*($B$2:$B1797=B1797)*($F$2:$F1797=F1797))&gt;1,0,1)</f>
        <v>0</v>
      </c>
      <c r="P1797" s="15">
        <f>IF(SUMPRODUCT(($A$2:$A1797=A1797)*($B$2:$B1797=B1797)*($D$2:$D1797=D1797))&gt;1,0,1)</f>
        <v>1</v>
      </c>
    </row>
    <row r="1798" spans="1:16" hidden="1" x14ac:dyDescent="0.35">
      <c r="A1798" t="s">
        <v>105</v>
      </c>
      <c r="B1798">
        <v>2017</v>
      </c>
      <c r="C1798" s="1" t="s">
        <v>40</v>
      </c>
      <c r="D1798" s="6">
        <v>1.5</v>
      </c>
      <c r="E1798" s="6">
        <f>INT(Table2[[#This Row],[Transect]])</f>
        <v>1</v>
      </c>
      <c r="F1798" s="1" t="s">
        <v>10</v>
      </c>
      <c r="G1798">
        <v>6</v>
      </c>
      <c r="H1798">
        <f t="shared" si="12"/>
        <v>200</v>
      </c>
      <c r="I1798">
        <v>100</v>
      </c>
      <c r="J1798">
        <f>Table2[[#This Row],[Hits]]/Table2[[#This Row],[Points]]*100</f>
        <v>3</v>
      </c>
      <c r="K1798">
        <f>VLOOKUP(Table2[[#This Row],[Site]],'Site Info'!$A$1:$C$11,2, FALSE)</f>
        <v>17</v>
      </c>
      <c r="L1798">
        <f>VLOOKUP(Table2[[#This Row],[Site]],'Site Info'!$A$1:$C$11,3, FALSE)</f>
        <v>4</v>
      </c>
      <c r="M1798" t="str">
        <f>VLOOKUP(Table2[[#This Row],[Species]],'Species Table'!$A$1:$D$68,3, FALSE)</f>
        <v>Annual</v>
      </c>
      <c r="O1798" s="15">
        <f>IF(SUMPRODUCT(($A$2:$A1798=A1798)*($B$2:$B1798=B1798)*($F$2:$F1798=F1798))&gt;1,0,1)</f>
        <v>0</v>
      </c>
      <c r="P1798" s="15">
        <f>IF(SUMPRODUCT(($A$2:$A1798=A1798)*($B$2:$B1798=B1798)*($D$2:$D1798=D1798))&gt;1,0,1)</f>
        <v>0</v>
      </c>
    </row>
    <row r="1799" spans="1:16" x14ac:dyDescent="0.35">
      <c r="A1799" t="s">
        <v>105</v>
      </c>
      <c r="B1799">
        <v>2017</v>
      </c>
      <c r="C1799" s="1" t="s">
        <v>40</v>
      </c>
      <c r="D1799" s="6">
        <v>1.5</v>
      </c>
      <c r="E1799" s="6">
        <f>INT(Table2[[#This Row],[Transect]])</f>
        <v>1</v>
      </c>
      <c r="F1799" s="1" t="s">
        <v>11</v>
      </c>
      <c r="G1799">
        <v>3</v>
      </c>
      <c r="H1799">
        <f t="shared" si="12"/>
        <v>200</v>
      </c>
      <c r="I1799">
        <v>100</v>
      </c>
      <c r="J1799">
        <f>Table2[[#This Row],[Hits]]/Table2[[#This Row],[Points]]*100</f>
        <v>1.5</v>
      </c>
      <c r="K1799">
        <f>VLOOKUP(Table2[[#This Row],[Site]],'Site Info'!$A$1:$C$11,2, FALSE)</f>
        <v>17</v>
      </c>
      <c r="L1799">
        <f>VLOOKUP(Table2[[#This Row],[Site]],'Site Info'!$A$1:$C$11,3, FALSE)</f>
        <v>4</v>
      </c>
      <c r="M1799" t="str">
        <f>VLOOKUP(Table2[[#This Row],[Species]],'Species Table'!$A$1:$D$68,3, FALSE)</f>
        <v>Perennial</v>
      </c>
      <c r="O1799" s="15">
        <f>IF(SUMPRODUCT(($A$2:$A1799=A1799)*($B$2:$B1799=B1799)*($F$2:$F1799=F1799))&gt;1,0,1)</f>
        <v>0</v>
      </c>
      <c r="P1799" s="15">
        <f>IF(SUMPRODUCT(($A$2:$A1799=A1799)*($B$2:$B1799=B1799)*($D$2:$D1799=D1799))&gt;1,0,1)</f>
        <v>0</v>
      </c>
    </row>
    <row r="1800" spans="1:16" x14ac:dyDescent="0.35">
      <c r="A1800" t="s">
        <v>105</v>
      </c>
      <c r="B1800">
        <v>2017</v>
      </c>
      <c r="C1800" s="1" t="s">
        <v>40</v>
      </c>
      <c r="D1800" s="6">
        <v>1.5</v>
      </c>
      <c r="E1800" s="6">
        <f>INT(Table2[[#This Row],[Transect]])</f>
        <v>1</v>
      </c>
      <c r="F1800" s="1" t="s">
        <v>31</v>
      </c>
      <c r="G1800">
        <v>3</v>
      </c>
      <c r="H1800">
        <f t="shared" si="12"/>
        <v>200</v>
      </c>
      <c r="I1800">
        <v>100</v>
      </c>
      <c r="J1800">
        <f>Table2[[#This Row],[Hits]]/Table2[[#This Row],[Points]]*100</f>
        <v>1.5</v>
      </c>
      <c r="K1800">
        <f>VLOOKUP(Table2[[#This Row],[Site]],'Site Info'!$A$1:$C$11,2, FALSE)</f>
        <v>17</v>
      </c>
      <c r="L1800">
        <f>VLOOKUP(Table2[[#This Row],[Site]],'Site Info'!$A$1:$C$11,3, FALSE)</f>
        <v>4</v>
      </c>
      <c r="M1800" t="str">
        <f>VLOOKUP(Table2[[#This Row],[Species]],'Species Table'!$A$1:$D$68,3, FALSE)</f>
        <v>Perennial</v>
      </c>
      <c r="O1800" s="15">
        <f>IF(SUMPRODUCT(($A$2:$A1800=A1800)*($B$2:$B1800=B1800)*($F$2:$F1800=F1800))&gt;1,0,1)</f>
        <v>1</v>
      </c>
      <c r="P1800" s="15">
        <f>IF(SUMPRODUCT(($A$2:$A1800=A1800)*($B$2:$B1800=B1800)*($D$2:$D1800=D1800))&gt;1,0,1)</f>
        <v>0</v>
      </c>
    </row>
    <row r="1801" spans="1:16" x14ac:dyDescent="0.35">
      <c r="A1801" t="s">
        <v>105</v>
      </c>
      <c r="B1801">
        <v>2017</v>
      </c>
      <c r="C1801" s="1" t="s">
        <v>100</v>
      </c>
      <c r="D1801" s="6">
        <v>1.6</v>
      </c>
      <c r="E1801" s="6">
        <f>INT(Table2[[#This Row],[Transect]])</f>
        <v>1</v>
      </c>
      <c r="F1801" s="1" t="s">
        <v>31</v>
      </c>
      <c r="G1801">
        <v>1</v>
      </c>
      <c r="H1801">
        <f t="shared" si="12"/>
        <v>168</v>
      </c>
      <c r="I1801">
        <v>84</v>
      </c>
      <c r="J1801">
        <f>Table2[[#This Row],[Hits]]/Table2[[#This Row],[Points]]*100</f>
        <v>0.59523809523809523</v>
      </c>
      <c r="K1801">
        <f>VLOOKUP(Table2[[#This Row],[Site]],'Site Info'!$A$1:$C$11,2, FALSE)</f>
        <v>17</v>
      </c>
      <c r="L1801">
        <f>VLOOKUP(Table2[[#This Row],[Site]],'Site Info'!$A$1:$C$11,3, FALSE)</f>
        <v>4</v>
      </c>
      <c r="M1801" t="str">
        <f>VLOOKUP(Table2[[#This Row],[Species]],'Species Table'!$A$1:$D$68,3, FALSE)</f>
        <v>Perennial</v>
      </c>
      <c r="O1801" s="15">
        <f>IF(SUMPRODUCT(($A$2:$A1801=A1801)*($B$2:$B1801=B1801)*($F$2:$F1801=F1801))&gt;1,0,1)</f>
        <v>0</v>
      </c>
      <c r="P1801" s="15">
        <f>IF(SUMPRODUCT(($A$2:$A1801=A1801)*($B$2:$B1801=B1801)*($D$2:$D1801=D1801))&gt;1,0,1)</f>
        <v>1</v>
      </c>
    </row>
    <row r="1802" spans="1:16" hidden="1" x14ac:dyDescent="0.35">
      <c r="A1802" t="s">
        <v>105</v>
      </c>
      <c r="B1802">
        <v>2017</v>
      </c>
      <c r="C1802" s="1" t="s">
        <v>100</v>
      </c>
      <c r="D1802" s="6">
        <v>1.6</v>
      </c>
      <c r="E1802" s="6">
        <f>INT(Table2[[#This Row],[Transect]])</f>
        <v>1</v>
      </c>
      <c r="F1802" s="1" t="s">
        <v>10</v>
      </c>
      <c r="G1802">
        <v>3</v>
      </c>
      <c r="H1802">
        <f t="shared" si="12"/>
        <v>168</v>
      </c>
      <c r="I1802">
        <v>84</v>
      </c>
      <c r="J1802">
        <f>Table2[[#This Row],[Hits]]/Table2[[#This Row],[Points]]*100</f>
        <v>1.7857142857142856</v>
      </c>
      <c r="K1802">
        <f>VLOOKUP(Table2[[#This Row],[Site]],'Site Info'!$A$1:$C$11,2, FALSE)</f>
        <v>17</v>
      </c>
      <c r="L1802">
        <f>VLOOKUP(Table2[[#This Row],[Site]],'Site Info'!$A$1:$C$11,3, FALSE)</f>
        <v>4</v>
      </c>
      <c r="M1802" t="str">
        <f>VLOOKUP(Table2[[#This Row],[Species]],'Species Table'!$A$1:$D$68,3, FALSE)</f>
        <v>Annual</v>
      </c>
      <c r="O1802" s="15">
        <f>IF(SUMPRODUCT(($A$2:$A1802=A1802)*($B$2:$B1802=B1802)*($F$2:$F1802=F1802))&gt;1,0,1)</f>
        <v>0</v>
      </c>
      <c r="P1802" s="15">
        <f>IF(SUMPRODUCT(($A$2:$A1802=A1802)*($B$2:$B1802=B1802)*($D$2:$D1802=D1802))&gt;1,0,1)</f>
        <v>0</v>
      </c>
    </row>
    <row r="1803" spans="1:16" x14ac:dyDescent="0.35">
      <c r="A1803" t="s">
        <v>105</v>
      </c>
      <c r="B1803">
        <v>2017</v>
      </c>
      <c r="C1803" s="1" t="s">
        <v>100</v>
      </c>
      <c r="D1803" s="6">
        <v>1.6</v>
      </c>
      <c r="E1803" s="6">
        <f>INT(Table2[[#This Row],[Transect]])</f>
        <v>1</v>
      </c>
      <c r="F1803" s="1" t="s">
        <v>11</v>
      </c>
      <c r="G1803">
        <v>5</v>
      </c>
      <c r="H1803">
        <f t="shared" si="12"/>
        <v>168</v>
      </c>
      <c r="I1803">
        <v>84</v>
      </c>
      <c r="J1803">
        <f>Table2[[#This Row],[Hits]]/Table2[[#This Row],[Points]]*100</f>
        <v>2.9761904761904758</v>
      </c>
      <c r="K1803">
        <f>VLOOKUP(Table2[[#This Row],[Site]],'Site Info'!$A$1:$C$11,2, FALSE)</f>
        <v>17</v>
      </c>
      <c r="L1803">
        <f>VLOOKUP(Table2[[#This Row],[Site]],'Site Info'!$A$1:$C$11,3, FALSE)</f>
        <v>4</v>
      </c>
      <c r="M1803" t="str">
        <f>VLOOKUP(Table2[[#This Row],[Species]],'Species Table'!$A$1:$D$68,3, FALSE)</f>
        <v>Perennial</v>
      </c>
      <c r="O1803" s="15">
        <f>IF(SUMPRODUCT(($A$2:$A1803=A1803)*($B$2:$B1803=B1803)*($F$2:$F1803=F1803))&gt;1,0,1)</f>
        <v>0</v>
      </c>
      <c r="P1803" s="15">
        <f>IF(SUMPRODUCT(($A$2:$A1803=A1803)*($B$2:$B1803=B1803)*($D$2:$D1803=D1803))&gt;1,0,1)</f>
        <v>0</v>
      </c>
    </row>
    <row r="1804" spans="1:16" hidden="1" x14ac:dyDescent="0.35">
      <c r="A1804" t="s">
        <v>105</v>
      </c>
      <c r="B1804">
        <v>2017</v>
      </c>
      <c r="C1804" s="1" t="s">
        <v>43</v>
      </c>
      <c r="D1804" s="6">
        <v>2.1</v>
      </c>
      <c r="E1804" s="6">
        <f>INT(Table2[[#This Row],[Transect]])</f>
        <v>2</v>
      </c>
      <c r="F1804" s="1" t="s">
        <v>10</v>
      </c>
      <c r="G1804">
        <v>3</v>
      </c>
      <c r="H1804">
        <f t="shared" si="12"/>
        <v>200</v>
      </c>
      <c r="I1804">
        <v>100</v>
      </c>
      <c r="J1804">
        <f>Table2[[#This Row],[Hits]]/Table2[[#This Row],[Points]]*100</f>
        <v>1.5</v>
      </c>
      <c r="K1804">
        <f>VLOOKUP(Table2[[#This Row],[Site]],'Site Info'!$A$1:$C$11,2, FALSE)</f>
        <v>17</v>
      </c>
      <c r="L1804">
        <f>VLOOKUP(Table2[[#This Row],[Site]],'Site Info'!$A$1:$C$11,3, FALSE)</f>
        <v>4</v>
      </c>
      <c r="M1804" t="str">
        <f>VLOOKUP(Table2[[#This Row],[Species]],'Species Table'!$A$1:$D$68,3, FALSE)</f>
        <v>Annual</v>
      </c>
      <c r="O1804" s="15">
        <f>IF(SUMPRODUCT(($A$2:$A1804=A1804)*($B$2:$B1804=B1804)*($F$2:$F1804=F1804))&gt;1,0,1)</f>
        <v>0</v>
      </c>
      <c r="P1804" s="15">
        <f>IF(SUMPRODUCT(($A$2:$A1804=A1804)*($B$2:$B1804=B1804)*($D$2:$D1804=D1804))&gt;1,0,1)</f>
        <v>1</v>
      </c>
    </row>
    <row r="1805" spans="1:16" x14ac:dyDescent="0.35">
      <c r="A1805" t="s">
        <v>105</v>
      </c>
      <c r="B1805">
        <v>2017</v>
      </c>
      <c r="C1805" s="1" t="s">
        <v>43</v>
      </c>
      <c r="D1805" s="6">
        <v>2.1</v>
      </c>
      <c r="E1805" s="6">
        <f>INT(Table2[[#This Row],[Transect]])</f>
        <v>2</v>
      </c>
      <c r="F1805" s="1" t="s">
        <v>12</v>
      </c>
      <c r="G1805">
        <v>5</v>
      </c>
      <c r="H1805">
        <f t="shared" si="12"/>
        <v>200</v>
      </c>
      <c r="I1805">
        <v>100</v>
      </c>
      <c r="J1805">
        <f>Table2[[#This Row],[Hits]]/Table2[[#This Row],[Points]]*100</f>
        <v>2.5</v>
      </c>
      <c r="K1805">
        <f>VLOOKUP(Table2[[#This Row],[Site]],'Site Info'!$A$1:$C$11,2, FALSE)</f>
        <v>17</v>
      </c>
      <c r="L1805">
        <f>VLOOKUP(Table2[[#This Row],[Site]],'Site Info'!$A$1:$C$11,3, FALSE)</f>
        <v>4</v>
      </c>
      <c r="M1805" t="str">
        <f>VLOOKUP(Table2[[#This Row],[Species]],'Species Table'!$A$1:$D$68,3, FALSE)</f>
        <v>Perennial</v>
      </c>
      <c r="O1805" s="15">
        <f>IF(SUMPRODUCT(($A$2:$A1805=A1805)*($B$2:$B1805=B1805)*($F$2:$F1805=F1805))&gt;1,0,1)</f>
        <v>1</v>
      </c>
      <c r="P1805" s="15">
        <f>IF(SUMPRODUCT(($A$2:$A1805=A1805)*($B$2:$B1805=B1805)*($D$2:$D1805=D1805))&gt;1,0,1)</f>
        <v>0</v>
      </c>
    </row>
    <row r="1806" spans="1:16" x14ac:dyDescent="0.35">
      <c r="A1806" t="s">
        <v>105</v>
      </c>
      <c r="B1806">
        <v>2017</v>
      </c>
      <c r="C1806" s="1" t="s">
        <v>43</v>
      </c>
      <c r="D1806" s="6">
        <v>2.1</v>
      </c>
      <c r="E1806" s="6">
        <f>INT(Table2[[#This Row],[Transect]])</f>
        <v>2</v>
      </c>
      <c r="F1806" s="1" t="s">
        <v>6</v>
      </c>
      <c r="G1806">
        <v>21</v>
      </c>
      <c r="H1806">
        <f t="shared" si="12"/>
        <v>200</v>
      </c>
      <c r="I1806">
        <v>100</v>
      </c>
      <c r="J1806">
        <f>Table2[[#This Row],[Hits]]/Table2[[#This Row],[Points]]*100</f>
        <v>10.5</v>
      </c>
      <c r="K1806">
        <f>VLOOKUP(Table2[[#This Row],[Site]],'Site Info'!$A$1:$C$11,2, FALSE)</f>
        <v>17</v>
      </c>
      <c r="L1806">
        <f>VLOOKUP(Table2[[#This Row],[Site]],'Site Info'!$A$1:$C$11,3, FALSE)</f>
        <v>4</v>
      </c>
      <c r="M1806" t="str">
        <f>VLOOKUP(Table2[[#This Row],[Species]],'Species Table'!$A$1:$D$68,3, FALSE)</f>
        <v>Perennial</v>
      </c>
      <c r="O1806" s="15">
        <f>IF(SUMPRODUCT(($A$2:$A1806=A1806)*($B$2:$B1806=B1806)*($F$2:$F1806=F1806))&gt;1,0,1)</f>
        <v>0</v>
      </c>
      <c r="P1806" s="15">
        <f>IF(SUMPRODUCT(($A$2:$A1806=A1806)*($B$2:$B1806=B1806)*($D$2:$D1806=D1806))&gt;1,0,1)</f>
        <v>0</v>
      </c>
    </row>
    <row r="1807" spans="1:16" x14ac:dyDescent="0.35">
      <c r="A1807" t="s">
        <v>105</v>
      </c>
      <c r="B1807">
        <v>2017</v>
      </c>
      <c r="C1807" s="1" t="s">
        <v>44</v>
      </c>
      <c r="D1807" s="6">
        <v>2.2000000000000002</v>
      </c>
      <c r="E1807" s="6">
        <f>INT(Table2[[#This Row],[Transect]])</f>
        <v>2</v>
      </c>
      <c r="F1807" s="1" t="s">
        <v>6</v>
      </c>
      <c r="G1807">
        <v>8</v>
      </c>
      <c r="H1807">
        <f t="shared" ref="H1807:H1859" si="13">I1807*2</f>
        <v>200</v>
      </c>
      <c r="I1807">
        <v>100</v>
      </c>
      <c r="J1807">
        <f>Table2[[#This Row],[Hits]]/Table2[[#This Row],[Points]]*100</f>
        <v>4</v>
      </c>
      <c r="K1807">
        <f>VLOOKUP(Table2[[#This Row],[Site]],'Site Info'!$A$1:$C$11,2, FALSE)</f>
        <v>17</v>
      </c>
      <c r="L1807">
        <f>VLOOKUP(Table2[[#This Row],[Site]],'Site Info'!$A$1:$C$11,3, FALSE)</f>
        <v>4</v>
      </c>
      <c r="M1807" t="str">
        <f>VLOOKUP(Table2[[#This Row],[Species]],'Species Table'!$A$1:$D$68,3, FALSE)</f>
        <v>Perennial</v>
      </c>
      <c r="O1807" s="15">
        <f>IF(SUMPRODUCT(($A$2:$A1807=A1807)*($B$2:$B1807=B1807)*($F$2:$F1807=F1807))&gt;1,0,1)</f>
        <v>0</v>
      </c>
      <c r="P1807" s="15">
        <f>IF(SUMPRODUCT(($A$2:$A1807=A1807)*($B$2:$B1807=B1807)*($D$2:$D1807=D1807))&gt;1,0,1)</f>
        <v>1</v>
      </c>
    </row>
    <row r="1808" spans="1:16" x14ac:dyDescent="0.35">
      <c r="A1808" t="s">
        <v>105</v>
      </c>
      <c r="B1808">
        <v>2017</v>
      </c>
      <c r="C1808" s="1" t="s">
        <v>44</v>
      </c>
      <c r="D1808" s="6">
        <v>2.2000000000000002</v>
      </c>
      <c r="E1808" s="6">
        <f>INT(Table2[[#This Row],[Transect]])</f>
        <v>2</v>
      </c>
      <c r="F1808" s="1" t="s">
        <v>3</v>
      </c>
      <c r="G1808">
        <v>1</v>
      </c>
      <c r="H1808">
        <f t="shared" si="13"/>
        <v>200</v>
      </c>
      <c r="I1808">
        <v>100</v>
      </c>
      <c r="J1808">
        <f>Table2[[#This Row],[Hits]]/Table2[[#This Row],[Points]]*100</f>
        <v>0.5</v>
      </c>
      <c r="K1808">
        <f>VLOOKUP(Table2[[#This Row],[Site]],'Site Info'!$A$1:$C$11,2, FALSE)</f>
        <v>17</v>
      </c>
      <c r="L1808">
        <f>VLOOKUP(Table2[[#This Row],[Site]],'Site Info'!$A$1:$C$11,3, FALSE)</f>
        <v>4</v>
      </c>
      <c r="M1808" t="str">
        <f>VLOOKUP(Table2[[#This Row],[Species]],'Species Table'!$A$1:$D$68,3, FALSE)</f>
        <v>Perennial</v>
      </c>
      <c r="O1808" s="15">
        <f>IF(SUMPRODUCT(($A$2:$A1808=A1808)*($B$2:$B1808=B1808)*($F$2:$F1808=F1808))&gt;1,0,1)</f>
        <v>1</v>
      </c>
      <c r="P1808" s="15">
        <f>IF(SUMPRODUCT(($A$2:$A1808=A1808)*($B$2:$B1808=B1808)*($D$2:$D1808=D1808))&gt;1,0,1)</f>
        <v>0</v>
      </c>
    </row>
    <row r="1809" spans="1:16" hidden="1" x14ac:dyDescent="0.35">
      <c r="A1809" t="s">
        <v>105</v>
      </c>
      <c r="B1809">
        <v>2017</v>
      </c>
      <c r="C1809" s="1" t="s">
        <v>44</v>
      </c>
      <c r="D1809" s="6">
        <v>2.2000000000000002</v>
      </c>
      <c r="E1809" s="6">
        <f>INT(Table2[[#This Row],[Transect]])</f>
        <v>2</v>
      </c>
      <c r="F1809" s="1" t="s">
        <v>10</v>
      </c>
      <c r="G1809">
        <v>10</v>
      </c>
      <c r="H1809">
        <f t="shared" si="13"/>
        <v>200</v>
      </c>
      <c r="I1809">
        <v>100</v>
      </c>
      <c r="J1809">
        <f>Table2[[#This Row],[Hits]]/Table2[[#This Row],[Points]]*100</f>
        <v>5</v>
      </c>
      <c r="K1809">
        <f>VLOOKUP(Table2[[#This Row],[Site]],'Site Info'!$A$1:$C$11,2, FALSE)</f>
        <v>17</v>
      </c>
      <c r="L1809">
        <f>VLOOKUP(Table2[[#This Row],[Site]],'Site Info'!$A$1:$C$11,3, FALSE)</f>
        <v>4</v>
      </c>
      <c r="M1809" t="str">
        <f>VLOOKUP(Table2[[#This Row],[Species]],'Species Table'!$A$1:$D$68,3, FALSE)</f>
        <v>Annual</v>
      </c>
      <c r="O1809" s="15">
        <f>IF(SUMPRODUCT(($A$2:$A1809=A1809)*($B$2:$B1809=B1809)*($F$2:$F1809=F1809))&gt;1,0,1)</f>
        <v>0</v>
      </c>
      <c r="P1809" s="15">
        <f>IF(SUMPRODUCT(($A$2:$A1809=A1809)*($B$2:$B1809=B1809)*($D$2:$D1809=D1809))&gt;1,0,1)</f>
        <v>0</v>
      </c>
    </row>
    <row r="1810" spans="1:16" hidden="1" x14ac:dyDescent="0.35">
      <c r="A1810" t="s">
        <v>105</v>
      </c>
      <c r="B1810">
        <v>2017</v>
      </c>
      <c r="C1810" s="1" t="s">
        <v>44</v>
      </c>
      <c r="D1810" s="6">
        <v>2.2000000000000002</v>
      </c>
      <c r="E1810" s="6">
        <f>INT(Table2[[#This Row],[Transect]])</f>
        <v>2</v>
      </c>
      <c r="F1810" s="1" t="s">
        <v>33</v>
      </c>
      <c r="G1810">
        <v>1</v>
      </c>
      <c r="H1810">
        <f t="shared" si="13"/>
        <v>200</v>
      </c>
      <c r="I1810">
        <v>100</v>
      </c>
      <c r="J1810">
        <f>Table2[[#This Row],[Hits]]/Table2[[#This Row],[Points]]*100</f>
        <v>0.5</v>
      </c>
      <c r="K1810">
        <f>VLOOKUP(Table2[[#This Row],[Site]],'Site Info'!$A$1:$C$11,2, FALSE)</f>
        <v>17</v>
      </c>
      <c r="L1810">
        <f>VLOOKUP(Table2[[#This Row],[Site]],'Site Info'!$A$1:$C$11,3, FALSE)</f>
        <v>4</v>
      </c>
      <c r="M1810" t="str">
        <f>VLOOKUP(Table2[[#This Row],[Species]],'Species Table'!$A$1:$D$68,3, FALSE)</f>
        <v>Annual</v>
      </c>
      <c r="O1810" s="15">
        <f>IF(SUMPRODUCT(($A$2:$A1810=A1810)*($B$2:$B1810=B1810)*($F$2:$F1810=F1810))&gt;1,0,1)</f>
        <v>0</v>
      </c>
      <c r="P1810" s="15">
        <f>IF(SUMPRODUCT(($A$2:$A1810=A1810)*($B$2:$B1810=B1810)*($D$2:$D1810=D1810))&gt;1,0,1)</f>
        <v>0</v>
      </c>
    </row>
    <row r="1811" spans="1:16" x14ac:dyDescent="0.35">
      <c r="A1811" t="s">
        <v>105</v>
      </c>
      <c r="B1811">
        <v>2017</v>
      </c>
      <c r="C1811" s="1" t="s">
        <v>44</v>
      </c>
      <c r="D1811" s="6">
        <v>2.2000000000000002</v>
      </c>
      <c r="E1811" s="6">
        <f>INT(Table2[[#This Row],[Transect]])</f>
        <v>2</v>
      </c>
      <c r="F1811" s="1" t="s">
        <v>11</v>
      </c>
      <c r="G1811">
        <v>2</v>
      </c>
      <c r="H1811">
        <f t="shared" si="13"/>
        <v>200</v>
      </c>
      <c r="I1811">
        <v>100</v>
      </c>
      <c r="J1811">
        <f>Table2[[#This Row],[Hits]]/Table2[[#This Row],[Points]]*100</f>
        <v>1</v>
      </c>
      <c r="K1811">
        <f>VLOOKUP(Table2[[#This Row],[Site]],'Site Info'!$A$1:$C$11,2, FALSE)</f>
        <v>17</v>
      </c>
      <c r="L1811">
        <f>VLOOKUP(Table2[[#This Row],[Site]],'Site Info'!$A$1:$C$11,3, FALSE)</f>
        <v>4</v>
      </c>
      <c r="M1811" t="str">
        <f>VLOOKUP(Table2[[#This Row],[Species]],'Species Table'!$A$1:$D$68,3, FALSE)</f>
        <v>Perennial</v>
      </c>
      <c r="O1811" s="15">
        <f>IF(SUMPRODUCT(($A$2:$A1811=A1811)*($B$2:$B1811=B1811)*($F$2:$F1811=F1811))&gt;1,0,1)</f>
        <v>0</v>
      </c>
      <c r="P1811" s="15">
        <f>IF(SUMPRODUCT(($A$2:$A1811=A1811)*($B$2:$B1811=B1811)*($D$2:$D1811=D1811))&gt;1,0,1)</f>
        <v>0</v>
      </c>
    </row>
    <row r="1812" spans="1:16" x14ac:dyDescent="0.35">
      <c r="A1812" t="s">
        <v>105</v>
      </c>
      <c r="B1812">
        <v>2017</v>
      </c>
      <c r="C1812" s="1" t="s">
        <v>45</v>
      </c>
      <c r="D1812" s="6">
        <v>2.2999999999999998</v>
      </c>
      <c r="E1812" s="6">
        <f>INT(Table2[[#This Row],[Transect]])</f>
        <v>2</v>
      </c>
      <c r="F1812" s="1" t="s">
        <v>6</v>
      </c>
      <c r="G1812">
        <v>3</v>
      </c>
      <c r="H1812">
        <f t="shared" si="13"/>
        <v>200</v>
      </c>
      <c r="I1812">
        <v>100</v>
      </c>
      <c r="J1812">
        <f>Table2[[#This Row],[Hits]]/Table2[[#This Row],[Points]]*100</f>
        <v>1.5</v>
      </c>
      <c r="K1812">
        <f>VLOOKUP(Table2[[#This Row],[Site]],'Site Info'!$A$1:$C$11,2, FALSE)</f>
        <v>17</v>
      </c>
      <c r="L1812">
        <f>VLOOKUP(Table2[[#This Row],[Site]],'Site Info'!$A$1:$C$11,3, FALSE)</f>
        <v>4</v>
      </c>
      <c r="M1812" t="str">
        <f>VLOOKUP(Table2[[#This Row],[Species]],'Species Table'!$A$1:$D$68,3, FALSE)</f>
        <v>Perennial</v>
      </c>
      <c r="O1812" s="15">
        <f>IF(SUMPRODUCT(($A$2:$A1812=A1812)*($B$2:$B1812=B1812)*($F$2:$F1812=F1812))&gt;1,0,1)</f>
        <v>0</v>
      </c>
      <c r="P1812" s="15">
        <f>IF(SUMPRODUCT(($A$2:$A1812=A1812)*($B$2:$B1812=B1812)*($D$2:$D1812=D1812))&gt;1,0,1)</f>
        <v>1</v>
      </c>
    </row>
    <row r="1813" spans="1:16" hidden="1" x14ac:dyDescent="0.35">
      <c r="A1813" t="s">
        <v>105</v>
      </c>
      <c r="B1813">
        <v>2017</v>
      </c>
      <c r="C1813" s="1" t="s">
        <v>45</v>
      </c>
      <c r="D1813" s="6">
        <v>2.2999999999999998</v>
      </c>
      <c r="E1813" s="6">
        <f>INT(Table2[[#This Row],[Transect]])</f>
        <v>2</v>
      </c>
      <c r="F1813" s="1" t="s">
        <v>10</v>
      </c>
      <c r="G1813">
        <v>20</v>
      </c>
      <c r="H1813">
        <f t="shared" si="13"/>
        <v>200</v>
      </c>
      <c r="I1813">
        <v>100</v>
      </c>
      <c r="J1813">
        <f>Table2[[#This Row],[Hits]]/Table2[[#This Row],[Points]]*100</f>
        <v>10</v>
      </c>
      <c r="K1813">
        <f>VLOOKUP(Table2[[#This Row],[Site]],'Site Info'!$A$1:$C$11,2, FALSE)</f>
        <v>17</v>
      </c>
      <c r="L1813">
        <f>VLOOKUP(Table2[[#This Row],[Site]],'Site Info'!$A$1:$C$11,3, FALSE)</f>
        <v>4</v>
      </c>
      <c r="M1813" t="str">
        <f>VLOOKUP(Table2[[#This Row],[Species]],'Species Table'!$A$1:$D$68,3, FALSE)</f>
        <v>Annual</v>
      </c>
      <c r="O1813" s="15">
        <f>IF(SUMPRODUCT(($A$2:$A1813=A1813)*($B$2:$B1813=B1813)*($F$2:$F1813=F1813))&gt;1,0,1)</f>
        <v>0</v>
      </c>
      <c r="P1813" s="15">
        <f>IF(SUMPRODUCT(($A$2:$A1813=A1813)*($B$2:$B1813=B1813)*($D$2:$D1813=D1813))&gt;1,0,1)</f>
        <v>0</v>
      </c>
    </row>
    <row r="1814" spans="1:16" x14ac:dyDescent="0.35">
      <c r="A1814" t="s">
        <v>105</v>
      </c>
      <c r="B1814">
        <v>2017</v>
      </c>
      <c r="C1814" s="1" t="s">
        <v>45</v>
      </c>
      <c r="D1814" s="6">
        <v>2.2999999999999998</v>
      </c>
      <c r="E1814" s="6">
        <f>INT(Table2[[#This Row],[Transect]])</f>
        <v>2</v>
      </c>
      <c r="F1814" s="1" t="s">
        <v>12</v>
      </c>
      <c r="G1814">
        <v>5</v>
      </c>
      <c r="H1814">
        <f t="shared" si="13"/>
        <v>200</v>
      </c>
      <c r="I1814">
        <v>100</v>
      </c>
      <c r="J1814">
        <f>Table2[[#This Row],[Hits]]/Table2[[#This Row],[Points]]*100</f>
        <v>2.5</v>
      </c>
      <c r="K1814">
        <f>VLOOKUP(Table2[[#This Row],[Site]],'Site Info'!$A$1:$C$11,2, FALSE)</f>
        <v>17</v>
      </c>
      <c r="L1814">
        <f>VLOOKUP(Table2[[#This Row],[Site]],'Site Info'!$A$1:$C$11,3, FALSE)</f>
        <v>4</v>
      </c>
      <c r="M1814" t="str">
        <f>VLOOKUP(Table2[[#This Row],[Species]],'Species Table'!$A$1:$D$68,3, FALSE)</f>
        <v>Perennial</v>
      </c>
      <c r="O1814" s="15">
        <f>IF(SUMPRODUCT(($A$2:$A1814=A1814)*($B$2:$B1814=B1814)*($F$2:$F1814=F1814))&gt;1,0,1)</f>
        <v>0</v>
      </c>
      <c r="P1814" s="15">
        <f>IF(SUMPRODUCT(($A$2:$A1814=A1814)*($B$2:$B1814=B1814)*($D$2:$D1814=D1814))&gt;1,0,1)</f>
        <v>0</v>
      </c>
    </row>
    <row r="1815" spans="1:16" hidden="1" x14ac:dyDescent="0.35">
      <c r="A1815" t="s">
        <v>105</v>
      </c>
      <c r="B1815">
        <v>2017</v>
      </c>
      <c r="C1815" s="1" t="s">
        <v>45</v>
      </c>
      <c r="D1815" s="6">
        <v>2.2999999999999998</v>
      </c>
      <c r="E1815" s="6">
        <f>INT(Table2[[#This Row],[Transect]])</f>
        <v>2</v>
      </c>
      <c r="F1815" s="1" t="s">
        <v>33</v>
      </c>
      <c r="G1815">
        <v>4</v>
      </c>
      <c r="H1815">
        <f t="shared" si="13"/>
        <v>200</v>
      </c>
      <c r="I1815">
        <v>100</v>
      </c>
      <c r="J1815">
        <f>Table2[[#This Row],[Hits]]/Table2[[#This Row],[Points]]*100</f>
        <v>2</v>
      </c>
      <c r="K1815">
        <f>VLOOKUP(Table2[[#This Row],[Site]],'Site Info'!$A$1:$C$11,2, FALSE)</f>
        <v>17</v>
      </c>
      <c r="L1815">
        <f>VLOOKUP(Table2[[#This Row],[Site]],'Site Info'!$A$1:$C$11,3, FALSE)</f>
        <v>4</v>
      </c>
      <c r="M1815" t="str">
        <f>VLOOKUP(Table2[[#This Row],[Species]],'Species Table'!$A$1:$D$68,3, FALSE)</f>
        <v>Annual</v>
      </c>
      <c r="O1815" s="15">
        <f>IF(SUMPRODUCT(($A$2:$A1815=A1815)*($B$2:$B1815=B1815)*($F$2:$F1815=F1815))&gt;1,0,1)</f>
        <v>0</v>
      </c>
      <c r="P1815" s="15">
        <f>IF(SUMPRODUCT(($A$2:$A1815=A1815)*($B$2:$B1815=B1815)*($D$2:$D1815=D1815))&gt;1,0,1)</f>
        <v>0</v>
      </c>
    </row>
    <row r="1816" spans="1:16" hidden="1" x14ac:dyDescent="0.35">
      <c r="A1816" t="s">
        <v>105</v>
      </c>
      <c r="B1816">
        <v>2017</v>
      </c>
      <c r="C1816" s="1" t="s">
        <v>46</v>
      </c>
      <c r="D1816" s="6">
        <v>2.4</v>
      </c>
      <c r="E1816" s="6">
        <f>INT(Table2[[#This Row],[Transect]])</f>
        <v>2</v>
      </c>
      <c r="F1816" s="1" t="s">
        <v>33</v>
      </c>
      <c r="G1816">
        <v>10</v>
      </c>
      <c r="H1816">
        <f t="shared" si="13"/>
        <v>200</v>
      </c>
      <c r="I1816">
        <v>100</v>
      </c>
      <c r="J1816">
        <f>Table2[[#This Row],[Hits]]/Table2[[#This Row],[Points]]*100</f>
        <v>5</v>
      </c>
      <c r="K1816">
        <f>VLOOKUP(Table2[[#This Row],[Site]],'Site Info'!$A$1:$C$11,2, FALSE)</f>
        <v>17</v>
      </c>
      <c r="L1816">
        <f>VLOOKUP(Table2[[#This Row],[Site]],'Site Info'!$A$1:$C$11,3, FALSE)</f>
        <v>4</v>
      </c>
      <c r="M1816" t="str">
        <f>VLOOKUP(Table2[[#This Row],[Species]],'Species Table'!$A$1:$D$68,3, FALSE)</f>
        <v>Annual</v>
      </c>
      <c r="O1816" s="15">
        <f>IF(SUMPRODUCT(($A$2:$A1816=A1816)*($B$2:$B1816=B1816)*($F$2:$F1816=F1816))&gt;1,0,1)</f>
        <v>0</v>
      </c>
      <c r="P1816" s="15">
        <f>IF(SUMPRODUCT(($A$2:$A1816=A1816)*($B$2:$B1816=B1816)*($D$2:$D1816=D1816))&gt;1,0,1)</f>
        <v>1</v>
      </c>
    </row>
    <row r="1817" spans="1:16" hidden="1" x14ac:dyDescent="0.35">
      <c r="A1817" t="s">
        <v>105</v>
      </c>
      <c r="B1817">
        <v>2017</v>
      </c>
      <c r="C1817" s="1" t="s">
        <v>46</v>
      </c>
      <c r="D1817" s="6">
        <v>2.4</v>
      </c>
      <c r="E1817" s="6">
        <f>INT(Table2[[#This Row],[Transect]])</f>
        <v>2</v>
      </c>
      <c r="F1817" s="1" t="s">
        <v>10</v>
      </c>
      <c r="G1817">
        <v>31</v>
      </c>
      <c r="H1817">
        <f t="shared" si="13"/>
        <v>200</v>
      </c>
      <c r="I1817">
        <v>100</v>
      </c>
      <c r="J1817">
        <f>Table2[[#This Row],[Hits]]/Table2[[#This Row],[Points]]*100</f>
        <v>15.5</v>
      </c>
      <c r="K1817">
        <f>VLOOKUP(Table2[[#This Row],[Site]],'Site Info'!$A$1:$C$11,2, FALSE)</f>
        <v>17</v>
      </c>
      <c r="L1817">
        <f>VLOOKUP(Table2[[#This Row],[Site]],'Site Info'!$A$1:$C$11,3, FALSE)</f>
        <v>4</v>
      </c>
      <c r="M1817" t="str">
        <f>VLOOKUP(Table2[[#This Row],[Species]],'Species Table'!$A$1:$D$68,3, FALSE)</f>
        <v>Annual</v>
      </c>
      <c r="O1817" s="15">
        <f>IF(SUMPRODUCT(($A$2:$A1817=A1817)*($B$2:$B1817=B1817)*($F$2:$F1817=F1817))&gt;1,0,1)</f>
        <v>0</v>
      </c>
      <c r="P1817" s="15">
        <f>IF(SUMPRODUCT(($A$2:$A1817=A1817)*($B$2:$B1817=B1817)*($D$2:$D1817=D1817))&gt;1,0,1)</f>
        <v>0</v>
      </c>
    </row>
    <row r="1818" spans="1:16" hidden="1" x14ac:dyDescent="0.35">
      <c r="A1818" t="s">
        <v>105</v>
      </c>
      <c r="B1818">
        <v>2017</v>
      </c>
      <c r="C1818" s="1" t="s">
        <v>47</v>
      </c>
      <c r="D1818" s="6">
        <v>2.5</v>
      </c>
      <c r="E1818" s="6">
        <f>INT(Table2[[#This Row],[Transect]])</f>
        <v>2</v>
      </c>
      <c r="F1818" s="1" t="s">
        <v>33</v>
      </c>
      <c r="G1818">
        <v>15</v>
      </c>
      <c r="H1818">
        <f t="shared" si="13"/>
        <v>200</v>
      </c>
      <c r="I1818">
        <v>100</v>
      </c>
      <c r="J1818">
        <f>Table2[[#This Row],[Hits]]/Table2[[#This Row],[Points]]*100</f>
        <v>7.5</v>
      </c>
      <c r="K1818">
        <f>VLOOKUP(Table2[[#This Row],[Site]],'Site Info'!$A$1:$C$11,2, FALSE)</f>
        <v>17</v>
      </c>
      <c r="L1818">
        <f>VLOOKUP(Table2[[#This Row],[Site]],'Site Info'!$A$1:$C$11,3, FALSE)</f>
        <v>4</v>
      </c>
      <c r="M1818" t="str">
        <f>VLOOKUP(Table2[[#This Row],[Species]],'Species Table'!$A$1:$D$68,3, FALSE)</f>
        <v>Annual</v>
      </c>
      <c r="O1818" s="15">
        <f>IF(SUMPRODUCT(($A$2:$A1818=A1818)*($B$2:$B1818=B1818)*($F$2:$F1818=F1818))&gt;1,0,1)</f>
        <v>0</v>
      </c>
      <c r="P1818" s="15">
        <f>IF(SUMPRODUCT(($A$2:$A1818=A1818)*($B$2:$B1818=B1818)*($D$2:$D1818=D1818))&gt;1,0,1)</f>
        <v>1</v>
      </c>
    </row>
    <row r="1819" spans="1:16" x14ac:dyDescent="0.35">
      <c r="A1819" t="s">
        <v>105</v>
      </c>
      <c r="B1819">
        <v>2017</v>
      </c>
      <c r="C1819" s="1" t="s">
        <v>47</v>
      </c>
      <c r="D1819" s="6">
        <v>2.5</v>
      </c>
      <c r="E1819" s="6">
        <f>INT(Table2[[#This Row],[Transect]])</f>
        <v>2</v>
      </c>
      <c r="F1819" s="1" t="s">
        <v>11</v>
      </c>
      <c r="G1819">
        <v>6</v>
      </c>
      <c r="H1819">
        <f t="shared" si="13"/>
        <v>200</v>
      </c>
      <c r="I1819">
        <v>100</v>
      </c>
      <c r="J1819">
        <f>Table2[[#This Row],[Hits]]/Table2[[#This Row],[Points]]*100</f>
        <v>3</v>
      </c>
      <c r="K1819">
        <f>VLOOKUP(Table2[[#This Row],[Site]],'Site Info'!$A$1:$C$11,2, FALSE)</f>
        <v>17</v>
      </c>
      <c r="L1819">
        <f>VLOOKUP(Table2[[#This Row],[Site]],'Site Info'!$A$1:$C$11,3, FALSE)</f>
        <v>4</v>
      </c>
      <c r="M1819" t="str">
        <f>VLOOKUP(Table2[[#This Row],[Species]],'Species Table'!$A$1:$D$68,3, FALSE)</f>
        <v>Perennial</v>
      </c>
      <c r="O1819" s="15">
        <f>IF(SUMPRODUCT(($A$2:$A1819=A1819)*($B$2:$B1819=B1819)*($F$2:$F1819=F1819))&gt;1,0,1)</f>
        <v>0</v>
      </c>
      <c r="P1819" s="15">
        <f>IF(SUMPRODUCT(($A$2:$A1819=A1819)*($B$2:$B1819=B1819)*($D$2:$D1819=D1819))&gt;1,0,1)</f>
        <v>0</v>
      </c>
    </row>
    <row r="1820" spans="1:16" hidden="1" x14ac:dyDescent="0.35">
      <c r="A1820" t="s">
        <v>105</v>
      </c>
      <c r="B1820">
        <v>2017</v>
      </c>
      <c r="C1820" s="1" t="s">
        <v>47</v>
      </c>
      <c r="D1820" s="6">
        <v>2.5</v>
      </c>
      <c r="E1820" s="6">
        <f>INT(Table2[[#This Row],[Transect]])</f>
        <v>2</v>
      </c>
      <c r="F1820" s="1" t="s">
        <v>10</v>
      </c>
      <c r="G1820">
        <v>30</v>
      </c>
      <c r="H1820">
        <f t="shared" si="13"/>
        <v>200</v>
      </c>
      <c r="I1820">
        <v>100</v>
      </c>
      <c r="J1820">
        <f>Table2[[#This Row],[Hits]]/Table2[[#This Row],[Points]]*100</f>
        <v>15</v>
      </c>
      <c r="K1820">
        <f>VLOOKUP(Table2[[#This Row],[Site]],'Site Info'!$A$1:$C$11,2, FALSE)</f>
        <v>17</v>
      </c>
      <c r="L1820">
        <f>VLOOKUP(Table2[[#This Row],[Site]],'Site Info'!$A$1:$C$11,3, FALSE)</f>
        <v>4</v>
      </c>
      <c r="M1820" t="str">
        <f>VLOOKUP(Table2[[#This Row],[Species]],'Species Table'!$A$1:$D$68,3, FALSE)</f>
        <v>Annual</v>
      </c>
      <c r="O1820" s="15">
        <f>IF(SUMPRODUCT(($A$2:$A1820=A1820)*($B$2:$B1820=B1820)*($F$2:$F1820=F1820))&gt;1,0,1)</f>
        <v>0</v>
      </c>
      <c r="P1820" s="15">
        <f>IF(SUMPRODUCT(($A$2:$A1820=A1820)*($B$2:$B1820=B1820)*($D$2:$D1820=D1820))&gt;1,0,1)</f>
        <v>0</v>
      </c>
    </row>
    <row r="1821" spans="1:16" hidden="1" x14ac:dyDescent="0.35">
      <c r="A1821" t="s">
        <v>105</v>
      </c>
      <c r="B1821">
        <v>2017</v>
      </c>
      <c r="C1821" s="1" t="s">
        <v>48</v>
      </c>
      <c r="D1821" s="6">
        <v>2.6</v>
      </c>
      <c r="E1821" s="6">
        <f>INT(Table2[[#This Row],[Transect]])</f>
        <v>2</v>
      </c>
      <c r="F1821" s="1" t="s">
        <v>10</v>
      </c>
      <c r="G1821">
        <v>7</v>
      </c>
      <c r="H1821">
        <f t="shared" si="13"/>
        <v>200</v>
      </c>
      <c r="I1821">
        <v>100</v>
      </c>
      <c r="J1821">
        <f>Table2[[#This Row],[Hits]]/Table2[[#This Row],[Points]]*100</f>
        <v>3.5000000000000004</v>
      </c>
      <c r="K1821">
        <f>VLOOKUP(Table2[[#This Row],[Site]],'Site Info'!$A$1:$C$11,2, FALSE)</f>
        <v>17</v>
      </c>
      <c r="L1821">
        <f>VLOOKUP(Table2[[#This Row],[Site]],'Site Info'!$A$1:$C$11,3, FALSE)</f>
        <v>4</v>
      </c>
      <c r="M1821" t="str">
        <f>VLOOKUP(Table2[[#This Row],[Species]],'Species Table'!$A$1:$D$68,3, FALSE)</f>
        <v>Annual</v>
      </c>
      <c r="O1821" s="15">
        <f>IF(SUMPRODUCT(($A$2:$A1821=A1821)*($B$2:$B1821=B1821)*($F$2:$F1821=F1821))&gt;1,0,1)</f>
        <v>0</v>
      </c>
      <c r="P1821" s="15">
        <f>IF(SUMPRODUCT(($A$2:$A1821=A1821)*($B$2:$B1821=B1821)*($D$2:$D1821=D1821))&gt;1,0,1)</f>
        <v>1</v>
      </c>
    </row>
    <row r="1822" spans="1:16" x14ac:dyDescent="0.35">
      <c r="A1822" t="s">
        <v>105</v>
      </c>
      <c r="B1822">
        <v>2017</v>
      </c>
      <c r="C1822" s="1" t="s">
        <v>48</v>
      </c>
      <c r="D1822" s="6">
        <v>2.6</v>
      </c>
      <c r="E1822" s="6">
        <f>INT(Table2[[#This Row],[Transect]])</f>
        <v>2</v>
      </c>
      <c r="F1822" s="1" t="s">
        <v>11</v>
      </c>
      <c r="G1822">
        <v>11</v>
      </c>
      <c r="H1822">
        <f t="shared" si="13"/>
        <v>200</v>
      </c>
      <c r="I1822">
        <v>100</v>
      </c>
      <c r="J1822">
        <f>Table2[[#This Row],[Hits]]/Table2[[#This Row],[Points]]*100</f>
        <v>5.5</v>
      </c>
      <c r="K1822">
        <f>VLOOKUP(Table2[[#This Row],[Site]],'Site Info'!$A$1:$C$11,2, FALSE)</f>
        <v>17</v>
      </c>
      <c r="L1822">
        <f>VLOOKUP(Table2[[#This Row],[Site]],'Site Info'!$A$1:$C$11,3, FALSE)</f>
        <v>4</v>
      </c>
      <c r="M1822" t="str">
        <f>VLOOKUP(Table2[[#This Row],[Species]],'Species Table'!$A$1:$D$68,3, FALSE)</f>
        <v>Perennial</v>
      </c>
      <c r="O1822" s="15">
        <f>IF(SUMPRODUCT(($A$2:$A1822=A1822)*($B$2:$B1822=B1822)*($F$2:$F1822=F1822))&gt;1,0,1)</f>
        <v>0</v>
      </c>
      <c r="P1822" s="15">
        <f>IF(SUMPRODUCT(($A$2:$A1822=A1822)*($B$2:$B1822=B1822)*($D$2:$D1822=D1822))&gt;1,0,1)</f>
        <v>0</v>
      </c>
    </row>
    <row r="1823" spans="1:16" hidden="1" x14ac:dyDescent="0.35">
      <c r="A1823" t="s">
        <v>105</v>
      </c>
      <c r="B1823">
        <v>2017</v>
      </c>
      <c r="C1823" s="1" t="s">
        <v>48</v>
      </c>
      <c r="D1823" s="6">
        <v>2.6</v>
      </c>
      <c r="E1823" s="6">
        <f>INT(Table2[[#This Row],[Transect]])</f>
        <v>2</v>
      </c>
      <c r="F1823" s="1" t="s">
        <v>33</v>
      </c>
      <c r="G1823">
        <v>1</v>
      </c>
      <c r="H1823">
        <f t="shared" si="13"/>
        <v>200</v>
      </c>
      <c r="I1823">
        <v>100</v>
      </c>
      <c r="J1823">
        <f>Table2[[#This Row],[Hits]]/Table2[[#This Row],[Points]]*100</f>
        <v>0.5</v>
      </c>
      <c r="K1823">
        <f>VLOOKUP(Table2[[#This Row],[Site]],'Site Info'!$A$1:$C$11,2, FALSE)</f>
        <v>17</v>
      </c>
      <c r="L1823">
        <f>VLOOKUP(Table2[[#This Row],[Site]],'Site Info'!$A$1:$C$11,3, FALSE)</f>
        <v>4</v>
      </c>
      <c r="M1823" t="str">
        <f>VLOOKUP(Table2[[#This Row],[Species]],'Species Table'!$A$1:$D$68,3, FALSE)</f>
        <v>Annual</v>
      </c>
      <c r="O1823" s="15">
        <f>IF(SUMPRODUCT(($A$2:$A1823=A1823)*($B$2:$B1823=B1823)*($F$2:$F1823=F1823))&gt;1,0,1)</f>
        <v>0</v>
      </c>
      <c r="P1823" s="15">
        <f>IF(SUMPRODUCT(($A$2:$A1823=A1823)*($B$2:$B1823=B1823)*($D$2:$D1823=D1823))&gt;1,0,1)</f>
        <v>0</v>
      </c>
    </row>
    <row r="1824" spans="1:16" x14ac:dyDescent="0.35">
      <c r="A1824" t="s">
        <v>105</v>
      </c>
      <c r="B1824">
        <v>2017</v>
      </c>
      <c r="C1824" t="s">
        <v>49</v>
      </c>
      <c r="D1824" s="6">
        <v>2.7</v>
      </c>
      <c r="E1824" s="6">
        <f>INT(Table2[[#This Row],[Transect]])</f>
        <v>2</v>
      </c>
      <c r="F1824" s="1" t="s">
        <v>11</v>
      </c>
      <c r="G1824">
        <v>1</v>
      </c>
      <c r="H1824">
        <f t="shared" si="13"/>
        <v>75</v>
      </c>
      <c r="I1824">
        <v>37.5</v>
      </c>
      <c r="J1824">
        <f>Table2[[#This Row],[Hits]]/Table2[[#This Row],[Points]]*100</f>
        <v>1.3333333333333335</v>
      </c>
      <c r="K1824">
        <f>VLOOKUP(Table2[[#This Row],[Site]],'Site Info'!$A$1:$C$11,2, FALSE)</f>
        <v>17</v>
      </c>
      <c r="L1824">
        <f>VLOOKUP(Table2[[#This Row],[Site]],'Site Info'!$A$1:$C$11,3, FALSE)</f>
        <v>4</v>
      </c>
      <c r="M1824" t="str">
        <f>VLOOKUP(Table2[[#This Row],[Species]],'Species Table'!$A$1:$D$68,3, FALSE)</f>
        <v>Perennial</v>
      </c>
      <c r="O1824" s="15">
        <f>IF(SUMPRODUCT(($A$2:$A1824=A1824)*($B$2:$B1824=B1824)*($F$2:$F1824=F1824))&gt;1,0,1)</f>
        <v>0</v>
      </c>
      <c r="P1824" s="15">
        <f>IF(SUMPRODUCT(($A$2:$A1824=A1824)*($B$2:$B1824=B1824)*($D$2:$D1824=D1824))&gt;1,0,1)</f>
        <v>1</v>
      </c>
    </row>
    <row r="1825" spans="1:16" x14ac:dyDescent="0.35">
      <c r="A1825" t="s">
        <v>105</v>
      </c>
      <c r="B1825">
        <v>2017</v>
      </c>
      <c r="C1825" s="1" t="s">
        <v>50</v>
      </c>
      <c r="D1825" s="6">
        <v>3.1</v>
      </c>
      <c r="E1825" s="6">
        <f>INT(Table2[[#This Row],[Transect]])</f>
        <v>3</v>
      </c>
      <c r="F1825" s="1" t="s">
        <v>6</v>
      </c>
      <c r="G1825">
        <v>45</v>
      </c>
      <c r="H1825">
        <f t="shared" si="13"/>
        <v>200</v>
      </c>
      <c r="I1825">
        <v>100</v>
      </c>
      <c r="J1825">
        <f>Table2[[#This Row],[Hits]]/Table2[[#This Row],[Points]]*100</f>
        <v>22.5</v>
      </c>
      <c r="K1825">
        <f>VLOOKUP(Table2[[#This Row],[Site]],'Site Info'!$A$1:$C$11,2, FALSE)</f>
        <v>17</v>
      </c>
      <c r="L1825">
        <f>VLOOKUP(Table2[[#This Row],[Site]],'Site Info'!$A$1:$C$11,3, FALSE)</f>
        <v>4</v>
      </c>
      <c r="M1825" t="str">
        <f>VLOOKUP(Table2[[#This Row],[Species]],'Species Table'!$A$1:$D$68,3, FALSE)</f>
        <v>Perennial</v>
      </c>
      <c r="O1825" s="15">
        <f>IF(SUMPRODUCT(($A$2:$A1825=A1825)*($B$2:$B1825=B1825)*($F$2:$F1825=F1825))&gt;1,0,1)</f>
        <v>0</v>
      </c>
      <c r="P1825" s="15">
        <f>IF(SUMPRODUCT(($A$2:$A1825=A1825)*($B$2:$B1825=B1825)*($D$2:$D1825=D1825))&gt;1,0,1)</f>
        <v>1</v>
      </c>
    </row>
    <row r="1826" spans="1:16" hidden="1" x14ac:dyDescent="0.35">
      <c r="A1826" t="s">
        <v>105</v>
      </c>
      <c r="B1826">
        <v>2017</v>
      </c>
      <c r="C1826" s="1" t="s">
        <v>50</v>
      </c>
      <c r="D1826" s="6">
        <v>3.1</v>
      </c>
      <c r="E1826" s="6">
        <f>INT(Table2[[#This Row],[Transect]])</f>
        <v>3</v>
      </c>
      <c r="F1826" s="1" t="s">
        <v>33</v>
      </c>
      <c r="G1826">
        <v>3</v>
      </c>
      <c r="H1826">
        <f t="shared" si="13"/>
        <v>200</v>
      </c>
      <c r="I1826">
        <v>100</v>
      </c>
      <c r="J1826">
        <f>Table2[[#This Row],[Hits]]/Table2[[#This Row],[Points]]*100</f>
        <v>1.5</v>
      </c>
      <c r="K1826">
        <f>VLOOKUP(Table2[[#This Row],[Site]],'Site Info'!$A$1:$C$11,2, FALSE)</f>
        <v>17</v>
      </c>
      <c r="L1826">
        <f>VLOOKUP(Table2[[#This Row],[Site]],'Site Info'!$A$1:$C$11,3, FALSE)</f>
        <v>4</v>
      </c>
      <c r="M1826" t="str">
        <f>VLOOKUP(Table2[[#This Row],[Species]],'Species Table'!$A$1:$D$68,3, FALSE)</f>
        <v>Annual</v>
      </c>
      <c r="O1826" s="15">
        <f>IF(SUMPRODUCT(($A$2:$A1826=A1826)*($B$2:$B1826=B1826)*($F$2:$F1826=F1826))&gt;1,0,1)</f>
        <v>0</v>
      </c>
      <c r="P1826" s="15">
        <f>IF(SUMPRODUCT(($A$2:$A1826=A1826)*($B$2:$B1826=B1826)*($D$2:$D1826=D1826))&gt;1,0,1)</f>
        <v>0</v>
      </c>
    </row>
    <row r="1827" spans="1:16" x14ac:dyDescent="0.35">
      <c r="A1827" t="s">
        <v>105</v>
      </c>
      <c r="B1827">
        <v>2017</v>
      </c>
      <c r="C1827" s="1" t="s">
        <v>50</v>
      </c>
      <c r="D1827" s="6">
        <v>3.1</v>
      </c>
      <c r="E1827" s="6">
        <f>INT(Table2[[#This Row],[Transect]])</f>
        <v>3</v>
      </c>
      <c r="F1827" s="1" t="s">
        <v>11</v>
      </c>
      <c r="G1827">
        <v>7</v>
      </c>
      <c r="H1827">
        <f t="shared" si="13"/>
        <v>200</v>
      </c>
      <c r="I1827">
        <v>100</v>
      </c>
      <c r="J1827">
        <f>Table2[[#This Row],[Hits]]/Table2[[#This Row],[Points]]*100</f>
        <v>3.5000000000000004</v>
      </c>
      <c r="K1827">
        <f>VLOOKUP(Table2[[#This Row],[Site]],'Site Info'!$A$1:$C$11,2, FALSE)</f>
        <v>17</v>
      </c>
      <c r="L1827">
        <f>VLOOKUP(Table2[[#This Row],[Site]],'Site Info'!$A$1:$C$11,3, FALSE)</f>
        <v>4</v>
      </c>
      <c r="M1827" t="str">
        <f>VLOOKUP(Table2[[#This Row],[Species]],'Species Table'!$A$1:$D$68,3, FALSE)</f>
        <v>Perennial</v>
      </c>
      <c r="O1827" s="15">
        <f>IF(SUMPRODUCT(($A$2:$A1827=A1827)*($B$2:$B1827=B1827)*($F$2:$F1827=F1827))&gt;1,0,1)</f>
        <v>0</v>
      </c>
      <c r="P1827" s="15">
        <f>IF(SUMPRODUCT(($A$2:$A1827=A1827)*($B$2:$B1827=B1827)*($D$2:$D1827=D1827))&gt;1,0,1)</f>
        <v>0</v>
      </c>
    </row>
    <row r="1828" spans="1:16" x14ac:dyDescent="0.35">
      <c r="A1828" t="s">
        <v>105</v>
      </c>
      <c r="B1828">
        <v>2017</v>
      </c>
      <c r="C1828" s="1" t="s">
        <v>50</v>
      </c>
      <c r="D1828" s="6">
        <v>3.1</v>
      </c>
      <c r="E1828" s="6">
        <f>INT(Table2[[#This Row],[Transect]])</f>
        <v>3</v>
      </c>
      <c r="F1828" s="1" t="s">
        <v>12</v>
      </c>
      <c r="G1828">
        <v>4</v>
      </c>
      <c r="H1828">
        <f t="shared" si="13"/>
        <v>200</v>
      </c>
      <c r="I1828">
        <v>100</v>
      </c>
      <c r="J1828">
        <f>Table2[[#This Row],[Hits]]/Table2[[#This Row],[Points]]*100</f>
        <v>2</v>
      </c>
      <c r="K1828">
        <f>VLOOKUP(Table2[[#This Row],[Site]],'Site Info'!$A$1:$C$11,2, FALSE)</f>
        <v>17</v>
      </c>
      <c r="L1828">
        <f>VLOOKUP(Table2[[#This Row],[Site]],'Site Info'!$A$1:$C$11,3, FALSE)</f>
        <v>4</v>
      </c>
      <c r="M1828" t="str">
        <f>VLOOKUP(Table2[[#This Row],[Species]],'Species Table'!$A$1:$D$68,3, FALSE)</f>
        <v>Perennial</v>
      </c>
      <c r="O1828" s="15">
        <f>IF(SUMPRODUCT(($A$2:$A1828=A1828)*($B$2:$B1828=B1828)*($F$2:$F1828=F1828))&gt;1,0,1)</f>
        <v>0</v>
      </c>
      <c r="P1828" s="15">
        <f>IF(SUMPRODUCT(($A$2:$A1828=A1828)*($B$2:$B1828=B1828)*($D$2:$D1828=D1828))&gt;1,0,1)</f>
        <v>0</v>
      </c>
    </row>
    <row r="1829" spans="1:16" hidden="1" x14ac:dyDescent="0.35">
      <c r="A1829" t="s">
        <v>105</v>
      </c>
      <c r="B1829">
        <v>2017</v>
      </c>
      <c r="C1829" s="1" t="s">
        <v>50</v>
      </c>
      <c r="D1829" s="6">
        <v>3.1</v>
      </c>
      <c r="E1829" s="6">
        <f>INT(Table2[[#This Row],[Transect]])</f>
        <v>3</v>
      </c>
      <c r="F1829" s="1" t="s">
        <v>10</v>
      </c>
      <c r="G1829">
        <v>3</v>
      </c>
      <c r="H1829">
        <f t="shared" si="13"/>
        <v>200</v>
      </c>
      <c r="I1829">
        <v>100</v>
      </c>
      <c r="J1829">
        <f>Table2[[#This Row],[Hits]]/Table2[[#This Row],[Points]]*100</f>
        <v>1.5</v>
      </c>
      <c r="K1829">
        <f>VLOOKUP(Table2[[#This Row],[Site]],'Site Info'!$A$1:$C$11,2, FALSE)</f>
        <v>17</v>
      </c>
      <c r="L1829">
        <f>VLOOKUP(Table2[[#This Row],[Site]],'Site Info'!$A$1:$C$11,3, FALSE)</f>
        <v>4</v>
      </c>
      <c r="M1829" t="str">
        <f>VLOOKUP(Table2[[#This Row],[Species]],'Species Table'!$A$1:$D$68,3, FALSE)</f>
        <v>Annual</v>
      </c>
      <c r="O1829" s="15">
        <f>IF(SUMPRODUCT(($A$2:$A1829=A1829)*($B$2:$B1829=B1829)*($F$2:$F1829=F1829))&gt;1,0,1)</f>
        <v>0</v>
      </c>
      <c r="P1829" s="15">
        <f>IF(SUMPRODUCT(($A$2:$A1829=A1829)*($B$2:$B1829=B1829)*($D$2:$D1829=D1829))&gt;1,0,1)</f>
        <v>0</v>
      </c>
    </row>
    <row r="1830" spans="1:16" x14ac:dyDescent="0.35">
      <c r="A1830" t="s">
        <v>105</v>
      </c>
      <c r="B1830">
        <v>2017</v>
      </c>
      <c r="C1830" s="1" t="s">
        <v>51</v>
      </c>
      <c r="D1830" s="6">
        <v>3.2</v>
      </c>
      <c r="E1830" s="6">
        <f>INT(Table2[[#This Row],[Transect]])</f>
        <v>3</v>
      </c>
      <c r="F1830" s="1" t="s">
        <v>12</v>
      </c>
      <c r="G1830">
        <v>22</v>
      </c>
      <c r="H1830">
        <f t="shared" si="13"/>
        <v>200</v>
      </c>
      <c r="I1830">
        <v>100</v>
      </c>
      <c r="J1830">
        <f>Table2[[#This Row],[Hits]]/Table2[[#This Row],[Points]]*100</f>
        <v>11</v>
      </c>
      <c r="K1830">
        <f>VLOOKUP(Table2[[#This Row],[Site]],'Site Info'!$A$1:$C$11,2, FALSE)</f>
        <v>17</v>
      </c>
      <c r="L1830">
        <f>VLOOKUP(Table2[[#This Row],[Site]],'Site Info'!$A$1:$C$11,3, FALSE)</f>
        <v>4</v>
      </c>
      <c r="M1830" t="str">
        <f>VLOOKUP(Table2[[#This Row],[Species]],'Species Table'!$A$1:$D$68,3, FALSE)</f>
        <v>Perennial</v>
      </c>
      <c r="O1830" s="15">
        <f>IF(SUMPRODUCT(($A$2:$A1830=A1830)*($B$2:$B1830=B1830)*($F$2:$F1830=F1830))&gt;1,0,1)</f>
        <v>0</v>
      </c>
      <c r="P1830" s="15">
        <f>IF(SUMPRODUCT(($A$2:$A1830=A1830)*($B$2:$B1830=B1830)*($D$2:$D1830=D1830))&gt;1,0,1)</f>
        <v>1</v>
      </c>
    </row>
    <row r="1831" spans="1:16" hidden="1" x14ac:dyDescent="0.35">
      <c r="A1831" t="s">
        <v>105</v>
      </c>
      <c r="B1831">
        <v>2017</v>
      </c>
      <c r="C1831" s="1" t="s">
        <v>51</v>
      </c>
      <c r="D1831" s="6">
        <v>3.2</v>
      </c>
      <c r="E1831" s="6">
        <f>INT(Table2[[#This Row],[Transect]])</f>
        <v>3</v>
      </c>
      <c r="F1831" s="1" t="s">
        <v>10</v>
      </c>
      <c r="G1831">
        <v>22</v>
      </c>
      <c r="H1831">
        <f t="shared" si="13"/>
        <v>200</v>
      </c>
      <c r="I1831">
        <v>100</v>
      </c>
      <c r="J1831">
        <f>Table2[[#This Row],[Hits]]/Table2[[#This Row],[Points]]*100</f>
        <v>11</v>
      </c>
      <c r="K1831">
        <f>VLOOKUP(Table2[[#This Row],[Site]],'Site Info'!$A$1:$C$11,2, FALSE)</f>
        <v>17</v>
      </c>
      <c r="L1831">
        <f>VLOOKUP(Table2[[#This Row],[Site]],'Site Info'!$A$1:$C$11,3, FALSE)</f>
        <v>4</v>
      </c>
      <c r="M1831" t="str">
        <f>VLOOKUP(Table2[[#This Row],[Species]],'Species Table'!$A$1:$D$68,3, FALSE)</f>
        <v>Annual</v>
      </c>
      <c r="O1831" s="15">
        <f>IF(SUMPRODUCT(($A$2:$A1831=A1831)*($B$2:$B1831=B1831)*($F$2:$F1831=F1831))&gt;1,0,1)</f>
        <v>0</v>
      </c>
      <c r="P1831" s="15">
        <f>IF(SUMPRODUCT(($A$2:$A1831=A1831)*($B$2:$B1831=B1831)*($D$2:$D1831=D1831))&gt;1,0,1)</f>
        <v>0</v>
      </c>
    </row>
    <row r="1832" spans="1:16" hidden="1" x14ac:dyDescent="0.35">
      <c r="A1832" t="s">
        <v>105</v>
      </c>
      <c r="B1832">
        <v>2017</v>
      </c>
      <c r="C1832" s="1" t="s">
        <v>51</v>
      </c>
      <c r="D1832" s="6">
        <v>3.2</v>
      </c>
      <c r="E1832" s="6">
        <f>INT(Table2[[#This Row],[Transect]])</f>
        <v>3</v>
      </c>
      <c r="F1832" s="1" t="s">
        <v>33</v>
      </c>
      <c r="G1832">
        <v>4</v>
      </c>
      <c r="H1832">
        <f t="shared" si="13"/>
        <v>200</v>
      </c>
      <c r="I1832">
        <v>100</v>
      </c>
      <c r="J1832">
        <f>Table2[[#This Row],[Hits]]/Table2[[#This Row],[Points]]*100</f>
        <v>2</v>
      </c>
      <c r="K1832">
        <f>VLOOKUP(Table2[[#This Row],[Site]],'Site Info'!$A$1:$C$11,2, FALSE)</f>
        <v>17</v>
      </c>
      <c r="L1832">
        <f>VLOOKUP(Table2[[#This Row],[Site]],'Site Info'!$A$1:$C$11,3, FALSE)</f>
        <v>4</v>
      </c>
      <c r="M1832" t="str">
        <f>VLOOKUP(Table2[[#This Row],[Species]],'Species Table'!$A$1:$D$68,3, FALSE)</f>
        <v>Annual</v>
      </c>
      <c r="O1832" s="15">
        <f>IF(SUMPRODUCT(($A$2:$A1832=A1832)*($B$2:$B1832=B1832)*($F$2:$F1832=F1832))&gt;1,0,1)</f>
        <v>0</v>
      </c>
      <c r="P1832" s="15">
        <f>IF(SUMPRODUCT(($A$2:$A1832=A1832)*($B$2:$B1832=B1832)*($D$2:$D1832=D1832))&gt;1,0,1)</f>
        <v>0</v>
      </c>
    </row>
    <row r="1833" spans="1:16" x14ac:dyDescent="0.35">
      <c r="A1833" t="s">
        <v>105</v>
      </c>
      <c r="B1833">
        <v>2017</v>
      </c>
      <c r="C1833" s="1" t="s">
        <v>51</v>
      </c>
      <c r="D1833" s="6">
        <v>3.2</v>
      </c>
      <c r="E1833" s="6">
        <f>INT(Table2[[#This Row],[Transect]])</f>
        <v>3</v>
      </c>
      <c r="F1833" s="1" t="s">
        <v>11</v>
      </c>
      <c r="G1833">
        <v>4</v>
      </c>
      <c r="H1833">
        <f t="shared" si="13"/>
        <v>200</v>
      </c>
      <c r="I1833">
        <v>100</v>
      </c>
      <c r="J1833">
        <f>Table2[[#This Row],[Hits]]/Table2[[#This Row],[Points]]*100</f>
        <v>2</v>
      </c>
      <c r="K1833">
        <f>VLOOKUP(Table2[[#This Row],[Site]],'Site Info'!$A$1:$C$11,2, FALSE)</f>
        <v>17</v>
      </c>
      <c r="L1833">
        <f>VLOOKUP(Table2[[#This Row],[Site]],'Site Info'!$A$1:$C$11,3, FALSE)</f>
        <v>4</v>
      </c>
      <c r="M1833" t="str">
        <f>VLOOKUP(Table2[[#This Row],[Species]],'Species Table'!$A$1:$D$68,3, FALSE)</f>
        <v>Perennial</v>
      </c>
      <c r="O1833" s="15">
        <f>IF(SUMPRODUCT(($A$2:$A1833=A1833)*($B$2:$B1833=B1833)*($F$2:$F1833=F1833))&gt;1,0,1)</f>
        <v>0</v>
      </c>
      <c r="P1833" s="15">
        <f>IF(SUMPRODUCT(($A$2:$A1833=A1833)*($B$2:$B1833=B1833)*($D$2:$D1833=D1833))&gt;1,0,1)</f>
        <v>0</v>
      </c>
    </row>
    <row r="1834" spans="1:16" hidden="1" x14ac:dyDescent="0.35">
      <c r="A1834" t="s">
        <v>105</v>
      </c>
      <c r="B1834">
        <v>2017</v>
      </c>
      <c r="C1834" t="s">
        <v>52</v>
      </c>
      <c r="D1834" s="6">
        <v>3.3</v>
      </c>
      <c r="E1834" s="6">
        <f>INT(Table2[[#This Row],[Transect]])</f>
        <v>3</v>
      </c>
      <c r="F1834" s="1" t="s">
        <v>10</v>
      </c>
      <c r="G1834">
        <v>33</v>
      </c>
      <c r="H1834">
        <f t="shared" si="13"/>
        <v>200</v>
      </c>
      <c r="I1834">
        <v>100</v>
      </c>
      <c r="J1834">
        <f>Table2[[#This Row],[Hits]]/Table2[[#This Row],[Points]]*100</f>
        <v>16.5</v>
      </c>
      <c r="K1834">
        <f>VLOOKUP(Table2[[#This Row],[Site]],'Site Info'!$A$1:$C$11,2, FALSE)</f>
        <v>17</v>
      </c>
      <c r="L1834">
        <f>VLOOKUP(Table2[[#This Row],[Site]],'Site Info'!$A$1:$C$11,3, FALSE)</f>
        <v>4</v>
      </c>
      <c r="M1834" t="str">
        <f>VLOOKUP(Table2[[#This Row],[Species]],'Species Table'!$A$1:$D$68,3, FALSE)</f>
        <v>Annual</v>
      </c>
      <c r="O1834" s="15">
        <f>IF(SUMPRODUCT(($A$2:$A1834=A1834)*($B$2:$B1834=B1834)*($F$2:$F1834=F1834))&gt;1,0,1)</f>
        <v>0</v>
      </c>
      <c r="P1834" s="15">
        <f>IF(SUMPRODUCT(($A$2:$A1834=A1834)*($B$2:$B1834=B1834)*($D$2:$D1834=D1834))&gt;1,0,1)</f>
        <v>1</v>
      </c>
    </row>
    <row r="1835" spans="1:16" hidden="1" x14ac:dyDescent="0.35">
      <c r="A1835" t="s">
        <v>105</v>
      </c>
      <c r="B1835">
        <v>2017</v>
      </c>
      <c r="C1835" t="s">
        <v>52</v>
      </c>
      <c r="D1835" s="6">
        <v>3.3</v>
      </c>
      <c r="E1835" s="6">
        <f>INT(Table2[[#This Row],[Transect]])</f>
        <v>3</v>
      </c>
      <c r="F1835" s="1" t="s">
        <v>33</v>
      </c>
      <c r="G1835">
        <v>4</v>
      </c>
      <c r="H1835">
        <f t="shared" si="13"/>
        <v>200</v>
      </c>
      <c r="I1835">
        <v>100</v>
      </c>
      <c r="J1835">
        <f>Table2[[#This Row],[Hits]]/Table2[[#This Row],[Points]]*100</f>
        <v>2</v>
      </c>
      <c r="K1835">
        <f>VLOOKUP(Table2[[#This Row],[Site]],'Site Info'!$A$1:$C$11,2, FALSE)</f>
        <v>17</v>
      </c>
      <c r="L1835">
        <f>VLOOKUP(Table2[[#This Row],[Site]],'Site Info'!$A$1:$C$11,3, FALSE)</f>
        <v>4</v>
      </c>
      <c r="M1835" t="str">
        <f>VLOOKUP(Table2[[#This Row],[Species]],'Species Table'!$A$1:$D$68,3, FALSE)</f>
        <v>Annual</v>
      </c>
      <c r="O1835" s="15">
        <f>IF(SUMPRODUCT(($A$2:$A1835=A1835)*($B$2:$B1835=B1835)*($F$2:$F1835=F1835))&gt;1,0,1)</f>
        <v>0</v>
      </c>
      <c r="P1835" s="15">
        <f>IF(SUMPRODUCT(($A$2:$A1835=A1835)*($B$2:$B1835=B1835)*($D$2:$D1835=D1835))&gt;1,0,1)</f>
        <v>0</v>
      </c>
    </row>
    <row r="1836" spans="1:16" x14ac:dyDescent="0.35">
      <c r="A1836" t="s">
        <v>105</v>
      </c>
      <c r="B1836">
        <v>2017</v>
      </c>
      <c r="C1836" t="s">
        <v>52</v>
      </c>
      <c r="D1836" s="6">
        <v>3.3</v>
      </c>
      <c r="E1836" s="6">
        <f>INT(Table2[[#This Row],[Transect]])</f>
        <v>3</v>
      </c>
      <c r="F1836" s="1" t="s">
        <v>11</v>
      </c>
      <c r="G1836">
        <v>4</v>
      </c>
      <c r="H1836">
        <f t="shared" si="13"/>
        <v>200</v>
      </c>
      <c r="I1836">
        <v>100</v>
      </c>
      <c r="J1836">
        <f>Table2[[#This Row],[Hits]]/Table2[[#This Row],[Points]]*100</f>
        <v>2</v>
      </c>
      <c r="K1836">
        <f>VLOOKUP(Table2[[#This Row],[Site]],'Site Info'!$A$1:$C$11,2, FALSE)</f>
        <v>17</v>
      </c>
      <c r="L1836">
        <f>VLOOKUP(Table2[[#This Row],[Site]],'Site Info'!$A$1:$C$11,3, FALSE)</f>
        <v>4</v>
      </c>
      <c r="M1836" t="str">
        <f>VLOOKUP(Table2[[#This Row],[Species]],'Species Table'!$A$1:$D$68,3, FALSE)</f>
        <v>Perennial</v>
      </c>
      <c r="O1836" s="15">
        <f>IF(SUMPRODUCT(($A$2:$A1836=A1836)*($B$2:$B1836=B1836)*($F$2:$F1836=F1836))&gt;1,0,1)</f>
        <v>0</v>
      </c>
      <c r="P1836" s="15">
        <f>IF(SUMPRODUCT(($A$2:$A1836=A1836)*($B$2:$B1836=B1836)*($D$2:$D1836=D1836))&gt;1,0,1)</f>
        <v>0</v>
      </c>
    </row>
    <row r="1837" spans="1:16" x14ac:dyDescent="0.35">
      <c r="A1837" t="s">
        <v>105</v>
      </c>
      <c r="B1837">
        <v>2017</v>
      </c>
      <c r="C1837" t="s">
        <v>52</v>
      </c>
      <c r="D1837" s="6">
        <v>3.3</v>
      </c>
      <c r="E1837" s="6">
        <f>INT(Table2[[#This Row],[Transect]])</f>
        <v>3</v>
      </c>
      <c r="F1837" s="1" t="s">
        <v>12</v>
      </c>
      <c r="G1837">
        <v>2</v>
      </c>
      <c r="H1837">
        <f t="shared" si="13"/>
        <v>200</v>
      </c>
      <c r="I1837">
        <v>100</v>
      </c>
      <c r="J1837">
        <f>Table2[[#This Row],[Hits]]/Table2[[#This Row],[Points]]*100</f>
        <v>1</v>
      </c>
      <c r="K1837">
        <f>VLOOKUP(Table2[[#This Row],[Site]],'Site Info'!$A$1:$C$11,2, FALSE)</f>
        <v>17</v>
      </c>
      <c r="L1837">
        <f>VLOOKUP(Table2[[#This Row],[Site]],'Site Info'!$A$1:$C$11,3, FALSE)</f>
        <v>4</v>
      </c>
      <c r="M1837" t="str">
        <f>VLOOKUP(Table2[[#This Row],[Species]],'Species Table'!$A$1:$D$68,3, FALSE)</f>
        <v>Perennial</v>
      </c>
      <c r="O1837" s="15">
        <f>IF(SUMPRODUCT(($A$2:$A1837=A1837)*($B$2:$B1837=B1837)*($F$2:$F1837=F1837))&gt;1,0,1)</f>
        <v>0</v>
      </c>
      <c r="P1837" s="15">
        <f>IF(SUMPRODUCT(($A$2:$A1837=A1837)*($B$2:$B1837=B1837)*($D$2:$D1837=D1837))&gt;1,0,1)</f>
        <v>0</v>
      </c>
    </row>
    <row r="1838" spans="1:16" x14ac:dyDescent="0.35">
      <c r="A1838" t="s">
        <v>105</v>
      </c>
      <c r="B1838">
        <v>2017</v>
      </c>
      <c r="C1838" t="s">
        <v>101</v>
      </c>
      <c r="D1838" s="6">
        <v>3.4</v>
      </c>
      <c r="E1838" s="6">
        <f>INT(Table2[[#This Row],[Transect]])</f>
        <v>3</v>
      </c>
      <c r="F1838" s="1" t="s">
        <v>11</v>
      </c>
      <c r="G1838">
        <v>9</v>
      </c>
      <c r="H1838">
        <f t="shared" si="13"/>
        <v>200</v>
      </c>
      <c r="I1838">
        <v>100</v>
      </c>
      <c r="J1838">
        <f>Table2[[#This Row],[Hits]]/Table2[[#This Row],[Points]]*100</f>
        <v>4.5</v>
      </c>
      <c r="K1838">
        <f>VLOOKUP(Table2[[#This Row],[Site]],'Site Info'!$A$1:$C$11,2, FALSE)</f>
        <v>17</v>
      </c>
      <c r="L1838">
        <f>VLOOKUP(Table2[[#This Row],[Site]],'Site Info'!$A$1:$C$11,3, FALSE)</f>
        <v>4</v>
      </c>
      <c r="M1838" t="str">
        <f>VLOOKUP(Table2[[#This Row],[Species]],'Species Table'!$A$1:$D$68,3, FALSE)</f>
        <v>Perennial</v>
      </c>
      <c r="O1838" s="15">
        <f>IF(SUMPRODUCT(($A$2:$A1838=A1838)*($B$2:$B1838=B1838)*($F$2:$F1838=F1838))&gt;1,0,1)</f>
        <v>0</v>
      </c>
      <c r="P1838" s="15">
        <f>IF(SUMPRODUCT(($A$2:$A1838=A1838)*($B$2:$B1838=B1838)*($D$2:$D1838=D1838))&gt;1,0,1)</f>
        <v>1</v>
      </c>
    </row>
    <row r="1839" spans="1:16" hidden="1" x14ac:dyDescent="0.35">
      <c r="A1839" t="s">
        <v>105</v>
      </c>
      <c r="B1839">
        <v>2017</v>
      </c>
      <c r="C1839" t="s">
        <v>101</v>
      </c>
      <c r="D1839" s="6">
        <v>3.4</v>
      </c>
      <c r="E1839" s="6">
        <f>INT(Table2[[#This Row],[Transect]])</f>
        <v>3</v>
      </c>
      <c r="F1839" s="1" t="s">
        <v>10</v>
      </c>
      <c r="G1839">
        <v>4</v>
      </c>
      <c r="H1839">
        <f t="shared" si="13"/>
        <v>200</v>
      </c>
      <c r="I1839">
        <v>100</v>
      </c>
      <c r="J1839">
        <f>Table2[[#This Row],[Hits]]/Table2[[#This Row],[Points]]*100</f>
        <v>2</v>
      </c>
      <c r="K1839">
        <f>VLOOKUP(Table2[[#This Row],[Site]],'Site Info'!$A$1:$C$11,2, FALSE)</f>
        <v>17</v>
      </c>
      <c r="L1839">
        <f>VLOOKUP(Table2[[#This Row],[Site]],'Site Info'!$A$1:$C$11,3, FALSE)</f>
        <v>4</v>
      </c>
      <c r="M1839" t="str">
        <f>VLOOKUP(Table2[[#This Row],[Species]],'Species Table'!$A$1:$D$68,3, FALSE)</f>
        <v>Annual</v>
      </c>
      <c r="O1839" s="15">
        <f>IF(SUMPRODUCT(($A$2:$A1839=A1839)*($B$2:$B1839=B1839)*($F$2:$F1839=F1839))&gt;1,0,1)</f>
        <v>0</v>
      </c>
      <c r="P1839" s="15">
        <f>IF(SUMPRODUCT(($A$2:$A1839=A1839)*($B$2:$B1839=B1839)*($D$2:$D1839=D1839))&gt;1,0,1)</f>
        <v>0</v>
      </c>
    </row>
    <row r="1840" spans="1:16" hidden="1" x14ac:dyDescent="0.35">
      <c r="A1840" t="s">
        <v>105</v>
      </c>
      <c r="B1840">
        <v>2017</v>
      </c>
      <c r="C1840" t="s">
        <v>102</v>
      </c>
      <c r="D1840" s="6">
        <v>3.5</v>
      </c>
      <c r="E1840" s="6">
        <f>INT(Table2[[#This Row],[Transect]])</f>
        <v>3</v>
      </c>
      <c r="F1840" s="1" t="s">
        <v>33</v>
      </c>
      <c r="G1840">
        <v>44</v>
      </c>
      <c r="H1840">
        <f t="shared" si="13"/>
        <v>200</v>
      </c>
      <c r="I1840">
        <v>100</v>
      </c>
      <c r="J1840">
        <f>Table2[[#This Row],[Hits]]/Table2[[#This Row],[Points]]*100</f>
        <v>22</v>
      </c>
      <c r="K1840">
        <f>VLOOKUP(Table2[[#This Row],[Site]],'Site Info'!$A$1:$C$11,2, FALSE)</f>
        <v>17</v>
      </c>
      <c r="L1840">
        <f>VLOOKUP(Table2[[#This Row],[Site]],'Site Info'!$A$1:$C$11,3, FALSE)</f>
        <v>4</v>
      </c>
      <c r="M1840" t="str">
        <f>VLOOKUP(Table2[[#This Row],[Species]],'Species Table'!$A$1:$D$68,3, FALSE)</f>
        <v>Annual</v>
      </c>
      <c r="O1840" s="15">
        <f>IF(SUMPRODUCT(($A$2:$A1840=A1840)*($B$2:$B1840=B1840)*($F$2:$F1840=F1840))&gt;1,0,1)</f>
        <v>0</v>
      </c>
      <c r="P1840" s="15">
        <f>IF(SUMPRODUCT(($A$2:$A1840=A1840)*($B$2:$B1840=B1840)*($D$2:$D1840=D1840))&gt;1,0,1)</f>
        <v>1</v>
      </c>
    </row>
    <row r="1841" spans="1:16" x14ac:dyDescent="0.35">
      <c r="A1841" t="s">
        <v>105</v>
      </c>
      <c r="B1841">
        <v>2017</v>
      </c>
      <c r="C1841" t="s">
        <v>102</v>
      </c>
      <c r="D1841" s="6">
        <v>3.5</v>
      </c>
      <c r="E1841" s="6">
        <f>INT(Table2[[#This Row],[Transect]])</f>
        <v>3</v>
      </c>
      <c r="F1841" s="1" t="s">
        <v>11</v>
      </c>
      <c r="G1841">
        <v>4</v>
      </c>
      <c r="H1841">
        <f t="shared" si="13"/>
        <v>200</v>
      </c>
      <c r="I1841">
        <v>100</v>
      </c>
      <c r="J1841">
        <f>Table2[[#This Row],[Hits]]/Table2[[#This Row],[Points]]*100</f>
        <v>2</v>
      </c>
      <c r="K1841">
        <f>VLOOKUP(Table2[[#This Row],[Site]],'Site Info'!$A$1:$C$11,2, FALSE)</f>
        <v>17</v>
      </c>
      <c r="L1841">
        <f>VLOOKUP(Table2[[#This Row],[Site]],'Site Info'!$A$1:$C$11,3, FALSE)</f>
        <v>4</v>
      </c>
      <c r="M1841" t="str">
        <f>VLOOKUP(Table2[[#This Row],[Species]],'Species Table'!$A$1:$D$68,3, FALSE)</f>
        <v>Perennial</v>
      </c>
      <c r="O1841" s="15">
        <f>IF(SUMPRODUCT(($A$2:$A1841=A1841)*($B$2:$B1841=B1841)*($F$2:$F1841=F1841))&gt;1,0,1)</f>
        <v>0</v>
      </c>
      <c r="P1841" s="15">
        <f>IF(SUMPRODUCT(($A$2:$A1841=A1841)*($B$2:$B1841=B1841)*($D$2:$D1841=D1841))&gt;1,0,1)</f>
        <v>0</v>
      </c>
    </row>
    <row r="1842" spans="1:16" hidden="1" x14ac:dyDescent="0.35">
      <c r="A1842" t="s">
        <v>105</v>
      </c>
      <c r="B1842">
        <v>2017</v>
      </c>
      <c r="C1842" t="s">
        <v>102</v>
      </c>
      <c r="D1842" s="6">
        <v>3.5</v>
      </c>
      <c r="E1842" s="6">
        <f>INT(Table2[[#This Row],[Transect]])</f>
        <v>3</v>
      </c>
      <c r="F1842" s="1" t="s">
        <v>10</v>
      </c>
      <c r="G1842">
        <v>17</v>
      </c>
      <c r="H1842">
        <f t="shared" si="13"/>
        <v>200</v>
      </c>
      <c r="I1842">
        <v>100</v>
      </c>
      <c r="J1842">
        <f>Table2[[#This Row],[Hits]]/Table2[[#This Row],[Points]]*100</f>
        <v>8.5</v>
      </c>
      <c r="K1842">
        <f>VLOOKUP(Table2[[#This Row],[Site]],'Site Info'!$A$1:$C$11,2, FALSE)</f>
        <v>17</v>
      </c>
      <c r="L1842">
        <f>VLOOKUP(Table2[[#This Row],[Site]],'Site Info'!$A$1:$C$11,3, FALSE)</f>
        <v>4</v>
      </c>
      <c r="M1842" t="str">
        <f>VLOOKUP(Table2[[#This Row],[Species]],'Species Table'!$A$1:$D$68,3, FALSE)</f>
        <v>Annual</v>
      </c>
      <c r="O1842" s="15">
        <f>IF(SUMPRODUCT(($A$2:$A1842=A1842)*($B$2:$B1842=B1842)*($F$2:$F1842=F1842))&gt;1,0,1)</f>
        <v>0</v>
      </c>
      <c r="P1842" s="15">
        <f>IF(SUMPRODUCT(($A$2:$A1842=A1842)*($B$2:$B1842=B1842)*($D$2:$D1842=D1842))&gt;1,0,1)</f>
        <v>0</v>
      </c>
    </row>
    <row r="1843" spans="1:16" hidden="1" x14ac:dyDescent="0.35">
      <c r="A1843" t="s">
        <v>105</v>
      </c>
      <c r="B1843">
        <v>2017</v>
      </c>
      <c r="C1843" t="s">
        <v>53</v>
      </c>
      <c r="D1843" s="6">
        <v>3.6</v>
      </c>
      <c r="E1843" s="6">
        <f>INT(Table2[[#This Row],[Transect]])</f>
        <v>3</v>
      </c>
      <c r="F1843" t="s">
        <v>33</v>
      </c>
      <c r="G1843">
        <v>7</v>
      </c>
      <c r="H1843">
        <f t="shared" si="13"/>
        <v>200</v>
      </c>
      <c r="I1843">
        <v>100</v>
      </c>
      <c r="J1843">
        <f>Table2[[#This Row],[Hits]]/Table2[[#This Row],[Points]]*100</f>
        <v>3.5000000000000004</v>
      </c>
      <c r="K1843">
        <f>VLOOKUP(Table2[[#This Row],[Site]],'Site Info'!$A$1:$C$11,2, FALSE)</f>
        <v>17</v>
      </c>
      <c r="L1843">
        <f>VLOOKUP(Table2[[#This Row],[Site]],'Site Info'!$A$1:$C$11,3, FALSE)</f>
        <v>4</v>
      </c>
      <c r="M1843" t="str">
        <f>VLOOKUP(Table2[[#This Row],[Species]],'Species Table'!$A$1:$D$68,3, FALSE)</f>
        <v>Annual</v>
      </c>
      <c r="O1843" s="15">
        <f>IF(SUMPRODUCT(($A$2:$A1843=A1843)*($B$2:$B1843=B1843)*($F$2:$F1843=F1843))&gt;1,0,1)</f>
        <v>0</v>
      </c>
      <c r="P1843" s="15">
        <f>IF(SUMPRODUCT(($A$2:$A1843=A1843)*($B$2:$B1843=B1843)*($D$2:$D1843=D1843))&gt;1,0,1)</f>
        <v>1</v>
      </c>
    </row>
    <row r="1844" spans="1:16" hidden="1" x14ac:dyDescent="0.35">
      <c r="A1844" t="s">
        <v>105</v>
      </c>
      <c r="B1844">
        <v>2017</v>
      </c>
      <c r="C1844" t="s">
        <v>53</v>
      </c>
      <c r="D1844" s="6">
        <v>3.6</v>
      </c>
      <c r="E1844" s="6">
        <f>INT(Table2[[#This Row],[Transect]])</f>
        <v>3</v>
      </c>
      <c r="F1844" s="1" t="s">
        <v>10</v>
      </c>
      <c r="G1844">
        <v>10</v>
      </c>
      <c r="H1844">
        <f t="shared" si="13"/>
        <v>200</v>
      </c>
      <c r="I1844">
        <v>100</v>
      </c>
      <c r="J1844">
        <f>Table2[[#This Row],[Hits]]/Table2[[#This Row],[Points]]*100</f>
        <v>5</v>
      </c>
      <c r="K1844">
        <f>VLOOKUP(Table2[[#This Row],[Site]],'Site Info'!$A$1:$C$11,2, FALSE)</f>
        <v>17</v>
      </c>
      <c r="L1844">
        <f>VLOOKUP(Table2[[#This Row],[Site]],'Site Info'!$A$1:$C$11,3, FALSE)</f>
        <v>4</v>
      </c>
      <c r="M1844" t="str">
        <f>VLOOKUP(Table2[[#This Row],[Species]],'Species Table'!$A$1:$D$68,3, FALSE)</f>
        <v>Annual</v>
      </c>
      <c r="O1844" s="15">
        <f>IF(SUMPRODUCT(($A$2:$A1844=A1844)*($B$2:$B1844=B1844)*($F$2:$F1844=F1844))&gt;1,0,1)</f>
        <v>0</v>
      </c>
      <c r="P1844" s="15">
        <f>IF(SUMPRODUCT(($A$2:$A1844=A1844)*($B$2:$B1844=B1844)*($D$2:$D1844=D1844))&gt;1,0,1)</f>
        <v>0</v>
      </c>
    </row>
    <row r="1845" spans="1:16" x14ac:dyDescent="0.35">
      <c r="A1845" t="s">
        <v>105</v>
      </c>
      <c r="B1845">
        <v>2017</v>
      </c>
      <c r="C1845" t="s">
        <v>53</v>
      </c>
      <c r="D1845" s="6">
        <v>3.6</v>
      </c>
      <c r="E1845" s="6">
        <f>INT(Table2[[#This Row],[Transect]])</f>
        <v>3</v>
      </c>
      <c r="F1845" s="1" t="s">
        <v>3</v>
      </c>
      <c r="G1845">
        <v>12</v>
      </c>
      <c r="H1845">
        <f t="shared" si="13"/>
        <v>200</v>
      </c>
      <c r="I1845">
        <v>100</v>
      </c>
      <c r="J1845">
        <f>Table2[[#This Row],[Hits]]/Table2[[#This Row],[Points]]*100</f>
        <v>6</v>
      </c>
      <c r="K1845">
        <f>VLOOKUP(Table2[[#This Row],[Site]],'Site Info'!$A$1:$C$11,2, FALSE)</f>
        <v>17</v>
      </c>
      <c r="L1845">
        <f>VLOOKUP(Table2[[#This Row],[Site]],'Site Info'!$A$1:$C$11,3, FALSE)</f>
        <v>4</v>
      </c>
      <c r="M1845" t="str">
        <f>VLOOKUP(Table2[[#This Row],[Species]],'Species Table'!$A$1:$D$68,3, FALSE)</f>
        <v>Perennial</v>
      </c>
      <c r="O1845" s="15">
        <f>IF(SUMPRODUCT(($A$2:$A1845=A1845)*($B$2:$B1845=B1845)*($F$2:$F1845=F1845))&gt;1,0,1)</f>
        <v>0</v>
      </c>
      <c r="P1845" s="15">
        <f>IF(SUMPRODUCT(($A$2:$A1845=A1845)*($B$2:$B1845=B1845)*($D$2:$D1845=D1845))&gt;1,0,1)</f>
        <v>0</v>
      </c>
    </row>
    <row r="1846" spans="1:16" x14ac:dyDescent="0.35">
      <c r="A1846" s="4" t="s">
        <v>105</v>
      </c>
      <c r="B1846">
        <v>2017</v>
      </c>
      <c r="C1846" s="4" t="s">
        <v>54</v>
      </c>
      <c r="D1846" s="5">
        <v>3.7</v>
      </c>
      <c r="E1846" s="5">
        <f>INT(Table2[[#This Row],[Transect]])</f>
        <v>3</v>
      </c>
      <c r="F1846" s="4" t="s">
        <v>3</v>
      </c>
      <c r="G1846" s="4">
        <v>11</v>
      </c>
      <c r="H1846">
        <f t="shared" si="13"/>
        <v>47</v>
      </c>
      <c r="I1846" s="4">
        <v>23.5</v>
      </c>
      <c r="J1846" s="4">
        <f>Table2[[#This Row],[Hits]]/Table2[[#This Row],[Points]]*100</f>
        <v>23.404255319148938</v>
      </c>
      <c r="K1846" s="4">
        <f>VLOOKUP(Table2[[#This Row],[Site]],'Site Info'!$A$1:$C$11,2, FALSE)</f>
        <v>17</v>
      </c>
      <c r="L1846" s="4">
        <f>VLOOKUP(Table2[[#This Row],[Site]],'Site Info'!$A$1:$C$11,3, FALSE)</f>
        <v>4</v>
      </c>
      <c r="M1846" t="str">
        <f>VLOOKUP(Table2[[#This Row],[Species]],'Species Table'!$A$1:$D$68,3, FALSE)</f>
        <v>Perennial</v>
      </c>
      <c r="N1846" s="4"/>
      <c r="O1846" s="15">
        <f>IF(SUMPRODUCT(($A$2:$A1846=A1846)*($B$2:$B1846=B1846)*($F$2:$F1846=F1846))&gt;1,0,1)</f>
        <v>0</v>
      </c>
      <c r="P1846" s="15">
        <f>IF(SUMPRODUCT(($A$2:$A1846=A1846)*($B$2:$B1846=B1846)*($D$2:$D1846=D1846))&gt;1,0,1)</f>
        <v>1</v>
      </c>
    </row>
    <row r="1847" spans="1:16" hidden="1" x14ac:dyDescent="0.35">
      <c r="A1847" t="s">
        <v>105</v>
      </c>
      <c r="B1847">
        <v>2017</v>
      </c>
      <c r="C1847" t="s">
        <v>55</v>
      </c>
      <c r="D1847" s="6">
        <v>4.0999999999999996</v>
      </c>
      <c r="E1847" s="6">
        <f>INT(Table2[[#This Row],[Transect]])</f>
        <v>4</v>
      </c>
      <c r="F1847" s="1" t="s">
        <v>10</v>
      </c>
      <c r="G1847">
        <v>17</v>
      </c>
      <c r="H1847">
        <f t="shared" si="13"/>
        <v>200</v>
      </c>
      <c r="I1847">
        <v>100</v>
      </c>
      <c r="J1847">
        <f>Table2[[#This Row],[Hits]]/Table2[[#This Row],[Points]]*100</f>
        <v>8.5</v>
      </c>
      <c r="K1847">
        <f>VLOOKUP(Table2[[#This Row],[Site]],'Site Info'!$A$1:$C$11,2, FALSE)</f>
        <v>17</v>
      </c>
      <c r="L1847">
        <f>VLOOKUP(Table2[[#This Row],[Site]],'Site Info'!$A$1:$C$11,3, FALSE)</f>
        <v>4</v>
      </c>
      <c r="M1847" t="str">
        <f>VLOOKUP(Table2[[#This Row],[Species]],'Species Table'!$A$1:$D$68,3, FALSE)</f>
        <v>Annual</v>
      </c>
      <c r="O1847" s="15">
        <f>IF(SUMPRODUCT(($A$2:$A1847=A1847)*($B$2:$B1847=B1847)*($F$2:$F1847=F1847))&gt;1,0,1)</f>
        <v>0</v>
      </c>
      <c r="P1847" s="15">
        <f>IF(SUMPRODUCT(($A$2:$A1847=A1847)*($B$2:$B1847=B1847)*($D$2:$D1847=D1847))&gt;1,0,1)</f>
        <v>1</v>
      </c>
    </row>
    <row r="1848" spans="1:16" x14ac:dyDescent="0.35">
      <c r="A1848" t="s">
        <v>105</v>
      </c>
      <c r="B1848">
        <v>2017</v>
      </c>
      <c r="C1848" t="s">
        <v>55</v>
      </c>
      <c r="D1848" s="6">
        <v>4.0999999999999996</v>
      </c>
      <c r="E1848" s="6">
        <f>INT(Table2[[#This Row],[Transect]])</f>
        <v>4</v>
      </c>
      <c r="F1848" s="1" t="s">
        <v>31</v>
      </c>
      <c r="G1848">
        <v>1</v>
      </c>
      <c r="H1848">
        <f t="shared" si="13"/>
        <v>200</v>
      </c>
      <c r="I1848">
        <v>100</v>
      </c>
      <c r="J1848">
        <f>Table2[[#This Row],[Hits]]/Table2[[#This Row],[Points]]*100</f>
        <v>0.5</v>
      </c>
      <c r="K1848">
        <f>VLOOKUP(Table2[[#This Row],[Site]],'Site Info'!$A$1:$C$11,2, FALSE)</f>
        <v>17</v>
      </c>
      <c r="L1848">
        <f>VLOOKUP(Table2[[#This Row],[Site]],'Site Info'!$A$1:$C$11,3, FALSE)</f>
        <v>4</v>
      </c>
      <c r="M1848" t="str">
        <f>VLOOKUP(Table2[[#This Row],[Species]],'Species Table'!$A$1:$D$68,3, FALSE)</f>
        <v>Perennial</v>
      </c>
      <c r="O1848" s="15">
        <f>IF(SUMPRODUCT(($A$2:$A1848=A1848)*($B$2:$B1848=B1848)*($F$2:$F1848=F1848))&gt;1,0,1)</f>
        <v>0</v>
      </c>
      <c r="P1848" s="15">
        <f>IF(SUMPRODUCT(($A$2:$A1848=A1848)*($B$2:$B1848=B1848)*($D$2:$D1848=D1848))&gt;1,0,1)</f>
        <v>0</v>
      </c>
    </row>
    <row r="1849" spans="1:16" x14ac:dyDescent="0.35">
      <c r="A1849" t="s">
        <v>105</v>
      </c>
      <c r="B1849">
        <v>2017</v>
      </c>
      <c r="C1849" t="s">
        <v>55</v>
      </c>
      <c r="D1849" s="6">
        <v>4.0999999999999996</v>
      </c>
      <c r="E1849" s="6">
        <f>INT(Table2[[#This Row],[Transect]])</f>
        <v>4</v>
      </c>
      <c r="F1849" s="1" t="s">
        <v>11</v>
      </c>
      <c r="G1849">
        <v>7</v>
      </c>
      <c r="H1849">
        <f t="shared" si="13"/>
        <v>200</v>
      </c>
      <c r="I1849">
        <v>100</v>
      </c>
      <c r="J1849">
        <f>Table2[[#This Row],[Hits]]/Table2[[#This Row],[Points]]*100</f>
        <v>3.5000000000000004</v>
      </c>
      <c r="K1849">
        <f>VLOOKUP(Table2[[#This Row],[Site]],'Site Info'!$A$1:$C$11,2, FALSE)</f>
        <v>17</v>
      </c>
      <c r="L1849">
        <f>VLOOKUP(Table2[[#This Row],[Site]],'Site Info'!$A$1:$C$11,3, FALSE)</f>
        <v>4</v>
      </c>
      <c r="M1849" t="str">
        <f>VLOOKUP(Table2[[#This Row],[Species]],'Species Table'!$A$1:$D$68,3, FALSE)</f>
        <v>Perennial</v>
      </c>
      <c r="O1849" s="15">
        <f>IF(SUMPRODUCT(($A$2:$A1849=A1849)*($B$2:$B1849=B1849)*($F$2:$F1849=F1849))&gt;1,0,1)</f>
        <v>0</v>
      </c>
      <c r="P1849" s="15">
        <f>IF(SUMPRODUCT(($A$2:$A1849=A1849)*($B$2:$B1849=B1849)*($D$2:$D1849=D1849))&gt;1,0,1)</f>
        <v>0</v>
      </c>
    </row>
    <row r="1850" spans="1:16" hidden="1" x14ac:dyDescent="0.35">
      <c r="A1850" t="s">
        <v>105</v>
      </c>
      <c r="B1850">
        <v>2017</v>
      </c>
      <c r="C1850" t="s">
        <v>55</v>
      </c>
      <c r="D1850" s="6">
        <v>4.0999999999999996</v>
      </c>
      <c r="E1850" s="6">
        <f>INT(Table2[[#This Row],[Transect]])</f>
        <v>4</v>
      </c>
      <c r="F1850" s="1" t="s">
        <v>33</v>
      </c>
      <c r="G1850">
        <v>25</v>
      </c>
      <c r="H1850">
        <f t="shared" si="13"/>
        <v>200</v>
      </c>
      <c r="I1850">
        <v>100</v>
      </c>
      <c r="J1850">
        <f>Table2[[#This Row],[Hits]]/Table2[[#This Row],[Points]]*100</f>
        <v>12.5</v>
      </c>
      <c r="K1850">
        <f>VLOOKUP(Table2[[#This Row],[Site]],'Site Info'!$A$1:$C$11,2, FALSE)</f>
        <v>17</v>
      </c>
      <c r="L1850">
        <f>VLOOKUP(Table2[[#This Row],[Site]],'Site Info'!$A$1:$C$11,3, FALSE)</f>
        <v>4</v>
      </c>
      <c r="M1850" t="str">
        <f>VLOOKUP(Table2[[#This Row],[Species]],'Species Table'!$A$1:$D$68,3, FALSE)</f>
        <v>Annual</v>
      </c>
      <c r="O1850" s="15">
        <f>IF(SUMPRODUCT(($A$2:$A1850=A1850)*($B$2:$B1850=B1850)*($F$2:$F1850=F1850))&gt;1,0,1)</f>
        <v>0</v>
      </c>
      <c r="P1850" s="15">
        <f>IF(SUMPRODUCT(($A$2:$A1850=A1850)*($B$2:$B1850=B1850)*($D$2:$D1850=D1850))&gt;1,0,1)</f>
        <v>0</v>
      </c>
    </row>
    <row r="1851" spans="1:16" x14ac:dyDescent="0.35">
      <c r="A1851" t="s">
        <v>105</v>
      </c>
      <c r="B1851">
        <v>2017</v>
      </c>
      <c r="C1851" t="s">
        <v>55</v>
      </c>
      <c r="D1851" s="6">
        <v>4.0999999999999996</v>
      </c>
      <c r="E1851" s="6">
        <f>INT(Table2[[#This Row],[Transect]])</f>
        <v>4</v>
      </c>
      <c r="F1851" s="1" t="s">
        <v>12</v>
      </c>
      <c r="G1851">
        <v>5</v>
      </c>
      <c r="H1851">
        <f t="shared" si="13"/>
        <v>200</v>
      </c>
      <c r="I1851">
        <v>100</v>
      </c>
      <c r="J1851">
        <f>Table2[[#This Row],[Hits]]/Table2[[#This Row],[Points]]*100</f>
        <v>2.5</v>
      </c>
      <c r="K1851">
        <f>VLOOKUP(Table2[[#This Row],[Site]],'Site Info'!$A$1:$C$11,2, FALSE)</f>
        <v>17</v>
      </c>
      <c r="L1851">
        <f>VLOOKUP(Table2[[#This Row],[Site]],'Site Info'!$A$1:$C$11,3, FALSE)</f>
        <v>4</v>
      </c>
      <c r="M1851" t="str">
        <f>VLOOKUP(Table2[[#This Row],[Species]],'Species Table'!$A$1:$D$68,3, FALSE)</f>
        <v>Perennial</v>
      </c>
      <c r="O1851" s="15">
        <f>IF(SUMPRODUCT(($A$2:$A1851=A1851)*($B$2:$B1851=B1851)*($F$2:$F1851=F1851))&gt;1,0,1)</f>
        <v>0</v>
      </c>
      <c r="P1851" s="15">
        <f>IF(SUMPRODUCT(($A$2:$A1851=A1851)*($B$2:$B1851=B1851)*($D$2:$D1851=D1851))&gt;1,0,1)</f>
        <v>0</v>
      </c>
    </row>
    <row r="1852" spans="1:16" hidden="1" x14ac:dyDescent="0.35">
      <c r="A1852" t="s">
        <v>105</v>
      </c>
      <c r="B1852">
        <v>2017</v>
      </c>
      <c r="C1852" t="s">
        <v>103</v>
      </c>
      <c r="D1852" s="6">
        <v>4.2</v>
      </c>
      <c r="E1852" s="6">
        <f>INT(Table2[[#This Row],[Transect]])</f>
        <v>4</v>
      </c>
      <c r="F1852" s="1" t="s">
        <v>10</v>
      </c>
      <c r="G1852">
        <v>7</v>
      </c>
      <c r="H1852">
        <f t="shared" si="13"/>
        <v>88</v>
      </c>
      <c r="I1852">
        <v>44</v>
      </c>
      <c r="J1852">
        <f>Table2[[#This Row],[Hits]]/Table2[[#This Row],[Points]]*100</f>
        <v>7.9545454545454541</v>
      </c>
      <c r="K1852">
        <f>VLOOKUP(Table2[[#This Row],[Site]],'Site Info'!$A$1:$C$11,2, FALSE)</f>
        <v>17</v>
      </c>
      <c r="L1852">
        <f>VLOOKUP(Table2[[#This Row],[Site]],'Site Info'!$A$1:$C$11,3, FALSE)</f>
        <v>4</v>
      </c>
      <c r="M1852" t="str">
        <f>VLOOKUP(Table2[[#This Row],[Species]],'Species Table'!$A$1:$D$68,3, FALSE)</f>
        <v>Annual</v>
      </c>
      <c r="O1852" s="15">
        <f>IF(SUMPRODUCT(($A$2:$A1852=A1852)*($B$2:$B1852=B1852)*($F$2:$F1852=F1852))&gt;1,0,1)</f>
        <v>0</v>
      </c>
      <c r="P1852" s="15">
        <f>IF(SUMPRODUCT(($A$2:$A1852=A1852)*($B$2:$B1852=B1852)*($D$2:$D1852=D1852))&gt;1,0,1)</f>
        <v>1</v>
      </c>
    </row>
    <row r="1853" spans="1:16" hidden="1" x14ac:dyDescent="0.35">
      <c r="A1853" t="s">
        <v>105</v>
      </c>
      <c r="B1853">
        <v>2017</v>
      </c>
      <c r="C1853" t="s">
        <v>103</v>
      </c>
      <c r="D1853" s="6">
        <v>4.2</v>
      </c>
      <c r="E1853" s="6">
        <f>INT(Table2[[#This Row],[Transect]])</f>
        <v>4</v>
      </c>
      <c r="F1853" s="1" t="s">
        <v>33</v>
      </c>
      <c r="G1853">
        <v>5</v>
      </c>
      <c r="H1853">
        <f t="shared" si="13"/>
        <v>88</v>
      </c>
      <c r="I1853">
        <v>44</v>
      </c>
      <c r="J1853">
        <f>Table2[[#This Row],[Hits]]/Table2[[#This Row],[Points]]*100</f>
        <v>5.6818181818181817</v>
      </c>
      <c r="K1853">
        <f>VLOOKUP(Table2[[#This Row],[Site]],'Site Info'!$A$1:$C$11,2, FALSE)</f>
        <v>17</v>
      </c>
      <c r="L1853">
        <f>VLOOKUP(Table2[[#This Row],[Site]],'Site Info'!$A$1:$C$11,3, FALSE)</f>
        <v>4</v>
      </c>
      <c r="M1853" t="str">
        <f>VLOOKUP(Table2[[#This Row],[Species]],'Species Table'!$A$1:$D$68,3, FALSE)</f>
        <v>Annual</v>
      </c>
      <c r="O1853" s="15">
        <f>IF(SUMPRODUCT(($A$2:$A1853=A1853)*($B$2:$B1853=B1853)*($F$2:$F1853=F1853))&gt;1,0,1)</f>
        <v>0</v>
      </c>
      <c r="P1853" s="15">
        <f>IF(SUMPRODUCT(($A$2:$A1853=A1853)*($B$2:$B1853=B1853)*($D$2:$D1853=D1853))&gt;1,0,1)</f>
        <v>0</v>
      </c>
    </row>
    <row r="1854" spans="1:16" x14ac:dyDescent="0.35">
      <c r="A1854" t="s">
        <v>105</v>
      </c>
      <c r="B1854">
        <v>2017</v>
      </c>
      <c r="C1854" t="s">
        <v>103</v>
      </c>
      <c r="D1854" s="6">
        <v>4.2</v>
      </c>
      <c r="E1854" s="6">
        <f>INT(Table2[[#This Row],[Transect]])</f>
        <v>4</v>
      </c>
      <c r="F1854" s="1" t="s">
        <v>3</v>
      </c>
      <c r="G1854">
        <v>26</v>
      </c>
      <c r="H1854">
        <f t="shared" si="13"/>
        <v>88</v>
      </c>
      <c r="I1854">
        <v>44</v>
      </c>
      <c r="J1854">
        <f>Table2[[#This Row],[Hits]]/Table2[[#This Row],[Points]]*100</f>
        <v>29.545454545454547</v>
      </c>
      <c r="K1854">
        <f>VLOOKUP(Table2[[#This Row],[Site]],'Site Info'!$A$1:$C$11,2, FALSE)</f>
        <v>17</v>
      </c>
      <c r="L1854">
        <f>VLOOKUP(Table2[[#This Row],[Site]],'Site Info'!$A$1:$C$11,3, FALSE)</f>
        <v>4</v>
      </c>
      <c r="M1854" t="str">
        <f>VLOOKUP(Table2[[#This Row],[Species]],'Species Table'!$A$1:$D$68,3, FALSE)</f>
        <v>Perennial</v>
      </c>
      <c r="O1854" s="15">
        <f>IF(SUMPRODUCT(($A$2:$A1854=A1854)*($B$2:$B1854=B1854)*($F$2:$F1854=F1854))&gt;1,0,1)</f>
        <v>0</v>
      </c>
      <c r="P1854" s="15">
        <f>IF(SUMPRODUCT(($A$2:$A1854=A1854)*($B$2:$B1854=B1854)*($D$2:$D1854=D1854))&gt;1,0,1)</f>
        <v>0</v>
      </c>
    </row>
    <row r="1855" spans="1:16" x14ac:dyDescent="0.35">
      <c r="A1855" t="s">
        <v>105</v>
      </c>
      <c r="B1855">
        <v>2017</v>
      </c>
      <c r="C1855" t="s">
        <v>104</v>
      </c>
      <c r="D1855" s="6">
        <v>5.0999999999999996</v>
      </c>
      <c r="E1855" s="6">
        <f>INT(Table2[[#This Row],[Transect]])</f>
        <v>5</v>
      </c>
      <c r="F1855" s="1" t="s">
        <v>11</v>
      </c>
      <c r="G1855">
        <v>11</v>
      </c>
      <c r="H1855">
        <f t="shared" si="13"/>
        <v>200</v>
      </c>
      <c r="I1855">
        <v>100</v>
      </c>
      <c r="J1855">
        <f>Table2[[#This Row],[Hits]]/Table2[[#This Row],[Points]]*100</f>
        <v>5.5</v>
      </c>
      <c r="K1855">
        <f>VLOOKUP(Table2[[#This Row],[Site]],'Site Info'!$A$1:$C$11,2, FALSE)</f>
        <v>17</v>
      </c>
      <c r="L1855">
        <f>VLOOKUP(Table2[[#This Row],[Site]],'Site Info'!$A$1:$C$11,3, FALSE)</f>
        <v>4</v>
      </c>
      <c r="M1855" t="str">
        <f>VLOOKUP(Table2[[#This Row],[Species]],'Species Table'!$A$1:$D$68,3, FALSE)</f>
        <v>Perennial</v>
      </c>
      <c r="O1855" s="15">
        <f>IF(SUMPRODUCT(($A$2:$A1855=A1855)*($B$2:$B1855=B1855)*($F$2:$F1855=F1855))&gt;1,0,1)</f>
        <v>0</v>
      </c>
      <c r="P1855" s="15">
        <f>IF(SUMPRODUCT(($A$2:$A1855=A1855)*($B$2:$B1855=B1855)*($D$2:$D1855=D1855))&gt;1,0,1)</f>
        <v>1</v>
      </c>
    </row>
    <row r="1856" spans="1:16" hidden="1" x14ac:dyDescent="0.35">
      <c r="A1856" t="s">
        <v>105</v>
      </c>
      <c r="B1856">
        <v>2017</v>
      </c>
      <c r="C1856" t="s">
        <v>104</v>
      </c>
      <c r="D1856" s="6">
        <v>5.0999999999999996</v>
      </c>
      <c r="E1856" s="6">
        <f>INT(Table2[[#This Row],[Transect]])</f>
        <v>5</v>
      </c>
      <c r="F1856" s="1" t="s">
        <v>10</v>
      </c>
      <c r="G1856">
        <v>3</v>
      </c>
      <c r="H1856">
        <f t="shared" si="13"/>
        <v>200</v>
      </c>
      <c r="I1856">
        <v>100</v>
      </c>
      <c r="J1856">
        <f>Table2[[#This Row],[Hits]]/Table2[[#This Row],[Points]]*100</f>
        <v>1.5</v>
      </c>
      <c r="K1856">
        <f>VLOOKUP(Table2[[#This Row],[Site]],'Site Info'!$A$1:$C$11,2, FALSE)</f>
        <v>17</v>
      </c>
      <c r="L1856">
        <f>VLOOKUP(Table2[[#This Row],[Site]],'Site Info'!$A$1:$C$11,3, FALSE)</f>
        <v>4</v>
      </c>
      <c r="M1856" t="str">
        <f>VLOOKUP(Table2[[#This Row],[Species]],'Species Table'!$A$1:$D$68,3, FALSE)</f>
        <v>Annual</v>
      </c>
      <c r="O1856" s="15">
        <f>IF(SUMPRODUCT(($A$2:$A1856=A1856)*($B$2:$B1856=B1856)*($F$2:$F1856=F1856))&gt;1,0,1)</f>
        <v>0</v>
      </c>
      <c r="P1856" s="15">
        <f>IF(SUMPRODUCT(($A$2:$A1856=A1856)*($B$2:$B1856=B1856)*($D$2:$D1856=D1856))&gt;1,0,1)</f>
        <v>0</v>
      </c>
    </row>
    <row r="1857" spans="1:16" hidden="1" x14ac:dyDescent="0.35">
      <c r="A1857" t="s">
        <v>105</v>
      </c>
      <c r="B1857">
        <v>2017</v>
      </c>
      <c r="C1857" t="s">
        <v>104</v>
      </c>
      <c r="D1857" s="6">
        <v>5.0999999999999996</v>
      </c>
      <c r="E1857" s="6">
        <f>INT(Table2[[#This Row],[Transect]])</f>
        <v>5</v>
      </c>
      <c r="F1857" s="1" t="s">
        <v>33</v>
      </c>
      <c r="G1857">
        <v>2</v>
      </c>
      <c r="H1857">
        <f t="shared" si="13"/>
        <v>200</v>
      </c>
      <c r="I1857">
        <v>100</v>
      </c>
      <c r="J1857">
        <f>Table2[[#This Row],[Hits]]/Table2[[#This Row],[Points]]*100</f>
        <v>1</v>
      </c>
      <c r="K1857">
        <f>VLOOKUP(Table2[[#This Row],[Site]],'Site Info'!$A$1:$C$11,2, FALSE)</f>
        <v>17</v>
      </c>
      <c r="L1857">
        <f>VLOOKUP(Table2[[#This Row],[Site]],'Site Info'!$A$1:$C$11,3, FALSE)</f>
        <v>4</v>
      </c>
      <c r="M1857" t="str">
        <f>VLOOKUP(Table2[[#This Row],[Species]],'Species Table'!$A$1:$D$68,3, FALSE)</f>
        <v>Annual</v>
      </c>
      <c r="O1857" s="15">
        <f>IF(SUMPRODUCT(($A$2:$A1857=A1857)*($B$2:$B1857=B1857)*($F$2:$F1857=F1857))&gt;1,0,1)</f>
        <v>0</v>
      </c>
      <c r="P1857" s="15">
        <f>IF(SUMPRODUCT(($A$2:$A1857=A1857)*($B$2:$B1857=B1857)*($D$2:$D1857=D1857))&gt;1,0,1)</f>
        <v>0</v>
      </c>
    </row>
    <row r="1858" spans="1:16" x14ac:dyDescent="0.35">
      <c r="A1858" t="s">
        <v>105</v>
      </c>
      <c r="B1858">
        <v>2017</v>
      </c>
      <c r="C1858" t="s">
        <v>104</v>
      </c>
      <c r="D1858" s="6">
        <v>5.0999999999999996</v>
      </c>
      <c r="E1858" s="6">
        <f>INT(Table2[[#This Row],[Transect]])</f>
        <v>5</v>
      </c>
      <c r="F1858" s="1" t="s">
        <v>3</v>
      </c>
      <c r="G1858">
        <v>44</v>
      </c>
      <c r="H1858">
        <f t="shared" si="13"/>
        <v>200</v>
      </c>
      <c r="I1858">
        <v>100</v>
      </c>
      <c r="J1858">
        <f>Table2[[#This Row],[Hits]]/Table2[[#This Row],[Points]]*100</f>
        <v>22</v>
      </c>
      <c r="K1858">
        <f>VLOOKUP(Table2[[#This Row],[Site]],'Site Info'!$A$1:$C$11,2, FALSE)</f>
        <v>17</v>
      </c>
      <c r="L1858">
        <f>VLOOKUP(Table2[[#This Row],[Site]],'Site Info'!$A$1:$C$11,3, FALSE)</f>
        <v>4</v>
      </c>
      <c r="M1858" t="str">
        <f>VLOOKUP(Table2[[#This Row],[Species]],'Species Table'!$A$1:$D$68,3, FALSE)</f>
        <v>Perennial</v>
      </c>
      <c r="O1858" s="15">
        <f>IF(SUMPRODUCT(($A$2:$A1858=A1858)*($B$2:$B1858=B1858)*($F$2:$F1858=F1858))&gt;1,0,1)</f>
        <v>0</v>
      </c>
      <c r="P1858" s="15">
        <f>IF(SUMPRODUCT(($A$2:$A1858=A1858)*($B$2:$B1858=B1858)*($D$2:$D1858=D1858))&gt;1,0,1)</f>
        <v>0</v>
      </c>
    </row>
    <row r="1859" spans="1:16" x14ac:dyDescent="0.35">
      <c r="A1859" t="s">
        <v>105</v>
      </c>
      <c r="B1859">
        <v>2017</v>
      </c>
      <c r="C1859" t="s">
        <v>104</v>
      </c>
      <c r="D1859" s="6">
        <v>5.0999999999999996</v>
      </c>
      <c r="E1859" s="6">
        <f>INT(Table2[[#This Row],[Transect]])</f>
        <v>5</v>
      </c>
      <c r="F1859" s="1" t="s">
        <v>97</v>
      </c>
      <c r="G1859">
        <v>2</v>
      </c>
      <c r="H1859">
        <f t="shared" si="13"/>
        <v>200</v>
      </c>
      <c r="I1859">
        <v>100</v>
      </c>
      <c r="J1859">
        <f>Table2[[#This Row],[Hits]]/Table2[[#This Row],[Points]]*100</f>
        <v>1</v>
      </c>
      <c r="K1859">
        <f>VLOOKUP(Table2[[#This Row],[Site]],'Site Info'!$A$1:$C$11,2, FALSE)</f>
        <v>17</v>
      </c>
      <c r="L1859">
        <f>VLOOKUP(Table2[[#This Row],[Site]],'Site Info'!$A$1:$C$11,3, FALSE)</f>
        <v>4</v>
      </c>
      <c r="M1859" t="str">
        <f>VLOOKUP(Table2[[#This Row],[Species]],'Species Table'!$A$1:$D$68,3, FALSE)</f>
        <v>Perennial</v>
      </c>
      <c r="O1859" s="15">
        <f>IF(SUMPRODUCT(($A$2:$A1859=A1859)*($B$2:$B1859=B1859)*($F$2:$F1859=F1859))&gt;1,0,1)</f>
        <v>1</v>
      </c>
      <c r="P1859" s="15">
        <f>IF(SUMPRODUCT(($A$2:$A1859=A1859)*($B$2:$B1859=B1859)*($D$2:$D1859=D1859))&gt;1,0,1)</f>
        <v>0</v>
      </c>
    </row>
    <row r="1860" spans="1:16" x14ac:dyDescent="0.35">
      <c r="A1860" t="s">
        <v>19</v>
      </c>
      <c r="B1860">
        <v>2017</v>
      </c>
      <c r="C1860" t="s">
        <v>37</v>
      </c>
      <c r="D1860" s="6">
        <v>1.1000000000000001</v>
      </c>
      <c r="E1860" s="6">
        <f>INT(Table2[[#This Row],[Transect]])</f>
        <v>1</v>
      </c>
      <c r="F1860" s="1" t="s">
        <v>6</v>
      </c>
      <c r="G1860">
        <v>39</v>
      </c>
      <c r="H1860">
        <f t="shared" ref="H1860:H1865" si="14">I1860*2</f>
        <v>200</v>
      </c>
      <c r="I1860">
        <v>100</v>
      </c>
      <c r="J1860">
        <f>Table2[[#This Row],[Hits]]/Table2[[#This Row],[Points]]*100</f>
        <v>19.5</v>
      </c>
      <c r="K1860">
        <f>VLOOKUP(Table2[[#This Row],[Site]],'Site Info'!$A$1:$C$11,2, FALSE)</f>
        <v>17</v>
      </c>
      <c r="L1860">
        <f>VLOOKUP(Table2[[#This Row],[Site]],'Site Info'!$A$1:$C$11,3, FALSE)</f>
        <v>4</v>
      </c>
      <c r="M1860" t="str">
        <f>VLOOKUP(Table2[[#This Row],[Species]],'Species Table'!$A$1:$D$68,3, FALSE)</f>
        <v>Perennial</v>
      </c>
      <c r="O1860" s="15">
        <f>IF(SUMPRODUCT(($A$2:$A1860=A1860)*($B$2:$B1860=B1860)*($F$2:$F1860=F1860))&gt;1,0,1)</f>
        <v>1</v>
      </c>
      <c r="P1860" s="15">
        <f>IF(SUMPRODUCT(($A$2:$A1860=A1860)*($B$2:$B1860=B1860)*($D$2:$D1860=D1860))&gt;1,0,1)</f>
        <v>1</v>
      </c>
    </row>
    <row r="1861" spans="1:16" x14ac:dyDescent="0.35">
      <c r="A1861" t="s">
        <v>19</v>
      </c>
      <c r="B1861">
        <v>2017</v>
      </c>
      <c r="C1861" t="s">
        <v>108</v>
      </c>
      <c r="D1861" s="6">
        <v>1.2</v>
      </c>
      <c r="E1861" s="6">
        <f>INT(Table2[[#This Row],[Transect]])</f>
        <v>1</v>
      </c>
      <c r="F1861" s="1" t="s">
        <v>6</v>
      </c>
      <c r="G1861">
        <v>33</v>
      </c>
      <c r="H1861">
        <f t="shared" si="14"/>
        <v>220</v>
      </c>
      <c r="I1861">
        <v>110</v>
      </c>
      <c r="J1861">
        <f>Table2[[#This Row],[Hits]]/Table2[[#This Row],[Points]]*100</f>
        <v>15</v>
      </c>
      <c r="K1861">
        <f>VLOOKUP(Table2[[#This Row],[Site]],'Site Info'!$A$1:$C$11,2, FALSE)</f>
        <v>17</v>
      </c>
      <c r="L1861">
        <f>VLOOKUP(Table2[[#This Row],[Site]],'Site Info'!$A$1:$C$11,3, FALSE)</f>
        <v>4</v>
      </c>
      <c r="M1861" t="str">
        <f>VLOOKUP(Table2[[#This Row],[Species]],'Species Table'!$A$1:$D$68,3, FALSE)</f>
        <v>Perennial</v>
      </c>
      <c r="O1861" s="15">
        <f>IF(SUMPRODUCT(($A$2:$A1861=A1861)*($B$2:$B1861=B1861)*($F$2:$F1861=F1861))&gt;1,0,1)</f>
        <v>0</v>
      </c>
      <c r="P1861" s="15">
        <f>IF(SUMPRODUCT(($A$2:$A1861=A1861)*($B$2:$B1861=B1861)*($D$2:$D1861=D1861))&gt;1,0,1)</f>
        <v>1</v>
      </c>
    </row>
    <row r="1862" spans="1:16" x14ac:dyDescent="0.35">
      <c r="A1862" t="s">
        <v>19</v>
      </c>
      <c r="B1862">
        <v>2017</v>
      </c>
      <c r="C1862" t="s">
        <v>108</v>
      </c>
      <c r="D1862" s="6">
        <v>1.2</v>
      </c>
      <c r="E1862" s="6">
        <f>INT(Table2[[#This Row],[Transect]])</f>
        <v>1</v>
      </c>
      <c r="F1862" s="1" t="s">
        <v>3</v>
      </c>
      <c r="G1862">
        <v>14</v>
      </c>
      <c r="H1862">
        <f t="shared" si="14"/>
        <v>220</v>
      </c>
      <c r="I1862">
        <v>110</v>
      </c>
      <c r="J1862">
        <f>Table2[[#This Row],[Hits]]/Table2[[#This Row],[Points]]*100</f>
        <v>6.3636363636363633</v>
      </c>
      <c r="K1862">
        <f>VLOOKUP(Table2[[#This Row],[Site]],'Site Info'!$A$1:$C$11,2, FALSE)</f>
        <v>17</v>
      </c>
      <c r="L1862">
        <f>VLOOKUP(Table2[[#This Row],[Site]],'Site Info'!$A$1:$C$11,3, FALSE)</f>
        <v>4</v>
      </c>
      <c r="M1862" t="str">
        <f>VLOOKUP(Table2[[#This Row],[Species]],'Species Table'!$A$1:$D$68,3, FALSE)</f>
        <v>Perennial</v>
      </c>
      <c r="O1862" s="15">
        <f>IF(SUMPRODUCT(($A$2:$A1862=A1862)*($B$2:$B1862=B1862)*($F$2:$F1862=F1862))&gt;1,0,1)</f>
        <v>1</v>
      </c>
      <c r="P1862" s="15">
        <f>IF(SUMPRODUCT(($A$2:$A1862=A1862)*($B$2:$B1862=B1862)*($D$2:$D1862=D1862))&gt;1,0,1)</f>
        <v>0</v>
      </c>
    </row>
    <row r="1863" spans="1:16" x14ac:dyDescent="0.35">
      <c r="A1863" t="s">
        <v>19</v>
      </c>
      <c r="B1863">
        <v>2017</v>
      </c>
      <c r="C1863" t="s">
        <v>43</v>
      </c>
      <c r="D1863" s="6">
        <v>2.1</v>
      </c>
      <c r="E1863" s="6">
        <f>INT(Table2[[#This Row],[Transect]])</f>
        <v>2</v>
      </c>
      <c r="F1863" s="1" t="s">
        <v>6</v>
      </c>
      <c r="G1863">
        <v>4</v>
      </c>
      <c r="H1863">
        <f t="shared" si="14"/>
        <v>200</v>
      </c>
      <c r="I1863">
        <v>100</v>
      </c>
      <c r="J1863">
        <f>Table2[[#This Row],[Hits]]/Table2[[#This Row],[Points]]*100</f>
        <v>2</v>
      </c>
      <c r="K1863">
        <f>VLOOKUP(Table2[[#This Row],[Site]],'Site Info'!$A$1:$C$11,2, FALSE)</f>
        <v>17</v>
      </c>
      <c r="L1863">
        <f>VLOOKUP(Table2[[#This Row],[Site]],'Site Info'!$A$1:$C$11,3, FALSE)</f>
        <v>4</v>
      </c>
      <c r="M1863" t="str">
        <f>VLOOKUP(Table2[[#This Row],[Species]],'Species Table'!$A$1:$D$68,3, FALSE)</f>
        <v>Perennial</v>
      </c>
      <c r="O1863" s="15">
        <f>IF(SUMPRODUCT(($A$2:$A1863=A1863)*($B$2:$B1863=B1863)*($F$2:$F1863=F1863))&gt;1,0,1)</f>
        <v>0</v>
      </c>
      <c r="P1863" s="15">
        <f>IF(SUMPRODUCT(($A$2:$A1863=A1863)*($B$2:$B1863=B1863)*($D$2:$D1863=D1863))&gt;1,0,1)</f>
        <v>1</v>
      </c>
    </row>
    <row r="1864" spans="1:16" x14ac:dyDescent="0.35">
      <c r="A1864" t="s">
        <v>19</v>
      </c>
      <c r="B1864">
        <v>2017</v>
      </c>
      <c r="C1864" t="s">
        <v>43</v>
      </c>
      <c r="D1864" s="6">
        <v>2.1</v>
      </c>
      <c r="E1864" s="6">
        <f>INT(Table2[[#This Row],[Transect]])</f>
        <v>2</v>
      </c>
      <c r="F1864" s="1" t="s">
        <v>3</v>
      </c>
      <c r="G1864">
        <v>15</v>
      </c>
      <c r="H1864">
        <f t="shared" si="14"/>
        <v>200</v>
      </c>
      <c r="I1864">
        <v>100</v>
      </c>
      <c r="J1864">
        <f>Table2[[#This Row],[Hits]]/Table2[[#This Row],[Points]]*100</f>
        <v>7.5</v>
      </c>
      <c r="K1864">
        <f>VLOOKUP(Table2[[#This Row],[Site]],'Site Info'!$A$1:$C$11,2, FALSE)</f>
        <v>17</v>
      </c>
      <c r="L1864">
        <f>VLOOKUP(Table2[[#This Row],[Site]],'Site Info'!$A$1:$C$11,3, FALSE)</f>
        <v>4</v>
      </c>
      <c r="M1864" t="str">
        <f>VLOOKUP(Table2[[#This Row],[Species]],'Species Table'!$A$1:$D$68,3, FALSE)</f>
        <v>Perennial</v>
      </c>
      <c r="O1864" s="15">
        <f>IF(SUMPRODUCT(($A$2:$A1864=A1864)*($B$2:$B1864=B1864)*($F$2:$F1864=F1864))&gt;1,0,1)</f>
        <v>0</v>
      </c>
      <c r="P1864" s="15">
        <f>IF(SUMPRODUCT(($A$2:$A1864=A1864)*($B$2:$B1864=B1864)*($D$2:$D1864=D1864))&gt;1,0,1)</f>
        <v>0</v>
      </c>
    </row>
    <row r="1865" spans="1:16" x14ac:dyDescent="0.35">
      <c r="A1865" t="s">
        <v>19</v>
      </c>
      <c r="B1865">
        <v>2017</v>
      </c>
      <c r="C1865" t="s">
        <v>43</v>
      </c>
      <c r="D1865" s="6">
        <v>2.1</v>
      </c>
      <c r="E1865" s="6">
        <f>INT(Table2[[#This Row],[Transect]])</f>
        <v>2</v>
      </c>
      <c r="F1865" s="1" t="s">
        <v>12</v>
      </c>
      <c r="G1865">
        <v>3</v>
      </c>
      <c r="H1865">
        <f t="shared" si="14"/>
        <v>200</v>
      </c>
      <c r="I1865">
        <v>100</v>
      </c>
      <c r="J1865">
        <f>Table2[[#This Row],[Hits]]/Table2[[#This Row],[Points]]*100</f>
        <v>1.5</v>
      </c>
      <c r="K1865">
        <f>VLOOKUP(Table2[[#This Row],[Site]],'Site Info'!$A$1:$C$11,2, FALSE)</f>
        <v>17</v>
      </c>
      <c r="L1865">
        <f>VLOOKUP(Table2[[#This Row],[Site]],'Site Info'!$A$1:$C$11,3, FALSE)</f>
        <v>4</v>
      </c>
      <c r="M1865" t="str">
        <f>VLOOKUP(Table2[[#This Row],[Species]],'Species Table'!$A$1:$D$68,3, FALSE)</f>
        <v>Perennial</v>
      </c>
      <c r="O1865" s="15">
        <f>IF(SUMPRODUCT(($A$2:$A1865=A1865)*($B$2:$B1865=B1865)*($F$2:$F1865=F1865))&gt;1,0,1)</f>
        <v>1</v>
      </c>
      <c r="P1865" s="15">
        <f>IF(SUMPRODUCT(($A$2:$A1865=A1865)*($B$2:$B1865=B1865)*($D$2:$D1865=D1865))&gt;1,0,1)</f>
        <v>0</v>
      </c>
    </row>
    <row r="1866" spans="1:16" x14ac:dyDescent="0.35">
      <c r="A1866" t="s">
        <v>19</v>
      </c>
      <c r="B1866">
        <v>2017</v>
      </c>
      <c r="C1866" t="s">
        <v>110</v>
      </c>
      <c r="D1866" s="6">
        <v>2.2000000000000002</v>
      </c>
      <c r="E1866" s="6">
        <f>INT(Table2[[#This Row],[Transect]])</f>
        <v>2</v>
      </c>
      <c r="F1866" s="1" t="s">
        <v>6</v>
      </c>
      <c r="G1866">
        <v>33</v>
      </c>
      <c r="H1866">
        <f t="shared" ref="H1866:H1871" si="15">I1866*2</f>
        <v>208</v>
      </c>
      <c r="I1866">
        <v>104</v>
      </c>
      <c r="J1866">
        <f>Table2[[#This Row],[Hits]]/Table2[[#This Row],[Points]]*100</f>
        <v>15.865384615384615</v>
      </c>
      <c r="K1866">
        <f>VLOOKUP(Table2[[#This Row],[Site]],'Site Info'!$A$1:$C$11,2, FALSE)</f>
        <v>17</v>
      </c>
      <c r="L1866">
        <f>VLOOKUP(Table2[[#This Row],[Site]],'Site Info'!$A$1:$C$11,3, FALSE)</f>
        <v>4</v>
      </c>
      <c r="M1866" t="str">
        <f>VLOOKUP(Table2[[#This Row],[Species]],'Species Table'!$A$1:$D$68,3, FALSE)</f>
        <v>Perennial</v>
      </c>
      <c r="O1866" s="15">
        <f>IF(SUMPRODUCT(($A$2:$A1866=A1866)*($B$2:$B1866=B1866)*($F$2:$F1866=F1866))&gt;1,0,1)</f>
        <v>0</v>
      </c>
      <c r="P1866" s="15">
        <f>IF(SUMPRODUCT(($A$2:$A1866=A1866)*($B$2:$B1866=B1866)*($D$2:$D1866=D1866))&gt;1,0,1)</f>
        <v>1</v>
      </c>
    </row>
    <row r="1867" spans="1:16" x14ac:dyDescent="0.35">
      <c r="A1867" t="s">
        <v>19</v>
      </c>
      <c r="B1867">
        <v>2017</v>
      </c>
      <c r="C1867" t="s">
        <v>110</v>
      </c>
      <c r="D1867" s="6">
        <v>2.2000000000000002</v>
      </c>
      <c r="E1867" s="6">
        <f>INT(Table2[[#This Row],[Transect]])</f>
        <v>2</v>
      </c>
      <c r="F1867" s="1" t="s">
        <v>3</v>
      </c>
      <c r="G1867">
        <v>10</v>
      </c>
      <c r="H1867">
        <f t="shared" si="15"/>
        <v>208</v>
      </c>
      <c r="I1867">
        <v>104</v>
      </c>
      <c r="J1867">
        <f>Table2[[#This Row],[Hits]]/Table2[[#This Row],[Points]]*100</f>
        <v>4.8076923076923084</v>
      </c>
      <c r="K1867">
        <f>VLOOKUP(Table2[[#This Row],[Site]],'Site Info'!$A$1:$C$11,2, FALSE)</f>
        <v>17</v>
      </c>
      <c r="L1867">
        <f>VLOOKUP(Table2[[#This Row],[Site]],'Site Info'!$A$1:$C$11,3, FALSE)</f>
        <v>4</v>
      </c>
      <c r="M1867" t="str">
        <f>VLOOKUP(Table2[[#This Row],[Species]],'Species Table'!$A$1:$D$68,3, FALSE)</f>
        <v>Perennial</v>
      </c>
      <c r="O1867" s="15">
        <f>IF(SUMPRODUCT(($A$2:$A1867=A1867)*($B$2:$B1867=B1867)*($F$2:$F1867=F1867))&gt;1,0,1)</f>
        <v>0</v>
      </c>
      <c r="P1867" s="15">
        <f>IF(SUMPRODUCT(($A$2:$A1867=A1867)*($B$2:$B1867=B1867)*($D$2:$D1867=D1867))&gt;1,0,1)</f>
        <v>0</v>
      </c>
    </row>
    <row r="1868" spans="1:16" x14ac:dyDescent="0.35">
      <c r="A1868" t="s">
        <v>19</v>
      </c>
      <c r="B1868">
        <v>2017</v>
      </c>
      <c r="C1868" t="s">
        <v>50</v>
      </c>
      <c r="D1868" s="6">
        <v>3.1</v>
      </c>
      <c r="E1868" s="6">
        <f>INT(Table2[[#This Row],[Transect]])</f>
        <v>3</v>
      </c>
      <c r="F1868" s="1" t="s">
        <v>6</v>
      </c>
      <c r="G1868">
        <v>10</v>
      </c>
      <c r="H1868">
        <f t="shared" si="15"/>
        <v>200</v>
      </c>
      <c r="I1868">
        <v>100</v>
      </c>
      <c r="J1868">
        <f>Table2[[#This Row],[Hits]]/Table2[[#This Row],[Points]]*100</f>
        <v>5</v>
      </c>
      <c r="K1868">
        <f>VLOOKUP(Table2[[#This Row],[Site]],'Site Info'!$A$1:$C$11,2, FALSE)</f>
        <v>17</v>
      </c>
      <c r="L1868">
        <f>VLOOKUP(Table2[[#This Row],[Site]],'Site Info'!$A$1:$C$11,3, FALSE)</f>
        <v>4</v>
      </c>
      <c r="M1868" t="str">
        <f>VLOOKUP(Table2[[#This Row],[Species]],'Species Table'!$A$1:$D$68,3, FALSE)</f>
        <v>Perennial</v>
      </c>
      <c r="O1868" s="15">
        <f>IF(SUMPRODUCT(($A$2:$A1868=A1868)*($B$2:$B1868=B1868)*($F$2:$F1868=F1868))&gt;1,0,1)</f>
        <v>0</v>
      </c>
      <c r="P1868" s="15">
        <f>IF(SUMPRODUCT(($A$2:$A1868=A1868)*($B$2:$B1868=B1868)*($D$2:$D1868=D1868))&gt;1,0,1)</f>
        <v>1</v>
      </c>
    </row>
    <row r="1869" spans="1:16" x14ac:dyDescent="0.35">
      <c r="A1869" t="s">
        <v>19</v>
      </c>
      <c r="B1869">
        <v>2017</v>
      </c>
      <c r="C1869" t="s">
        <v>50</v>
      </c>
      <c r="D1869" s="6">
        <v>3.1</v>
      </c>
      <c r="E1869" s="6">
        <f>INT(Table2[[#This Row],[Transect]])</f>
        <v>3</v>
      </c>
      <c r="F1869" s="1" t="s">
        <v>3</v>
      </c>
      <c r="G1869">
        <v>18</v>
      </c>
      <c r="H1869">
        <f t="shared" si="15"/>
        <v>200</v>
      </c>
      <c r="I1869">
        <v>100</v>
      </c>
      <c r="J1869">
        <f>Table2[[#This Row],[Hits]]/Table2[[#This Row],[Points]]*100</f>
        <v>9</v>
      </c>
      <c r="K1869">
        <f>VLOOKUP(Table2[[#This Row],[Site]],'Site Info'!$A$1:$C$11,2, FALSE)</f>
        <v>17</v>
      </c>
      <c r="L1869">
        <f>VLOOKUP(Table2[[#This Row],[Site]],'Site Info'!$A$1:$C$11,3, FALSE)</f>
        <v>4</v>
      </c>
      <c r="M1869" t="str">
        <f>VLOOKUP(Table2[[#This Row],[Species]],'Species Table'!$A$1:$D$68,3, FALSE)</f>
        <v>Perennial</v>
      </c>
      <c r="O1869" s="15">
        <f>IF(SUMPRODUCT(($A$2:$A1869=A1869)*($B$2:$B1869=B1869)*($F$2:$F1869=F1869))&gt;1,0,1)</f>
        <v>0</v>
      </c>
      <c r="P1869" s="15">
        <f>IF(SUMPRODUCT(($A$2:$A1869=A1869)*($B$2:$B1869=B1869)*($D$2:$D1869=D1869))&gt;1,0,1)</f>
        <v>0</v>
      </c>
    </row>
    <row r="1870" spans="1:16" x14ac:dyDescent="0.35">
      <c r="A1870" t="s">
        <v>19</v>
      </c>
      <c r="B1870">
        <v>2017</v>
      </c>
      <c r="C1870" t="s">
        <v>112</v>
      </c>
      <c r="D1870" s="6">
        <v>3.2</v>
      </c>
      <c r="E1870" s="6">
        <f>INT(Table2[[#This Row],[Transect]])</f>
        <v>3</v>
      </c>
      <c r="F1870" s="1" t="s">
        <v>6</v>
      </c>
      <c r="G1870">
        <v>55</v>
      </c>
      <c r="H1870">
        <f t="shared" si="15"/>
        <v>191</v>
      </c>
      <c r="I1870">
        <v>95.5</v>
      </c>
      <c r="J1870">
        <f>Table2[[#This Row],[Hits]]/Table2[[#This Row],[Points]]*100</f>
        <v>28.795811518324609</v>
      </c>
      <c r="K1870">
        <f>VLOOKUP(Table2[[#This Row],[Site]],'Site Info'!$A$1:$C$11,2, FALSE)</f>
        <v>17</v>
      </c>
      <c r="L1870">
        <f>VLOOKUP(Table2[[#This Row],[Site]],'Site Info'!$A$1:$C$11,3, FALSE)</f>
        <v>4</v>
      </c>
      <c r="M1870" t="str">
        <f>VLOOKUP(Table2[[#This Row],[Species]],'Species Table'!$A$1:$D$68,3, FALSE)</f>
        <v>Perennial</v>
      </c>
      <c r="O1870" s="15">
        <f>IF(SUMPRODUCT(($A$2:$A1870=A1870)*($B$2:$B1870=B1870)*($F$2:$F1870=F1870))&gt;1,0,1)</f>
        <v>0</v>
      </c>
      <c r="P1870" s="15">
        <f>IF(SUMPRODUCT(($A$2:$A1870=A1870)*($B$2:$B1870=B1870)*($D$2:$D1870=D1870))&gt;1,0,1)</f>
        <v>1</v>
      </c>
    </row>
    <row r="1871" spans="1:16" x14ac:dyDescent="0.35">
      <c r="A1871" t="s">
        <v>19</v>
      </c>
      <c r="B1871">
        <v>2017</v>
      </c>
      <c r="C1871" t="s">
        <v>112</v>
      </c>
      <c r="D1871" s="6">
        <v>3.2</v>
      </c>
      <c r="E1871" s="6">
        <f>INT(Table2[[#This Row],[Transect]])</f>
        <v>3</v>
      </c>
      <c r="F1871" s="1" t="s">
        <v>3</v>
      </c>
      <c r="G1871">
        <v>7</v>
      </c>
      <c r="H1871">
        <f t="shared" si="15"/>
        <v>191</v>
      </c>
      <c r="I1871">
        <v>95.5</v>
      </c>
      <c r="J1871">
        <f>Table2[[#This Row],[Hits]]/Table2[[#This Row],[Points]]*100</f>
        <v>3.664921465968586</v>
      </c>
      <c r="K1871">
        <f>VLOOKUP(Table2[[#This Row],[Site]],'Site Info'!$A$1:$C$11,2, FALSE)</f>
        <v>17</v>
      </c>
      <c r="L1871">
        <f>VLOOKUP(Table2[[#This Row],[Site]],'Site Info'!$A$1:$C$11,3, FALSE)</f>
        <v>4</v>
      </c>
      <c r="M1871" t="str">
        <f>VLOOKUP(Table2[[#This Row],[Species]],'Species Table'!$A$1:$D$68,3, FALSE)</f>
        <v>Perennial</v>
      </c>
      <c r="O1871" s="15">
        <f>IF(SUMPRODUCT(($A$2:$A1871=A1871)*($B$2:$B1871=B1871)*($F$2:$F1871=F1871))&gt;1,0,1)</f>
        <v>0</v>
      </c>
      <c r="P1871" s="15">
        <f>IF(SUMPRODUCT(($A$2:$A1871=A1871)*($B$2:$B1871=B1871)*($D$2:$D1871=D1871))&gt;1,0,1)</f>
        <v>0</v>
      </c>
    </row>
    <row r="1872" spans="1:16" x14ac:dyDescent="0.35">
      <c r="A1872" t="s">
        <v>19</v>
      </c>
      <c r="B1872">
        <v>2017</v>
      </c>
      <c r="C1872" t="s">
        <v>55</v>
      </c>
      <c r="D1872" s="6">
        <v>4.0999999999999996</v>
      </c>
      <c r="E1872" s="6">
        <f>INT(Table2[[#This Row],[Transect]])</f>
        <v>4</v>
      </c>
      <c r="F1872" s="1" t="s">
        <v>12</v>
      </c>
      <c r="G1872">
        <v>3</v>
      </c>
      <c r="H1872">
        <f t="shared" ref="H1872:H1882" si="16">I1872*2</f>
        <v>200</v>
      </c>
      <c r="I1872">
        <v>100</v>
      </c>
      <c r="J1872">
        <f>Table2[[#This Row],[Hits]]/Table2[[#This Row],[Points]]*100</f>
        <v>1.5</v>
      </c>
      <c r="K1872">
        <f>VLOOKUP(Table2[[#This Row],[Site]],'Site Info'!$A$1:$C$11,2, FALSE)</f>
        <v>17</v>
      </c>
      <c r="L1872">
        <f>VLOOKUP(Table2[[#This Row],[Site]],'Site Info'!$A$1:$C$11,3, FALSE)</f>
        <v>4</v>
      </c>
      <c r="M1872" t="str">
        <f>VLOOKUP(Table2[[#This Row],[Species]],'Species Table'!$A$1:$D$68,3, FALSE)</f>
        <v>Perennial</v>
      </c>
      <c r="O1872" s="15">
        <f>IF(SUMPRODUCT(($A$2:$A1872=A1872)*($B$2:$B1872=B1872)*($F$2:$F1872=F1872))&gt;1,0,1)</f>
        <v>0</v>
      </c>
      <c r="P1872" s="15">
        <f>IF(SUMPRODUCT(($A$2:$A1872=A1872)*($B$2:$B1872=B1872)*($D$2:$D1872=D1872))&gt;1,0,1)</f>
        <v>1</v>
      </c>
    </row>
    <row r="1873" spans="1:16" x14ac:dyDescent="0.35">
      <c r="A1873" t="s">
        <v>19</v>
      </c>
      <c r="B1873">
        <v>2017</v>
      </c>
      <c r="C1873" t="s">
        <v>55</v>
      </c>
      <c r="D1873" s="6">
        <v>4.0999999999999996</v>
      </c>
      <c r="E1873" s="6">
        <f>INT(Table2[[#This Row],[Transect]])</f>
        <v>4</v>
      </c>
      <c r="F1873" s="1" t="s">
        <v>6</v>
      </c>
      <c r="G1873">
        <v>4</v>
      </c>
      <c r="H1873">
        <f t="shared" si="16"/>
        <v>200</v>
      </c>
      <c r="I1873">
        <v>100</v>
      </c>
      <c r="J1873">
        <f>Table2[[#This Row],[Hits]]/Table2[[#This Row],[Points]]*100</f>
        <v>2</v>
      </c>
      <c r="K1873">
        <f>VLOOKUP(Table2[[#This Row],[Site]],'Site Info'!$A$1:$C$11,2, FALSE)</f>
        <v>17</v>
      </c>
      <c r="L1873">
        <f>VLOOKUP(Table2[[#This Row],[Site]],'Site Info'!$A$1:$C$11,3, FALSE)</f>
        <v>4</v>
      </c>
      <c r="M1873" t="str">
        <f>VLOOKUP(Table2[[#This Row],[Species]],'Species Table'!$A$1:$D$68,3, FALSE)</f>
        <v>Perennial</v>
      </c>
      <c r="O1873" s="15">
        <f>IF(SUMPRODUCT(($A$2:$A1873=A1873)*($B$2:$B1873=B1873)*($F$2:$F1873=F1873))&gt;1,0,1)</f>
        <v>0</v>
      </c>
      <c r="P1873" s="15">
        <f>IF(SUMPRODUCT(($A$2:$A1873=A1873)*($B$2:$B1873=B1873)*($D$2:$D1873=D1873))&gt;1,0,1)</f>
        <v>0</v>
      </c>
    </row>
    <row r="1874" spans="1:16" x14ac:dyDescent="0.35">
      <c r="A1874" t="s">
        <v>19</v>
      </c>
      <c r="B1874">
        <v>2017</v>
      </c>
      <c r="C1874" t="s">
        <v>55</v>
      </c>
      <c r="D1874" s="6">
        <v>4.0999999999999996</v>
      </c>
      <c r="E1874" s="6">
        <f>INT(Table2[[#This Row],[Transect]])</f>
        <v>4</v>
      </c>
      <c r="F1874" s="1" t="s">
        <v>3</v>
      </c>
      <c r="G1874">
        <v>18</v>
      </c>
      <c r="H1874">
        <f t="shared" si="16"/>
        <v>200</v>
      </c>
      <c r="I1874">
        <v>100</v>
      </c>
      <c r="J1874">
        <f>Table2[[#This Row],[Hits]]/Table2[[#This Row],[Points]]*100</f>
        <v>9</v>
      </c>
      <c r="K1874">
        <f>VLOOKUP(Table2[[#This Row],[Site]],'Site Info'!$A$1:$C$11,2, FALSE)</f>
        <v>17</v>
      </c>
      <c r="L1874">
        <f>VLOOKUP(Table2[[#This Row],[Site]],'Site Info'!$A$1:$C$11,3, FALSE)</f>
        <v>4</v>
      </c>
      <c r="M1874" t="str">
        <f>VLOOKUP(Table2[[#This Row],[Species]],'Species Table'!$A$1:$D$68,3, FALSE)</f>
        <v>Perennial</v>
      </c>
      <c r="O1874" s="15">
        <f>IF(SUMPRODUCT(($A$2:$A1874=A1874)*($B$2:$B1874=B1874)*($F$2:$F1874=F1874))&gt;1,0,1)</f>
        <v>0</v>
      </c>
      <c r="P1874" s="15">
        <f>IF(SUMPRODUCT(($A$2:$A1874=A1874)*($B$2:$B1874=B1874)*($D$2:$D1874=D1874))&gt;1,0,1)</f>
        <v>0</v>
      </c>
    </row>
    <row r="1875" spans="1:16" x14ac:dyDescent="0.35">
      <c r="A1875" t="s">
        <v>19</v>
      </c>
      <c r="B1875">
        <v>2017</v>
      </c>
      <c r="C1875" t="s">
        <v>103</v>
      </c>
      <c r="D1875" s="6">
        <v>4.2</v>
      </c>
      <c r="E1875" s="6">
        <f>INT(Table2[[#This Row],[Transect]])</f>
        <v>4</v>
      </c>
      <c r="F1875" s="1" t="s">
        <v>12</v>
      </c>
      <c r="G1875">
        <v>1</v>
      </c>
      <c r="H1875">
        <f t="shared" si="16"/>
        <v>176</v>
      </c>
      <c r="I1875">
        <v>88</v>
      </c>
      <c r="J1875">
        <f>Table2[[#This Row],[Hits]]/Table2[[#This Row],[Points]]*100</f>
        <v>0.56818181818181823</v>
      </c>
      <c r="K1875">
        <f>VLOOKUP(Table2[[#This Row],[Site]],'Site Info'!$A$1:$C$11,2, FALSE)</f>
        <v>17</v>
      </c>
      <c r="L1875">
        <f>VLOOKUP(Table2[[#This Row],[Site]],'Site Info'!$A$1:$C$11,3, FALSE)</f>
        <v>4</v>
      </c>
      <c r="M1875" t="str">
        <f>VLOOKUP(Table2[[#This Row],[Species]],'Species Table'!$A$1:$D$68,3, FALSE)</f>
        <v>Perennial</v>
      </c>
      <c r="O1875" s="15">
        <f>IF(SUMPRODUCT(($A$2:$A1875=A1875)*($B$2:$B1875=B1875)*($F$2:$F1875=F1875))&gt;1,0,1)</f>
        <v>0</v>
      </c>
      <c r="P1875" s="15">
        <f>IF(SUMPRODUCT(($A$2:$A1875=A1875)*($B$2:$B1875=B1875)*($D$2:$D1875=D1875))&gt;1,0,1)</f>
        <v>1</v>
      </c>
    </row>
    <row r="1876" spans="1:16" x14ac:dyDescent="0.35">
      <c r="A1876" t="s">
        <v>19</v>
      </c>
      <c r="B1876">
        <v>2017</v>
      </c>
      <c r="C1876" t="s">
        <v>103</v>
      </c>
      <c r="D1876" s="6">
        <v>4.2</v>
      </c>
      <c r="E1876" s="6">
        <f>INT(Table2[[#This Row],[Transect]])</f>
        <v>4</v>
      </c>
      <c r="F1876" s="1" t="s">
        <v>6</v>
      </c>
      <c r="G1876">
        <v>42</v>
      </c>
      <c r="H1876">
        <f t="shared" si="16"/>
        <v>176</v>
      </c>
      <c r="I1876">
        <v>88</v>
      </c>
      <c r="J1876">
        <f>Table2[[#This Row],[Hits]]/Table2[[#This Row],[Points]]*100</f>
        <v>23.863636363636363</v>
      </c>
      <c r="K1876">
        <f>VLOOKUP(Table2[[#This Row],[Site]],'Site Info'!$A$1:$C$11,2, FALSE)</f>
        <v>17</v>
      </c>
      <c r="L1876">
        <f>VLOOKUP(Table2[[#This Row],[Site]],'Site Info'!$A$1:$C$11,3, FALSE)</f>
        <v>4</v>
      </c>
      <c r="M1876" t="str">
        <f>VLOOKUP(Table2[[#This Row],[Species]],'Species Table'!$A$1:$D$68,3, FALSE)</f>
        <v>Perennial</v>
      </c>
      <c r="O1876" s="15">
        <f>IF(SUMPRODUCT(($A$2:$A1876=A1876)*($B$2:$B1876=B1876)*($F$2:$F1876=F1876))&gt;1,0,1)</f>
        <v>0</v>
      </c>
      <c r="P1876" s="15">
        <f>IF(SUMPRODUCT(($A$2:$A1876=A1876)*($B$2:$B1876=B1876)*($D$2:$D1876=D1876))&gt;1,0,1)</f>
        <v>0</v>
      </c>
    </row>
    <row r="1877" spans="1:16" x14ac:dyDescent="0.35">
      <c r="A1877" t="s">
        <v>19</v>
      </c>
      <c r="B1877">
        <v>2017</v>
      </c>
      <c r="C1877" t="s">
        <v>103</v>
      </c>
      <c r="D1877" s="6">
        <v>4.2</v>
      </c>
      <c r="E1877" s="6">
        <f>INT(Table2[[#This Row],[Transect]])</f>
        <v>4</v>
      </c>
      <c r="F1877" s="1" t="s">
        <v>3</v>
      </c>
      <c r="G1877">
        <v>18</v>
      </c>
      <c r="H1877">
        <f t="shared" si="16"/>
        <v>176</v>
      </c>
      <c r="I1877">
        <v>88</v>
      </c>
      <c r="J1877">
        <f>Table2[[#This Row],[Hits]]/Table2[[#This Row],[Points]]*100</f>
        <v>10.227272727272728</v>
      </c>
      <c r="K1877">
        <f>VLOOKUP(Table2[[#This Row],[Site]],'Site Info'!$A$1:$C$11,2, FALSE)</f>
        <v>17</v>
      </c>
      <c r="L1877">
        <f>VLOOKUP(Table2[[#This Row],[Site]],'Site Info'!$A$1:$C$11,3, FALSE)</f>
        <v>4</v>
      </c>
      <c r="M1877" t="str">
        <f>VLOOKUP(Table2[[#This Row],[Species]],'Species Table'!$A$1:$D$68,3, FALSE)</f>
        <v>Perennial</v>
      </c>
      <c r="O1877" s="15">
        <f>IF(SUMPRODUCT(($A$2:$A1877=A1877)*($B$2:$B1877=B1877)*($F$2:$F1877=F1877))&gt;1,0,1)</f>
        <v>0</v>
      </c>
      <c r="P1877" s="15">
        <f>IF(SUMPRODUCT(($A$2:$A1877=A1877)*($B$2:$B1877=B1877)*($D$2:$D1877=D1877))&gt;1,0,1)</f>
        <v>0</v>
      </c>
    </row>
    <row r="1878" spans="1:16" x14ac:dyDescent="0.35">
      <c r="A1878" t="s">
        <v>19</v>
      </c>
      <c r="B1878">
        <v>2017</v>
      </c>
      <c r="C1878" t="s">
        <v>62</v>
      </c>
      <c r="D1878" s="6">
        <v>5.0999999999999996</v>
      </c>
      <c r="E1878" s="6">
        <f>INT(Table2[[#This Row],[Transect]])</f>
        <v>5</v>
      </c>
      <c r="F1878" s="1" t="s">
        <v>3</v>
      </c>
      <c r="G1878">
        <v>46</v>
      </c>
      <c r="H1878">
        <f t="shared" si="16"/>
        <v>200</v>
      </c>
      <c r="I1878">
        <v>100</v>
      </c>
      <c r="J1878">
        <f>Table2[[#This Row],[Hits]]/Table2[[#This Row],[Points]]*100</f>
        <v>23</v>
      </c>
      <c r="K1878">
        <f>VLOOKUP(Table2[[#This Row],[Site]],'Site Info'!$A$1:$C$11,2, FALSE)</f>
        <v>17</v>
      </c>
      <c r="L1878">
        <f>VLOOKUP(Table2[[#This Row],[Site]],'Site Info'!$A$1:$C$11,3, FALSE)</f>
        <v>4</v>
      </c>
      <c r="M1878" t="str">
        <f>VLOOKUP(Table2[[#This Row],[Species]],'Species Table'!$A$1:$D$68,3, FALSE)</f>
        <v>Perennial</v>
      </c>
      <c r="O1878" s="15">
        <f>IF(SUMPRODUCT(($A$2:$A1878=A1878)*($B$2:$B1878=B1878)*($F$2:$F1878=F1878))&gt;1,0,1)</f>
        <v>0</v>
      </c>
      <c r="P1878" s="15">
        <f>IF(SUMPRODUCT(($A$2:$A1878=A1878)*($B$2:$B1878=B1878)*($D$2:$D1878=D1878))&gt;1,0,1)</f>
        <v>1</v>
      </c>
    </row>
    <row r="1879" spans="1:16" x14ac:dyDescent="0.35">
      <c r="A1879" t="s">
        <v>19</v>
      </c>
      <c r="B1879">
        <v>2017</v>
      </c>
      <c r="C1879" t="s">
        <v>114</v>
      </c>
      <c r="D1879" s="6">
        <v>5.2</v>
      </c>
      <c r="E1879" s="6">
        <f>INT(Table2[[#This Row],[Transect]])</f>
        <v>5</v>
      </c>
      <c r="F1879" s="1" t="s">
        <v>12</v>
      </c>
      <c r="G1879">
        <v>5</v>
      </c>
      <c r="H1879">
        <f t="shared" si="16"/>
        <v>157</v>
      </c>
      <c r="I1879">
        <v>78.5</v>
      </c>
      <c r="J1879">
        <f>Table2[[#This Row],[Hits]]/Table2[[#This Row],[Points]]*100</f>
        <v>3.1847133757961785</v>
      </c>
      <c r="K1879">
        <f>VLOOKUP(Table2[[#This Row],[Site]],'Site Info'!$A$1:$C$11,2, FALSE)</f>
        <v>17</v>
      </c>
      <c r="L1879">
        <f>VLOOKUP(Table2[[#This Row],[Site]],'Site Info'!$A$1:$C$11,3, FALSE)</f>
        <v>4</v>
      </c>
      <c r="M1879" t="str">
        <f>VLOOKUP(Table2[[#This Row],[Species]],'Species Table'!$A$1:$D$68,3, FALSE)</f>
        <v>Perennial</v>
      </c>
      <c r="O1879" s="15">
        <f>IF(SUMPRODUCT(($A$2:$A1879=A1879)*($B$2:$B1879=B1879)*($F$2:$F1879=F1879))&gt;1,0,1)</f>
        <v>0</v>
      </c>
      <c r="P1879" s="15">
        <f>IF(SUMPRODUCT(($A$2:$A1879=A1879)*($B$2:$B1879=B1879)*($D$2:$D1879=D1879))&gt;1,0,1)</f>
        <v>1</v>
      </c>
    </row>
    <row r="1880" spans="1:16" x14ac:dyDescent="0.35">
      <c r="A1880" t="s">
        <v>19</v>
      </c>
      <c r="B1880">
        <v>2017</v>
      </c>
      <c r="C1880" t="s">
        <v>114</v>
      </c>
      <c r="D1880" s="6">
        <v>5.2</v>
      </c>
      <c r="E1880" s="6">
        <f>INT(Table2[[#This Row],[Transect]])</f>
        <v>5</v>
      </c>
      <c r="F1880" s="1" t="s">
        <v>6</v>
      </c>
      <c r="G1880">
        <v>5</v>
      </c>
      <c r="H1880">
        <f t="shared" si="16"/>
        <v>157</v>
      </c>
      <c r="I1880">
        <v>78.5</v>
      </c>
      <c r="J1880">
        <f>Table2[[#This Row],[Hits]]/Table2[[#This Row],[Points]]*100</f>
        <v>3.1847133757961785</v>
      </c>
      <c r="K1880">
        <f>VLOOKUP(Table2[[#This Row],[Site]],'Site Info'!$A$1:$C$11,2, FALSE)</f>
        <v>17</v>
      </c>
      <c r="L1880">
        <f>VLOOKUP(Table2[[#This Row],[Site]],'Site Info'!$A$1:$C$11,3, FALSE)</f>
        <v>4</v>
      </c>
      <c r="M1880" t="str">
        <f>VLOOKUP(Table2[[#This Row],[Species]],'Species Table'!$A$1:$D$68,3, FALSE)</f>
        <v>Perennial</v>
      </c>
      <c r="O1880" s="15">
        <f>IF(SUMPRODUCT(($A$2:$A1880=A1880)*($B$2:$B1880=B1880)*($F$2:$F1880=F1880))&gt;1,0,1)</f>
        <v>0</v>
      </c>
      <c r="P1880" s="15">
        <f>IF(SUMPRODUCT(($A$2:$A1880=A1880)*($B$2:$B1880=B1880)*($D$2:$D1880=D1880))&gt;1,0,1)</f>
        <v>0</v>
      </c>
    </row>
    <row r="1881" spans="1:16" x14ac:dyDescent="0.35">
      <c r="A1881" t="s">
        <v>19</v>
      </c>
      <c r="B1881">
        <v>2017</v>
      </c>
      <c r="C1881" t="s">
        <v>114</v>
      </c>
      <c r="D1881" s="6">
        <v>5.2</v>
      </c>
      <c r="E1881" s="6">
        <f>INT(Table2[[#This Row],[Transect]])</f>
        <v>5</v>
      </c>
      <c r="F1881" s="1" t="s">
        <v>3</v>
      </c>
      <c r="G1881">
        <v>45</v>
      </c>
      <c r="H1881">
        <f t="shared" si="16"/>
        <v>157</v>
      </c>
      <c r="I1881">
        <v>78.5</v>
      </c>
      <c r="J1881">
        <f>Table2[[#This Row],[Hits]]/Table2[[#This Row],[Points]]*100</f>
        <v>28.662420382165603</v>
      </c>
      <c r="K1881">
        <f>VLOOKUP(Table2[[#This Row],[Site]],'Site Info'!$A$1:$C$11,2, FALSE)</f>
        <v>17</v>
      </c>
      <c r="L1881">
        <f>VLOOKUP(Table2[[#This Row],[Site]],'Site Info'!$A$1:$C$11,3, FALSE)</f>
        <v>4</v>
      </c>
      <c r="M1881" t="str">
        <f>VLOOKUP(Table2[[#This Row],[Species]],'Species Table'!$A$1:$D$68,3, FALSE)</f>
        <v>Perennial</v>
      </c>
      <c r="O1881" s="15">
        <f>IF(SUMPRODUCT(($A$2:$A1881=A1881)*($B$2:$B1881=B1881)*($F$2:$F1881=F1881))&gt;1,0,1)</f>
        <v>0</v>
      </c>
      <c r="P1881" s="15">
        <f>IF(SUMPRODUCT(($A$2:$A1881=A1881)*($B$2:$B1881=B1881)*($D$2:$D1881=D1881))&gt;1,0,1)</f>
        <v>0</v>
      </c>
    </row>
    <row r="1882" spans="1:16" x14ac:dyDescent="0.35">
      <c r="A1882" t="s">
        <v>19</v>
      </c>
      <c r="B1882">
        <v>2017</v>
      </c>
      <c r="C1882" t="s">
        <v>67</v>
      </c>
      <c r="D1882" s="6">
        <v>6.1</v>
      </c>
      <c r="E1882" s="6">
        <f>INT(Table2[[#This Row],[Transect]])</f>
        <v>6</v>
      </c>
      <c r="F1882" s="1" t="s">
        <v>12</v>
      </c>
      <c r="G1882">
        <v>2</v>
      </c>
      <c r="H1882">
        <f t="shared" si="16"/>
        <v>200</v>
      </c>
      <c r="I1882">
        <v>100</v>
      </c>
      <c r="J1882">
        <f>Table2[[#This Row],[Hits]]/Table2[[#This Row],[Points]]*100</f>
        <v>1</v>
      </c>
      <c r="K1882">
        <f>VLOOKUP(Table2[[#This Row],[Site]],'Site Info'!$A$1:$C$11,2, FALSE)</f>
        <v>17</v>
      </c>
      <c r="L1882">
        <f>VLOOKUP(Table2[[#This Row],[Site]],'Site Info'!$A$1:$C$11,3, FALSE)</f>
        <v>4</v>
      </c>
      <c r="M1882" t="str">
        <f>VLOOKUP(Table2[[#This Row],[Species]],'Species Table'!$A$1:$D$68,3, FALSE)</f>
        <v>Perennial</v>
      </c>
      <c r="O1882" s="15">
        <f>IF(SUMPRODUCT(($A$2:$A1882=A1882)*($B$2:$B1882=B1882)*($F$2:$F1882=F1882))&gt;1,0,1)</f>
        <v>0</v>
      </c>
      <c r="P1882" s="15">
        <f>IF(SUMPRODUCT(($A$2:$A1882=A1882)*($B$2:$B1882=B1882)*($D$2:$D1882=D1882))&gt;1,0,1)</f>
        <v>1</v>
      </c>
    </row>
    <row r="1883" spans="1:16" x14ac:dyDescent="0.35">
      <c r="A1883" t="s">
        <v>19</v>
      </c>
      <c r="B1883">
        <v>2017</v>
      </c>
      <c r="C1883" t="s">
        <v>67</v>
      </c>
      <c r="D1883" s="6">
        <v>6.1</v>
      </c>
      <c r="E1883" s="6">
        <f>INT(Table2[[#This Row],[Transect]])</f>
        <v>6</v>
      </c>
      <c r="F1883" s="1" t="s">
        <v>3</v>
      </c>
      <c r="G1883">
        <v>32</v>
      </c>
      <c r="H1883">
        <f>I1883*2</f>
        <v>200</v>
      </c>
      <c r="I1883">
        <v>100</v>
      </c>
      <c r="J1883">
        <f>Table2[[#This Row],[Hits]]/Table2[[#This Row],[Points]]*100</f>
        <v>16</v>
      </c>
      <c r="K1883">
        <f>VLOOKUP(Table2[[#This Row],[Site]],'Site Info'!$A$1:$C$11,2, FALSE)</f>
        <v>17</v>
      </c>
      <c r="L1883">
        <f>VLOOKUP(Table2[[#This Row],[Site]],'Site Info'!$A$1:$C$11,3, FALSE)</f>
        <v>4</v>
      </c>
      <c r="M1883" t="str">
        <f>VLOOKUP(Table2[[#This Row],[Species]],'Species Table'!$A$1:$D$68,3, FALSE)</f>
        <v>Perennial</v>
      </c>
      <c r="O1883" s="15">
        <f>IF(SUMPRODUCT(($A$2:$A1883=A1883)*($B$2:$B1883=B1883)*($F$2:$F1883=F1883))&gt;1,0,1)</f>
        <v>0</v>
      </c>
      <c r="P1883" s="15">
        <f>IF(SUMPRODUCT(($A$2:$A1883=A1883)*($B$2:$B1883=B1883)*($D$2:$D1883=D1883))&gt;1,0,1)</f>
        <v>0</v>
      </c>
    </row>
    <row r="1884" spans="1:16" x14ac:dyDescent="0.35">
      <c r="A1884" t="s">
        <v>19</v>
      </c>
      <c r="B1884">
        <v>2017</v>
      </c>
      <c r="C1884" t="s">
        <v>115</v>
      </c>
      <c r="D1884" s="6">
        <v>6.2</v>
      </c>
      <c r="E1884" s="6">
        <f>INT(Table2[[#This Row],[Transect]])</f>
        <v>6</v>
      </c>
      <c r="F1884" s="1" t="s">
        <v>3</v>
      </c>
      <c r="G1884">
        <v>42</v>
      </c>
      <c r="H1884">
        <f>I1884*2</f>
        <v>134</v>
      </c>
      <c r="I1884">
        <v>67</v>
      </c>
      <c r="J1884">
        <f>Table2[[#This Row],[Hits]]/Table2[[#This Row],[Points]]*100</f>
        <v>31.343283582089555</v>
      </c>
      <c r="K1884">
        <f>VLOOKUP(Table2[[#This Row],[Site]],'Site Info'!$A$1:$C$11,2, FALSE)</f>
        <v>17</v>
      </c>
      <c r="L1884">
        <f>VLOOKUP(Table2[[#This Row],[Site]],'Site Info'!$A$1:$C$11,3, FALSE)</f>
        <v>4</v>
      </c>
      <c r="M1884" t="str">
        <f>VLOOKUP(Table2[[#This Row],[Species]],'Species Table'!$A$1:$D$68,3, FALSE)</f>
        <v>Perennial</v>
      </c>
      <c r="O1884">
        <f>IF(SUMPRODUCT(($A$2:$A2321=A1884)*($B$2:$B2321=B1884)*($F$2:$F2321=F1884))&gt;1,0,1)</f>
        <v>0</v>
      </c>
      <c r="P1884">
        <f>IF(SUMPRODUCT(($A$2:$A2321=A1884)*($B$2:$B2321=B1884)*($D$2:$D2321=D1884))&gt;1,0,1)</f>
        <v>1</v>
      </c>
    </row>
    <row r="1885" spans="1:16" x14ac:dyDescent="0.35">
      <c r="A1885" t="s">
        <v>9</v>
      </c>
      <c r="B1885">
        <v>2019</v>
      </c>
      <c r="C1885" t="s">
        <v>37</v>
      </c>
      <c r="D1885" s="6">
        <v>1.1000000000000001</v>
      </c>
      <c r="E1885" s="6">
        <v>1</v>
      </c>
      <c r="F1885" s="1" t="s">
        <v>12</v>
      </c>
      <c r="G1885">
        <v>10</v>
      </c>
      <c r="H1885">
        <v>200</v>
      </c>
      <c r="I1885">
        <v>100</v>
      </c>
      <c r="J1885">
        <f>Table2[[#This Row],[Hits]]/Table2[[#This Row],[Points]]*100</f>
        <v>5</v>
      </c>
      <c r="K1885">
        <f>VLOOKUP(Table2[[#This Row],[Site]],'Site Info'!$A$1:$C$11,2, FALSE)</f>
        <v>17.7</v>
      </c>
      <c r="L1885">
        <f>VLOOKUP(Table2[[#This Row],[Site]],'Site Info'!$A$1:$C$11,3, FALSE)</f>
        <v>10</v>
      </c>
      <c r="M1885" t="str">
        <f>VLOOKUP(Table2[[#This Row],[Species]],'Species Table'!$A$1:$D$68,3, FALSE)</f>
        <v>Perennial</v>
      </c>
      <c r="O1885" s="15">
        <f>IF(SUMPRODUCT(($A$2:$A1885=A1885)*($B$2:$B1885=B1885)*($F$2:$F1885=F1885))&gt;1,0,1)</f>
        <v>1</v>
      </c>
      <c r="P1885" s="15">
        <f>IF(SUMPRODUCT(($A$2:$A1885=A1885)*($B$2:$B1885=B1885)*($D$2:$D1885=D1885))&gt;1,0,1)</f>
        <v>1</v>
      </c>
    </row>
    <row r="1886" spans="1:16" hidden="1" x14ac:dyDescent="0.35">
      <c r="A1886" t="s">
        <v>9</v>
      </c>
      <c r="B1886">
        <v>2019</v>
      </c>
      <c r="C1886" t="s">
        <v>37</v>
      </c>
      <c r="D1886" s="6">
        <v>1.1000000000000001</v>
      </c>
      <c r="E1886" s="6">
        <v>1</v>
      </c>
      <c r="F1886" s="1" t="s">
        <v>10</v>
      </c>
      <c r="G1886">
        <v>9</v>
      </c>
      <c r="H1886">
        <v>200</v>
      </c>
      <c r="I1886">
        <v>100</v>
      </c>
      <c r="J1886">
        <f>Table2[[#This Row],[Hits]]/Table2[[#This Row],[Points]]*100</f>
        <v>4.5</v>
      </c>
      <c r="K1886">
        <f>VLOOKUP(Table2[[#This Row],[Site]],'Site Info'!$A$1:$C$11,2, FALSE)</f>
        <v>17.7</v>
      </c>
      <c r="L1886">
        <f>VLOOKUP(Table2[[#This Row],[Site]],'Site Info'!$A$1:$C$11,3, FALSE)</f>
        <v>10</v>
      </c>
      <c r="M1886" t="str">
        <f>VLOOKUP(Table2[[#This Row],[Species]],'Species Table'!$A$1:$D$68,3, FALSE)</f>
        <v>Annual</v>
      </c>
      <c r="O1886" s="15">
        <f>IF(SUMPRODUCT(($A$2:$A1886=A1886)*($B$2:$B1886=B1886)*($F$2:$F1886=F1886))&gt;1,0,1)</f>
        <v>1</v>
      </c>
      <c r="P1886" s="15">
        <f>IF(SUMPRODUCT(($A$2:$A1886=A1886)*($B$2:$B1886=B1886)*($D$2:$D1886=D1886))&gt;1,0,1)</f>
        <v>0</v>
      </c>
    </row>
    <row r="1887" spans="1:16" x14ac:dyDescent="0.35">
      <c r="A1887" t="s">
        <v>9</v>
      </c>
      <c r="B1887">
        <v>2019</v>
      </c>
      <c r="C1887" t="s">
        <v>37</v>
      </c>
      <c r="D1887" s="6">
        <v>1.1000000000000001</v>
      </c>
      <c r="E1887" s="6">
        <v>1</v>
      </c>
      <c r="F1887" s="1" t="s">
        <v>11</v>
      </c>
      <c r="G1887">
        <v>24</v>
      </c>
      <c r="H1887">
        <v>200</v>
      </c>
      <c r="I1887">
        <v>100</v>
      </c>
      <c r="J1887">
        <f>Table2[[#This Row],[Hits]]/Table2[[#This Row],[Points]]*100</f>
        <v>12</v>
      </c>
      <c r="K1887">
        <f>VLOOKUP(Table2[[#This Row],[Site]],'Site Info'!$A$1:$C$11,2, FALSE)</f>
        <v>17.7</v>
      </c>
      <c r="L1887">
        <f>VLOOKUP(Table2[[#This Row],[Site]],'Site Info'!$A$1:$C$11,3, FALSE)</f>
        <v>10</v>
      </c>
      <c r="M1887" t="str">
        <f>VLOOKUP(Table2[[#This Row],[Species]],'Species Table'!$A$1:$D$68,3, FALSE)</f>
        <v>Perennial</v>
      </c>
      <c r="O1887" s="15">
        <f>IF(SUMPRODUCT(($A$2:$A1887=A1887)*($B$2:$B1887=B1887)*($F$2:$F1887=F1887))&gt;1,0,1)</f>
        <v>1</v>
      </c>
      <c r="P1887" s="15">
        <f>IF(SUMPRODUCT(($A$2:$A1887=A1887)*($B$2:$B1887=B1887)*($D$2:$D1887=D1887))&gt;1,0,1)</f>
        <v>0</v>
      </c>
    </row>
    <row r="1888" spans="1:16" x14ac:dyDescent="0.35">
      <c r="A1888" t="s">
        <v>9</v>
      </c>
      <c r="B1888">
        <v>2019</v>
      </c>
      <c r="C1888" t="s">
        <v>38</v>
      </c>
      <c r="D1888" s="6">
        <v>1.2</v>
      </c>
      <c r="E1888" s="6">
        <v>1</v>
      </c>
      <c r="F1888" s="1" t="s">
        <v>11</v>
      </c>
      <c r="G1888">
        <v>32</v>
      </c>
      <c r="H1888">
        <v>200</v>
      </c>
      <c r="I1888">
        <v>100</v>
      </c>
      <c r="J1888">
        <f>Table2[[#This Row],[Hits]]/Table2[[#This Row],[Points]]*100</f>
        <v>16</v>
      </c>
      <c r="K1888">
        <f>VLOOKUP(Table2[[#This Row],[Site]],'Site Info'!$A$1:$C$11,2, FALSE)</f>
        <v>17.7</v>
      </c>
      <c r="L1888">
        <f>VLOOKUP(Table2[[#This Row],[Site]],'Site Info'!$A$1:$C$11,3, FALSE)</f>
        <v>10</v>
      </c>
      <c r="M1888" t="str">
        <f>VLOOKUP(Table2[[#This Row],[Species]],'Species Table'!$A$1:$D$68,3, FALSE)</f>
        <v>Perennial</v>
      </c>
      <c r="O1888" s="15">
        <f>IF(SUMPRODUCT(($A$2:$A1888=A1888)*($B$2:$B1888=B1888)*($F$2:$F1888=F1888))&gt;1,0,1)</f>
        <v>0</v>
      </c>
      <c r="P1888" s="15">
        <f>IF(SUMPRODUCT(($A$2:$A1888=A1888)*($B$2:$B1888=B1888)*($D$2:$D1888=D1888))&gt;1,0,1)</f>
        <v>1</v>
      </c>
    </row>
    <row r="1889" spans="1:16" hidden="1" x14ac:dyDescent="0.35">
      <c r="A1889" t="s">
        <v>9</v>
      </c>
      <c r="B1889">
        <v>2019</v>
      </c>
      <c r="C1889" t="s">
        <v>38</v>
      </c>
      <c r="D1889" s="6">
        <v>1.2</v>
      </c>
      <c r="E1889" s="6">
        <v>1</v>
      </c>
      <c r="F1889" s="1" t="s">
        <v>10</v>
      </c>
      <c r="G1889">
        <v>10</v>
      </c>
      <c r="H1889">
        <v>200</v>
      </c>
      <c r="I1889">
        <v>100</v>
      </c>
      <c r="J1889">
        <f>Table2[[#This Row],[Hits]]/Table2[[#This Row],[Points]]*100</f>
        <v>5</v>
      </c>
      <c r="K1889">
        <f>VLOOKUP(Table2[[#This Row],[Site]],'Site Info'!$A$1:$C$11,2, FALSE)</f>
        <v>17.7</v>
      </c>
      <c r="L1889">
        <f>VLOOKUP(Table2[[#This Row],[Site]],'Site Info'!$A$1:$C$11,3, FALSE)</f>
        <v>10</v>
      </c>
      <c r="M1889" t="str">
        <f>VLOOKUP(Table2[[#This Row],[Species]],'Species Table'!$A$1:$D$68,3, FALSE)</f>
        <v>Annual</v>
      </c>
      <c r="O1889" s="15">
        <f>IF(SUMPRODUCT(($A$2:$A1889=A1889)*($B$2:$B1889=B1889)*($F$2:$F1889=F1889))&gt;1,0,1)</f>
        <v>0</v>
      </c>
      <c r="P1889" s="15">
        <f>IF(SUMPRODUCT(($A$2:$A1889=A1889)*($B$2:$B1889=B1889)*($D$2:$D1889=D1889))&gt;1,0,1)</f>
        <v>0</v>
      </c>
    </row>
    <row r="1890" spans="1:16" x14ac:dyDescent="0.35">
      <c r="A1890" t="s">
        <v>9</v>
      </c>
      <c r="B1890">
        <v>2019</v>
      </c>
      <c r="C1890" t="s">
        <v>38</v>
      </c>
      <c r="D1890" s="6">
        <v>1.2</v>
      </c>
      <c r="E1890" s="6">
        <v>1</v>
      </c>
      <c r="F1890" s="1" t="s">
        <v>12</v>
      </c>
      <c r="G1890">
        <v>2</v>
      </c>
      <c r="H1890">
        <v>200</v>
      </c>
      <c r="I1890">
        <v>100</v>
      </c>
      <c r="J1890">
        <f>Table2[[#This Row],[Hits]]/Table2[[#This Row],[Points]]*100</f>
        <v>1</v>
      </c>
      <c r="K1890">
        <f>VLOOKUP(Table2[[#This Row],[Site]],'Site Info'!$A$1:$C$11,2, FALSE)</f>
        <v>17.7</v>
      </c>
      <c r="L1890">
        <f>VLOOKUP(Table2[[#This Row],[Site]],'Site Info'!$A$1:$C$11,3, FALSE)</f>
        <v>10</v>
      </c>
      <c r="M1890" t="str">
        <f>VLOOKUP(Table2[[#This Row],[Species]],'Species Table'!$A$1:$D$68,3, FALSE)</f>
        <v>Perennial</v>
      </c>
      <c r="O1890" s="15">
        <f>IF(SUMPRODUCT(($A$2:$A1890=A1890)*($B$2:$B1890=B1890)*($F$2:$F1890=F1890))&gt;1,0,1)</f>
        <v>0</v>
      </c>
      <c r="P1890" s="15">
        <f>IF(SUMPRODUCT(($A$2:$A1890=A1890)*($B$2:$B1890=B1890)*($D$2:$D1890=D1890))&gt;1,0,1)</f>
        <v>0</v>
      </c>
    </row>
    <row r="1891" spans="1:16" x14ac:dyDescent="0.35">
      <c r="A1891" t="s">
        <v>9</v>
      </c>
      <c r="B1891">
        <v>2019</v>
      </c>
      <c r="C1891" t="s">
        <v>83</v>
      </c>
      <c r="D1891" s="6">
        <v>1.3</v>
      </c>
      <c r="E1891" s="6">
        <v>1</v>
      </c>
      <c r="F1891" s="1" t="s">
        <v>11</v>
      </c>
      <c r="G1891">
        <v>4</v>
      </c>
      <c r="H1891">
        <v>200</v>
      </c>
      <c r="I1891">
        <v>100</v>
      </c>
      <c r="J1891">
        <f>Table2[[#This Row],[Hits]]/Table2[[#This Row],[Points]]*100</f>
        <v>2</v>
      </c>
      <c r="K1891">
        <f>VLOOKUP(Table2[[#This Row],[Site]],'Site Info'!$A$1:$C$11,2, FALSE)</f>
        <v>17.7</v>
      </c>
      <c r="L1891">
        <f>VLOOKUP(Table2[[#This Row],[Site]],'Site Info'!$A$1:$C$11,3, FALSE)</f>
        <v>10</v>
      </c>
      <c r="M1891" t="str">
        <f>VLOOKUP(Table2[[#This Row],[Species]],'Species Table'!$A$1:$D$68,3, FALSE)</f>
        <v>Perennial</v>
      </c>
      <c r="O1891" s="15">
        <f>IF(SUMPRODUCT(($A$2:$A1891=A1891)*($B$2:$B1891=B1891)*($F$2:$F1891=F1891))&gt;1,0,1)</f>
        <v>0</v>
      </c>
      <c r="P1891" s="15">
        <f>IF(SUMPRODUCT(($A$2:$A1891=A1891)*($B$2:$B1891=B1891)*($D$2:$D1891=D1891))&gt;1,0,1)</f>
        <v>1</v>
      </c>
    </row>
    <row r="1892" spans="1:16" hidden="1" x14ac:dyDescent="0.35">
      <c r="A1892" t="s">
        <v>9</v>
      </c>
      <c r="B1892">
        <v>2019</v>
      </c>
      <c r="C1892" t="s">
        <v>83</v>
      </c>
      <c r="D1892" s="6">
        <v>1.3</v>
      </c>
      <c r="E1892" s="6">
        <v>1</v>
      </c>
      <c r="F1892" s="1" t="s">
        <v>10</v>
      </c>
      <c r="G1892">
        <v>4</v>
      </c>
      <c r="H1892">
        <v>200</v>
      </c>
      <c r="I1892">
        <v>100</v>
      </c>
      <c r="J1892">
        <f>Table2[[#This Row],[Hits]]/Table2[[#This Row],[Points]]*100</f>
        <v>2</v>
      </c>
      <c r="K1892">
        <f>VLOOKUP(Table2[[#This Row],[Site]],'Site Info'!$A$1:$C$11,2, FALSE)</f>
        <v>17.7</v>
      </c>
      <c r="L1892">
        <f>VLOOKUP(Table2[[#This Row],[Site]],'Site Info'!$A$1:$C$11,3, FALSE)</f>
        <v>10</v>
      </c>
      <c r="M1892" t="str">
        <f>VLOOKUP(Table2[[#This Row],[Species]],'Species Table'!$A$1:$D$68,3, FALSE)</f>
        <v>Annual</v>
      </c>
      <c r="O1892" s="15">
        <f>IF(SUMPRODUCT(($A$2:$A1892=A1892)*($B$2:$B1892=B1892)*($F$2:$F1892=F1892))&gt;1,0,1)</f>
        <v>0</v>
      </c>
      <c r="P1892" s="15">
        <f>IF(SUMPRODUCT(($A$2:$A1892=A1892)*($B$2:$B1892=B1892)*($D$2:$D1892=D1892))&gt;1,0,1)</f>
        <v>0</v>
      </c>
    </row>
    <row r="1893" spans="1:16" x14ac:dyDescent="0.35">
      <c r="A1893" t="s">
        <v>9</v>
      </c>
      <c r="B1893">
        <v>2019</v>
      </c>
      <c r="C1893" t="s">
        <v>83</v>
      </c>
      <c r="D1893" s="6">
        <v>1.3</v>
      </c>
      <c r="E1893" s="6">
        <v>1</v>
      </c>
      <c r="F1893" s="1" t="s">
        <v>6</v>
      </c>
      <c r="G1893">
        <v>12</v>
      </c>
      <c r="H1893">
        <v>200</v>
      </c>
      <c r="I1893">
        <v>100</v>
      </c>
      <c r="J1893">
        <f>Table2[[#This Row],[Hits]]/Table2[[#This Row],[Points]]*100</f>
        <v>6</v>
      </c>
      <c r="K1893">
        <f>VLOOKUP(Table2[[#This Row],[Site]],'Site Info'!$A$1:$C$11,2, FALSE)</f>
        <v>17.7</v>
      </c>
      <c r="L1893">
        <f>VLOOKUP(Table2[[#This Row],[Site]],'Site Info'!$A$1:$C$11,3, FALSE)</f>
        <v>10</v>
      </c>
      <c r="M1893" t="str">
        <f>VLOOKUP(Table2[[#This Row],[Species]],'Species Table'!$A$1:$D$68,3, FALSE)</f>
        <v>Perennial</v>
      </c>
      <c r="O1893" s="15">
        <f>IF(SUMPRODUCT(($A$2:$A1893=A1893)*($B$2:$B1893=B1893)*($F$2:$F1893=F1893))&gt;1,0,1)</f>
        <v>1</v>
      </c>
      <c r="P1893" s="15">
        <f>IF(SUMPRODUCT(($A$2:$A1893=A1893)*($B$2:$B1893=B1893)*($D$2:$D1893=D1893))&gt;1,0,1)</f>
        <v>0</v>
      </c>
    </row>
    <row r="1894" spans="1:16" x14ac:dyDescent="0.35">
      <c r="A1894" t="s">
        <v>9</v>
      </c>
      <c r="B1894">
        <v>2019</v>
      </c>
      <c r="C1894" t="s">
        <v>83</v>
      </c>
      <c r="D1894" s="6">
        <v>1.3</v>
      </c>
      <c r="E1894" s="6">
        <v>1</v>
      </c>
      <c r="F1894" s="1" t="s">
        <v>12</v>
      </c>
      <c r="G1894">
        <v>13</v>
      </c>
      <c r="H1894">
        <v>200</v>
      </c>
      <c r="I1894">
        <v>100</v>
      </c>
      <c r="J1894">
        <f>Table2[[#This Row],[Hits]]/Table2[[#This Row],[Points]]*100</f>
        <v>6.5</v>
      </c>
      <c r="K1894">
        <f>VLOOKUP(Table2[[#This Row],[Site]],'Site Info'!$A$1:$C$11,2, FALSE)</f>
        <v>17.7</v>
      </c>
      <c r="L1894">
        <f>VLOOKUP(Table2[[#This Row],[Site]],'Site Info'!$A$1:$C$11,3, FALSE)</f>
        <v>10</v>
      </c>
      <c r="M1894" t="str">
        <f>VLOOKUP(Table2[[#This Row],[Species]],'Species Table'!$A$1:$D$68,3, FALSE)</f>
        <v>Perennial</v>
      </c>
      <c r="O1894" s="15">
        <f>IF(SUMPRODUCT(($A$2:$A1894=A1894)*($B$2:$B1894=B1894)*($F$2:$F1894=F1894))&gt;1,0,1)</f>
        <v>0</v>
      </c>
      <c r="P1894" s="15">
        <f>IF(SUMPRODUCT(($A$2:$A1894=A1894)*($B$2:$B1894=B1894)*($D$2:$D1894=D1894))&gt;1,0,1)</f>
        <v>0</v>
      </c>
    </row>
    <row r="1895" spans="1:16" x14ac:dyDescent="0.35">
      <c r="A1895" t="s">
        <v>9</v>
      </c>
      <c r="B1895">
        <v>2019</v>
      </c>
      <c r="C1895" t="s">
        <v>39</v>
      </c>
      <c r="D1895" s="6">
        <v>1.4</v>
      </c>
      <c r="E1895" s="6">
        <v>1</v>
      </c>
      <c r="F1895" s="1" t="s">
        <v>11</v>
      </c>
      <c r="G1895">
        <v>5</v>
      </c>
      <c r="H1895">
        <v>200</v>
      </c>
      <c r="I1895">
        <v>100</v>
      </c>
      <c r="J1895">
        <f>Table2[[#This Row],[Hits]]/Table2[[#This Row],[Points]]*100</f>
        <v>2.5</v>
      </c>
      <c r="K1895">
        <f>VLOOKUP(Table2[[#This Row],[Site]],'Site Info'!$A$1:$C$11,2, FALSE)</f>
        <v>17.7</v>
      </c>
      <c r="L1895">
        <f>VLOOKUP(Table2[[#This Row],[Site]],'Site Info'!$A$1:$C$11,3, FALSE)</f>
        <v>10</v>
      </c>
      <c r="M1895" t="str">
        <f>VLOOKUP(Table2[[#This Row],[Species]],'Species Table'!$A$1:$D$68,3, FALSE)</f>
        <v>Perennial</v>
      </c>
      <c r="O1895" s="15">
        <f>IF(SUMPRODUCT(($A$2:$A1895=A1895)*($B$2:$B1895=B1895)*($F$2:$F1895=F1895))&gt;1,0,1)</f>
        <v>0</v>
      </c>
      <c r="P1895" s="15">
        <f>IF(SUMPRODUCT(($A$2:$A1895=A1895)*($B$2:$B1895=B1895)*($D$2:$D1895=D1895))&gt;1,0,1)</f>
        <v>1</v>
      </c>
    </row>
    <row r="1896" spans="1:16" hidden="1" x14ac:dyDescent="0.35">
      <c r="A1896" t="s">
        <v>9</v>
      </c>
      <c r="B1896">
        <v>2019</v>
      </c>
      <c r="C1896" t="s">
        <v>39</v>
      </c>
      <c r="D1896" s="6">
        <v>1.4</v>
      </c>
      <c r="E1896" s="6">
        <v>1</v>
      </c>
      <c r="F1896" s="1" t="s">
        <v>10</v>
      </c>
      <c r="G1896">
        <v>12</v>
      </c>
      <c r="H1896">
        <v>200</v>
      </c>
      <c r="I1896">
        <v>100</v>
      </c>
      <c r="J1896">
        <f>Table2[[#This Row],[Hits]]/Table2[[#This Row],[Points]]*100</f>
        <v>6</v>
      </c>
      <c r="K1896">
        <f>VLOOKUP(Table2[[#This Row],[Site]],'Site Info'!$A$1:$C$11,2, FALSE)</f>
        <v>17.7</v>
      </c>
      <c r="L1896">
        <f>VLOOKUP(Table2[[#This Row],[Site]],'Site Info'!$A$1:$C$11,3, FALSE)</f>
        <v>10</v>
      </c>
      <c r="M1896" t="str">
        <f>VLOOKUP(Table2[[#This Row],[Species]],'Species Table'!$A$1:$D$68,3, FALSE)</f>
        <v>Annual</v>
      </c>
      <c r="O1896" s="15">
        <f>IF(SUMPRODUCT(($A$2:$A1896=A1896)*($B$2:$B1896=B1896)*($F$2:$F1896=F1896))&gt;1,0,1)</f>
        <v>0</v>
      </c>
      <c r="P1896" s="15">
        <f>IF(SUMPRODUCT(($A$2:$A1896=A1896)*($B$2:$B1896=B1896)*($D$2:$D1896=D1896))&gt;1,0,1)</f>
        <v>0</v>
      </c>
    </row>
    <row r="1897" spans="1:16" x14ac:dyDescent="0.35">
      <c r="A1897" t="s">
        <v>9</v>
      </c>
      <c r="B1897">
        <v>2019</v>
      </c>
      <c r="C1897" t="s">
        <v>39</v>
      </c>
      <c r="D1897" s="6">
        <v>1.4</v>
      </c>
      <c r="E1897" s="6">
        <v>1</v>
      </c>
      <c r="F1897" s="1" t="s">
        <v>6</v>
      </c>
      <c r="G1897">
        <v>6</v>
      </c>
      <c r="H1897">
        <v>200</v>
      </c>
      <c r="I1897">
        <v>100</v>
      </c>
      <c r="J1897">
        <f>Table2[[#This Row],[Hits]]/Table2[[#This Row],[Points]]*100</f>
        <v>3</v>
      </c>
      <c r="K1897">
        <f>VLOOKUP(Table2[[#This Row],[Site]],'Site Info'!$A$1:$C$11,2, FALSE)</f>
        <v>17.7</v>
      </c>
      <c r="L1897">
        <f>VLOOKUP(Table2[[#This Row],[Site]],'Site Info'!$A$1:$C$11,3, FALSE)</f>
        <v>10</v>
      </c>
      <c r="M1897" t="str">
        <f>VLOOKUP(Table2[[#This Row],[Species]],'Species Table'!$A$1:$D$68,3, FALSE)</f>
        <v>Perennial</v>
      </c>
      <c r="O1897" s="15">
        <f>IF(SUMPRODUCT(($A$2:$A1897=A1897)*($B$2:$B1897=B1897)*($F$2:$F1897=F1897))&gt;1,0,1)</f>
        <v>0</v>
      </c>
      <c r="P1897" s="15">
        <f>IF(SUMPRODUCT(($A$2:$A1897=A1897)*($B$2:$B1897=B1897)*($D$2:$D1897=D1897))&gt;1,0,1)</f>
        <v>0</v>
      </c>
    </row>
    <row r="1898" spans="1:16" x14ac:dyDescent="0.35">
      <c r="A1898" t="s">
        <v>9</v>
      </c>
      <c r="B1898">
        <v>2019</v>
      </c>
      <c r="C1898" t="s">
        <v>39</v>
      </c>
      <c r="D1898" s="6">
        <v>1.4</v>
      </c>
      <c r="E1898" s="6">
        <v>1</v>
      </c>
      <c r="F1898" s="1" t="s">
        <v>12</v>
      </c>
      <c r="G1898">
        <v>13</v>
      </c>
      <c r="H1898">
        <v>200</v>
      </c>
      <c r="I1898">
        <v>100</v>
      </c>
      <c r="J1898">
        <f>Table2[[#This Row],[Hits]]/Table2[[#This Row],[Points]]*100</f>
        <v>6.5</v>
      </c>
      <c r="K1898">
        <f>VLOOKUP(Table2[[#This Row],[Site]],'Site Info'!$A$1:$C$11,2, FALSE)</f>
        <v>17.7</v>
      </c>
      <c r="L1898">
        <f>VLOOKUP(Table2[[#This Row],[Site]],'Site Info'!$A$1:$C$11,3, FALSE)</f>
        <v>10</v>
      </c>
      <c r="M1898" t="str">
        <f>VLOOKUP(Table2[[#This Row],[Species]],'Species Table'!$A$1:$D$68,3, FALSE)</f>
        <v>Perennial</v>
      </c>
      <c r="O1898" s="15">
        <f>IF(SUMPRODUCT(($A$2:$A1898=A1898)*($B$2:$B1898=B1898)*($F$2:$F1898=F1898))&gt;1,0,1)</f>
        <v>0</v>
      </c>
      <c r="P1898" s="15">
        <f>IF(SUMPRODUCT(($A$2:$A1898=A1898)*($B$2:$B1898=B1898)*($D$2:$D1898=D1898))&gt;1,0,1)</f>
        <v>0</v>
      </c>
    </row>
    <row r="1899" spans="1:16" x14ac:dyDescent="0.35">
      <c r="A1899" t="s">
        <v>9</v>
      </c>
      <c r="B1899">
        <v>2019</v>
      </c>
      <c r="C1899" t="s">
        <v>39</v>
      </c>
      <c r="D1899" s="6">
        <v>1.4</v>
      </c>
      <c r="E1899" s="6">
        <v>1</v>
      </c>
      <c r="F1899" s="1" t="s">
        <v>3</v>
      </c>
      <c r="G1899">
        <v>2</v>
      </c>
      <c r="H1899">
        <v>200</v>
      </c>
      <c r="I1899">
        <v>100</v>
      </c>
      <c r="J1899">
        <f>Table2[[#This Row],[Hits]]/Table2[[#This Row],[Points]]*100</f>
        <v>1</v>
      </c>
      <c r="K1899">
        <f>VLOOKUP(Table2[[#This Row],[Site]],'Site Info'!$A$1:$C$11,2, FALSE)</f>
        <v>17.7</v>
      </c>
      <c r="L1899">
        <f>VLOOKUP(Table2[[#This Row],[Site]],'Site Info'!$A$1:$C$11,3, FALSE)</f>
        <v>10</v>
      </c>
      <c r="M1899" t="str">
        <f>VLOOKUP(Table2[[#This Row],[Species]],'Species Table'!$A$1:$D$68,3, FALSE)</f>
        <v>Perennial</v>
      </c>
      <c r="O1899" s="15">
        <f>IF(SUMPRODUCT(($A$2:$A1899=A1899)*($B$2:$B1899=B1899)*($F$2:$F1899=F1899))&gt;1,0,1)</f>
        <v>1</v>
      </c>
      <c r="P1899" s="15">
        <f>IF(SUMPRODUCT(($A$2:$A1899=A1899)*($B$2:$B1899=B1899)*($D$2:$D1899=D1899))&gt;1,0,1)</f>
        <v>0</v>
      </c>
    </row>
    <row r="1900" spans="1:16" hidden="1" x14ac:dyDescent="0.35">
      <c r="A1900" t="s">
        <v>9</v>
      </c>
      <c r="B1900">
        <v>2019</v>
      </c>
      <c r="C1900" t="s">
        <v>40</v>
      </c>
      <c r="D1900" s="6">
        <v>1.5</v>
      </c>
      <c r="E1900" s="6">
        <v>1</v>
      </c>
      <c r="F1900" s="1" t="s">
        <v>10</v>
      </c>
      <c r="G1900">
        <v>19</v>
      </c>
      <c r="H1900">
        <v>200</v>
      </c>
      <c r="I1900">
        <v>100</v>
      </c>
      <c r="J1900">
        <f>Table2[[#This Row],[Hits]]/Table2[[#This Row],[Points]]*100</f>
        <v>9.5</v>
      </c>
      <c r="K1900">
        <f>VLOOKUP(Table2[[#This Row],[Site]],'Site Info'!$A$1:$C$11,2, FALSE)</f>
        <v>17.7</v>
      </c>
      <c r="L1900">
        <f>VLOOKUP(Table2[[#This Row],[Site]],'Site Info'!$A$1:$C$11,3, FALSE)</f>
        <v>10</v>
      </c>
      <c r="M1900" t="str">
        <f>VLOOKUP(Table2[[#This Row],[Species]],'Species Table'!$A$1:$D$68,3, FALSE)</f>
        <v>Annual</v>
      </c>
      <c r="O1900" s="15">
        <f>IF(SUMPRODUCT(($A$2:$A1900=A1900)*($B$2:$B1900=B1900)*($F$2:$F1900=F1900))&gt;1,0,1)</f>
        <v>0</v>
      </c>
      <c r="P1900" s="15">
        <f>IF(SUMPRODUCT(($A$2:$A1900=A1900)*($B$2:$B1900=B1900)*($D$2:$D1900=D1900))&gt;1,0,1)</f>
        <v>1</v>
      </c>
    </row>
    <row r="1901" spans="1:16" x14ac:dyDescent="0.35">
      <c r="A1901" t="s">
        <v>9</v>
      </c>
      <c r="B1901">
        <v>2019</v>
      </c>
      <c r="C1901" t="s">
        <v>40</v>
      </c>
      <c r="D1901" s="6">
        <v>1.5</v>
      </c>
      <c r="E1901" s="6">
        <v>1</v>
      </c>
      <c r="F1901" s="1" t="s">
        <v>12</v>
      </c>
      <c r="G1901">
        <v>13</v>
      </c>
      <c r="H1901">
        <v>200</v>
      </c>
      <c r="I1901">
        <v>100</v>
      </c>
      <c r="J1901">
        <f>Table2[[#This Row],[Hits]]/Table2[[#This Row],[Points]]*100</f>
        <v>6.5</v>
      </c>
      <c r="K1901">
        <f>VLOOKUP(Table2[[#This Row],[Site]],'Site Info'!$A$1:$C$11,2, FALSE)</f>
        <v>17.7</v>
      </c>
      <c r="L1901">
        <f>VLOOKUP(Table2[[#This Row],[Site]],'Site Info'!$A$1:$C$11,3, FALSE)</f>
        <v>10</v>
      </c>
      <c r="M1901" t="str">
        <f>VLOOKUP(Table2[[#This Row],[Species]],'Species Table'!$A$1:$D$68,3, FALSE)</f>
        <v>Perennial</v>
      </c>
      <c r="O1901" s="15">
        <f>IF(SUMPRODUCT(($A$2:$A1901=A1901)*($B$2:$B1901=B1901)*($F$2:$F1901=F1901))&gt;1,0,1)</f>
        <v>0</v>
      </c>
      <c r="P1901" s="15">
        <f>IF(SUMPRODUCT(($A$2:$A1901=A1901)*($B$2:$B1901=B1901)*($D$2:$D1901=D1901))&gt;1,0,1)</f>
        <v>0</v>
      </c>
    </row>
    <row r="1902" spans="1:16" x14ac:dyDescent="0.35">
      <c r="A1902" t="s">
        <v>9</v>
      </c>
      <c r="B1902">
        <v>2019</v>
      </c>
      <c r="C1902" t="s">
        <v>40</v>
      </c>
      <c r="D1902" s="6">
        <v>1.5</v>
      </c>
      <c r="E1902" s="6">
        <v>1</v>
      </c>
      <c r="F1902" s="1" t="s">
        <v>11</v>
      </c>
      <c r="G1902">
        <v>7</v>
      </c>
      <c r="H1902">
        <v>200</v>
      </c>
      <c r="I1902">
        <v>100</v>
      </c>
      <c r="J1902">
        <f>Table2[[#This Row],[Hits]]/Table2[[#This Row],[Points]]*100</f>
        <v>3.5000000000000004</v>
      </c>
      <c r="K1902">
        <f>VLOOKUP(Table2[[#This Row],[Site]],'Site Info'!$A$1:$C$11,2, FALSE)</f>
        <v>17.7</v>
      </c>
      <c r="L1902">
        <f>VLOOKUP(Table2[[#This Row],[Site]],'Site Info'!$A$1:$C$11,3, FALSE)</f>
        <v>10</v>
      </c>
      <c r="M1902" t="str">
        <f>VLOOKUP(Table2[[#This Row],[Species]],'Species Table'!$A$1:$D$68,3, FALSE)</f>
        <v>Perennial</v>
      </c>
      <c r="O1902" s="15">
        <f>IF(SUMPRODUCT(($A$2:$A1902=A1902)*($B$2:$B1902=B1902)*($F$2:$F1902=F1902))&gt;1,0,1)</f>
        <v>0</v>
      </c>
      <c r="P1902" s="15">
        <f>IF(SUMPRODUCT(($A$2:$A1902=A1902)*($B$2:$B1902=B1902)*($D$2:$D1902=D1902))&gt;1,0,1)</f>
        <v>0</v>
      </c>
    </row>
    <row r="1903" spans="1:16" x14ac:dyDescent="0.35">
      <c r="A1903" t="s">
        <v>9</v>
      </c>
      <c r="B1903">
        <v>2019</v>
      </c>
      <c r="C1903" t="s">
        <v>40</v>
      </c>
      <c r="D1903" s="6">
        <v>1.5</v>
      </c>
      <c r="E1903" s="6">
        <v>1</v>
      </c>
      <c r="F1903" s="1" t="s">
        <v>6</v>
      </c>
      <c r="G1903">
        <v>1</v>
      </c>
      <c r="H1903">
        <v>200</v>
      </c>
      <c r="I1903">
        <v>100</v>
      </c>
      <c r="J1903">
        <f>Table2[[#This Row],[Hits]]/Table2[[#This Row],[Points]]*100</f>
        <v>0.5</v>
      </c>
      <c r="K1903">
        <f>VLOOKUP(Table2[[#This Row],[Site]],'Site Info'!$A$1:$C$11,2, FALSE)</f>
        <v>17.7</v>
      </c>
      <c r="L1903">
        <f>VLOOKUP(Table2[[#This Row],[Site]],'Site Info'!$A$1:$C$11,3, FALSE)</f>
        <v>10</v>
      </c>
      <c r="M1903" t="str">
        <f>VLOOKUP(Table2[[#This Row],[Species]],'Species Table'!$A$1:$D$68,3, FALSE)</f>
        <v>Perennial</v>
      </c>
      <c r="O1903" s="15">
        <f>IF(SUMPRODUCT(($A$2:$A1903=A1903)*($B$2:$B1903=B1903)*($F$2:$F1903=F1903))&gt;1,0,1)</f>
        <v>0</v>
      </c>
      <c r="P1903" s="15">
        <f>IF(SUMPRODUCT(($A$2:$A1903=A1903)*($B$2:$B1903=B1903)*($D$2:$D1903=D1903))&gt;1,0,1)</f>
        <v>0</v>
      </c>
    </row>
    <row r="1904" spans="1:16" x14ac:dyDescent="0.35">
      <c r="A1904" t="s">
        <v>9</v>
      </c>
      <c r="B1904">
        <v>2019</v>
      </c>
      <c r="C1904" t="s">
        <v>40</v>
      </c>
      <c r="D1904" s="6">
        <v>1.5</v>
      </c>
      <c r="E1904" s="6">
        <v>1</v>
      </c>
      <c r="F1904" s="1" t="s">
        <v>2</v>
      </c>
      <c r="G1904">
        <v>4</v>
      </c>
      <c r="H1904">
        <v>200</v>
      </c>
      <c r="I1904">
        <v>100</v>
      </c>
      <c r="J1904">
        <f>Table2[[#This Row],[Hits]]/Table2[[#This Row],[Points]]*100</f>
        <v>2</v>
      </c>
      <c r="K1904">
        <f>VLOOKUP(Table2[[#This Row],[Site]],'Site Info'!$A$1:$C$11,2, FALSE)</f>
        <v>17.7</v>
      </c>
      <c r="L1904">
        <f>VLOOKUP(Table2[[#This Row],[Site]],'Site Info'!$A$1:$C$11,3, FALSE)</f>
        <v>10</v>
      </c>
      <c r="M1904" t="str">
        <f>VLOOKUP(Table2[[#This Row],[Species]],'Species Table'!$A$1:$D$68,3, FALSE)</f>
        <v>Perennial</v>
      </c>
      <c r="O1904" s="15">
        <f>IF(SUMPRODUCT(($A$2:$A1904=A1904)*($B$2:$B1904=B1904)*($F$2:$F1904=F1904))&gt;1,0,1)</f>
        <v>1</v>
      </c>
      <c r="P1904" s="15">
        <f>IF(SUMPRODUCT(($A$2:$A1904=A1904)*($B$2:$B1904=B1904)*($D$2:$D1904=D1904))&gt;1,0,1)</f>
        <v>0</v>
      </c>
    </row>
    <row r="1905" spans="1:16" hidden="1" x14ac:dyDescent="0.35">
      <c r="A1905" t="s">
        <v>9</v>
      </c>
      <c r="B1905">
        <v>2019</v>
      </c>
      <c r="C1905" t="s">
        <v>40</v>
      </c>
      <c r="D1905" s="6">
        <v>1.5</v>
      </c>
      <c r="E1905" s="6">
        <v>1</v>
      </c>
      <c r="F1905" s="1" t="s">
        <v>33</v>
      </c>
      <c r="G1905">
        <v>4</v>
      </c>
      <c r="H1905">
        <v>200</v>
      </c>
      <c r="I1905">
        <v>100</v>
      </c>
      <c r="J1905">
        <f>Table2[[#This Row],[Hits]]/Table2[[#This Row],[Points]]*100</f>
        <v>2</v>
      </c>
      <c r="K1905">
        <f>VLOOKUP(Table2[[#This Row],[Site]],'Site Info'!$A$1:$C$11,2, FALSE)</f>
        <v>17.7</v>
      </c>
      <c r="L1905">
        <f>VLOOKUP(Table2[[#This Row],[Site]],'Site Info'!$A$1:$C$11,3, FALSE)</f>
        <v>10</v>
      </c>
      <c r="M1905" t="str">
        <f>VLOOKUP(Table2[[#This Row],[Species]],'Species Table'!$A$1:$D$68,3, FALSE)</f>
        <v>Annual</v>
      </c>
      <c r="O1905" s="15">
        <f>IF(SUMPRODUCT(($A$2:$A1905=A1905)*($B$2:$B1905=B1905)*($F$2:$F1905=F1905))&gt;1,0,1)</f>
        <v>1</v>
      </c>
      <c r="P1905" s="15">
        <f>IF(SUMPRODUCT(($A$2:$A1905=A1905)*($B$2:$B1905=B1905)*($D$2:$D1905=D1905))&gt;1,0,1)</f>
        <v>0</v>
      </c>
    </row>
    <row r="1906" spans="1:16" hidden="1" x14ac:dyDescent="0.35">
      <c r="A1906" t="s">
        <v>9</v>
      </c>
      <c r="B1906">
        <v>2019</v>
      </c>
      <c r="C1906" t="s">
        <v>41</v>
      </c>
      <c r="D1906" s="6">
        <v>1.6</v>
      </c>
      <c r="E1906" s="6">
        <v>1</v>
      </c>
      <c r="F1906" s="1" t="s">
        <v>10</v>
      </c>
      <c r="G1906">
        <v>24</v>
      </c>
      <c r="H1906">
        <v>200</v>
      </c>
      <c r="I1906">
        <v>100</v>
      </c>
      <c r="J1906">
        <f>Table2[[#This Row],[Hits]]/Table2[[#This Row],[Points]]*100</f>
        <v>12</v>
      </c>
      <c r="K1906">
        <f>VLOOKUP(Table2[[#This Row],[Site]],'Site Info'!$A$1:$C$11,2, FALSE)</f>
        <v>17.7</v>
      </c>
      <c r="L1906">
        <f>VLOOKUP(Table2[[#This Row],[Site]],'Site Info'!$A$1:$C$11,3, FALSE)</f>
        <v>10</v>
      </c>
      <c r="M1906" t="str">
        <f>VLOOKUP(Table2[[#This Row],[Species]],'Species Table'!$A$1:$D$68,3, FALSE)</f>
        <v>Annual</v>
      </c>
      <c r="O1906" s="15">
        <f>IF(SUMPRODUCT(($A$2:$A1906=A1906)*($B$2:$B1906=B1906)*($F$2:$F1906=F1906))&gt;1,0,1)</f>
        <v>0</v>
      </c>
      <c r="P1906" s="15">
        <f>IF(SUMPRODUCT(($A$2:$A1906=A1906)*($B$2:$B1906=B1906)*($D$2:$D1906=D1906))&gt;1,0,1)</f>
        <v>1</v>
      </c>
    </row>
    <row r="1907" spans="1:16" x14ac:dyDescent="0.35">
      <c r="A1907" t="s">
        <v>9</v>
      </c>
      <c r="B1907">
        <v>2019</v>
      </c>
      <c r="C1907" t="s">
        <v>41</v>
      </c>
      <c r="D1907" s="6">
        <v>1.6</v>
      </c>
      <c r="E1907" s="6">
        <v>1</v>
      </c>
      <c r="F1907" s="1" t="s">
        <v>6</v>
      </c>
      <c r="G1907">
        <v>3</v>
      </c>
      <c r="H1907">
        <v>200</v>
      </c>
      <c r="I1907">
        <v>100</v>
      </c>
      <c r="J1907">
        <f>Table2[[#This Row],[Hits]]/Table2[[#This Row],[Points]]*100</f>
        <v>1.5</v>
      </c>
      <c r="K1907">
        <f>VLOOKUP(Table2[[#This Row],[Site]],'Site Info'!$A$1:$C$11,2, FALSE)</f>
        <v>17.7</v>
      </c>
      <c r="L1907">
        <f>VLOOKUP(Table2[[#This Row],[Site]],'Site Info'!$A$1:$C$11,3, FALSE)</f>
        <v>10</v>
      </c>
      <c r="M1907" t="str">
        <f>VLOOKUP(Table2[[#This Row],[Species]],'Species Table'!$A$1:$D$68,3, FALSE)</f>
        <v>Perennial</v>
      </c>
      <c r="O1907" s="15">
        <f>IF(SUMPRODUCT(($A$2:$A1907=A1907)*($B$2:$B1907=B1907)*($F$2:$F1907=F1907))&gt;1,0,1)</f>
        <v>0</v>
      </c>
      <c r="P1907" s="15">
        <f>IF(SUMPRODUCT(($A$2:$A1907=A1907)*($B$2:$B1907=B1907)*($D$2:$D1907=D1907))&gt;1,0,1)</f>
        <v>0</v>
      </c>
    </row>
    <row r="1908" spans="1:16" x14ac:dyDescent="0.35">
      <c r="A1908" t="s">
        <v>9</v>
      </c>
      <c r="B1908">
        <v>2019</v>
      </c>
      <c r="C1908" t="s">
        <v>41</v>
      </c>
      <c r="D1908" s="6">
        <v>1.6</v>
      </c>
      <c r="E1908" s="6">
        <v>1</v>
      </c>
      <c r="F1908" s="1" t="s">
        <v>12</v>
      </c>
      <c r="G1908">
        <v>2</v>
      </c>
      <c r="H1908">
        <v>200</v>
      </c>
      <c r="I1908">
        <v>100</v>
      </c>
      <c r="J1908">
        <f>Table2[[#This Row],[Hits]]/Table2[[#This Row],[Points]]*100</f>
        <v>1</v>
      </c>
      <c r="K1908">
        <f>VLOOKUP(Table2[[#This Row],[Site]],'Site Info'!$A$1:$C$11,2, FALSE)</f>
        <v>17.7</v>
      </c>
      <c r="L1908">
        <f>VLOOKUP(Table2[[#This Row],[Site]],'Site Info'!$A$1:$C$11,3, FALSE)</f>
        <v>10</v>
      </c>
      <c r="M1908" t="str">
        <f>VLOOKUP(Table2[[#This Row],[Species]],'Species Table'!$A$1:$D$68,3, FALSE)</f>
        <v>Perennial</v>
      </c>
      <c r="O1908" s="15">
        <f>IF(SUMPRODUCT(($A$2:$A1908=A1908)*($B$2:$B1908=B1908)*($F$2:$F1908=F1908))&gt;1,0,1)</f>
        <v>0</v>
      </c>
      <c r="P1908" s="15">
        <f>IF(SUMPRODUCT(($A$2:$A1908=A1908)*($B$2:$B1908=B1908)*($D$2:$D1908=D1908))&gt;1,0,1)</f>
        <v>0</v>
      </c>
    </row>
    <row r="1909" spans="1:16" x14ac:dyDescent="0.35">
      <c r="A1909" t="s">
        <v>9</v>
      </c>
      <c r="B1909">
        <v>2019</v>
      </c>
      <c r="C1909" t="s">
        <v>41</v>
      </c>
      <c r="D1909" s="6">
        <v>1.6</v>
      </c>
      <c r="E1909" s="6">
        <v>1</v>
      </c>
      <c r="F1909" s="1" t="s">
        <v>11</v>
      </c>
      <c r="G1909">
        <v>10</v>
      </c>
      <c r="H1909">
        <v>200</v>
      </c>
      <c r="I1909">
        <v>100</v>
      </c>
      <c r="J1909">
        <f>Table2[[#This Row],[Hits]]/Table2[[#This Row],[Points]]*100</f>
        <v>5</v>
      </c>
      <c r="K1909">
        <f>VLOOKUP(Table2[[#This Row],[Site]],'Site Info'!$A$1:$C$11,2, FALSE)</f>
        <v>17.7</v>
      </c>
      <c r="L1909">
        <f>VLOOKUP(Table2[[#This Row],[Site]],'Site Info'!$A$1:$C$11,3, FALSE)</f>
        <v>10</v>
      </c>
      <c r="M1909" t="str">
        <f>VLOOKUP(Table2[[#This Row],[Species]],'Species Table'!$A$1:$D$68,3, FALSE)</f>
        <v>Perennial</v>
      </c>
      <c r="O1909" s="15">
        <f>IF(SUMPRODUCT(($A$2:$A1909=A1909)*($B$2:$B1909=B1909)*($F$2:$F1909=F1909))&gt;1,0,1)</f>
        <v>0</v>
      </c>
      <c r="P1909" s="15">
        <f>IF(SUMPRODUCT(($A$2:$A1909=A1909)*($B$2:$B1909=B1909)*($D$2:$D1909=D1909))&gt;1,0,1)</f>
        <v>0</v>
      </c>
    </row>
    <row r="1910" spans="1:16" x14ac:dyDescent="0.35">
      <c r="A1910" t="s">
        <v>9</v>
      </c>
      <c r="B1910">
        <v>2019</v>
      </c>
      <c r="C1910" t="s">
        <v>42</v>
      </c>
      <c r="D1910" s="6">
        <v>1.7</v>
      </c>
      <c r="E1910" s="6">
        <v>1</v>
      </c>
      <c r="F1910" s="1" t="s">
        <v>11</v>
      </c>
      <c r="G1910">
        <v>26</v>
      </c>
      <c r="H1910">
        <v>200</v>
      </c>
      <c r="I1910">
        <v>100</v>
      </c>
      <c r="J1910">
        <f>Table2[[#This Row],[Hits]]/Table2[[#This Row],[Points]]*100</f>
        <v>13</v>
      </c>
      <c r="K1910">
        <f>VLOOKUP(Table2[[#This Row],[Site]],'Site Info'!$A$1:$C$11,2, FALSE)</f>
        <v>17.7</v>
      </c>
      <c r="L1910">
        <f>VLOOKUP(Table2[[#This Row],[Site]],'Site Info'!$A$1:$C$11,3, FALSE)</f>
        <v>10</v>
      </c>
      <c r="M1910" t="str">
        <f>VLOOKUP(Table2[[#This Row],[Species]],'Species Table'!$A$1:$D$68,3, FALSE)</f>
        <v>Perennial</v>
      </c>
      <c r="O1910" s="15">
        <f>IF(SUMPRODUCT(($A$2:$A1910=A1910)*($B$2:$B1910=B1910)*($F$2:$F1910=F1910))&gt;1,0,1)</f>
        <v>0</v>
      </c>
      <c r="P1910" s="15">
        <f>IF(SUMPRODUCT(($A$2:$A1910=A1910)*($B$2:$B1910=B1910)*($D$2:$D1910=D1910))&gt;1,0,1)</f>
        <v>1</v>
      </c>
    </row>
    <row r="1911" spans="1:16" hidden="1" x14ac:dyDescent="0.35">
      <c r="A1911" t="s">
        <v>9</v>
      </c>
      <c r="B1911">
        <v>2019</v>
      </c>
      <c r="C1911" t="s">
        <v>42</v>
      </c>
      <c r="D1911" s="6">
        <v>1.7</v>
      </c>
      <c r="E1911" s="6">
        <v>1</v>
      </c>
      <c r="F1911" s="1" t="s">
        <v>10</v>
      </c>
      <c r="G1911">
        <v>15</v>
      </c>
      <c r="H1911">
        <v>200</v>
      </c>
      <c r="I1911">
        <v>100</v>
      </c>
      <c r="J1911">
        <f>Table2[[#This Row],[Hits]]/Table2[[#This Row],[Points]]*100</f>
        <v>7.5</v>
      </c>
      <c r="K1911">
        <f>VLOOKUP(Table2[[#This Row],[Site]],'Site Info'!$A$1:$C$11,2, FALSE)</f>
        <v>17.7</v>
      </c>
      <c r="L1911">
        <f>VLOOKUP(Table2[[#This Row],[Site]],'Site Info'!$A$1:$C$11,3, FALSE)</f>
        <v>10</v>
      </c>
      <c r="M1911" t="str">
        <f>VLOOKUP(Table2[[#This Row],[Species]],'Species Table'!$A$1:$D$68,3, FALSE)</f>
        <v>Annual</v>
      </c>
      <c r="O1911" s="15">
        <f>IF(SUMPRODUCT(($A$2:$A1911=A1911)*($B$2:$B1911=B1911)*($F$2:$F1911=F1911))&gt;1,0,1)</f>
        <v>0</v>
      </c>
      <c r="P1911" s="15">
        <f>IF(SUMPRODUCT(($A$2:$A1911=A1911)*($B$2:$B1911=B1911)*($D$2:$D1911=D1911))&gt;1,0,1)</f>
        <v>0</v>
      </c>
    </row>
    <row r="1912" spans="1:16" hidden="1" x14ac:dyDescent="0.35">
      <c r="A1912" t="s">
        <v>9</v>
      </c>
      <c r="B1912">
        <v>2019</v>
      </c>
      <c r="C1912" t="s">
        <v>43</v>
      </c>
      <c r="D1912" s="6">
        <v>2.1</v>
      </c>
      <c r="E1912" s="6">
        <v>2</v>
      </c>
      <c r="F1912" s="1" t="s">
        <v>10</v>
      </c>
      <c r="G1912">
        <v>20</v>
      </c>
      <c r="H1912">
        <v>200</v>
      </c>
      <c r="I1912">
        <v>100</v>
      </c>
      <c r="J1912">
        <f>Table2[[#This Row],[Hits]]/Table2[[#This Row],[Points]]*100</f>
        <v>10</v>
      </c>
      <c r="K1912">
        <f>VLOOKUP(Table2[[#This Row],[Site]],'Site Info'!$A$1:$C$11,2, FALSE)</f>
        <v>17.7</v>
      </c>
      <c r="L1912">
        <f>VLOOKUP(Table2[[#This Row],[Site]],'Site Info'!$A$1:$C$11,3, FALSE)</f>
        <v>10</v>
      </c>
      <c r="M1912" t="str">
        <f>VLOOKUP(Table2[[#This Row],[Species]],'Species Table'!$A$1:$D$68,3, FALSE)</f>
        <v>Annual</v>
      </c>
      <c r="O1912" s="15">
        <f>IF(SUMPRODUCT(($A$2:$A1912=A1912)*($B$2:$B1912=B1912)*($F$2:$F1912=F1912))&gt;1,0,1)</f>
        <v>0</v>
      </c>
      <c r="P1912" s="15">
        <f>IF(SUMPRODUCT(($A$2:$A1912=A1912)*($B$2:$B1912=B1912)*($D$2:$D1912=D1912))&gt;1,0,1)</f>
        <v>1</v>
      </c>
    </row>
    <row r="1913" spans="1:16" x14ac:dyDescent="0.35">
      <c r="A1913" t="s">
        <v>9</v>
      </c>
      <c r="B1913">
        <v>2019</v>
      </c>
      <c r="C1913" t="s">
        <v>43</v>
      </c>
      <c r="D1913" s="6">
        <v>2.1</v>
      </c>
      <c r="E1913" s="6">
        <v>2</v>
      </c>
      <c r="F1913" s="1" t="s">
        <v>3</v>
      </c>
      <c r="G1913">
        <v>17</v>
      </c>
      <c r="H1913">
        <v>200</v>
      </c>
      <c r="I1913">
        <v>100</v>
      </c>
      <c r="J1913">
        <f>Table2[[#This Row],[Hits]]/Table2[[#This Row],[Points]]*100</f>
        <v>8.5</v>
      </c>
      <c r="K1913">
        <f>VLOOKUP(Table2[[#This Row],[Site]],'Site Info'!$A$1:$C$11,2, FALSE)</f>
        <v>17.7</v>
      </c>
      <c r="L1913">
        <f>VLOOKUP(Table2[[#This Row],[Site]],'Site Info'!$A$1:$C$11,3, FALSE)</f>
        <v>10</v>
      </c>
      <c r="M1913" t="str">
        <f>VLOOKUP(Table2[[#This Row],[Species]],'Species Table'!$A$1:$D$68,3, FALSE)</f>
        <v>Perennial</v>
      </c>
      <c r="O1913" s="15">
        <f>IF(SUMPRODUCT(($A$2:$A1913=A1913)*($B$2:$B1913=B1913)*($F$2:$F1913=F1913))&gt;1,0,1)</f>
        <v>0</v>
      </c>
      <c r="P1913" s="15">
        <f>IF(SUMPRODUCT(($A$2:$A1913=A1913)*($B$2:$B1913=B1913)*($D$2:$D1913=D1913))&gt;1,0,1)</f>
        <v>0</v>
      </c>
    </row>
    <row r="1914" spans="1:16" hidden="1" x14ac:dyDescent="0.35">
      <c r="A1914" t="s">
        <v>9</v>
      </c>
      <c r="B1914">
        <v>2019</v>
      </c>
      <c r="C1914" t="s">
        <v>43</v>
      </c>
      <c r="D1914" s="6">
        <v>2.1</v>
      </c>
      <c r="E1914" s="6">
        <v>2</v>
      </c>
      <c r="F1914" s="1" t="s">
        <v>20</v>
      </c>
      <c r="G1914">
        <v>1</v>
      </c>
      <c r="H1914">
        <v>200</v>
      </c>
      <c r="I1914">
        <v>100</v>
      </c>
      <c r="J1914">
        <f>Table2[[#This Row],[Hits]]/Table2[[#This Row],[Points]]*100</f>
        <v>0.5</v>
      </c>
      <c r="K1914">
        <f>VLOOKUP(Table2[[#This Row],[Site]],'Site Info'!$A$1:$C$11,2, FALSE)</f>
        <v>17.7</v>
      </c>
      <c r="L1914">
        <f>VLOOKUP(Table2[[#This Row],[Site]],'Site Info'!$A$1:$C$11,3, FALSE)</f>
        <v>10</v>
      </c>
      <c r="M1914" t="str">
        <f>VLOOKUP(Table2[[#This Row],[Species]],'Species Table'!$A$1:$D$68,3, FALSE)</f>
        <v>Annual</v>
      </c>
      <c r="O1914" s="15">
        <f>IF(SUMPRODUCT(($A$2:$A1914=A1914)*($B$2:$B1914=B1914)*($F$2:$F1914=F1914))&gt;1,0,1)</f>
        <v>1</v>
      </c>
      <c r="P1914" s="15">
        <f>IF(SUMPRODUCT(($A$2:$A1914=A1914)*($B$2:$B1914=B1914)*($D$2:$D1914=D1914))&gt;1,0,1)</f>
        <v>0</v>
      </c>
    </row>
    <row r="1915" spans="1:16" hidden="1" x14ac:dyDescent="0.35">
      <c r="A1915" t="s">
        <v>9</v>
      </c>
      <c r="B1915">
        <v>2019</v>
      </c>
      <c r="C1915" t="s">
        <v>44</v>
      </c>
      <c r="D1915" s="6">
        <v>2.2000000000000002</v>
      </c>
      <c r="E1915" s="6">
        <v>2</v>
      </c>
      <c r="F1915" s="1" t="s">
        <v>10</v>
      </c>
      <c r="G1915">
        <v>34</v>
      </c>
      <c r="H1915">
        <v>200</v>
      </c>
      <c r="I1915">
        <v>100</v>
      </c>
      <c r="J1915">
        <f>Table2[[#This Row],[Hits]]/Table2[[#This Row],[Points]]*100</f>
        <v>17</v>
      </c>
      <c r="K1915">
        <f>VLOOKUP(Table2[[#This Row],[Site]],'Site Info'!$A$1:$C$11,2, FALSE)</f>
        <v>17.7</v>
      </c>
      <c r="L1915">
        <f>VLOOKUP(Table2[[#This Row],[Site]],'Site Info'!$A$1:$C$11,3, FALSE)</f>
        <v>10</v>
      </c>
      <c r="M1915" t="str">
        <f>VLOOKUP(Table2[[#This Row],[Species]],'Species Table'!$A$1:$D$68,3, FALSE)</f>
        <v>Annual</v>
      </c>
      <c r="O1915" s="15">
        <f>IF(SUMPRODUCT(($A$2:$A1915=A1915)*($B$2:$B1915=B1915)*($F$2:$F1915=F1915))&gt;1,0,1)</f>
        <v>0</v>
      </c>
      <c r="P1915" s="15">
        <f>IF(SUMPRODUCT(($A$2:$A1915=A1915)*($B$2:$B1915=B1915)*($D$2:$D1915=D1915))&gt;1,0,1)</f>
        <v>1</v>
      </c>
    </row>
    <row r="1916" spans="1:16" x14ac:dyDescent="0.35">
      <c r="A1916" t="s">
        <v>9</v>
      </c>
      <c r="B1916">
        <v>2019</v>
      </c>
      <c r="C1916" t="s">
        <v>44</v>
      </c>
      <c r="D1916" s="6">
        <v>2.2000000000000002</v>
      </c>
      <c r="E1916" s="6">
        <v>2</v>
      </c>
      <c r="F1916" s="1" t="s">
        <v>23</v>
      </c>
      <c r="G1916">
        <v>1</v>
      </c>
      <c r="H1916">
        <v>200</v>
      </c>
      <c r="I1916">
        <v>100</v>
      </c>
      <c r="J1916">
        <f>Table2[[#This Row],[Hits]]/Table2[[#This Row],[Points]]*100</f>
        <v>0.5</v>
      </c>
      <c r="K1916">
        <f>VLOOKUP(Table2[[#This Row],[Site]],'Site Info'!$A$1:$C$11,2, FALSE)</f>
        <v>17.7</v>
      </c>
      <c r="L1916">
        <f>VLOOKUP(Table2[[#This Row],[Site]],'Site Info'!$A$1:$C$11,3, FALSE)</f>
        <v>10</v>
      </c>
      <c r="M1916" t="str">
        <f>VLOOKUP(Table2[[#This Row],[Species]],'Species Table'!$A$1:$D$68,3, FALSE)</f>
        <v>Perennial</v>
      </c>
      <c r="O1916" s="15">
        <f>IF(SUMPRODUCT(($A$2:$A1916=A1916)*($B$2:$B1916=B1916)*($F$2:$F1916=F1916))&gt;1,0,1)</f>
        <v>1</v>
      </c>
      <c r="P1916" s="15">
        <f>IF(SUMPRODUCT(($A$2:$A1916=A1916)*($B$2:$B1916=B1916)*($D$2:$D1916=D1916))&gt;1,0,1)</f>
        <v>0</v>
      </c>
    </row>
    <row r="1917" spans="1:16" x14ac:dyDescent="0.35">
      <c r="A1917" t="s">
        <v>9</v>
      </c>
      <c r="B1917">
        <v>2019</v>
      </c>
      <c r="C1917" t="s">
        <v>44</v>
      </c>
      <c r="D1917" s="6">
        <v>2.2000000000000002</v>
      </c>
      <c r="E1917" s="6">
        <v>2</v>
      </c>
      <c r="F1917" s="1" t="s">
        <v>11</v>
      </c>
      <c r="G1917">
        <v>7</v>
      </c>
      <c r="H1917">
        <v>200</v>
      </c>
      <c r="I1917">
        <v>100</v>
      </c>
      <c r="J1917">
        <f>Table2[[#This Row],[Hits]]/Table2[[#This Row],[Points]]*100</f>
        <v>3.5000000000000004</v>
      </c>
      <c r="K1917">
        <f>VLOOKUP(Table2[[#This Row],[Site]],'Site Info'!$A$1:$C$11,2, FALSE)</f>
        <v>17.7</v>
      </c>
      <c r="L1917">
        <f>VLOOKUP(Table2[[#This Row],[Site]],'Site Info'!$A$1:$C$11,3, FALSE)</f>
        <v>10</v>
      </c>
      <c r="M1917" t="str">
        <f>VLOOKUP(Table2[[#This Row],[Species]],'Species Table'!$A$1:$D$68,3, FALSE)</f>
        <v>Perennial</v>
      </c>
      <c r="O1917" s="15">
        <f>IF(SUMPRODUCT(($A$2:$A1917=A1917)*($B$2:$B1917=B1917)*($F$2:$F1917=F1917))&gt;1,0,1)</f>
        <v>0</v>
      </c>
      <c r="P1917" s="15">
        <f>IF(SUMPRODUCT(($A$2:$A1917=A1917)*($B$2:$B1917=B1917)*($D$2:$D1917=D1917))&gt;1,0,1)</f>
        <v>0</v>
      </c>
    </row>
    <row r="1918" spans="1:16" x14ac:dyDescent="0.35">
      <c r="A1918" t="s">
        <v>9</v>
      </c>
      <c r="B1918">
        <v>2019</v>
      </c>
      <c r="C1918" t="s">
        <v>45</v>
      </c>
      <c r="D1918" s="6">
        <v>2.2999999999999998</v>
      </c>
      <c r="E1918" s="6">
        <v>2</v>
      </c>
      <c r="F1918" s="1" t="s">
        <v>11</v>
      </c>
      <c r="G1918">
        <v>4</v>
      </c>
      <c r="H1918">
        <v>200</v>
      </c>
      <c r="I1918">
        <v>100</v>
      </c>
      <c r="J1918">
        <f>Table2[[#This Row],[Hits]]/Table2[[#This Row],[Points]]*100</f>
        <v>2</v>
      </c>
      <c r="K1918">
        <f>VLOOKUP(Table2[[#This Row],[Site]],'Site Info'!$A$1:$C$11,2, FALSE)</f>
        <v>17.7</v>
      </c>
      <c r="L1918">
        <f>VLOOKUP(Table2[[#This Row],[Site]],'Site Info'!$A$1:$C$11,3, FALSE)</f>
        <v>10</v>
      </c>
      <c r="M1918" t="str">
        <f>VLOOKUP(Table2[[#This Row],[Species]],'Species Table'!$A$1:$D$68,3, FALSE)</f>
        <v>Perennial</v>
      </c>
      <c r="O1918" s="15">
        <f>IF(SUMPRODUCT(($A$2:$A1918=A1918)*($B$2:$B1918=B1918)*($F$2:$F1918=F1918))&gt;1,0,1)</f>
        <v>0</v>
      </c>
      <c r="P1918" s="15">
        <f>IF(SUMPRODUCT(($A$2:$A1918=A1918)*($B$2:$B1918=B1918)*($D$2:$D1918=D1918))&gt;1,0,1)</f>
        <v>1</v>
      </c>
    </row>
    <row r="1919" spans="1:16" hidden="1" x14ac:dyDescent="0.35">
      <c r="A1919" t="s">
        <v>9</v>
      </c>
      <c r="B1919">
        <v>2019</v>
      </c>
      <c r="C1919" t="s">
        <v>45</v>
      </c>
      <c r="D1919" s="6">
        <v>2.2999999999999998</v>
      </c>
      <c r="E1919" s="6">
        <v>2</v>
      </c>
      <c r="F1919" s="1" t="s">
        <v>10</v>
      </c>
      <c r="G1919">
        <v>28</v>
      </c>
      <c r="H1919">
        <v>200</v>
      </c>
      <c r="I1919">
        <v>100</v>
      </c>
      <c r="J1919">
        <f>Table2[[#This Row],[Hits]]/Table2[[#This Row],[Points]]*100</f>
        <v>14.000000000000002</v>
      </c>
      <c r="K1919">
        <f>VLOOKUP(Table2[[#This Row],[Site]],'Site Info'!$A$1:$C$11,2, FALSE)</f>
        <v>17.7</v>
      </c>
      <c r="L1919">
        <f>VLOOKUP(Table2[[#This Row],[Site]],'Site Info'!$A$1:$C$11,3, FALSE)</f>
        <v>10</v>
      </c>
      <c r="M1919" t="str">
        <f>VLOOKUP(Table2[[#This Row],[Species]],'Species Table'!$A$1:$D$68,3, FALSE)</f>
        <v>Annual</v>
      </c>
      <c r="O1919" s="15">
        <f>IF(SUMPRODUCT(($A$2:$A1919=A1919)*($B$2:$B1919=B1919)*($F$2:$F1919=F1919))&gt;1,0,1)</f>
        <v>0</v>
      </c>
      <c r="P1919" s="15">
        <f>IF(SUMPRODUCT(($A$2:$A1919=A1919)*($B$2:$B1919=B1919)*($D$2:$D1919=D1919))&gt;1,0,1)</f>
        <v>0</v>
      </c>
    </row>
    <row r="1920" spans="1:16" x14ac:dyDescent="0.35">
      <c r="A1920" t="s">
        <v>9</v>
      </c>
      <c r="B1920">
        <v>2019</v>
      </c>
      <c r="C1920" t="s">
        <v>45</v>
      </c>
      <c r="D1920" s="6">
        <v>2.2999999999999998</v>
      </c>
      <c r="E1920" s="6">
        <v>2</v>
      </c>
      <c r="F1920" s="1" t="s">
        <v>12</v>
      </c>
      <c r="G1920">
        <v>9</v>
      </c>
      <c r="H1920">
        <v>200</v>
      </c>
      <c r="I1920">
        <v>100</v>
      </c>
      <c r="J1920">
        <f>Table2[[#This Row],[Hits]]/Table2[[#This Row],[Points]]*100</f>
        <v>4.5</v>
      </c>
      <c r="K1920">
        <f>VLOOKUP(Table2[[#This Row],[Site]],'Site Info'!$A$1:$C$11,2, FALSE)</f>
        <v>17.7</v>
      </c>
      <c r="L1920">
        <f>VLOOKUP(Table2[[#This Row],[Site]],'Site Info'!$A$1:$C$11,3, FALSE)</f>
        <v>10</v>
      </c>
      <c r="M1920" t="str">
        <f>VLOOKUP(Table2[[#This Row],[Species]],'Species Table'!$A$1:$D$68,3, FALSE)</f>
        <v>Perennial</v>
      </c>
      <c r="O1920" s="15">
        <f>IF(SUMPRODUCT(($A$2:$A1920=A1920)*($B$2:$B1920=B1920)*($F$2:$F1920=F1920))&gt;1,0,1)</f>
        <v>0</v>
      </c>
      <c r="P1920" s="15">
        <f>IF(SUMPRODUCT(($A$2:$A1920=A1920)*($B$2:$B1920=B1920)*($D$2:$D1920=D1920))&gt;1,0,1)</f>
        <v>0</v>
      </c>
    </row>
    <row r="1921" spans="1:16" x14ac:dyDescent="0.35">
      <c r="A1921" t="s">
        <v>9</v>
      </c>
      <c r="B1921">
        <v>2019</v>
      </c>
      <c r="C1921" t="s">
        <v>45</v>
      </c>
      <c r="D1921" s="6">
        <v>2.2999999999999998</v>
      </c>
      <c r="E1921" s="6">
        <v>2</v>
      </c>
      <c r="F1921" s="1" t="s">
        <v>6</v>
      </c>
      <c r="G1921">
        <v>3</v>
      </c>
      <c r="H1921">
        <v>200</v>
      </c>
      <c r="I1921">
        <v>100</v>
      </c>
      <c r="J1921">
        <f>Table2[[#This Row],[Hits]]/Table2[[#This Row],[Points]]*100</f>
        <v>1.5</v>
      </c>
      <c r="K1921">
        <f>VLOOKUP(Table2[[#This Row],[Site]],'Site Info'!$A$1:$C$11,2, FALSE)</f>
        <v>17.7</v>
      </c>
      <c r="L1921">
        <f>VLOOKUP(Table2[[#This Row],[Site]],'Site Info'!$A$1:$C$11,3, FALSE)</f>
        <v>10</v>
      </c>
      <c r="M1921" t="str">
        <f>VLOOKUP(Table2[[#This Row],[Species]],'Species Table'!$A$1:$D$68,3, FALSE)</f>
        <v>Perennial</v>
      </c>
      <c r="O1921" s="15">
        <f>IF(SUMPRODUCT(($A$2:$A1921=A1921)*($B$2:$B1921=B1921)*($F$2:$F1921=F1921))&gt;1,0,1)</f>
        <v>0</v>
      </c>
      <c r="P1921" s="15">
        <f>IF(SUMPRODUCT(($A$2:$A1921=A1921)*($B$2:$B1921=B1921)*($D$2:$D1921=D1921))&gt;1,0,1)</f>
        <v>0</v>
      </c>
    </row>
    <row r="1922" spans="1:16" x14ac:dyDescent="0.35">
      <c r="A1922" t="s">
        <v>9</v>
      </c>
      <c r="B1922">
        <v>2019</v>
      </c>
      <c r="C1922" t="s">
        <v>45</v>
      </c>
      <c r="D1922" s="6">
        <v>2.2999999999999998</v>
      </c>
      <c r="E1922" s="6">
        <v>2</v>
      </c>
      <c r="F1922" s="1" t="s">
        <v>31</v>
      </c>
      <c r="G1922">
        <v>1</v>
      </c>
      <c r="H1922">
        <v>200</v>
      </c>
      <c r="I1922">
        <v>100</v>
      </c>
      <c r="J1922">
        <f>Table2[[#This Row],[Hits]]/Table2[[#This Row],[Points]]*100</f>
        <v>0.5</v>
      </c>
      <c r="K1922">
        <f>VLOOKUP(Table2[[#This Row],[Site]],'Site Info'!$A$1:$C$11,2, FALSE)</f>
        <v>17.7</v>
      </c>
      <c r="L1922">
        <f>VLOOKUP(Table2[[#This Row],[Site]],'Site Info'!$A$1:$C$11,3, FALSE)</f>
        <v>10</v>
      </c>
      <c r="M1922" t="str">
        <f>VLOOKUP(Table2[[#This Row],[Species]],'Species Table'!$A$1:$D$68,3, FALSE)</f>
        <v>Perennial</v>
      </c>
      <c r="O1922" s="15">
        <f>IF(SUMPRODUCT(($A$2:$A1922=A1922)*($B$2:$B1922=B1922)*($F$2:$F1922=F1922))&gt;1,0,1)</f>
        <v>1</v>
      </c>
      <c r="P1922" s="15">
        <f>IF(SUMPRODUCT(($A$2:$A1922=A1922)*($B$2:$B1922=B1922)*($D$2:$D1922=D1922))&gt;1,0,1)</f>
        <v>0</v>
      </c>
    </row>
    <row r="1923" spans="1:16" hidden="1" x14ac:dyDescent="0.35">
      <c r="A1923" t="s">
        <v>9</v>
      </c>
      <c r="B1923">
        <v>2019</v>
      </c>
      <c r="C1923" t="s">
        <v>46</v>
      </c>
      <c r="D1923" s="6">
        <v>2.4</v>
      </c>
      <c r="E1923" s="6">
        <v>2</v>
      </c>
      <c r="F1923" s="1" t="s">
        <v>10</v>
      </c>
      <c r="G1923">
        <v>25</v>
      </c>
      <c r="H1923">
        <v>200</v>
      </c>
      <c r="I1923">
        <v>100</v>
      </c>
      <c r="J1923">
        <f>Table2[[#This Row],[Hits]]/Table2[[#This Row],[Points]]*100</f>
        <v>12.5</v>
      </c>
      <c r="K1923">
        <f>VLOOKUP(Table2[[#This Row],[Site]],'Site Info'!$A$1:$C$11,2, FALSE)</f>
        <v>17.7</v>
      </c>
      <c r="L1923">
        <f>VLOOKUP(Table2[[#This Row],[Site]],'Site Info'!$A$1:$C$11,3, FALSE)</f>
        <v>10</v>
      </c>
      <c r="M1923" t="str">
        <f>VLOOKUP(Table2[[#This Row],[Species]],'Species Table'!$A$1:$D$68,3, FALSE)</f>
        <v>Annual</v>
      </c>
      <c r="O1923" s="15">
        <f>IF(SUMPRODUCT(($A$2:$A1923=A1923)*($B$2:$B1923=B1923)*($F$2:$F1923=F1923))&gt;1,0,1)</f>
        <v>0</v>
      </c>
      <c r="P1923" s="15">
        <f>IF(SUMPRODUCT(($A$2:$A1923=A1923)*($B$2:$B1923=B1923)*($D$2:$D1923=D1923))&gt;1,0,1)</f>
        <v>1</v>
      </c>
    </row>
    <row r="1924" spans="1:16" x14ac:dyDescent="0.35">
      <c r="A1924" t="s">
        <v>9</v>
      </c>
      <c r="B1924">
        <v>2019</v>
      </c>
      <c r="C1924" t="s">
        <v>46</v>
      </c>
      <c r="D1924" s="6">
        <v>2.4</v>
      </c>
      <c r="E1924" s="6">
        <v>2</v>
      </c>
      <c r="F1924" s="1" t="s">
        <v>12</v>
      </c>
      <c r="G1924">
        <v>7</v>
      </c>
      <c r="H1924">
        <v>200</v>
      </c>
      <c r="I1924">
        <v>100</v>
      </c>
      <c r="J1924">
        <f>Table2[[#This Row],[Hits]]/Table2[[#This Row],[Points]]*100</f>
        <v>3.5000000000000004</v>
      </c>
      <c r="K1924">
        <f>VLOOKUP(Table2[[#This Row],[Site]],'Site Info'!$A$1:$C$11,2, FALSE)</f>
        <v>17.7</v>
      </c>
      <c r="L1924">
        <f>VLOOKUP(Table2[[#This Row],[Site]],'Site Info'!$A$1:$C$11,3, FALSE)</f>
        <v>10</v>
      </c>
      <c r="M1924" t="str">
        <f>VLOOKUP(Table2[[#This Row],[Species]],'Species Table'!$A$1:$D$68,3, FALSE)</f>
        <v>Perennial</v>
      </c>
      <c r="O1924" s="15">
        <f>IF(SUMPRODUCT(($A$2:$A1924=A1924)*($B$2:$B1924=B1924)*($F$2:$F1924=F1924))&gt;1,0,1)</f>
        <v>0</v>
      </c>
      <c r="P1924" s="15">
        <f>IF(SUMPRODUCT(($A$2:$A1924=A1924)*($B$2:$B1924=B1924)*($D$2:$D1924=D1924))&gt;1,0,1)</f>
        <v>0</v>
      </c>
    </row>
    <row r="1925" spans="1:16" x14ac:dyDescent="0.35">
      <c r="A1925" t="s">
        <v>9</v>
      </c>
      <c r="B1925">
        <v>2019</v>
      </c>
      <c r="C1925" t="s">
        <v>46</v>
      </c>
      <c r="D1925" s="6">
        <v>2.4</v>
      </c>
      <c r="E1925" s="6">
        <v>2</v>
      </c>
      <c r="F1925" s="1" t="s">
        <v>6</v>
      </c>
      <c r="G1925">
        <v>3</v>
      </c>
      <c r="H1925">
        <v>200</v>
      </c>
      <c r="I1925">
        <v>100</v>
      </c>
      <c r="J1925">
        <f>Table2[[#This Row],[Hits]]/Table2[[#This Row],[Points]]*100</f>
        <v>1.5</v>
      </c>
      <c r="K1925">
        <f>VLOOKUP(Table2[[#This Row],[Site]],'Site Info'!$A$1:$C$11,2, FALSE)</f>
        <v>17.7</v>
      </c>
      <c r="L1925">
        <f>VLOOKUP(Table2[[#This Row],[Site]],'Site Info'!$A$1:$C$11,3, FALSE)</f>
        <v>10</v>
      </c>
      <c r="M1925" t="str">
        <f>VLOOKUP(Table2[[#This Row],[Species]],'Species Table'!$A$1:$D$68,3, FALSE)</f>
        <v>Perennial</v>
      </c>
      <c r="O1925" s="15">
        <f>IF(SUMPRODUCT(($A$2:$A1925=A1925)*($B$2:$B1925=B1925)*($F$2:$F1925=F1925))&gt;1,0,1)</f>
        <v>0</v>
      </c>
      <c r="P1925" s="15">
        <f>IF(SUMPRODUCT(($A$2:$A1925=A1925)*($B$2:$B1925=B1925)*($D$2:$D1925=D1925))&gt;1,0,1)</f>
        <v>0</v>
      </c>
    </row>
    <row r="1926" spans="1:16" hidden="1" x14ac:dyDescent="0.35">
      <c r="A1926" t="s">
        <v>9</v>
      </c>
      <c r="B1926">
        <v>2019</v>
      </c>
      <c r="C1926" t="s">
        <v>47</v>
      </c>
      <c r="D1926" s="6">
        <v>2.5</v>
      </c>
      <c r="E1926" s="6">
        <v>2</v>
      </c>
      <c r="F1926" s="1" t="s">
        <v>10</v>
      </c>
      <c r="G1926">
        <v>32</v>
      </c>
      <c r="H1926">
        <v>200</v>
      </c>
      <c r="I1926">
        <v>100</v>
      </c>
      <c r="J1926">
        <f>Table2[[#This Row],[Hits]]/Table2[[#This Row],[Points]]*100</f>
        <v>16</v>
      </c>
      <c r="K1926">
        <f>VLOOKUP(Table2[[#This Row],[Site]],'Site Info'!$A$1:$C$11,2, FALSE)</f>
        <v>17.7</v>
      </c>
      <c r="L1926">
        <f>VLOOKUP(Table2[[#This Row],[Site]],'Site Info'!$A$1:$C$11,3, FALSE)</f>
        <v>10</v>
      </c>
      <c r="M1926" t="str">
        <f>VLOOKUP(Table2[[#This Row],[Species]],'Species Table'!$A$1:$D$68,3, FALSE)</f>
        <v>Annual</v>
      </c>
      <c r="O1926" s="15">
        <f>IF(SUMPRODUCT(($A$2:$A1926=A1926)*($B$2:$B1926=B1926)*($F$2:$F1926=F1926))&gt;1,0,1)</f>
        <v>0</v>
      </c>
      <c r="P1926" s="15">
        <f>IF(SUMPRODUCT(($A$2:$A1926=A1926)*($B$2:$B1926=B1926)*($D$2:$D1926=D1926))&gt;1,0,1)</f>
        <v>1</v>
      </c>
    </row>
    <row r="1927" spans="1:16" x14ac:dyDescent="0.35">
      <c r="A1927" t="s">
        <v>9</v>
      </c>
      <c r="B1927">
        <v>2019</v>
      </c>
      <c r="C1927" t="s">
        <v>47</v>
      </c>
      <c r="D1927" s="6">
        <v>2.5</v>
      </c>
      <c r="E1927" s="6">
        <v>2</v>
      </c>
      <c r="F1927" s="1" t="s">
        <v>6</v>
      </c>
      <c r="G1927">
        <v>12</v>
      </c>
      <c r="H1927">
        <v>200</v>
      </c>
      <c r="I1927">
        <v>100</v>
      </c>
      <c r="J1927">
        <f>Table2[[#This Row],[Hits]]/Table2[[#This Row],[Points]]*100</f>
        <v>6</v>
      </c>
      <c r="K1927">
        <f>VLOOKUP(Table2[[#This Row],[Site]],'Site Info'!$A$1:$C$11,2, FALSE)</f>
        <v>17.7</v>
      </c>
      <c r="L1927">
        <f>VLOOKUP(Table2[[#This Row],[Site]],'Site Info'!$A$1:$C$11,3, FALSE)</f>
        <v>10</v>
      </c>
      <c r="M1927" t="str">
        <f>VLOOKUP(Table2[[#This Row],[Species]],'Species Table'!$A$1:$D$68,3, FALSE)</f>
        <v>Perennial</v>
      </c>
      <c r="O1927" s="15">
        <f>IF(SUMPRODUCT(($A$2:$A1927=A1927)*($B$2:$B1927=B1927)*($F$2:$F1927=F1927))&gt;1,0,1)</f>
        <v>0</v>
      </c>
      <c r="P1927" s="15">
        <f>IF(SUMPRODUCT(($A$2:$A1927=A1927)*($B$2:$B1927=B1927)*($D$2:$D1927=D1927))&gt;1,0,1)</f>
        <v>0</v>
      </c>
    </row>
    <row r="1928" spans="1:16" hidden="1" x14ac:dyDescent="0.35">
      <c r="A1928" t="s">
        <v>9</v>
      </c>
      <c r="B1928">
        <v>2019</v>
      </c>
      <c r="C1928" t="s">
        <v>47</v>
      </c>
      <c r="D1928" s="6">
        <v>2.5</v>
      </c>
      <c r="E1928" s="6">
        <v>2</v>
      </c>
      <c r="F1928" s="1" t="s">
        <v>33</v>
      </c>
      <c r="G1928">
        <v>2</v>
      </c>
      <c r="H1928">
        <v>200</v>
      </c>
      <c r="I1928">
        <v>100</v>
      </c>
      <c r="J1928">
        <f>Table2[[#This Row],[Hits]]/Table2[[#This Row],[Points]]*100</f>
        <v>1</v>
      </c>
      <c r="K1928">
        <f>VLOOKUP(Table2[[#This Row],[Site]],'Site Info'!$A$1:$C$11,2, FALSE)</f>
        <v>17.7</v>
      </c>
      <c r="L1928">
        <f>VLOOKUP(Table2[[#This Row],[Site]],'Site Info'!$A$1:$C$11,3, FALSE)</f>
        <v>10</v>
      </c>
      <c r="M1928" t="str">
        <f>VLOOKUP(Table2[[#This Row],[Species]],'Species Table'!$A$1:$D$68,3, FALSE)</f>
        <v>Annual</v>
      </c>
      <c r="O1928" s="15">
        <f>IF(SUMPRODUCT(($A$2:$A1928=A1928)*($B$2:$B1928=B1928)*($F$2:$F1928=F1928))&gt;1,0,1)</f>
        <v>0</v>
      </c>
      <c r="P1928" s="15">
        <f>IF(SUMPRODUCT(($A$2:$A1928=A1928)*($B$2:$B1928=B1928)*($D$2:$D1928=D1928))&gt;1,0,1)</f>
        <v>0</v>
      </c>
    </row>
    <row r="1929" spans="1:16" x14ac:dyDescent="0.35">
      <c r="A1929" t="s">
        <v>9</v>
      </c>
      <c r="B1929">
        <v>2019</v>
      </c>
      <c r="C1929" t="s">
        <v>47</v>
      </c>
      <c r="D1929" s="6">
        <v>2.5</v>
      </c>
      <c r="E1929" s="6">
        <v>2</v>
      </c>
      <c r="F1929" s="1" t="s">
        <v>11</v>
      </c>
      <c r="G1929">
        <v>3</v>
      </c>
      <c r="H1929">
        <v>200</v>
      </c>
      <c r="I1929">
        <v>100</v>
      </c>
      <c r="J1929">
        <f>Table2[[#This Row],[Hits]]/Table2[[#This Row],[Points]]*100</f>
        <v>1.5</v>
      </c>
      <c r="K1929">
        <f>VLOOKUP(Table2[[#This Row],[Site]],'Site Info'!$A$1:$C$11,2, FALSE)</f>
        <v>17.7</v>
      </c>
      <c r="L1929">
        <f>VLOOKUP(Table2[[#This Row],[Site]],'Site Info'!$A$1:$C$11,3, FALSE)</f>
        <v>10</v>
      </c>
      <c r="M1929" t="str">
        <f>VLOOKUP(Table2[[#This Row],[Species]],'Species Table'!$A$1:$D$68,3, FALSE)</f>
        <v>Perennial</v>
      </c>
      <c r="O1929" s="15">
        <f>IF(SUMPRODUCT(($A$2:$A1929=A1929)*($B$2:$B1929=B1929)*($F$2:$F1929=F1929))&gt;1,0,1)</f>
        <v>0</v>
      </c>
      <c r="P1929" s="15">
        <f>IF(SUMPRODUCT(($A$2:$A1929=A1929)*($B$2:$B1929=B1929)*($D$2:$D1929=D1929))&gt;1,0,1)</f>
        <v>0</v>
      </c>
    </row>
    <row r="1930" spans="1:16" x14ac:dyDescent="0.35">
      <c r="A1930" t="s">
        <v>9</v>
      </c>
      <c r="B1930">
        <v>2019</v>
      </c>
      <c r="C1930" t="s">
        <v>47</v>
      </c>
      <c r="D1930" s="6">
        <v>2.5</v>
      </c>
      <c r="E1930" s="6">
        <v>2</v>
      </c>
      <c r="F1930" s="1" t="s">
        <v>12</v>
      </c>
      <c r="G1930">
        <v>4</v>
      </c>
      <c r="H1930">
        <v>200</v>
      </c>
      <c r="I1930">
        <v>100</v>
      </c>
      <c r="J1930">
        <f>Table2[[#This Row],[Hits]]/Table2[[#This Row],[Points]]*100</f>
        <v>2</v>
      </c>
      <c r="K1930">
        <f>VLOOKUP(Table2[[#This Row],[Site]],'Site Info'!$A$1:$C$11,2, FALSE)</f>
        <v>17.7</v>
      </c>
      <c r="L1930">
        <f>VLOOKUP(Table2[[#This Row],[Site]],'Site Info'!$A$1:$C$11,3, FALSE)</f>
        <v>10</v>
      </c>
      <c r="M1930" t="str">
        <f>VLOOKUP(Table2[[#This Row],[Species]],'Species Table'!$A$1:$D$68,3, FALSE)</f>
        <v>Perennial</v>
      </c>
      <c r="O1930" s="15">
        <f>IF(SUMPRODUCT(($A$2:$A1930=A1930)*($B$2:$B1930=B1930)*($F$2:$F1930=F1930))&gt;1,0,1)</f>
        <v>0</v>
      </c>
      <c r="P1930" s="15">
        <f>IF(SUMPRODUCT(($A$2:$A1930=A1930)*($B$2:$B1930=B1930)*($D$2:$D1930=D1930))&gt;1,0,1)</f>
        <v>0</v>
      </c>
    </row>
    <row r="1931" spans="1:16" hidden="1" x14ac:dyDescent="0.35">
      <c r="A1931" t="s">
        <v>9</v>
      </c>
      <c r="B1931">
        <v>2019</v>
      </c>
      <c r="C1931" t="s">
        <v>48</v>
      </c>
      <c r="D1931" s="6">
        <v>2.6</v>
      </c>
      <c r="E1931" s="6">
        <v>2</v>
      </c>
      <c r="F1931" s="1" t="s">
        <v>10</v>
      </c>
      <c r="G1931">
        <v>23</v>
      </c>
      <c r="H1931">
        <v>200</v>
      </c>
      <c r="I1931">
        <v>100</v>
      </c>
      <c r="J1931">
        <f>Table2[[#This Row],[Hits]]/Table2[[#This Row],[Points]]*100</f>
        <v>11.5</v>
      </c>
      <c r="K1931">
        <f>VLOOKUP(Table2[[#This Row],[Site]],'Site Info'!$A$1:$C$11,2, FALSE)</f>
        <v>17.7</v>
      </c>
      <c r="L1931">
        <f>VLOOKUP(Table2[[#This Row],[Site]],'Site Info'!$A$1:$C$11,3, FALSE)</f>
        <v>10</v>
      </c>
      <c r="M1931" t="str">
        <f>VLOOKUP(Table2[[#This Row],[Species]],'Species Table'!$A$1:$D$68,3, FALSE)</f>
        <v>Annual</v>
      </c>
      <c r="O1931" s="15">
        <f>IF(SUMPRODUCT(($A$2:$A1931=A1931)*($B$2:$B1931=B1931)*($F$2:$F1931=F1931))&gt;1,0,1)</f>
        <v>0</v>
      </c>
      <c r="P1931" s="15">
        <f>IF(SUMPRODUCT(($A$2:$A1931=A1931)*($B$2:$B1931=B1931)*($D$2:$D1931=D1931))&gt;1,0,1)</f>
        <v>1</v>
      </c>
    </row>
    <row r="1932" spans="1:16" x14ac:dyDescent="0.35">
      <c r="A1932" t="s">
        <v>9</v>
      </c>
      <c r="B1932">
        <v>2019</v>
      </c>
      <c r="C1932" t="s">
        <v>48</v>
      </c>
      <c r="D1932" s="6">
        <v>2.6</v>
      </c>
      <c r="E1932" s="6">
        <v>2</v>
      </c>
      <c r="F1932" s="1" t="s">
        <v>3</v>
      </c>
      <c r="G1932">
        <v>3</v>
      </c>
      <c r="H1932">
        <v>200</v>
      </c>
      <c r="I1932">
        <v>100</v>
      </c>
      <c r="J1932">
        <f>Table2[[#This Row],[Hits]]/Table2[[#This Row],[Points]]*100</f>
        <v>1.5</v>
      </c>
      <c r="K1932">
        <f>VLOOKUP(Table2[[#This Row],[Site]],'Site Info'!$A$1:$C$11,2, FALSE)</f>
        <v>17.7</v>
      </c>
      <c r="L1932">
        <f>VLOOKUP(Table2[[#This Row],[Site]],'Site Info'!$A$1:$C$11,3, FALSE)</f>
        <v>10</v>
      </c>
      <c r="M1932" t="str">
        <f>VLOOKUP(Table2[[#This Row],[Species]],'Species Table'!$A$1:$D$68,3, FALSE)</f>
        <v>Perennial</v>
      </c>
      <c r="O1932" s="15">
        <f>IF(SUMPRODUCT(($A$2:$A1932=A1932)*($B$2:$B1932=B1932)*($F$2:$F1932=F1932))&gt;1,0,1)</f>
        <v>0</v>
      </c>
      <c r="P1932" s="15">
        <f>IF(SUMPRODUCT(($A$2:$A1932=A1932)*($B$2:$B1932=B1932)*($D$2:$D1932=D1932))&gt;1,0,1)</f>
        <v>0</v>
      </c>
    </row>
    <row r="1933" spans="1:16" x14ac:dyDescent="0.35">
      <c r="A1933" t="s">
        <v>9</v>
      </c>
      <c r="B1933">
        <v>2019</v>
      </c>
      <c r="C1933" t="s">
        <v>48</v>
      </c>
      <c r="D1933" s="6">
        <v>2.6</v>
      </c>
      <c r="E1933" s="6">
        <v>2</v>
      </c>
      <c r="F1933" s="1" t="s">
        <v>12</v>
      </c>
      <c r="G1933">
        <v>4</v>
      </c>
      <c r="H1933">
        <v>200</v>
      </c>
      <c r="I1933">
        <v>100</v>
      </c>
      <c r="J1933">
        <f>Table2[[#This Row],[Hits]]/Table2[[#This Row],[Points]]*100</f>
        <v>2</v>
      </c>
      <c r="K1933">
        <f>VLOOKUP(Table2[[#This Row],[Site]],'Site Info'!$A$1:$C$11,2, FALSE)</f>
        <v>17.7</v>
      </c>
      <c r="L1933">
        <f>VLOOKUP(Table2[[#This Row],[Site]],'Site Info'!$A$1:$C$11,3, FALSE)</f>
        <v>10</v>
      </c>
      <c r="M1933" t="str">
        <f>VLOOKUP(Table2[[#This Row],[Species]],'Species Table'!$A$1:$D$68,3, FALSE)</f>
        <v>Perennial</v>
      </c>
      <c r="O1933" s="15">
        <f>IF(SUMPRODUCT(($A$2:$A1933=A1933)*($B$2:$B1933=B1933)*($F$2:$F1933=F1933))&gt;1,0,1)</f>
        <v>0</v>
      </c>
      <c r="P1933" s="15">
        <f>IF(SUMPRODUCT(($A$2:$A1933=A1933)*($B$2:$B1933=B1933)*($D$2:$D1933=D1933))&gt;1,0,1)</f>
        <v>0</v>
      </c>
    </row>
    <row r="1934" spans="1:16" x14ac:dyDescent="0.35">
      <c r="A1934" t="s">
        <v>9</v>
      </c>
      <c r="B1934">
        <v>2019</v>
      </c>
      <c r="C1934" t="s">
        <v>48</v>
      </c>
      <c r="D1934" s="6">
        <v>2.6</v>
      </c>
      <c r="E1934" s="6">
        <v>2</v>
      </c>
      <c r="F1934" s="1" t="s">
        <v>6</v>
      </c>
      <c r="G1934">
        <v>4</v>
      </c>
      <c r="H1934">
        <v>200</v>
      </c>
      <c r="I1934">
        <v>100</v>
      </c>
      <c r="J1934">
        <f>Table2[[#This Row],[Hits]]/Table2[[#This Row],[Points]]*100</f>
        <v>2</v>
      </c>
      <c r="K1934">
        <f>VLOOKUP(Table2[[#This Row],[Site]],'Site Info'!$A$1:$C$11,2, FALSE)</f>
        <v>17.7</v>
      </c>
      <c r="L1934">
        <f>VLOOKUP(Table2[[#This Row],[Site]],'Site Info'!$A$1:$C$11,3, FALSE)</f>
        <v>10</v>
      </c>
      <c r="M1934" t="str">
        <f>VLOOKUP(Table2[[#This Row],[Species]],'Species Table'!$A$1:$D$68,3, FALSE)</f>
        <v>Perennial</v>
      </c>
      <c r="O1934" s="15">
        <f>IF(SUMPRODUCT(($A$2:$A1934=A1934)*($B$2:$B1934=B1934)*($F$2:$F1934=F1934))&gt;1,0,1)</f>
        <v>0</v>
      </c>
      <c r="P1934" s="15">
        <f>IF(SUMPRODUCT(($A$2:$A1934=A1934)*($B$2:$B1934=B1934)*($D$2:$D1934=D1934))&gt;1,0,1)</f>
        <v>0</v>
      </c>
    </row>
    <row r="1935" spans="1:16" x14ac:dyDescent="0.35">
      <c r="A1935" t="s">
        <v>9</v>
      </c>
      <c r="B1935">
        <v>2019</v>
      </c>
      <c r="C1935" t="s">
        <v>48</v>
      </c>
      <c r="D1935" s="6">
        <v>2.6</v>
      </c>
      <c r="E1935" s="6">
        <v>2</v>
      </c>
      <c r="F1935" s="1" t="s">
        <v>11</v>
      </c>
      <c r="G1935">
        <v>1</v>
      </c>
      <c r="H1935">
        <v>200</v>
      </c>
      <c r="I1935">
        <v>100</v>
      </c>
      <c r="J1935">
        <f>Table2[[#This Row],[Hits]]/Table2[[#This Row],[Points]]*100</f>
        <v>0.5</v>
      </c>
      <c r="K1935">
        <f>VLOOKUP(Table2[[#This Row],[Site]],'Site Info'!$A$1:$C$11,2, FALSE)</f>
        <v>17.7</v>
      </c>
      <c r="L1935">
        <f>VLOOKUP(Table2[[#This Row],[Site]],'Site Info'!$A$1:$C$11,3, FALSE)</f>
        <v>10</v>
      </c>
      <c r="M1935" t="str">
        <f>VLOOKUP(Table2[[#This Row],[Species]],'Species Table'!$A$1:$D$68,3, FALSE)</f>
        <v>Perennial</v>
      </c>
      <c r="O1935" s="15">
        <f>IF(SUMPRODUCT(($A$2:$A1935=A1935)*($B$2:$B1935=B1935)*($F$2:$F1935=F1935))&gt;1,0,1)</f>
        <v>0</v>
      </c>
      <c r="P1935" s="15">
        <f>IF(SUMPRODUCT(($A$2:$A1935=A1935)*($B$2:$B1935=B1935)*($D$2:$D1935=D1935))&gt;1,0,1)</f>
        <v>0</v>
      </c>
    </row>
    <row r="1936" spans="1:16" hidden="1" x14ac:dyDescent="0.35">
      <c r="A1936" t="s">
        <v>9</v>
      </c>
      <c r="B1936">
        <v>2019</v>
      </c>
      <c r="C1936" t="s">
        <v>49</v>
      </c>
      <c r="D1936" s="6">
        <v>2.7</v>
      </c>
      <c r="E1936" s="6">
        <v>2</v>
      </c>
      <c r="F1936" s="1" t="s">
        <v>10</v>
      </c>
      <c r="G1936">
        <v>20</v>
      </c>
      <c r="H1936">
        <v>200</v>
      </c>
      <c r="I1936">
        <v>100</v>
      </c>
      <c r="J1936">
        <f>Table2[[#This Row],[Hits]]/Table2[[#This Row],[Points]]*100</f>
        <v>10</v>
      </c>
      <c r="K1936">
        <f>VLOOKUP(Table2[[#This Row],[Site]],'Site Info'!$A$1:$C$11,2, FALSE)</f>
        <v>17.7</v>
      </c>
      <c r="L1936">
        <f>VLOOKUP(Table2[[#This Row],[Site]],'Site Info'!$A$1:$C$11,3, FALSE)</f>
        <v>10</v>
      </c>
      <c r="M1936" t="str">
        <f>VLOOKUP(Table2[[#This Row],[Species]],'Species Table'!$A$1:$D$68,3, FALSE)</f>
        <v>Annual</v>
      </c>
      <c r="O1936" s="15">
        <f>IF(SUMPRODUCT(($A$2:$A1936=A1936)*($B$2:$B1936=B1936)*($F$2:$F1936=F1936))&gt;1,0,1)</f>
        <v>0</v>
      </c>
      <c r="P1936" s="15">
        <f>IF(SUMPRODUCT(($A$2:$A1936=A1936)*($B$2:$B1936=B1936)*($D$2:$D1936=D1936))&gt;1,0,1)</f>
        <v>1</v>
      </c>
    </row>
    <row r="1937" spans="1:16" x14ac:dyDescent="0.35">
      <c r="A1937" t="s">
        <v>9</v>
      </c>
      <c r="B1937">
        <v>2019</v>
      </c>
      <c r="C1937" t="s">
        <v>49</v>
      </c>
      <c r="D1937" s="6">
        <v>2.7</v>
      </c>
      <c r="E1937" s="6">
        <v>2</v>
      </c>
      <c r="F1937" s="1" t="s">
        <v>11</v>
      </c>
      <c r="G1937">
        <v>10</v>
      </c>
      <c r="H1937">
        <v>200</v>
      </c>
      <c r="I1937">
        <v>100</v>
      </c>
      <c r="J1937">
        <f>Table2[[#This Row],[Hits]]/Table2[[#This Row],[Points]]*100</f>
        <v>5</v>
      </c>
      <c r="K1937">
        <f>VLOOKUP(Table2[[#This Row],[Site]],'Site Info'!$A$1:$C$11,2, FALSE)</f>
        <v>17.7</v>
      </c>
      <c r="L1937">
        <f>VLOOKUP(Table2[[#This Row],[Site]],'Site Info'!$A$1:$C$11,3, FALSE)</f>
        <v>10</v>
      </c>
      <c r="M1937" t="str">
        <f>VLOOKUP(Table2[[#This Row],[Species]],'Species Table'!$A$1:$D$68,3, FALSE)</f>
        <v>Perennial</v>
      </c>
      <c r="O1937" s="15">
        <f>IF(SUMPRODUCT(($A$2:$A1937=A1937)*($B$2:$B1937=B1937)*($F$2:$F1937=F1937))&gt;1,0,1)</f>
        <v>0</v>
      </c>
      <c r="P1937" s="15">
        <f>IF(SUMPRODUCT(($A$2:$A1937=A1937)*($B$2:$B1937=B1937)*($D$2:$D1937=D1937))&gt;1,0,1)</f>
        <v>0</v>
      </c>
    </row>
    <row r="1938" spans="1:16" x14ac:dyDescent="0.35">
      <c r="A1938" t="s">
        <v>9</v>
      </c>
      <c r="B1938">
        <v>2019</v>
      </c>
      <c r="C1938" t="s">
        <v>50</v>
      </c>
      <c r="D1938" s="6">
        <v>3.1</v>
      </c>
      <c r="E1938" s="6">
        <v>3</v>
      </c>
      <c r="F1938" s="1" t="s">
        <v>11</v>
      </c>
      <c r="G1938">
        <v>7</v>
      </c>
      <c r="H1938">
        <v>200</v>
      </c>
      <c r="I1938">
        <v>100</v>
      </c>
      <c r="J1938">
        <f>Table2[[#This Row],[Hits]]/Table2[[#This Row],[Points]]*100</f>
        <v>3.5000000000000004</v>
      </c>
      <c r="K1938">
        <f>VLOOKUP(Table2[[#This Row],[Site]],'Site Info'!$A$1:$C$11,2, FALSE)</f>
        <v>17.7</v>
      </c>
      <c r="L1938">
        <f>VLOOKUP(Table2[[#This Row],[Site]],'Site Info'!$A$1:$C$11,3, FALSE)</f>
        <v>10</v>
      </c>
      <c r="M1938" t="str">
        <f>VLOOKUP(Table2[[#This Row],[Species]],'Species Table'!$A$1:$D$68,3, FALSE)</f>
        <v>Perennial</v>
      </c>
      <c r="O1938" s="15">
        <f>IF(SUMPRODUCT(($A$2:$A1938=A1938)*($B$2:$B1938=B1938)*($F$2:$F1938=F1938))&gt;1,0,1)</f>
        <v>0</v>
      </c>
      <c r="P1938" s="15">
        <f>IF(SUMPRODUCT(($A$2:$A1938=A1938)*($B$2:$B1938=B1938)*($D$2:$D1938=D1938))&gt;1,0,1)</f>
        <v>1</v>
      </c>
    </row>
    <row r="1939" spans="1:16" hidden="1" x14ac:dyDescent="0.35">
      <c r="A1939" t="s">
        <v>9</v>
      </c>
      <c r="B1939">
        <v>2019</v>
      </c>
      <c r="C1939" t="s">
        <v>50</v>
      </c>
      <c r="D1939" s="6">
        <v>3.1</v>
      </c>
      <c r="E1939" s="6">
        <v>3</v>
      </c>
      <c r="F1939" s="1" t="s">
        <v>10</v>
      </c>
      <c r="G1939">
        <v>35</v>
      </c>
      <c r="H1939">
        <v>200</v>
      </c>
      <c r="I1939">
        <v>100</v>
      </c>
      <c r="J1939">
        <f>Table2[[#This Row],[Hits]]/Table2[[#This Row],[Points]]*100</f>
        <v>17.5</v>
      </c>
      <c r="K1939">
        <f>VLOOKUP(Table2[[#This Row],[Site]],'Site Info'!$A$1:$C$11,2, FALSE)</f>
        <v>17.7</v>
      </c>
      <c r="L1939">
        <f>VLOOKUP(Table2[[#This Row],[Site]],'Site Info'!$A$1:$C$11,3, FALSE)</f>
        <v>10</v>
      </c>
      <c r="M1939" t="str">
        <f>VLOOKUP(Table2[[#This Row],[Species]],'Species Table'!$A$1:$D$68,3, FALSE)</f>
        <v>Annual</v>
      </c>
      <c r="O1939" s="15">
        <f>IF(SUMPRODUCT(($A$2:$A1939=A1939)*($B$2:$B1939=B1939)*($F$2:$F1939=F1939))&gt;1,0,1)</f>
        <v>0</v>
      </c>
      <c r="P1939" s="15">
        <f>IF(SUMPRODUCT(($A$2:$A1939=A1939)*($B$2:$B1939=B1939)*($D$2:$D1939=D1939))&gt;1,0,1)</f>
        <v>0</v>
      </c>
    </row>
    <row r="1940" spans="1:16" x14ac:dyDescent="0.35">
      <c r="A1940" t="s">
        <v>9</v>
      </c>
      <c r="B1940">
        <v>2019</v>
      </c>
      <c r="C1940" t="s">
        <v>50</v>
      </c>
      <c r="D1940" s="6">
        <v>3.1</v>
      </c>
      <c r="E1940" s="6">
        <v>3</v>
      </c>
      <c r="F1940" s="1" t="s">
        <v>12</v>
      </c>
      <c r="G1940">
        <v>5</v>
      </c>
      <c r="H1940">
        <v>200</v>
      </c>
      <c r="I1940">
        <v>100</v>
      </c>
      <c r="J1940">
        <f>Table2[[#This Row],[Hits]]/Table2[[#This Row],[Points]]*100</f>
        <v>2.5</v>
      </c>
      <c r="K1940">
        <f>VLOOKUP(Table2[[#This Row],[Site]],'Site Info'!$A$1:$C$11,2, FALSE)</f>
        <v>17.7</v>
      </c>
      <c r="L1940">
        <f>VLOOKUP(Table2[[#This Row],[Site]],'Site Info'!$A$1:$C$11,3, FALSE)</f>
        <v>10</v>
      </c>
      <c r="M1940" t="str">
        <f>VLOOKUP(Table2[[#This Row],[Species]],'Species Table'!$A$1:$D$68,3, FALSE)</f>
        <v>Perennial</v>
      </c>
      <c r="O1940" s="15">
        <f>IF(SUMPRODUCT(($A$2:$A1940=A1940)*($B$2:$B1940=B1940)*($F$2:$F1940=F1940))&gt;1,0,1)</f>
        <v>0</v>
      </c>
      <c r="P1940" s="15">
        <f>IF(SUMPRODUCT(($A$2:$A1940=A1940)*($B$2:$B1940=B1940)*($D$2:$D1940=D1940))&gt;1,0,1)</f>
        <v>0</v>
      </c>
    </row>
    <row r="1941" spans="1:16" hidden="1" x14ac:dyDescent="0.35">
      <c r="A1941" t="s">
        <v>9</v>
      </c>
      <c r="B1941">
        <v>2019</v>
      </c>
      <c r="C1941" t="s">
        <v>51</v>
      </c>
      <c r="D1941" s="6">
        <v>3.2</v>
      </c>
      <c r="E1941" s="6">
        <v>3</v>
      </c>
      <c r="F1941" s="1" t="s">
        <v>10</v>
      </c>
      <c r="G1941">
        <v>30</v>
      </c>
      <c r="H1941">
        <v>200</v>
      </c>
      <c r="I1941">
        <v>100</v>
      </c>
      <c r="J1941">
        <f>Table2[[#This Row],[Hits]]/Table2[[#This Row],[Points]]*100</f>
        <v>15</v>
      </c>
      <c r="K1941">
        <f>VLOOKUP(Table2[[#This Row],[Site]],'Site Info'!$A$1:$C$11,2, FALSE)</f>
        <v>17.7</v>
      </c>
      <c r="L1941">
        <f>VLOOKUP(Table2[[#This Row],[Site]],'Site Info'!$A$1:$C$11,3, FALSE)</f>
        <v>10</v>
      </c>
      <c r="M1941" t="str">
        <f>VLOOKUP(Table2[[#This Row],[Species]],'Species Table'!$A$1:$D$68,3, FALSE)</f>
        <v>Annual</v>
      </c>
      <c r="O1941" s="15">
        <f>IF(SUMPRODUCT(($A$2:$A1941=A1941)*($B$2:$B1941=B1941)*($F$2:$F1941=F1941))&gt;1,0,1)</f>
        <v>0</v>
      </c>
      <c r="P1941" s="15">
        <f>IF(SUMPRODUCT(($A$2:$A1941=A1941)*($B$2:$B1941=B1941)*($D$2:$D1941=D1941))&gt;1,0,1)</f>
        <v>1</v>
      </c>
    </row>
    <row r="1942" spans="1:16" x14ac:dyDescent="0.35">
      <c r="A1942" t="s">
        <v>9</v>
      </c>
      <c r="B1942">
        <v>2019</v>
      </c>
      <c r="C1942" t="s">
        <v>51</v>
      </c>
      <c r="D1942" s="6">
        <v>3.2</v>
      </c>
      <c r="E1942" s="6">
        <v>3</v>
      </c>
      <c r="F1942" s="1" t="s">
        <v>12</v>
      </c>
      <c r="G1942">
        <v>9</v>
      </c>
      <c r="H1942">
        <v>200</v>
      </c>
      <c r="I1942">
        <v>100</v>
      </c>
      <c r="J1942">
        <f>Table2[[#This Row],[Hits]]/Table2[[#This Row],[Points]]*100</f>
        <v>4.5</v>
      </c>
      <c r="K1942">
        <f>VLOOKUP(Table2[[#This Row],[Site]],'Site Info'!$A$1:$C$11,2, FALSE)</f>
        <v>17.7</v>
      </c>
      <c r="L1942">
        <f>VLOOKUP(Table2[[#This Row],[Site]],'Site Info'!$A$1:$C$11,3, FALSE)</f>
        <v>10</v>
      </c>
      <c r="M1942" t="str">
        <f>VLOOKUP(Table2[[#This Row],[Species]],'Species Table'!$A$1:$D$68,3, FALSE)</f>
        <v>Perennial</v>
      </c>
      <c r="O1942" s="15">
        <f>IF(SUMPRODUCT(($A$2:$A1942=A1942)*($B$2:$B1942=B1942)*($F$2:$F1942=F1942))&gt;1,0,1)</f>
        <v>0</v>
      </c>
      <c r="P1942" s="15">
        <f>IF(SUMPRODUCT(($A$2:$A1942=A1942)*($B$2:$B1942=B1942)*($D$2:$D1942=D1942))&gt;1,0,1)</f>
        <v>0</v>
      </c>
    </row>
    <row r="1943" spans="1:16" x14ac:dyDescent="0.35">
      <c r="A1943" t="s">
        <v>9</v>
      </c>
      <c r="B1943">
        <v>2019</v>
      </c>
      <c r="C1943" t="s">
        <v>51</v>
      </c>
      <c r="D1943" s="6">
        <v>3.2</v>
      </c>
      <c r="E1943" s="6">
        <v>3</v>
      </c>
      <c r="F1943" s="1" t="s">
        <v>5</v>
      </c>
      <c r="G1943">
        <v>1</v>
      </c>
      <c r="H1943">
        <v>200</v>
      </c>
      <c r="I1943">
        <v>100</v>
      </c>
      <c r="J1943">
        <f>Table2[[#This Row],[Hits]]/Table2[[#This Row],[Points]]*100</f>
        <v>0.5</v>
      </c>
      <c r="K1943">
        <f>VLOOKUP(Table2[[#This Row],[Site]],'Site Info'!$A$1:$C$11,2, FALSE)</f>
        <v>17.7</v>
      </c>
      <c r="L1943">
        <f>VLOOKUP(Table2[[#This Row],[Site]],'Site Info'!$A$1:$C$11,3, FALSE)</f>
        <v>10</v>
      </c>
      <c r="M1943" t="str">
        <f>VLOOKUP(Table2[[#This Row],[Species]],'Species Table'!$A$1:$D$68,3, FALSE)</f>
        <v>Perennial</v>
      </c>
      <c r="O1943" s="15">
        <f>IF(SUMPRODUCT(($A$2:$A1943=A1943)*($B$2:$B1943=B1943)*($F$2:$F1943=F1943))&gt;1,0,1)</f>
        <v>1</v>
      </c>
      <c r="P1943" s="15">
        <f>IF(SUMPRODUCT(($A$2:$A1943=A1943)*($B$2:$B1943=B1943)*($D$2:$D1943=D1943))&gt;1,0,1)</f>
        <v>0</v>
      </c>
    </row>
    <row r="1944" spans="1:16" x14ac:dyDescent="0.35">
      <c r="A1944" t="s">
        <v>9</v>
      </c>
      <c r="B1944">
        <v>2019</v>
      </c>
      <c r="C1944" t="s">
        <v>51</v>
      </c>
      <c r="D1944" s="6">
        <v>3.2</v>
      </c>
      <c r="E1944" s="6">
        <v>3</v>
      </c>
      <c r="F1944" s="1" t="s">
        <v>6</v>
      </c>
      <c r="G1944">
        <v>2</v>
      </c>
      <c r="H1944">
        <v>200</v>
      </c>
      <c r="I1944">
        <v>100</v>
      </c>
      <c r="J1944">
        <f>Table2[[#This Row],[Hits]]/Table2[[#This Row],[Points]]*100</f>
        <v>1</v>
      </c>
      <c r="K1944">
        <f>VLOOKUP(Table2[[#This Row],[Site]],'Site Info'!$A$1:$C$11,2, FALSE)</f>
        <v>17.7</v>
      </c>
      <c r="L1944">
        <f>VLOOKUP(Table2[[#This Row],[Site]],'Site Info'!$A$1:$C$11,3, FALSE)</f>
        <v>10</v>
      </c>
      <c r="M1944" t="str">
        <f>VLOOKUP(Table2[[#This Row],[Species]],'Species Table'!$A$1:$D$68,3, FALSE)</f>
        <v>Perennial</v>
      </c>
      <c r="O1944" s="15">
        <f>IF(SUMPRODUCT(($A$2:$A1944=A1944)*($B$2:$B1944=B1944)*($F$2:$F1944=F1944))&gt;1,0,1)</f>
        <v>0</v>
      </c>
      <c r="P1944" s="15">
        <f>IF(SUMPRODUCT(($A$2:$A1944=A1944)*($B$2:$B1944=B1944)*($D$2:$D1944=D1944))&gt;1,0,1)</f>
        <v>0</v>
      </c>
    </row>
    <row r="1945" spans="1:16" hidden="1" x14ac:dyDescent="0.35">
      <c r="A1945" t="s">
        <v>9</v>
      </c>
      <c r="B1945">
        <v>2019</v>
      </c>
      <c r="C1945" t="s">
        <v>52</v>
      </c>
      <c r="D1945" s="6">
        <v>3.3</v>
      </c>
      <c r="E1945" s="6">
        <v>3</v>
      </c>
      <c r="F1945" s="1" t="s">
        <v>10</v>
      </c>
      <c r="G1945">
        <v>20</v>
      </c>
      <c r="H1945">
        <v>200</v>
      </c>
      <c r="I1945">
        <v>100</v>
      </c>
      <c r="J1945">
        <f>Table2[[#This Row],[Hits]]/Table2[[#This Row],[Points]]*100</f>
        <v>10</v>
      </c>
      <c r="K1945">
        <f>VLOOKUP(Table2[[#This Row],[Site]],'Site Info'!$A$1:$C$11,2, FALSE)</f>
        <v>17.7</v>
      </c>
      <c r="L1945">
        <f>VLOOKUP(Table2[[#This Row],[Site]],'Site Info'!$A$1:$C$11,3, FALSE)</f>
        <v>10</v>
      </c>
      <c r="M1945" t="str">
        <f>VLOOKUP(Table2[[#This Row],[Species]],'Species Table'!$A$1:$D$68,3, FALSE)</f>
        <v>Annual</v>
      </c>
      <c r="O1945" s="15">
        <f>IF(SUMPRODUCT(($A$2:$A1945=A1945)*($B$2:$B1945=B1945)*($F$2:$F1945=F1945))&gt;1,0,1)</f>
        <v>0</v>
      </c>
      <c r="P1945" s="15">
        <f>IF(SUMPRODUCT(($A$2:$A1945=A1945)*($B$2:$B1945=B1945)*($D$2:$D1945=D1945))&gt;1,0,1)</f>
        <v>1</v>
      </c>
    </row>
    <row r="1946" spans="1:16" x14ac:dyDescent="0.35">
      <c r="A1946" t="s">
        <v>9</v>
      </c>
      <c r="B1946">
        <v>2019</v>
      </c>
      <c r="C1946" t="s">
        <v>52</v>
      </c>
      <c r="D1946" s="6">
        <v>3.3</v>
      </c>
      <c r="E1946" s="6">
        <v>3</v>
      </c>
      <c r="F1946" s="1" t="s">
        <v>12</v>
      </c>
      <c r="G1946">
        <v>5</v>
      </c>
      <c r="H1946">
        <v>200</v>
      </c>
      <c r="I1946">
        <v>100</v>
      </c>
      <c r="J1946">
        <f>Table2[[#This Row],[Hits]]/Table2[[#This Row],[Points]]*100</f>
        <v>2.5</v>
      </c>
      <c r="K1946">
        <f>VLOOKUP(Table2[[#This Row],[Site]],'Site Info'!$A$1:$C$11,2, FALSE)</f>
        <v>17.7</v>
      </c>
      <c r="L1946">
        <f>VLOOKUP(Table2[[#This Row],[Site]],'Site Info'!$A$1:$C$11,3, FALSE)</f>
        <v>10</v>
      </c>
      <c r="M1946" t="str">
        <f>VLOOKUP(Table2[[#This Row],[Species]],'Species Table'!$A$1:$D$68,3, FALSE)</f>
        <v>Perennial</v>
      </c>
      <c r="O1946" s="15">
        <f>IF(SUMPRODUCT(($A$2:$A1946=A1946)*($B$2:$B1946=B1946)*($F$2:$F1946=F1946))&gt;1,0,1)</f>
        <v>0</v>
      </c>
      <c r="P1946" s="15">
        <f>IF(SUMPRODUCT(($A$2:$A1946=A1946)*($B$2:$B1946=B1946)*($D$2:$D1946=D1946))&gt;1,0,1)</f>
        <v>0</v>
      </c>
    </row>
    <row r="1947" spans="1:16" x14ac:dyDescent="0.35">
      <c r="A1947" t="s">
        <v>9</v>
      </c>
      <c r="B1947">
        <v>2019</v>
      </c>
      <c r="C1947" t="s">
        <v>52</v>
      </c>
      <c r="D1947" s="6">
        <v>3.3</v>
      </c>
      <c r="E1947" s="6">
        <v>3</v>
      </c>
      <c r="F1947" s="1" t="s">
        <v>6</v>
      </c>
      <c r="G1947">
        <v>7</v>
      </c>
      <c r="H1947">
        <v>200</v>
      </c>
      <c r="I1947">
        <v>100</v>
      </c>
      <c r="J1947">
        <f>Table2[[#This Row],[Hits]]/Table2[[#This Row],[Points]]*100</f>
        <v>3.5000000000000004</v>
      </c>
      <c r="K1947">
        <f>VLOOKUP(Table2[[#This Row],[Site]],'Site Info'!$A$1:$C$11,2, FALSE)</f>
        <v>17.7</v>
      </c>
      <c r="L1947">
        <f>VLOOKUP(Table2[[#This Row],[Site]],'Site Info'!$A$1:$C$11,3, FALSE)</f>
        <v>10</v>
      </c>
      <c r="M1947" t="str">
        <f>VLOOKUP(Table2[[#This Row],[Species]],'Species Table'!$A$1:$D$68,3, FALSE)</f>
        <v>Perennial</v>
      </c>
      <c r="O1947" s="15">
        <f>IF(SUMPRODUCT(($A$2:$A1947=A1947)*($B$2:$B1947=B1947)*($F$2:$F1947=F1947))&gt;1,0,1)</f>
        <v>0</v>
      </c>
      <c r="P1947" s="15">
        <f>IF(SUMPRODUCT(($A$2:$A1947=A1947)*($B$2:$B1947=B1947)*($D$2:$D1947=D1947))&gt;1,0,1)</f>
        <v>0</v>
      </c>
    </row>
    <row r="1948" spans="1:16" x14ac:dyDescent="0.35">
      <c r="A1948" t="s">
        <v>9</v>
      </c>
      <c r="B1948">
        <v>2019</v>
      </c>
      <c r="C1948" t="s">
        <v>52</v>
      </c>
      <c r="D1948" s="6">
        <v>3.3</v>
      </c>
      <c r="E1948" s="6">
        <v>3</v>
      </c>
      <c r="F1948" s="1" t="s">
        <v>5</v>
      </c>
      <c r="G1948">
        <v>1</v>
      </c>
      <c r="H1948">
        <v>200</v>
      </c>
      <c r="I1948">
        <v>100</v>
      </c>
      <c r="J1948">
        <f>Table2[[#This Row],[Hits]]/Table2[[#This Row],[Points]]*100</f>
        <v>0.5</v>
      </c>
      <c r="K1948">
        <f>VLOOKUP(Table2[[#This Row],[Site]],'Site Info'!$A$1:$C$11,2, FALSE)</f>
        <v>17.7</v>
      </c>
      <c r="L1948">
        <f>VLOOKUP(Table2[[#This Row],[Site]],'Site Info'!$A$1:$C$11,3, FALSE)</f>
        <v>10</v>
      </c>
      <c r="M1948" t="str">
        <f>VLOOKUP(Table2[[#This Row],[Species]],'Species Table'!$A$1:$D$68,3, FALSE)</f>
        <v>Perennial</v>
      </c>
      <c r="O1948" s="15">
        <f>IF(SUMPRODUCT(($A$2:$A1948=A1948)*($B$2:$B1948=B1948)*($F$2:$F1948=F1948))&gt;1,0,1)</f>
        <v>0</v>
      </c>
      <c r="P1948" s="15">
        <f>IF(SUMPRODUCT(($A$2:$A1948=A1948)*($B$2:$B1948=B1948)*($D$2:$D1948=D1948))&gt;1,0,1)</f>
        <v>0</v>
      </c>
    </row>
    <row r="1949" spans="1:16" x14ac:dyDescent="0.35">
      <c r="A1949" t="s">
        <v>9</v>
      </c>
      <c r="B1949">
        <v>2019</v>
      </c>
      <c r="C1949" t="s">
        <v>101</v>
      </c>
      <c r="D1949" s="6">
        <v>3.4</v>
      </c>
      <c r="E1949" s="6">
        <v>3</v>
      </c>
      <c r="F1949" s="1" t="s">
        <v>6</v>
      </c>
      <c r="G1949">
        <v>26</v>
      </c>
      <c r="H1949">
        <v>200</v>
      </c>
      <c r="I1949">
        <v>100</v>
      </c>
      <c r="J1949">
        <f>Table2[[#This Row],[Hits]]/Table2[[#This Row],[Points]]*100</f>
        <v>13</v>
      </c>
      <c r="K1949">
        <f>VLOOKUP(Table2[[#This Row],[Site]],'Site Info'!$A$1:$C$11,2, FALSE)</f>
        <v>17.7</v>
      </c>
      <c r="L1949">
        <f>VLOOKUP(Table2[[#This Row],[Site]],'Site Info'!$A$1:$C$11,3, FALSE)</f>
        <v>10</v>
      </c>
      <c r="M1949" t="str">
        <f>VLOOKUP(Table2[[#This Row],[Species]],'Species Table'!$A$1:$D$68,3, FALSE)</f>
        <v>Perennial</v>
      </c>
      <c r="O1949" s="15">
        <f>IF(SUMPRODUCT(($A$2:$A1949=A1949)*($B$2:$B1949=B1949)*($F$2:$F1949=F1949))&gt;1,0,1)</f>
        <v>0</v>
      </c>
      <c r="P1949" s="15">
        <f>IF(SUMPRODUCT(($A$2:$A1949=A1949)*($B$2:$B1949=B1949)*($D$2:$D1949=D1949))&gt;1,0,1)</f>
        <v>1</v>
      </c>
    </row>
    <row r="1950" spans="1:16" x14ac:dyDescent="0.35">
      <c r="A1950" t="s">
        <v>9</v>
      </c>
      <c r="B1950">
        <v>2019</v>
      </c>
      <c r="C1950" t="s">
        <v>101</v>
      </c>
      <c r="D1950" s="6">
        <v>3.4</v>
      </c>
      <c r="E1950" s="6">
        <v>3</v>
      </c>
      <c r="F1950" s="1" t="s">
        <v>12</v>
      </c>
      <c r="G1950">
        <v>17</v>
      </c>
      <c r="H1950">
        <v>200</v>
      </c>
      <c r="I1950">
        <v>100</v>
      </c>
      <c r="J1950">
        <f>Table2[[#This Row],[Hits]]/Table2[[#This Row],[Points]]*100</f>
        <v>8.5</v>
      </c>
      <c r="K1950">
        <f>VLOOKUP(Table2[[#This Row],[Site]],'Site Info'!$A$1:$C$11,2, FALSE)</f>
        <v>17.7</v>
      </c>
      <c r="L1950">
        <f>VLOOKUP(Table2[[#This Row],[Site]],'Site Info'!$A$1:$C$11,3, FALSE)</f>
        <v>10</v>
      </c>
      <c r="M1950" t="str">
        <f>VLOOKUP(Table2[[#This Row],[Species]],'Species Table'!$A$1:$D$68,3, FALSE)</f>
        <v>Perennial</v>
      </c>
      <c r="O1950" s="15">
        <f>IF(SUMPRODUCT(($A$2:$A1950=A1950)*($B$2:$B1950=B1950)*($F$2:$F1950=F1950))&gt;1,0,1)</f>
        <v>0</v>
      </c>
      <c r="P1950" s="15">
        <f>IF(SUMPRODUCT(($A$2:$A1950=A1950)*($B$2:$B1950=B1950)*($D$2:$D1950=D1950))&gt;1,0,1)</f>
        <v>0</v>
      </c>
    </row>
    <row r="1951" spans="1:16" x14ac:dyDescent="0.35">
      <c r="A1951" t="s">
        <v>9</v>
      </c>
      <c r="B1951">
        <v>2019</v>
      </c>
      <c r="C1951" t="s">
        <v>101</v>
      </c>
      <c r="D1951" s="6">
        <v>3.4</v>
      </c>
      <c r="E1951" s="6">
        <v>3</v>
      </c>
      <c r="F1951" s="1" t="s">
        <v>5</v>
      </c>
      <c r="G1951">
        <v>6</v>
      </c>
      <c r="H1951">
        <v>200</v>
      </c>
      <c r="I1951">
        <v>100</v>
      </c>
      <c r="J1951">
        <f>Table2[[#This Row],[Hits]]/Table2[[#This Row],[Points]]*100</f>
        <v>3</v>
      </c>
      <c r="K1951">
        <f>VLOOKUP(Table2[[#This Row],[Site]],'Site Info'!$A$1:$C$11,2, FALSE)</f>
        <v>17.7</v>
      </c>
      <c r="L1951">
        <f>VLOOKUP(Table2[[#This Row],[Site]],'Site Info'!$A$1:$C$11,3, FALSE)</f>
        <v>10</v>
      </c>
      <c r="M1951" t="str">
        <f>VLOOKUP(Table2[[#This Row],[Species]],'Species Table'!$A$1:$D$68,3, FALSE)</f>
        <v>Perennial</v>
      </c>
      <c r="O1951" s="15">
        <f>IF(SUMPRODUCT(($A$2:$A1951=A1951)*($B$2:$B1951=B1951)*($F$2:$F1951=F1951))&gt;1,0,1)</f>
        <v>0</v>
      </c>
      <c r="P1951" s="15">
        <f>IF(SUMPRODUCT(($A$2:$A1951=A1951)*($B$2:$B1951=B1951)*($D$2:$D1951=D1951))&gt;1,0,1)</f>
        <v>0</v>
      </c>
    </row>
    <row r="1952" spans="1:16" hidden="1" x14ac:dyDescent="0.35">
      <c r="A1952" t="s">
        <v>9</v>
      </c>
      <c r="B1952">
        <v>2019</v>
      </c>
      <c r="C1952" t="s">
        <v>101</v>
      </c>
      <c r="D1952" s="6">
        <v>3.4</v>
      </c>
      <c r="E1952" s="6">
        <v>3</v>
      </c>
      <c r="F1952" s="1" t="s">
        <v>10</v>
      </c>
      <c r="G1952">
        <v>2</v>
      </c>
      <c r="H1952">
        <v>200</v>
      </c>
      <c r="I1952">
        <v>100</v>
      </c>
      <c r="J1952">
        <f>Table2[[#This Row],[Hits]]/Table2[[#This Row],[Points]]*100</f>
        <v>1</v>
      </c>
      <c r="K1952">
        <f>VLOOKUP(Table2[[#This Row],[Site]],'Site Info'!$A$1:$C$11,2, FALSE)</f>
        <v>17.7</v>
      </c>
      <c r="L1952">
        <f>VLOOKUP(Table2[[#This Row],[Site]],'Site Info'!$A$1:$C$11,3, FALSE)</f>
        <v>10</v>
      </c>
      <c r="M1952" t="str">
        <f>VLOOKUP(Table2[[#This Row],[Species]],'Species Table'!$A$1:$D$68,3, FALSE)</f>
        <v>Annual</v>
      </c>
      <c r="O1952" s="15">
        <f>IF(SUMPRODUCT(($A$2:$A1952=A1952)*($B$2:$B1952=B1952)*($F$2:$F1952=F1952))&gt;1,0,1)</f>
        <v>0</v>
      </c>
      <c r="P1952" s="15">
        <f>IF(SUMPRODUCT(($A$2:$A1952=A1952)*($B$2:$B1952=B1952)*($D$2:$D1952=D1952))&gt;1,0,1)</f>
        <v>0</v>
      </c>
    </row>
    <row r="1953" spans="1:16" x14ac:dyDescent="0.35">
      <c r="A1953" t="s">
        <v>9</v>
      </c>
      <c r="B1953">
        <v>2019</v>
      </c>
      <c r="C1953" t="s">
        <v>102</v>
      </c>
      <c r="D1953" s="6">
        <v>3.5</v>
      </c>
      <c r="E1953" s="6">
        <v>3</v>
      </c>
      <c r="F1953" s="1" t="s">
        <v>12</v>
      </c>
      <c r="G1953">
        <v>12</v>
      </c>
      <c r="H1953">
        <v>200</v>
      </c>
      <c r="I1953">
        <v>100</v>
      </c>
      <c r="J1953">
        <f>Table2[[#This Row],[Hits]]/Table2[[#This Row],[Points]]*100</f>
        <v>6</v>
      </c>
      <c r="K1953">
        <f>VLOOKUP(Table2[[#This Row],[Site]],'Site Info'!$A$1:$C$11,2, FALSE)</f>
        <v>17.7</v>
      </c>
      <c r="L1953">
        <f>VLOOKUP(Table2[[#This Row],[Site]],'Site Info'!$A$1:$C$11,3, FALSE)</f>
        <v>10</v>
      </c>
      <c r="M1953" t="str">
        <f>VLOOKUP(Table2[[#This Row],[Species]],'Species Table'!$A$1:$D$68,3, FALSE)</f>
        <v>Perennial</v>
      </c>
      <c r="O1953" s="15">
        <f>IF(SUMPRODUCT(($A$2:$A1953=A1953)*($B$2:$B1953=B1953)*($F$2:$F1953=F1953))&gt;1,0,1)</f>
        <v>0</v>
      </c>
      <c r="P1953" s="15">
        <f>IF(SUMPRODUCT(($A$2:$A1953=A1953)*($B$2:$B1953=B1953)*($D$2:$D1953=D1953))&gt;1,0,1)</f>
        <v>1</v>
      </c>
    </row>
    <row r="1954" spans="1:16" x14ac:dyDescent="0.35">
      <c r="A1954" t="s">
        <v>9</v>
      </c>
      <c r="B1954">
        <v>2019</v>
      </c>
      <c r="C1954" t="s">
        <v>102</v>
      </c>
      <c r="D1954" s="6">
        <v>3.5</v>
      </c>
      <c r="E1954" s="6">
        <v>3</v>
      </c>
      <c r="F1954" s="1" t="s">
        <v>6</v>
      </c>
      <c r="G1954">
        <v>34</v>
      </c>
      <c r="H1954">
        <v>200</v>
      </c>
      <c r="I1954">
        <v>100</v>
      </c>
      <c r="J1954">
        <f>Table2[[#This Row],[Hits]]/Table2[[#This Row],[Points]]*100</f>
        <v>17</v>
      </c>
      <c r="K1954">
        <f>VLOOKUP(Table2[[#This Row],[Site]],'Site Info'!$A$1:$C$11,2, FALSE)</f>
        <v>17.7</v>
      </c>
      <c r="L1954">
        <f>VLOOKUP(Table2[[#This Row],[Site]],'Site Info'!$A$1:$C$11,3, FALSE)</f>
        <v>10</v>
      </c>
      <c r="M1954" t="str">
        <f>VLOOKUP(Table2[[#This Row],[Species]],'Species Table'!$A$1:$D$68,3, FALSE)</f>
        <v>Perennial</v>
      </c>
      <c r="O1954" s="15">
        <f>IF(SUMPRODUCT(($A$2:$A1954=A1954)*($B$2:$B1954=B1954)*($F$2:$F1954=F1954))&gt;1,0,1)</f>
        <v>0</v>
      </c>
      <c r="P1954" s="15">
        <f>IF(SUMPRODUCT(($A$2:$A1954=A1954)*($B$2:$B1954=B1954)*($D$2:$D1954=D1954))&gt;1,0,1)</f>
        <v>0</v>
      </c>
    </row>
    <row r="1955" spans="1:16" x14ac:dyDescent="0.35">
      <c r="A1955" t="s">
        <v>9</v>
      </c>
      <c r="B1955">
        <v>2019</v>
      </c>
      <c r="C1955" t="s">
        <v>102</v>
      </c>
      <c r="D1955" s="6">
        <v>3.5</v>
      </c>
      <c r="E1955" s="6">
        <v>3</v>
      </c>
      <c r="F1955" s="1" t="s">
        <v>5</v>
      </c>
      <c r="G1955">
        <v>8</v>
      </c>
      <c r="H1955">
        <v>200</v>
      </c>
      <c r="I1955">
        <v>100</v>
      </c>
      <c r="J1955">
        <f>Table2[[#This Row],[Hits]]/Table2[[#This Row],[Points]]*100</f>
        <v>4</v>
      </c>
      <c r="K1955">
        <f>VLOOKUP(Table2[[#This Row],[Site]],'Site Info'!$A$1:$C$11,2, FALSE)</f>
        <v>17.7</v>
      </c>
      <c r="L1955">
        <f>VLOOKUP(Table2[[#This Row],[Site]],'Site Info'!$A$1:$C$11,3, FALSE)</f>
        <v>10</v>
      </c>
      <c r="M1955" t="str">
        <f>VLOOKUP(Table2[[#This Row],[Species]],'Species Table'!$A$1:$D$68,3, FALSE)</f>
        <v>Perennial</v>
      </c>
      <c r="O1955" s="15">
        <f>IF(SUMPRODUCT(($A$2:$A1955=A1955)*($B$2:$B1955=B1955)*($F$2:$F1955=F1955))&gt;1,0,1)</f>
        <v>0</v>
      </c>
      <c r="P1955" s="15">
        <f>IF(SUMPRODUCT(($A$2:$A1955=A1955)*($B$2:$B1955=B1955)*($D$2:$D1955=D1955))&gt;1,0,1)</f>
        <v>0</v>
      </c>
    </row>
    <row r="1956" spans="1:16" x14ac:dyDescent="0.35">
      <c r="A1956" t="s">
        <v>9</v>
      </c>
      <c r="B1956">
        <v>2019</v>
      </c>
      <c r="C1956" t="s">
        <v>102</v>
      </c>
      <c r="D1956" s="6">
        <v>3.5</v>
      </c>
      <c r="E1956" s="6">
        <v>3</v>
      </c>
      <c r="F1956" s="1" t="s">
        <v>11</v>
      </c>
      <c r="G1956">
        <v>6</v>
      </c>
      <c r="H1956">
        <v>200</v>
      </c>
      <c r="I1956">
        <v>100</v>
      </c>
      <c r="J1956">
        <f>Table2[[#This Row],[Hits]]/Table2[[#This Row],[Points]]*100</f>
        <v>3</v>
      </c>
      <c r="K1956">
        <f>VLOOKUP(Table2[[#This Row],[Site]],'Site Info'!$A$1:$C$11,2, FALSE)</f>
        <v>17.7</v>
      </c>
      <c r="L1956">
        <f>VLOOKUP(Table2[[#This Row],[Site]],'Site Info'!$A$1:$C$11,3, FALSE)</f>
        <v>10</v>
      </c>
      <c r="M1956" t="str">
        <f>VLOOKUP(Table2[[#This Row],[Species]],'Species Table'!$A$1:$D$68,3, FALSE)</f>
        <v>Perennial</v>
      </c>
      <c r="O1956" s="15">
        <f>IF(SUMPRODUCT(($A$2:$A1956=A1956)*($B$2:$B1956=B1956)*($F$2:$F1956=F1956))&gt;1,0,1)</f>
        <v>0</v>
      </c>
      <c r="P1956" s="15">
        <f>IF(SUMPRODUCT(($A$2:$A1956=A1956)*($B$2:$B1956=B1956)*($D$2:$D1956=D1956))&gt;1,0,1)</f>
        <v>0</v>
      </c>
    </row>
    <row r="1957" spans="1:16" x14ac:dyDescent="0.35">
      <c r="A1957" t="s">
        <v>9</v>
      </c>
      <c r="B1957">
        <v>2019</v>
      </c>
      <c r="C1957" t="s">
        <v>102</v>
      </c>
      <c r="D1957" s="6">
        <v>3.5</v>
      </c>
      <c r="E1957" s="6">
        <v>3</v>
      </c>
      <c r="F1957" s="1" t="s">
        <v>3</v>
      </c>
      <c r="G1957">
        <v>2</v>
      </c>
      <c r="H1957">
        <v>200</v>
      </c>
      <c r="I1957">
        <v>100</v>
      </c>
      <c r="J1957">
        <f>Table2[[#This Row],[Hits]]/Table2[[#This Row],[Points]]*100</f>
        <v>1</v>
      </c>
      <c r="K1957">
        <f>VLOOKUP(Table2[[#This Row],[Site]],'Site Info'!$A$1:$C$11,2, FALSE)</f>
        <v>17.7</v>
      </c>
      <c r="L1957">
        <f>VLOOKUP(Table2[[#This Row],[Site]],'Site Info'!$A$1:$C$11,3, FALSE)</f>
        <v>10</v>
      </c>
      <c r="M1957" t="str">
        <f>VLOOKUP(Table2[[#This Row],[Species]],'Species Table'!$A$1:$D$68,3, FALSE)</f>
        <v>Perennial</v>
      </c>
      <c r="O1957" s="15">
        <f>IF(SUMPRODUCT(($A$2:$A1957=A1957)*($B$2:$B1957=B1957)*($F$2:$F1957=F1957))&gt;1,0,1)</f>
        <v>0</v>
      </c>
      <c r="P1957" s="15">
        <f>IF(SUMPRODUCT(($A$2:$A1957=A1957)*($B$2:$B1957=B1957)*($D$2:$D1957=D1957))&gt;1,0,1)</f>
        <v>0</v>
      </c>
    </row>
    <row r="1958" spans="1:16" hidden="1" x14ac:dyDescent="0.35">
      <c r="A1958" t="s">
        <v>9</v>
      </c>
      <c r="B1958">
        <v>2019</v>
      </c>
      <c r="C1958" t="s">
        <v>102</v>
      </c>
      <c r="D1958" s="6">
        <v>3.5</v>
      </c>
      <c r="E1958" s="6">
        <v>3</v>
      </c>
      <c r="F1958" s="1" t="s">
        <v>10</v>
      </c>
      <c r="G1958">
        <v>7</v>
      </c>
      <c r="H1958">
        <v>200</v>
      </c>
      <c r="I1958">
        <v>100</v>
      </c>
      <c r="J1958">
        <f>Table2[[#This Row],[Hits]]/Table2[[#This Row],[Points]]*100</f>
        <v>3.5000000000000004</v>
      </c>
      <c r="K1958">
        <f>VLOOKUP(Table2[[#This Row],[Site]],'Site Info'!$A$1:$C$11,2, FALSE)</f>
        <v>17.7</v>
      </c>
      <c r="L1958">
        <f>VLOOKUP(Table2[[#This Row],[Site]],'Site Info'!$A$1:$C$11,3, FALSE)</f>
        <v>10</v>
      </c>
      <c r="M1958" t="str">
        <f>VLOOKUP(Table2[[#This Row],[Species]],'Species Table'!$A$1:$D$68,3, FALSE)</f>
        <v>Annual</v>
      </c>
      <c r="O1958" s="15">
        <f>IF(SUMPRODUCT(($A$2:$A1958=A1958)*($B$2:$B1958=B1958)*($F$2:$F1958=F1958))&gt;1,0,1)</f>
        <v>0</v>
      </c>
      <c r="P1958" s="15">
        <f>IF(SUMPRODUCT(($A$2:$A1958=A1958)*($B$2:$B1958=B1958)*($D$2:$D1958=D1958))&gt;1,0,1)</f>
        <v>0</v>
      </c>
    </row>
    <row r="1959" spans="1:16" x14ac:dyDescent="0.35">
      <c r="A1959" t="s">
        <v>9</v>
      </c>
      <c r="B1959">
        <v>2019</v>
      </c>
      <c r="C1959" t="s">
        <v>53</v>
      </c>
      <c r="D1959" s="6">
        <v>3.6</v>
      </c>
      <c r="E1959" s="6">
        <v>3</v>
      </c>
      <c r="F1959" s="1" t="s">
        <v>12</v>
      </c>
      <c r="G1959">
        <v>7</v>
      </c>
      <c r="H1959">
        <v>200</v>
      </c>
      <c r="I1959">
        <v>100</v>
      </c>
      <c r="J1959">
        <f>Table2[[#This Row],[Hits]]/Table2[[#This Row],[Points]]*100</f>
        <v>3.5000000000000004</v>
      </c>
      <c r="K1959">
        <f>VLOOKUP(Table2[[#This Row],[Site]],'Site Info'!$A$1:$C$11,2, FALSE)</f>
        <v>17.7</v>
      </c>
      <c r="L1959">
        <f>VLOOKUP(Table2[[#This Row],[Site]],'Site Info'!$A$1:$C$11,3, FALSE)</f>
        <v>10</v>
      </c>
      <c r="M1959" t="str">
        <f>VLOOKUP(Table2[[#This Row],[Species]],'Species Table'!$A$1:$D$68,3, FALSE)</f>
        <v>Perennial</v>
      </c>
      <c r="O1959" s="15">
        <f>IF(SUMPRODUCT(($A$2:$A1959=A1959)*($B$2:$B1959=B1959)*($F$2:$F1959=F1959))&gt;1,0,1)</f>
        <v>0</v>
      </c>
      <c r="P1959" s="15">
        <f>IF(SUMPRODUCT(($A$2:$A1959=A1959)*($B$2:$B1959=B1959)*($D$2:$D1959=D1959))&gt;1,0,1)</f>
        <v>1</v>
      </c>
    </row>
    <row r="1960" spans="1:16" hidden="1" x14ac:dyDescent="0.35">
      <c r="A1960" t="s">
        <v>9</v>
      </c>
      <c r="B1960">
        <v>2019</v>
      </c>
      <c r="C1960" t="s">
        <v>53</v>
      </c>
      <c r="D1960" s="6">
        <v>3.6</v>
      </c>
      <c r="E1960" s="6">
        <v>3</v>
      </c>
      <c r="F1960" s="1" t="s">
        <v>10</v>
      </c>
      <c r="G1960">
        <v>71</v>
      </c>
      <c r="H1960">
        <v>200</v>
      </c>
      <c r="I1960">
        <v>100</v>
      </c>
      <c r="J1960">
        <f>Table2[[#This Row],[Hits]]/Table2[[#This Row],[Points]]*100</f>
        <v>35.5</v>
      </c>
      <c r="K1960">
        <f>VLOOKUP(Table2[[#This Row],[Site]],'Site Info'!$A$1:$C$11,2, FALSE)</f>
        <v>17.7</v>
      </c>
      <c r="L1960">
        <f>VLOOKUP(Table2[[#This Row],[Site]],'Site Info'!$A$1:$C$11,3, FALSE)</f>
        <v>10</v>
      </c>
      <c r="M1960" t="str">
        <f>VLOOKUP(Table2[[#This Row],[Species]],'Species Table'!$A$1:$D$68,3, FALSE)</f>
        <v>Annual</v>
      </c>
      <c r="O1960" s="15">
        <f>IF(SUMPRODUCT(($A$2:$A1960=A1960)*($B$2:$B1960=B1960)*($F$2:$F1960=F1960))&gt;1,0,1)</f>
        <v>0</v>
      </c>
      <c r="P1960" s="15">
        <f>IF(SUMPRODUCT(($A$2:$A1960=A1960)*($B$2:$B1960=B1960)*($D$2:$D1960=D1960))&gt;1,0,1)</f>
        <v>0</v>
      </c>
    </row>
    <row r="1961" spans="1:16" hidden="1" x14ac:dyDescent="0.35">
      <c r="A1961" t="s">
        <v>9</v>
      </c>
      <c r="B1961">
        <v>2019</v>
      </c>
      <c r="C1961" t="s">
        <v>53</v>
      </c>
      <c r="D1961" s="6">
        <v>3.6</v>
      </c>
      <c r="E1961" s="6">
        <v>3</v>
      </c>
      <c r="F1961" s="1" t="s">
        <v>135</v>
      </c>
      <c r="G1961">
        <v>2</v>
      </c>
      <c r="H1961">
        <v>200</v>
      </c>
      <c r="I1961">
        <v>100</v>
      </c>
      <c r="J1961">
        <f>Table2[[#This Row],[Hits]]/Table2[[#This Row],[Points]]*100</f>
        <v>1</v>
      </c>
      <c r="K1961">
        <f>VLOOKUP(Table2[[#This Row],[Site]],'Site Info'!$A$1:$C$11,2, FALSE)</f>
        <v>17.7</v>
      </c>
      <c r="L1961">
        <f>VLOOKUP(Table2[[#This Row],[Site]],'Site Info'!$A$1:$C$11,3, FALSE)</f>
        <v>10</v>
      </c>
      <c r="M1961" t="str">
        <f>VLOOKUP(Table2[[#This Row],[Species]],'Species Table'!$A$1:$D$68,3, FALSE)</f>
        <v>Annual</v>
      </c>
      <c r="O1961" s="15">
        <f>IF(SUMPRODUCT(($A$2:$A1961=A1961)*($B$2:$B1961=B1961)*($F$2:$F1961=F1961))&gt;1,0,1)</f>
        <v>1</v>
      </c>
      <c r="P1961" s="15">
        <f>IF(SUMPRODUCT(($A$2:$A1961=A1961)*($B$2:$B1961=B1961)*($D$2:$D1961=D1961))&gt;1,0,1)</f>
        <v>0</v>
      </c>
    </row>
    <row r="1962" spans="1:16" x14ac:dyDescent="0.35">
      <c r="A1962" t="s">
        <v>9</v>
      </c>
      <c r="B1962">
        <v>2019</v>
      </c>
      <c r="C1962" t="s">
        <v>53</v>
      </c>
      <c r="D1962" s="6">
        <v>3.6</v>
      </c>
      <c r="E1962" s="6">
        <v>3</v>
      </c>
      <c r="F1962" s="1" t="s">
        <v>4</v>
      </c>
      <c r="G1962">
        <v>2</v>
      </c>
      <c r="H1962">
        <v>200</v>
      </c>
      <c r="I1962">
        <v>100</v>
      </c>
      <c r="J1962">
        <f>Table2[[#This Row],[Hits]]/Table2[[#This Row],[Points]]*100</f>
        <v>1</v>
      </c>
      <c r="K1962">
        <f>VLOOKUP(Table2[[#This Row],[Site]],'Site Info'!$A$1:$C$11,2, FALSE)</f>
        <v>17.7</v>
      </c>
      <c r="L1962">
        <f>VLOOKUP(Table2[[#This Row],[Site]],'Site Info'!$A$1:$C$11,3, FALSE)</f>
        <v>10</v>
      </c>
      <c r="M1962" t="str">
        <f>VLOOKUP(Table2[[#This Row],[Species]],'Species Table'!$A$1:$D$68,3, FALSE)</f>
        <v>Perennial</v>
      </c>
      <c r="O1962" s="15">
        <f>IF(SUMPRODUCT(($A$2:$A1962=A1962)*($B$2:$B1962=B1962)*($F$2:$F1962=F1962))&gt;1,0,1)</f>
        <v>1</v>
      </c>
      <c r="P1962" s="15">
        <f>IF(SUMPRODUCT(($A$2:$A1962=A1962)*($B$2:$B1962=B1962)*($D$2:$D1962=D1962))&gt;1,0,1)</f>
        <v>0</v>
      </c>
    </row>
    <row r="1963" spans="1:16" hidden="1" x14ac:dyDescent="0.35">
      <c r="A1963" t="s">
        <v>9</v>
      </c>
      <c r="B1963">
        <v>2019</v>
      </c>
      <c r="C1963" t="s">
        <v>54</v>
      </c>
      <c r="D1963" s="6">
        <v>3.7</v>
      </c>
      <c r="E1963" s="6">
        <v>3</v>
      </c>
      <c r="F1963" s="1" t="s">
        <v>10</v>
      </c>
      <c r="G1963">
        <v>33</v>
      </c>
      <c r="H1963">
        <v>200</v>
      </c>
      <c r="I1963">
        <v>100</v>
      </c>
      <c r="J1963">
        <f>Table2[[#This Row],[Hits]]/Table2[[#This Row],[Points]]*100</f>
        <v>16.5</v>
      </c>
      <c r="K1963">
        <f>VLOOKUP(Table2[[#This Row],[Site]],'Site Info'!$A$1:$C$11,2, FALSE)</f>
        <v>17.7</v>
      </c>
      <c r="L1963">
        <f>VLOOKUP(Table2[[#This Row],[Site]],'Site Info'!$A$1:$C$11,3, FALSE)</f>
        <v>10</v>
      </c>
      <c r="M1963" t="str">
        <f>VLOOKUP(Table2[[#This Row],[Species]],'Species Table'!$A$1:$D$68,3, FALSE)</f>
        <v>Annual</v>
      </c>
      <c r="O1963" s="15">
        <f>IF(SUMPRODUCT(($A$2:$A1963=A1963)*($B$2:$B1963=B1963)*($F$2:$F1963=F1963))&gt;1,0,1)</f>
        <v>0</v>
      </c>
      <c r="P1963" s="15">
        <f>IF(SUMPRODUCT(($A$2:$A1963=A1963)*($B$2:$B1963=B1963)*($D$2:$D1963=D1963))&gt;1,0,1)</f>
        <v>1</v>
      </c>
    </row>
    <row r="1964" spans="1:16" x14ac:dyDescent="0.35">
      <c r="A1964" t="s">
        <v>9</v>
      </c>
      <c r="B1964">
        <v>2019</v>
      </c>
      <c r="C1964" t="s">
        <v>54</v>
      </c>
      <c r="D1964" s="6">
        <v>3.7</v>
      </c>
      <c r="E1964" s="6">
        <v>3</v>
      </c>
      <c r="F1964" s="1" t="s">
        <v>11</v>
      </c>
      <c r="G1964">
        <v>26</v>
      </c>
      <c r="H1964">
        <v>200</v>
      </c>
      <c r="I1964">
        <v>100</v>
      </c>
      <c r="J1964">
        <f>Table2[[#This Row],[Hits]]/Table2[[#This Row],[Points]]*100</f>
        <v>13</v>
      </c>
      <c r="K1964">
        <f>VLOOKUP(Table2[[#This Row],[Site]],'Site Info'!$A$1:$C$11,2, FALSE)</f>
        <v>17.7</v>
      </c>
      <c r="L1964">
        <f>VLOOKUP(Table2[[#This Row],[Site]],'Site Info'!$A$1:$C$11,3, FALSE)</f>
        <v>10</v>
      </c>
      <c r="M1964" t="str">
        <f>VLOOKUP(Table2[[#This Row],[Species]],'Species Table'!$A$1:$D$68,3, FALSE)</f>
        <v>Perennial</v>
      </c>
      <c r="O1964" s="15">
        <f>IF(SUMPRODUCT(($A$2:$A1964=A1964)*($B$2:$B1964=B1964)*($F$2:$F1964=F1964))&gt;1,0,1)</f>
        <v>0</v>
      </c>
      <c r="P1964" s="15">
        <f>IF(SUMPRODUCT(($A$2:$A1964=A1964)*($B$2:$B1964=B1964)*($D$2:$D1964=D1964))&gt;1,0,1)</f>
        <v>0</v>
      </c>
    </row>
    <row r="1965" spans="1:16" hidden="1" x14ac:dyDescent="0.35">
      <c r="A1965" t="s">
        <v>9</v>
      </c>
      <c r="B1965">
        <v>2019</v>
      </c>
      <c r="C1965" t="s">
        <v>55</v>
      </c>
      <c r="D1965" s="6">
        <v>4.0999999999999996</v>
      </c>
      <c r="E1965" s="6">
        <v>4</v>
      </c>
      <c r="F1965" s="1" t="s">
        <v>10</v>
      </c>
      <c r="G1965">
        <v>49</v>
      </c>
      <c r="H1965">
        <v>200</v>
      </c>
      <c r="I1965">
        <v>100</v>
      </c>
      <c r="J1965">
        <f>Table2[[#This Row],[Hits]]/Table2[[#This Row],[Points]]*100</f>
        <v>24.5</v>
      </c>
      <c r="K1965">
        <f>VLOOKUP(Table2[[#This Row],[Site]],'Site Info'!$A$1:$C$11,2, FALSE)</f>
        <v>17.7</v>
      </c>
      <c r="L1965">
        <f>VLOOKUP(Table2[[#This Row],[Site]],'Site Info'!$A$1:$C$11,3, FALSE)</f>
        <v>10</v>
      </c>
      <c r="M1965" t="str">
        <f>VLOOKUP(Table2[[#This Row],[Species]],'Species Table'!$A$1:$D$68,3, FALSE)</f>
        <v>Annual</v>
      </c>
      <c r="O1965" s="15">
        <f>IF(SUMPRODUCT(($A$2:$A1965=A1965)*($B$2:$B1965=B1965)*($F$2:$F1965=F1965))&gt;1,0,1)</f>
        <v>0</v>
      </c>
      <c r="P1965" s="15">
        <f>IF(SUMPRODUCT(($A$2:$A1965=A1965)*($B$2:$B1965=B1965)*($D$2:$D1965=D1965))&gt;1,0,1)</f>
        <v>1</v>
      </c>
    </row>
    <row r="1966" spans="1:16" x14ac:dyDescent="0.35">
      <c r="A1966" t="s">
        <v>9</v>
      </c>
      <c r="B1966">
        <v>2019</v>
      </c>
      <c r="C1966" t="s">
        <v>55</v>
      </c>
      <c r="D1966" s="6">
        <v>4.0999999999999996</v>
      </c>
      <c r="E1966" s="6">
        <v>4</v>
      </c>
      <c r="F1966" s="1" t="s">
        <v>11</v>
      </c>
      <c r="G1966">
        <v>13</v>
      </c>
      <c r="H1966">
        <v>200</v>
      </c>
      <c r="I1966">
        <v>100</v>
      </c>
      <c r="J1966">
        <f>Table2[[#This Row],[Hits]]/Table2[[#This Row],[Points]]*100</f>
        <v>6.5</v>
      </c>
      <c r="K1966">
        <f>VLOOKUP(Table2[[#This Row],[Site]],'Site Info'!$A$1:$C$11,2, FALSE)</f>
        <v>17.7</v>
      </c>
      <c r="L1966">
        <f>VLOOKUP(Table2[[#This Row],[Site]],'Site Info'!$A$1:$C$11,3, FALSE)</f>
        <v>10</v>
      </c>
      <c r="M1966" t="str">
        <f>VLOOKUP(Table2[[#This Row],[Species]],'Species Table'!$A$1:$D$68,3, FALSE)</f>
        <v>Perennial</v>
      </c>
      <c r="O1966" s="15">
        <f>IF(SUMPRODUCT(($A$2:$A1966=A1966)*($B$2:$B1966=B1966)*($F$2:$F1966=F1966))&gt;1,0,1)</f>
        <v>0</v>
      </c>
      <c r="P1966" s="15">
        <f>IF(SUMPRODUCT(($A$2:$A1966=A1966)*($B$2:$B1966=B1966)*($D$2:$D1966=D1966))&gt;1,0,1)</f>
        <v>0</v>
      </c>
    </row>
    <row r="1967" spans="1:16" x14ac:dyDescent="0.35">
      <c r="A1967" t="s">
        <v>9</v>
      </c>
      <c r="B1967">
        <v>2019</v>
      </c>
      <c r="C1967" t="s">
        <v>55</v>
      </c>
      <c r="D1967" s="6">
        <v>4.0999999999999996</v>
      </c>
      <c r="E1967" s="6">
        <v>4</v>
      </c>
      <c r="F1967" s="1" t="s">
        <v>14</v>
      </c>
      <c r="G1967">
        <v>1</v>
      </c>
      <c r="H1967">
        <v>200</v>
      </c>
      <c r="I1967">
        <v>100</v>
      </c>
      <c r="J1967">
        <f>Table2[[#This Row],[Hits]]/Table2[[#This Row],[Points]]*100</f>
        <v>0.5</v>
      </c>
      <c r="K1967">
        <f>VLOOKUP(Table2[[#This Row],[Site]],'Site Info'!$A$1:$C$11,2, FALSE)</f>
        <v>17.7</v>
      </c>
      <c r="L1967">
        <f>VLOOKUP(Table2[[#This Row],[Site]],'Site Info'!$A$1:$C$11,3, FALSE)</f>
        <v>10</v>
      </c>
      <c r="M1967" t="str">
        <f>VLOOKUP(Table2[[#This Row],[Species]],'Species Table'!$A$1:$D$68,3, FALSE)</f>
        <v>Perennial</v>
      </c>
      <c r="O1967" s="15">
        <f>IF(SUMPRODUCT(($A$2:$A1967=A1967)*($B$2:$B1967=B1967)*($F$2:$F1967=F1967))&gt;1,0,1)</f>
        <v>1</v>
      </c>
      <c r="P1967" s="15">
        <f>IF(SUMPRODUCT(($A$2:$A1967=A1967)*($B$2:$B1967=B1967)*($D$2:$D1967=D1967))&gt;1,0,1)</f>
        <v>0</v>
      </c>
    </row>
    <row r="1968" spans="1:16" hidden="1" x14ac:dyDescent="0.35">
      <c r="A1968" t="s">
        <v>9</v>
      </c>
      <c r="B1968">
        <v>2019</v>
      </c>
      <c r="C1968" t="s">
        <v>56</v>
      </c>
      <c r="D1968" s="6">
        <v>4.2</v>
      </c>
      <c r="E1968" s="6">
        <v>4</v>
      </c>
      <c r="F1968" s="1" t="s">
        <v>10</v>
      </c>
      <c r="G1968">
        <v>36</v>
      </c>
      <c r="H1968">
        <v>200</v>
      </c>
      <c r="I1968">
        <v>100</v>
      </c>
      <c r="J1968">
        <f>Table2[[#This Row],[Hits]]/Table2[[#This Row],[Points]]*100</f>
        <v>18</v>
      </c>
      <c r="K1968">
        <f>VLOOKUP(Table2[[#This Row],[Site]],'Site Info'!$A$1:$C$11,2, FALSE)</f>
        <v>17.7</v>
      </c>
      <c r="L1968">
        <f>VLOOKUP(Table2[[#This Row],[Site]],'Site Info'!$A$1:$C$11,3, FALSE)</f>
        <v>10</v>
      </c>
      <c r="M1968" t="str">
        <f>VLOOKUP(Table2[[#This Row],[Species]],'Species Table'!$A$1:$D$68,3, FALSE)</f>
        <v>Annual</v>
      </c>
      <c r="O1968" s="15">
        <f>IF(SUMPRODUCT(($A$2:$A1968=A1968)*($B$2:$B1968=B1968)*($F$2:$F1968=F1968))&gt;1,0,1)</f>
        <v>0</v>
      </c>
      <c r="P1968" s="15">
        <f>IF(SUMPRODUCT(($A$2:$A1968=A1968)*($B$2:$B1968=B1968)*($D$2:$D1968=D1968))&gt;1,0,1)</f>
        <v>1</v>
      </c>
    </row>
    <row r="1969" spans="1:16" x14ac:dyDescent="0.35">
      <c r="A1969" t="s">
        <v>9</v>
      </c>
      <c r="B1969">
        <v>2019</v>
      </c>
      <c r="C1969" t="s">
        <v>56</v>
      </c>
      <c r="D1969" s="6">
        <v>4.2</v>
      </c>
      <c r="E1969" s="6">
        <v>4</v>
      </c>
      <c r="F1969" s="1" t="s">
        <v>12</v>
      </c>
      <c r="G1969">
        <v>1</v>
      </c>
      <c r="H1969">
        <v>200</v>
      </c>
      <c r="I1969">
        <v>100</v>
      </c>
      <c r="J1969">
        <f>Table2[[#This Row],[Hits]]/Table2[[#This Row],[Points]]*100</f>
        <v>0.5</v>
      </c>
      <c r="K1969">
        <f>VLOOKUP(Table2[[#This Row],[Site]],'Site Info'!$A$1:$C$11,2, FALSE)</f>
        <v>17.7</v>
      </c>
      <c r="L1969">
        <f>VLOOKUP(Table2[[#This Row],[Site]],'Site Info'!$A$1:$C$11,3, FALSE)</f>
        <v>10</v>
      </c>
      <c r="M1969" t="str">
        <f>VLOOKUP(Table2[[#This Row],[Species]],'Species Table'!$A$1:$D$68,3, FALSE)</f>
        <v>Perennial</v>
      </c>
      <c r="O1969" s="15">
        <f>IF(SUMPRODUCT(($A$2:$A1969=A1969)*($B$2:$B1969=B1969)*($F$2:$F1969=F1969))&gt;1,0,1)</f>
        <v>0</v>
      </c>
      <c r="P1969" s="15">
        <f>IF(SUMPRODUCT(($A$2:$A1969=A1969)*($B$2:$B1969=B1969)*($D$2:$D1969=D1969))&gt;1,0,1)</f>
        <v>0</v>
      </c>
    </row>
    <row r="1970" spans="1:16" x14ac:dyDescent="0.35">
      <c r="A1970" t="s">
        <v>9</v>
      </c>
      <c r="B1970">
        <v>2019</v>
      </c>
      <c r="C1970" t="s">
        <v>56</v>
      </c>
      <c r="D1970" s="6">
        <v>4.2</v>
      </c>
      <c r="E1970" s="6">
        <v>4</v>
      </c>
      <c r="F1970" s="1" t="s">
        <v>11</v>
      </c>
      <c r="G1970">
        <v>5</v>
      </c>
      <c r="H1970">
        <v>200</v>
      </c>
      <c r="I1970">
        <v>100</v>
      </c>
      <c r="J1970">
        <f>Table2[[#This Row],[Hits]]/Table2[[#This Row],[Points]]*100</f>
        <v>2.5</v>
      </c>
      <c r="K1970">
        <f>VLOOKUP(Table2[[#This Row],[Site]],'Site Info'!$A$1:$C$11,2, FALSE)</f>
        <v>17.7</v>
      </c>
      <c r="L1970">
        <f>VLOOKUP(Table2[[#This Row],[Site]],'Site Info'!$A$1:$C$11,3, FALSE)</f>
        <v>10</v>
      </c>
      <c r="M1970" t="str">
        <f>VLOOKUP(Table2[[#This Row],[Species]],'Species Table'!$A$1:$D$68,3, FALSE)</f>
        <v>Perennial</v>
      </c>
      <c r="O1970" s="15">
        <f>IF(SUMPRODUCT(($A$2:$A1970=A1970)*($B$2:$B1970=B1970)*($F$2:$F1970=F1970))&gt;1,0,1)</f>
        <v>0</v>
      </c>
      <c r="P1970" s="15">
        <f>IF(SUMPRODUCT(($A$2:$A1970=A1970)*($B$2:$B1970=B1970)*($D$2:$D1970=D1970))&gt;1,0,1)</f>
        <v>0</v>
      </c>
    </row>
    <row r="1971" spans="1:16" x14ac:dyDescent="0.35">
      <c r="A1971" t="s">
        <v>9</v>
      </c>
      <c r="B1971">
        <v>2019</v>
      </c>
      <c r="C1971" t="s">
        <v>56</v>
      </c>
      <c r="D1971" s="6">
        <v>4.2</v>
      </c>
      <c r="E1971" s="6">
        <v>4</v>
      </c>
      <c r="F1971" s="1" t="s">
        <v>6</v>
      </c>
      <c r="G1971">
        <v>2</v>
      </c>
      <c r="H1971">
        <v>200</v>
      </c>
      <c r="I1971">
        <v>100</v>
      </c>
      <c r="J1971">
        <f>Table2[[#This Row],[Hits]]/Table2[[#This Row],[Points]]*100</f>
        <v>1</v>
      </c>
      <c r="K1971">
        <f>VLOOKUP(Table2[[#This Row],[Site]],'Site Info'!$A$1:$C$11,2, FALSE)</f>
        <v>17.7</v>
      </c>
      <c r="L1971">
        <f>VLOOKUP(Table2[[#This Row],[Site]],'Site Info'!$A$1:$C$11,3, FALSE)</f>
        <v>10</v>
      </c>
      <c r="M1971" t="str">
        <f>VLOOKUP(Table2[[#This Row],[Species]],'Species Table'!$A$1:$D$68,3, FALSE)</f>
        <v>Perennial</v>
      </c>
      <c r="O1971" s="15">
        <f>IF(SUMPRODUCT(($A$2:$A1971=A1971)*($B$2:$B1971=B1971)*($F$2:$F1971=F1971))&gt;1,0,1)</f>
        <v>0</v>
      </c>
      <c r="P1971" s="15">
        <f>IF(SUMPRODUCT(($A$2:$A1971=A1971)*($B$2:$B1971=B1971)*($D$2:$D1971=D1971))&gt;1,0,1)</f>
        <v>0</v>
      </c>
    </row>
    <row r="1972" spans="1:16" hidden="1" x14ac:dyDescent="0.35">
      <c r="A1972" t="s">
        <v>9</v>
      </c>
      <c r="B1972">
        <v>2019</v>
      </c>
      <c r="C1972" t="s">
        <v>57</v>
      </c>
      <c r="D1972" s="6">
        <v>4.3</v>
      </c>
      <c r="E1972" s="6">
        <v>4</v>
      </c>
      <c r="F1972" s="1" t="s">
        <v>10</v>
      </c>
      <c r="G1972">
        <v>29</v>
      </c>
      <c r="H1972">
        <v>200</v>
      </c>
      <c r="I1972">
        <v>100</v>
      </c>
      <c r="J1972">
        <f>Table2[[#This Row],[Hits]]/Table2[[#This Row],[Points]]*100</f>
        <v>14.499999999999998</v>
      </c>
      <c r="K1972">
        <f>VLOOKUP(Table2[[#This Row],[Site]],'Site Info'!$A$1:$C$11,2, FALSE)</f>
        <v>17.7</v>
      </c>
      <c r="L1972">
        <f>VLOOKUP(Table2[[#This Row],[Site]],'Site Info'!$A$1:$C$11,3, FALSE)</f>
        <v>10</v>
      </c>
      <c r="M1972" t="str">
        <f>VLOOKUP(Table2[[#This Row],[Species]],'Species Table'!$A$1:$D$68,3, FALSE)</f>
        <v>Annual</v>
      </c>
      <c r="O1972" s="15">
        <f>IF(SUMPRODUCT(($A$2:$A1972=A1972)*($B$2:$B1972=B1972)*($F$2:$F1972=F1972))&gt;1,0,1)</f>
        <v>0</v>
      </c>
      <c r="P1972" s="15">
        <f>IF(SUMPRODUCT(($A$2:$A1972=A1972)*($B$2:$B1972=B1972)*($D$2:$D1972=D1972))&gt;1,0,1)</f>
        <v>1</v>
      </c>
    </row>
    <row r="1973" spans="1:16" hidden="1" x14ac:dyDescent="0.35">
      <c r="A1973" t="s">
        <v>9</v>
      </c>
      <c r="B1973">
        <v>2019</v>
      </c>
      <c r="C1973" t="s">
        <v>57</v>
      </c>
      <c r="D1973" s="6">
        <v>4.3</v>
      </c>
      <c r="E1973" s="6">
        <v>4</v>
      </c>
      <c r="F1973" s="1" t="s">
        <v>290</v>
      </c>
      <c r="G1973">
        <v>12</v>
      </c>
      <c r="H1973">
        <v>200</v>
      </c>
      <c r="I1973">
        <v>100</v>
      </c>
      <c r="J1973">
        <f>Table2[[#This Row],[Hits]]/Table2[[#This Row],[Points]]*100</f>
        <v>6</v>
      </c>
      <c r="K1973">
        <f>VLOOKUP(Table2[[#This Row],[Site]],'Site Info'!$A$1:$C$11,2, FALSE)</f>
        <v>17.7</v>
      </c>
      <c r="L1973">
        <f>VLOOKUP(Table2[[#This Row],[Site]],'Site Info'!$A$1:$C$11,3, FALSE)</f>
        <v>10</v>
      </c>
      <c r="M1973" t="e">
        <f>VLOOKUP(Table2[[#This Row],[Species]],'Species Table'!$A$1:$D$68,3, FALSE)</f>
        <v>#N/A</v>
      </c>
      <c r="O1973" s="15">
        <f>IF(SUMPRODUCT(($A$2:$A1973=A1973)*($B$2:$B1973=B1973)*($F$2:$F1973=F1973))&gt;1,0,1)</f>
        <v>1</v>
      </c>
      <c r="P1973" s="15">
        <f>IF(SUMPRODUCT(($A$2:$A1973=A1973)*($B$2:$B1973=B1973)*($D$2:$D1973=D1973))&gt;1,0,1)</f>
        <v>0</v>
      </c>
    </row>
    <row r="1974" spans="1:16" x14ac:dyDescent="0.35">
      <c r="A1974" t="s">
        <v>9</v>
      </c>
      <c r="B1974">
        <v>2019</v>
      </c>
      <c r="C1974" t="s">
        <v>57</v>
      </c>
      <c r="D1974" s="6">
        <v>4.3</v>
      </c>
      <c r="E1974" s="6">
        <v>4</v>
      </c>
      <c r="F1974" s="1" t="s">
        <v>12</v>
      </c>
      <c r="G1974">
        <v>12</v>
      </c>
      <c r="H1974">
        <v>200</v>
      </c>
      <c r="I1974">
        <v>100</v>
      </c>
      <c r="J1974">
        <f>Table2[[#This Row],[Hits]]/Table2[[#This Row],[Points]]*100</f>
        <v>6</v>
      </c>
      <c r="K1974">
        <f>VLOOKUP(Table2[[#This Row],[Site]],'Site Info'!$A$1:$C$11,2, FALSE)</f>
        <v>17.7</v>
      </c>
      <c r="L1974">
        <f>VLOOKUP(Table2[[#This Row],[Site]],'Site Info'!$A$1:$C$11,3, FALSE)</f>
        <v>10</v>
      </c>
      <c r="M1974" t="str">
        <f>VLOOKUP(Table2[[#This Row],[Species]],'Species Table'!$A$1:$D$68,3, FALSE)</f>
        <v>Perennial</v>
      </c>
      <c r="O1974" s="15">
        <f>IF(SUMPRODUCT(($A$2:$A1974=A1974)*($B$2:$B1974=B1974)*($F$2:$F1974=F1974))&gt;1,0,1)</f>
        <v>0</v>
      </c>
      <c r="P1974" s="15">
        <f>IF(SUMPRODUCT(($A$2:$A1974=A1974)*($B$2:$B1974=B1974)*($D$2:$D1974=D1974))&gt;1,0,1)</f>
        <v>0</v>
      </c>
    </row>
    <row r="1975" spans="1:16" x14ac:dyDescent="0.35">
      <c r="A1975" t="s">
        <v>9</v>
      </c>
      <c r="B1975">
        <v>2019</v>
      </c>
      <c r="C1975" t="s">
        <v>57</v>
      </c>
      <c r="D1975" s="6">
        <v>4.3</v>
      </c>
      <c r="E1975" s="6">
        <v>4</v>
      </c>
      <c r="F1975" s="1" t="s">
        <v>6</v>
      </c>
      <c r="G1975">
        <v>10</v>
      </c>
      <c r="H1975">
        <v>200</v>
      </c>
      <c r="I1975">
        <v>100</v>
      </c>
      <c r="J1975">
        <f>Table2[[#This Row],[Hits]]/Table2[[#This Row],[Points]]*100</f>
        <v>5</v>
      </c>
      <c r="K1975">
        <f>VLOOKUP(Table2[[#This Row],[Site]],'Site Info'!$A$1:$C$11,2, FALSE)</f>
        <v>17.7</v>
      </c>
      <c r="L1975">
        <f>VLOOKUP(Table2[[#This Row],[Site]],'Site Info'!$A$1:$C$11,3, FALSE)</f>
        <v>10</v>
      </c>
      <c r="M1975" t="str">
        <f>VLOOKUP(Table2[[#This Row],[Species]],'Species Table'!$A$1:$D$68,3, FALSE)</f>
        <v>Perennial</v>
      </c>
      <c r="O1975" s="15">
        <f>IF(SUMPRODUCT(($A$2:$A1975=A1975)*($B$2:$B1975=B1975)*($F$2:$F1975=F1975))&gt;1,0,1)</f>
        <v>0</v>
      </c>
      <c r="P1975" s="15">
        <f>IF(SUMPRODUCT(($A$2:$A1975=A1975)*($B$2:$B1975=B1975)*($D$2:$D1975=D1975))&gt;1,0,1)</f>
        <v>0</v>
      </c>
    </row>
    <row r="1976" spans="1:16" x14ac:dyDescent="0.35">
      <c r="A1976" t="s">
        <v>9</v>
      </c>
      <c r="B1976">
        <v>2019</v>
      </c>
      <c r="C1976" t="s">
        <v>57</v>
      </c>
      <c r="D1976" s="6">
        <v>4.3</v>
      </c>
      <c r="E1976" s="6">
        <v>4</v>
      </c>
      <c r="F1976" s="1" t="s">
        <v>3</v>
      </c>
      <c r="G1976">
        <v>1</v>
      </c>
      <c r="H1976">
        <v>200</v>
      </c>
      <c r="I1976">
        <v>100</v>
      </c>
      <c r="J1976">
        <f>Table2[[#This Row],[Hits]]/Table2[[#This Row],[Points]]*100</f>
        <v>0.5</v>
      </c>
      <c r="K1976">
        <f>VLOOKUP(Table2[[#This Row],[Site]],'Site Info'!$A$1:$C$11,2, FALSE)</f>
        <v>17.7</v>
      </c>
      <c r="L1976">
        <f>VLOOKUP(Table2[[#This Row],[Site]],'Site Info'!$A$1:$C$11,3, FALSE)</f>
        <v>10</v>
      </c>
      <c r="M1976" t="str">
        <f>VLOOKUP(Table2[[#This Row],[Species]],'Species Table'!$A$1:$D$68,3, FALSE)</f>
        <v>Perennial</v>
      </c>
      <c r="O1976" s="15">
        <f>IF(SUMPRODUCT(($A$2:$A1976=A1976)*($B$2:$B1976=B1976)*($F$2:$F1976=F1976))&gt;1,0,1)</f>
        <v>0</v>
      </c>
      <c r="P1976" s="15">
        <f>IF(SUMPRODUCT(($A$2:$A1976=A1976)*($B$2:$B1976=B1976)*($D$2:$D1976=D1976))&gt;1,0,1)</f>
        <v>0</v>
      </c>
    </row>
    <row r="1977" spans="1:16" x14ac:dyDescent="0.35">
      <c r="A1977" t="s">
        <v>9</v>
      </c>
      <c r="B1977">
        <v>2019</v>
      </c>
      <c r="C1977" t="s">
        <v>58</v>
      </c>
      <c r="D1977" s="6">
        <v>4.4000000000000004</v>
      </c>
      <c r="E1977" s="6">
        <v>4</v>
      </c>
      <c r="F1977" s="1" t="s">
        <v>6</v>
      </c>
      <c r="G1977">
        <v>22</v>
      </c>
      <c r="H1977">
        <v>200</v>
      </c>
      <c r="I1977">
        <v>100</v>
      </c>
      <c r="J1977">
        <f>Table2[[#This Row],[Hits]]/Table2[[#This Row],[Points]]*100</f>
        <v>11</v>
      </c>
      <c r="K1977">
        <f>VLOOKUP(Table2[[#This Row],[Site]],'Site Info'!$A$1:$C$11,2, FALSE)</f>
        <v>17.7</v>
      </c>
      <c r="L1977">
        <f>VLOOKUP(Table2[[#This Row],[Site]],'Site Info'!$A$1:$C$11,3, FALSE)</f>
        <v>10</v>
      </c>
      <c r="M1977" t="str">
        <f>VLOOKUP(Table2[[#This Row],[Species]],'Species Table'!$A$1:$D$68,3, FALSE)</f>
        <v>Perennial</v>
      </c>
      <c r="O1977" s="15">
        <f>IF(SUMPRODUCT(($A$2:$A1977=A1977)*($B$2:$B1977=B1977)*($F$2:$F1977=F1977))&gt;1,0,1)</f>
        <v>0</v>
      </c>
      <c r="P1977" s="15">
        <f>IF(SUMPRODUCT(($A$2:$A1977=A1977)*($B$2:$B1977=B1977)*($D$2:$D1977=D1977))&gt;1,0,1)</f>
        <v>1</v>
      </c>
    </row>
    <row r="1978" spans="1:16" hidden="1" x14ac:dyDescent="0.35">
      <c r="A1978" t="s">
        <v>9</v>
      </c>
      <c r="B1978">
        <v>2019</v>
      </c>
      <c r="C1978" t="s">
        <v>58</v>
      </c>
      <c r="D1978" s="6">
        <v>4.4000000000000004</v>
      </c>
      <c r="E1978" s="6">
        <v>4</v>
      </c>
      <c r="F1978" s="1" t="s">
        <v>10</v>
      </c>
      <c r="G1978">
        <v>31</v>
      </c>
      <c r="H1978">
        <v>200</v>
      </c>
      <c r="I1978">
        <v>100</v>
      </c>
      <c r="J1978">
        <f>Table2[[#This Row],[Hits]]/Table2[[#This Row],[Points]]*100</f>
        <v>15.5</v>
      </c>
      <c r="K1978">
        <f>VLOOKUP(Table2[[#This Row],[Site]],'Site Info'!$A$1:$C$11,2, FALSE)</f>
        <v>17.7</v>
      </c>
      <c r="L1978">
        <f>VLOOKUP(Table2[[#This Row],[Site]],'Site Info'!$A$1:$C$11,3, FALSE)</f>
        <v>10</v>
      </c>
      <c r="M1978" t="str">
        <f>VLOOKUP(Table2[[#This Row],[Species]],'Species Table'!$A$1:$D$68,3, FALSE)</f>
        <v>Annual</v>
      </c>
      <c r="O1978" s="15">
        <f>IF(SUMPRODUCT(($A$2:$A1978=A1978)*($B$2:$B1978=B1978)*($F$2:$F1978=F1978))&gt;1,0,1)</f>
        <v>0</v>
      </c>
      <c r="P1978" s="15">
        <f>IF(SUMPRODUCT(($A$2:$A1978=A1978)*($B$2:$B1978=B1978)*($D$2:$D1978=D1978))&gt;1,0,1)</f>
        <v>0</v>
      </c>
    </row>
    <row r="1979" spans="1:16" x14ac:dyDescent="0.35">
      <c r="A1979" t="s">
        <v>9</v>
      </c>
      <c r="B1979">
        <v>2019</v>
      </c>
      <c r="C1979" t="s">
        <v>58</v>
      </c>
      <c r="D1979" s="6">
        <v>4.4000000000000004</v>
      </c>
      <c r="E1979" s="6">
        <v>4</v>
      </c>
      <c r="F1979" s="1" t="s">
        <v>3</v>
      </c>
      <c r="G1979">
        <v>2</v>
      </c>
      <c r="H1979">
        <v>200</v>
      </c>
      <c r="I1979">
        <v>100</v>
      </c>
      <c r="J1979">
        <f>Table2[[#This Row],[Hits]]/Table2[[#This Row],[Points]]*100</f>
        <v>1</v>
      </c>
      <c r="K1979">
        <f>VLOOKUP(Table2[[#This Row],[Site]],'Site Info'!$A$1:$C$11,2, FALSE)</f>
        <v>17.7</v>
      </c>
      <c r="L1979">
        <f>VLOOKUP(Table2[[#This Row],[Site]],'Site Info'!$A$1:$C$11,3, FALSE)</f>
        <v>10</v>
      </c>
      <c r="M1979" t="str">
        <f>VLOOKUP(Table2[[#This Row],[Species]],'Species Table'!$A$1:$D$68,3, FALSE)</f>
        <v>Perennial</v>
      </c>
      <c r="O1979" s="15">
        <f>IF(SUMPRODUCT(($A$2:$A1979=A1979)*($B$2:$B1979=B1979)*($F$2:$F1979=F1979))&gt;1,0,1)</f>
        <v>0</v>
      </c>
      <c r="P1979" s="15">
        <f>IF(SUMPRODUCT(($A$2:$A1979=A1979)*($B$2:$B1979=B1979)*($D$2:$D1979=D1979))&gt;1,0,1)</f>
        <v>0</v>
      </c>
    </row>
    <row r="1980" spans="1:16" x14ac:dyDescent="0.35">
      <c r="A1980" t="s">
        <v>9</v>
      </c>
      <c r="B1980">
        <v>2019</v>
      </c>
      <c r="C1980" t="s">
        <v>58</v>
      </c>
      <c r="D1980" s="6">
        <v>4.4000000000000004</v>
      </c>
      <c r="E1980" s="6">
        <v>4</v>
      </c>
      <c r="F1980" s="1" t="s">
        <v>12</v>
      </c>
      <c r="G1980">
        <v>1</v>
      </c>
      <c r="H1980">
        <v>200</v>
      </c>
      <c r="I1980">
        <v>100</v>
      </c>
      <c r="J1980">
        <f>Table2[[#This Row],[Hits]]/Table2[[#This Row],[Points]]*100</f>
        <v>0.5</v>
      </c>
      <c r="K1980">
        <f>VLOOKUP(Table2[[#This Row],[Site]],'Site Info'!$A$1:$C$11,2, FALSE)</f>
        <v>17.7</v>
      </c>
      <c r="L1980">
        <f>VLOOKUP(Table2[[#This Row],[Site]],'Site Info'!$A$1:$C$11,3, FALSE)</f>
        <v>10</v>
      </c>
      <c r="M1980" t="str">
        <f>VLOOKUP(Table2[[#This Row],[Species]],'Species Table'!$A$1:$D$68,3, FALSE)</f>
        <v>Perennial</v>
      </c>
      <c r="O1980" s="15">
        <f>IF(SUMPRODUCT(($A$2:$A1980=A1980)*($B$2:$B1980=B1980)*($F$2:$F1980=F1980))&gt;1,0,1)</f>
        <v>0</v>
      </c>
      <c r="P1980" s="15">
        <f>IF(SUMPRODUCT(($A$2:$A1980=A1980)*($B$2:$B1980=B1980)*($D$2:$D1980=D1980))&gt;1,0,1)</f>
        <v>0</v>
      </c>
    </row>
    <row r="1981" spans="1:16" hidden="1" x14ac:dyDescent="0.35">
      <c r="A1981" t="s">
        <v>9</v>
      </c>
      <c r="B1981">
        <v>2019</v>
      </c>
      <c r="C1981" t="s">
        <v>59</v>
      </c>
      <c r="D1981" s="6">
        <v>4.5</v>
      </c>
      <c r="E1981" s="6">
        <v>4</v>
      </c>
      <c r="F1981" s="1" t="s">
        <v>10</v>
      </c>
      <c r="G1981">
        <v>37</v>
      </c>
      <c r="H1981">
        <v>200</v>
      </c>
      <c r="I1981">
        <v>100</v>
      </c>
      <c r="J1981">
        <f>Table2[[#This Row],[Hits]]/Table2[[#This Row],[Points]]*100</f>
        <v>18.5</v>
      </c>
      <c r="K1981">
        <f>VLOOKUP(Table2[[#This Row],[Site]],'Site Info'!$A$1:$C$11,2, FALSE)</f>
        <v>17.7</v>
      </c>
      <c r="L1981">
        <f>VLOOKUP(Table2[[#This Row],[Site]],'Site Info'!$A$1:$C$11,3, FALSE)</f>
        <v>10</v>
      </c>
      <c r="M1981" t="str">
        <f>VLOOKUP(Table2[[#This Row],[Species]],'Species Table'!$A$1:$D$68,3, FALSE)</f>
        <v>Annual</v>
      </c>
      <c r="O1981" s="15">
        <f>IF(SUMPRODUCT(($A$2:$A1981=A1981)*($B$2:$B1981=B1981)*($F$2:$F1981=F1981))&gt;1,0,1)</f>
        <v>0</v>
      </c>
      <c r="P1981" s="15">
        <f>IF(SUMPRODUCT(($A$2:$A1981=A1981)*($B$2:$B1981=B1981)*($D$2:$D1981=D1981))&gt;1,0,1)</f>
        <v>1</v>
      </c>
    </row>
    <row r="1982" spans="1:16" x14ac:dyDescent="0.35">
      <c r="A1982" t="s">
        <v>9</v>
      </c>
      <c r="B1982">
        <v>2019</v>
      </c>
      <c r="C1982" t="s">
        <v>59</v>
      </c>
      <c r="D1982" s="6">
        <v>4.5</v>
      </c>
      <c r="E1982" s="6">
        <v>4</v>
      </c>
      <c r="F1982" s="1" t="s">
        <v>6</v>
      </c>
      <c r="G1982">
        <v>17</v>
      </c>
      <c r="H1982">
        <v>200</v>
      </c>
      <c r="I1982">
        <v>100</v>
      </c>
      <c r="J1982">
        <f>Table2[[#This Row],[Hits]]/Table2[[#This Row],[Points]]*100</f>
        <v>8.5</v>
      </c>
      <c r="K1982">
        <f>VLOOKUP(Table2[[#This Row],[Site]],'Site Info'!$A$1:$C$11,2, FALSE)</f>
        <v>17.7</v>
      </c>
      <c r="L1982">
        <f>VLOOKUP(Table2[[#This Row],[Site]],'Site Info'!$A$1:$C$11,3, FALSE)</f>
        <v>10</v>
      </c>
      <c r="M1982" t="str">
        <f>VLOOKUP(Table2[[#This Row],[Species]],'Species Table'!$A$1:$D$68,3, FALSE)</f>
        <v>Perennial</v>
      </c>
      <c r="O1982" s="15">
        <f>IF(SUMPRODUCT(($A$2:$A1982=A1982)*($B$2:$B1982=B1982)*($F$2:$F1982=F1982))&gt;1,0,1)</f>
        <v>0</v>
      </c>
      <c r="P1982" s="15">
        <f>IF(SUMPRODUCT(($A$2:$A1982=A1982)*($B$2:$B1982=B1982)*($D$2:$D1982=D1982))&gt;1,0,1)</f>
        <v>0</v>
      </c>
    </row>
    <row r="1983" spans="1:16" x14ac:dyDescent="0.35">
      <c r="A1983" t="s">
        <v>9</v>
      </c>
      <c r="B1983">
        <v>2019</v>
      </c>
      <c r="C1983" t="s">
        <v>59</v>
      </c>
      <c r="D1983" s="6">
        <v>4.5</v>
      </c>
      <c r="E1983" s="6">
        <v>4</v>
      </c>
      <c r="F1983" s="1" t="s">
        <v>12</v>
      </c>
      <c r="G1983">
        <v>7</v>
      </c>
      <c r="H1983">
        <v>200</v>
      </c>
      <c r="I1983">
        <v>100</v>
      </c>
      <c r="J1983">
        <f>Table2[[#This Row],[Hits]]/Table2[[#This Row],[Points]]*100</f>
        <v>3.5000000000000004</v>
      </c>
      <c r="K1983">
        <f>VLOOKUP(Table2[[#This Row],[Site]],'Site Info'!$A$1:$C$11,2, FALSE)</f>
        <v>17.7</v>
      </c>
      <c r="L1983">
        <f>VLOOKUP(Table2[[#This Row],[Site]],'Site Info'!$A$1:$C$11,3, FALSE)</f>
        <v>10</v>
      </c>
      <c r="M1983" t="str">
        <f>VLOOKUP(Table2[[#This Row],[Species]],'Species Table'!$A$1:$D$68,3, FALSE)</f>
        <v>Perennial</v>
      </c>
      <c r="O1983" s="15">
        <f>IF(SUMPRODUCT(($A$2:$A1983=A1983)*($B$2:$B1983=B1983)*($F$2:$F1983=F1983))&gt;1,0,1)</f>
        <v>0</v>
      </c>
      <c r="P1983" s="15">
        <f>IF(SUMPRODUCT(($A$2:$A1983=A1983)*($B$2:$B1983=B1983)*($D$2:$D1983=D1983))&gt;1,0,1)</f>
        <v>0</v>
      </c>
    </row>
    <row r="1984" spans="1:16" hidden="1" x14ac:dyDescent="0.35">
      <c r="A1984" t="s">
        <v>9</v>
      </c>
      <c r="B1984">
        <v>2019</v>
      </c>
      <c r="C1984" t="s">
        <v>60</v>
      </c>
      <c r="D1984" s="6">
        <v>4.5999999999999996</v>
      </c>
      <c r="E1984" s="6">
        <v>4</v>
      </c>
      <c r="F1984" s="1" t="s">
        <v>10</v>
      </c>
      <c r="G1984">
        <v>49</v>
      </c>
      <c r="H1984">
        <v>200</v>
      </c>
      <c r="I1984">
        <v>100</v>
      </c>
      <c r="J1984">
        <f>Table2[[#This Row],[Hits]]/Table2[[#This Row],[Points]]*100</f>
        <v>24.5</v>
      </c>
      <c r="K1984">
        <f>VLOOKUP(Table2[[#This Row],[Site]],'Site Info'!$A$1:$C$11,2, FALSE)</f>
        <v>17.7</v>
      </c>
      <c r="L1984">
        <f>VLOOKUP(Table2[[#This Row],[Site]],'Site Info'!$A$1:$C$11,3, FALSE)</f>
        <v>10</v>
      </c>
      <c r="M1984" t="str">
        <f>VLOOKUP(Table2[[#This Row],[Species]],'Species Table'!$A$1:$D$68,3, FALSE)</f>
        <v>Annual</v>
      </c>
      <c r="O1984" s="15">
        <f>IF(SUMPRODUCT(($A$2:$A1984=A1984)*($B$2:$B1984=B1984)*($F$2:$F1984=F1984))&gt;1,0,1)</f>
        <v>0</v>
      </c>
      <c r="P1984" s="15">
        <f>IF(SUMPRODUCT(($A$2:$A1984=A1984)*($B$2:$B1984=B1984)*($D$2:$D1984=D1984))&gt;1,0,1)</f>
        <v>1</v>
      </c>
    </row>
    <row r="1985" spans="1:16" hidden="1" x14ac:dyDescent="0.35">
      <c r="A1985" t="s">
        <v>9</v>
      </c>
      <c r="B1985">
        <v>2019</v>
      </c>
      <c r="C1985" t="s">
        <v>60</v>
      </c>
      <c r="D1985" s="6">
        <v>4.5999999999999996</v>
      </c>
      <c r="E1985" s="6">
        <v>4</v>
      </c>
      <c r="F1985" s="1" t="s">
        <v>290</v>
      </c>
      <c r="G1985">
        <v>5</v>
      </c>
      <c r="H1985">
        <v>200</v>
      </c>
      <c r="I1985">
        <v>100</v>
      </c>
      <c r="J1985">
        <f>Table2[[#This Row],[Hits]]/Table2[[#This Row],[Points]]*100</f>
        <v>2.5</v>
      </c>
      <c r="K1985">
        <f>VLOOKUP(Table2[[#This Row],[Site]],'Site Info'!$A$1:$C$11,2, FALSE)</f>
        <v>17.7</v>
      </c>
      <c r="L1985">
        <f>VLOOKUP(Table2[[#This Row],[Site]],'Site Info'!$A$1:$C$11,3, FALSE)</f>
        <v>10</v>
      </c>
      <c r="M1985" t="e">
        <f>VLOOKUP(Table2[[#This Row],[Species]],'Species Table'!$A$1:$D$68,3, FALSE)</f>
        <v>#N/A</v>
      </c>
      <c r="O1985" s="15">
        <f>IF(SUMPRODUCT(($A$2:$A1985=A1985)*($B$2:$B1985=B1985)*($F$2:$F1985=F1985))&gt;1,0,1)</f>
        <v>0</v>
      </c>
      <c r="P1985" s="15">
        <f>IF(SUMPRODUCT(($A$2:$A1985=A1985)*($B$2:$B1985=B1985)*($D$2:$D1985=D1985))&gt;1,0,1)</f>
        <v>0</v>
      </c>
    </row>
    <row r="1986" spans="1:16" x14ac:dyDescent="0.35">
      <c r="A1986" t="s">
        <v>9</v>
      </c>
      <c r="B1986">
        <v>2019</v>
      </c>
      <c r="C1986" t="s">
        <v>60</v>
      </c>
      <c r="D1986" s="6">
        <v>4.5999999999999996</v>
      </c>
      <c r="E1986" s="6">
        <v>4</v>
      </c>
      <c r="F1986" s="1" t="s">
        <v>12</v>
      </c>
      <c r="G1986">
        <v>2</v>
      </c>
      <c r="H1986">
        <v>200</v>
      </c>
      <c r="I1986">
        <v>100</v>
      </c>
      <c r="J1986">
        <f>Table2[[#This Row],[Hits]]/Table2[[#This Row],[Points]]*100</f>
        <v>1</v>
      </c>
      <c r="K1986">
        <f>VLOOKUP(Table2[[#This Row],[Site]],'Site Info'!$A$1:$C$11,2, FALSE)</f>
        <v>17.7</v>
      </c>
      <c r="L1986">
        <f>VLOOKUP(Table2[[#This Row],[Site]],'Site Info'!$A$1:$C$11,3, FALSE)</f>
        <v>10</v>
      </c>
      <c r="M1986" t="str">
        <f>VLOOKUP(Table2[[#This Row],[Species]],'Species Table'!$A$1:$D$68,3, FALSE)</f>
        <v>Perennial</v>
      </c>
      <c r="O1986" s="15">
        <f>IF(SUMPRODUCT(($A$2:$A1986=A1986)*($B$2:$B1986=B1986)*($F$2:$F1986=F1986))&gt;1,0,1)</f>
        <v>0</v>
      </c>
      <c r="P1986" s="15">
        <f>IF(SUMPRODUCT(($A$2:$A1986=A1986)*($B$2:$B1986=B1986)*($D$2:$D1986=D1986))&gt;1,0,1)</f>
        <v>0</v>
      </c>
    </row>
    <row r="1987" spans="1:16" x14ac:dyDescent="0.35">
      <c r="A1987" t="s">
        <v>9</v>
      </c>
      <c r="B1987">
        <v>2019</v>
      </c>
      <c r="C1987" t="s">
        <v>60</v>
      </c>
      <c r="D1987" s="6">
        <v>4.5999999999999996</v>
      </c>
      <c r="E1987" s="6">
        <v>4</v>
      </c>
      <c r="F1987" s="1" t="s">
        <v>5</v>
      </c>
      <c r="G1987">
        <v>1</v>
      </c>
      <c r="H1987">
        <v>200</v>
      </c>
      <c r="I1987">
        <v>100</v>
      </c>
      <c r="J1987">
        <f>Table2[[#This Row],[Hits]]/Table2[[#This Row],[Points]]*100</f>
        <v>0.5</v>
      </c>
      <c r="K1987">
        <f>VLOOKUP(Table2[[#This Row],[Site]],'Site Info'!$A$1:$C$11,2, FALSE)</f>
        <v>17.7</v>
      </c>
      <c r="L1987">
        <f>VLOOKUP(Table2[[#This Row],[Site]],'Site Info'!$A$1:$C$11,3, FALSE)</f>
        <v>10</v>
      </c>
      <c r="M1987" t="str">
        <f>VLOOKUP(Table2[[#This Row],[Species]],'Species Table'!$A$1:$D$68,3, FALSE)</f>
        <v>Perennial</v>
      </c>
      <c r="O1987" s="15">
        <f>IF(SUMPRODUCT(($A$2:$A1987=A1987)*($B$2:$B1987=B1987)*($F$2:$F1987=F1987))&gt;1,0,1)</f>
        <v>0</v>
      </c>
      <c r="P1987" s="15">
        <f>IF(SUMPRODUCT(($A$2:$A1987=A1987)*($B$2:$B1987=B1987)*($D$2:$D1987=D1987))&gt;1,0,1)</f>
        <v>0</v>
      </c>
    </row>
    <row r="1988" spans="1:16" x14ac:dyDescent="0.35">
      <c r="A1988" t="s">
        <v>9</v>
      </c>
      <c r="B1988">
        <v>2019</v>
      </c>
      <c r="C1988" t="s">
        <v>60</v>
      </c>
      <c r="D1988" s="6">
        <v>4.5999999999999996</v>
      </c>
      <c r="E1988" s="6">
        <v>4</v>
      </c>
      <c r="F1988" s="1" t="s">
        <v>31</v>
      </c>
      <c r="G1988">
        <v>16</v>
      </c>
      <c r="H1988">
        <v>200</v>
      </c>
      <c r="I1988">
        <v>100</v>
      </c>
      <c r="J1988">
        <f>Table2[[#This Row],[Hits]]/Table2[[#This Row],[Points]]*100</f>
        <v>8</v>
      </c>
      <c r="K1988">
        <f>VLOOKUP(Table2[[#This Row],[Site]],'Site Info'!$A$1:$C$11,2, FALSE)</f>
        <v>17.7</v>
      </c>
      <c r="L1988">
        <f>VLOOKUP(Table2[[#This Row],[Site]],'Site Info'!$A$1:$C$11,3, FALSE)</f>
        <v>10</v>
      </c>
      <c r="M1988" t="str">
        <f>VLOOKUP(Table2[[#This Row],[Species]],'Species Table'!$A$1:$D$68,3, FALSE)</f>
        <v>Perennial</v>
      </c>
      <c r="O1988" s="15">
        <f>IF(SUMPRODUCT(($A$2:$A1988=A1988)*($B$2:$B1988=B1988)*($F$2:$F1988=F1988))&gt;1,0,1)</f>
        <v>0</v>
      </c>
      <c r="P1988" s="15">
        <f>IF(SUMPRODUCT(($A$2:$A1988=A1988)*($B$2:$B1988=B1988)*($D$2:$D1988=D1988))&gt;1,0,1)</f>
        <v>0</v>
      </c>
    </row>
    <row r="1989" spans="1:16" hidden="1" x14ac:dyDescent="0.35">
      <c r="A1989" t="s">
        <v>9</v>
      </c>
      <c r="B1989">
        <v>2019</v>
      </c>
      <c r="C1989" t="s">
        <v>61</v>
      </c>
      <c r="D1989" s="6">
        <v>4.7</v>
      </c>
      <c r="E1989" s="6">
        <v>4</v>
      </c>
      <c r="F1989" s="1" t="s">
        <v>10</v>
      </c>
      <c r="G1989">
        <v>30</v>
      </c>
      <c r="H1989">
        <v>200</v>
      </c>
      <c r="I1989">
        <v>100</v>
      </c>
      <c r="J1989">
        <f>Table2[[#This Row],[Hits]]/Table2[[#This Row],[Points]]*100</f>
        <v>15</v>
      </c>
      <c r="K1989">
        <f>VLOOKUP(Table2[[#This Row],[Site]],'Site Info'!$A$1:$C$11,2, FALSE)</f>
        <v>17.7</v>
      </c>
      <c r="L1989">
        <f>VLOOKUP(Table2[[#This Row],[Site]],'Site Info'!$A$1:$C$11,3, FALSE)</f>
        <v>10</v>
      </c>
      <c r="M1989" t="str">
        <f>VLOOKUP(Table2[[#This Row],[Species]],'Species Table'!$A$1:$D$68,3, FALSE)</f>
        <v>Annual</v>
      </c>
      <c r="O1989" s="15">
        <f>IF(SUMPRODUCT(($A$2:$A1989=A1989)*($B$2:$B1989=B1989)*($F$2:$F1989=F1989))&gt;1,0,1)</f>
        <v>0</v>
      </c>
      <c r="P1989" s="15">
        <f>IF(SUMPRODUCT(($A$2:$A1989=A1989)*($B$2:$B1989=B1989)*($D$2:$D1989=D1989))&gt;1,0,1)</f>
        <v>1</v>
      </c>
    </row>
    <row r="1990" spans="1:16" x14ac:dyDescent="0.35">
      <c r="A1990" t="s">
        <v>9</v>
      </c>
      <c r="B1990">
        <v>2019</v>
      </c>
      <c r="C1990" t="s">
        <v>61</v>
      </c>
      <c r="D1990" s="6">
        <v>4.7</v>
      </c>
      <c r="E1990" s="6">
        <v>4</v>
      </c>
      <c r="F1990" s="1" t="s">
        <v>3</v>
      </c>
      <c r="G1990">
        <v>6</v>
      </c>
      <c r="H1990">
        <v>200</v>
      </c>
      <c r="I1990">
        <v>100</v>
      </c>
      <c r="J1990">
        <f>Table2[[#This Row],[Hits]]/Table2[[#This Row],[Points]]*100</f>
        <v>3</v>
      </c>
      <c r="K1990">
        <f>VLOOKUP(Table2[[#This Row],[Site]],'Site Info'!$A$1:$C$11,2, FALSE)</f>
        <v>17.7</v>
      </c>
      <c r="L1990">
        <f>VLOOKUP(Table2[[#This Row],[Site]],'Site Info'!$A$1:$C$11,3, FALSE)</f>
        <v>10</v>
      </c>
      <c r="M1990" t="str">
        <f>VLOOKUP(Table2[[#This Row],[Species]],'Species Table'!$A$1:$D$68,3, FALSE)</f>
        <v>Perennial</v>
      </c>
      <c r="O1990" s="15">
        <f>IF(SUMPRODUCT(($A$2:$A1990=A1990)*($B$2:$B1990=B1990)*($F$2:$F1990=F1990))&gt;1,0,1)</f>
        <v>0</v>
      </c>
      <c r="P1990" s="15">
        <f>IF(SUMPRODUCT(($A$2:$A1990=A1990)*($B$2:$B1990=B1990)*($D$2:$D1990=D1990))&gt;1,0,1)</f>
        <v>0</v>
      </c>
    </row>
    <row r="1991" spans="1:16" x14ac:dyDescent="0.35">
      <c r="A1991" t="s">
        <v>9</v>
      </c>
      <c r="B1991">
        <v>2019</v>
      </c>
      <c r="C1991" t="s">
        <v>61</v>
      </c>
      <c r="D1991" s="6">
        <v>4.7</v>
      </c>
      <c r="E1991" s="6">
        <v>4</v>
      </c>
      <c r="F1991" s="1" t="s">
        <v>12</v>
      </c>
      <c r="G1991">
        <v>11</v>
      </c>
      <c r="H1991">
        <v>200</v>
      </c>
      <c r="I1991">
        <v>100</v>
      </c>
      <c r="J1991">
        <f>Table2[[#This Row],[Hits]]/Table2[[#This Row],[Points]]*100</f>
        <v>5.5</v>
      </c>
      <c r="K1991">
        <f>VLOOKUP(Table2[[#This Row],[Site]],'Site Info'!$A$1:$C$11,2, FALSE)</f>
        <v>17.7</v>
      </c>
      <c r="L1991">
        <f>VLOOKUP(Table2[[#This Row],[Site]],'Site Info'!$A$1:$C$11,3, FALSE)</f>
        <v>10</v>
      </c>
      <c r="M1991" t="str">
        <f>VLOOKUP(Table2[[#This Row],[Species]],'Species Table'!$A$1:$D$68,3, FALSE)</f>
        <v>Perennial</v>
      </c>
      <c r="O1991" s="15">
        <f>IF(SUMPRODUCT(($A$2:$A1991=A1991)*($B$2:$B1991=B1991)*($F$2:$F1991=F1991))&gt;1,0,1)</f>
        <v>0</v>
      </c>
      <c r="P1991" s="15">
        <f>IF(SUMPRODUCT(($A$2:$A1991=A1991)*($B$2:$B1991=B1991)*($D$2:$D1991=D1991))&gt;1,0,1)</f>
        <v>0</v>
      </c>
    </row>
    <row r="1992" spans="1:16" hidden="1" x14ac:dyDescent="0.35">
      <c r="A1992" t="s">
        <v>9</v>
      </c>
      <c r="B1992">
        <v>2019</v>
      </c>
      <c r="C1992" t="s">
        <v>62</v>
      </c>
      <c r="D1992" s="6">
        <v>5.0999999999999996</v>
      </c>
      <c r="E1992" s="6">
        <v>5</v>
      </c>
      <c r="F1992" s="1" t="s">
        <v>10</v>
      </c>
      <c r="G1992">
        <v>26</v>
      </c>
      <c r="H1992">
        <v>200</v>
      </c>
      <c r="I1992">
        <v>100</v>
      </c>
      <c r="J1992">
        <f>Table2[[#This Row],[Hits]]/Table2[[#This Row],[Points]]*100</f>
        <v>13</v>
      </c>
      <c r="K1992">
        <f>VLOOKUP(Table2[[#This Row],[Site]],'Site Info'!$A$1:$C$11,2, FALSE)</f>
        <v>17.7</v>
      </c>
      <c r="L1992">
        <f>VLOOKUP(Table2[[#This Row],[Site]],'Site Info'!$A$1:$C$11,3, FALSE)</f>
        <v>10</v>
      </c>
      <c r="M1992" t="str">
        <f>VLOOKUP(Table2[[#This Row],[Species]],'Species Table'!$A$1:$D$68,3, FALSE)</f>
        <v>Annual</v>
      </c>
      <c r="O1992" s="15">
        <f>IF(SUMPRODUCT(($A$2:$A1992=A1992)*($B$2:$B1992=B1992)*($F$2:$F1992=F1992))&gt;1,0,1)</f>
        <v>0</v>
      </c>
      <c r="P1992" s="15">
        <f>IF(SUMPRODUCT(($A$2:$A1992=A1992)*($B$2:$B1992=B1992)*($D$2:$D1992=D1992))&gt;1,0,1)</f>
        <v>1</v>
      </c>
    </row>
    <row r="1993" spans="1:16" x14ac:dyDescent="0.35">
      <c r="A1993" t="s">
        <v>9</v>
      </c>
      <c r="B1993">
        <v>2019</v>
      </c>
      <c r="C1993" t="s">
        <v>62</v>
      </c>
      <c r="D1993" s="6">
        <v>5.0999999999999996</v>
      </c>
      <c r="E1993" s="6">
        <v>5</v>
      </c>
      <c r="F1993" s="1" t="s">
        <v>3</v>
      </c>
      <c r="G1993">
        <v>23</v>
      </c>
      <c r="H1993">
        <v>200</v>
      </c>
      <c r="I1993">
        <v>100</v>
      </c>
      <c r="J1993">
        <f>Table2[[#This Row],[Hits]]/Table2[[#This Row],[Points]]*100</f>
        <v>11.5</v>
      </c>
      <c r="K1993">
        <f>VLOOKUP(Table2[[#This Row],[Site]],'Site Info'!$A$1:$C$11,2, FALSE)</f>
        <v>17.7</v>
      </c>
      <c r="L1993">
        <f>VLOOKUP(Table2[[#This Row],[Site]],'Site Info'!$A$1:$C$11,3, FALSE)</f>
        <v>10</v>
      </c>
      <c r="M1993" t="str">
        <f>VLOOKUP(Table2[[#This Row],[Species]],'Species Table'!$A$1:$D$68,3, FALSE)</f>
        <v>Perennial</v>
      </c>
      <c r="O1993" s="15">
        <f>IF(SUMPRODUCT(($A$2:$A1993=A1993)*($B$2:$B1993=B1993)*($F$2:$F1993=F1993))&gt;1,0,1)</f>
        <v>0</v>
      </c>
      <c r="P1993" s="15">
        <f>IF(SUMPRODUCT(($A$2:$A1993=A1993)*($B$2:$B1993=B1993)*($D$2:$D1993=D1993))&gt;1,0,1)</f>
        <v>0</v>
      </c>
    </row>
    <row r="1994" spans="1:16" x14ac:dyDescent="0.35">
      <c r="A1994" t="s">
        <v>9</v>
      </c>
      <c r="B1994">
        <v>2019</v>
      </c>
      <c r="C1994" t="s">
        <v>62</v>
      </c>
      <c r="D1994" s="6">
        <v>5.0999999999999996</v>
      </c>
      <c r="E1994" s="6">
        <v>5</v>
      </c>
      <c r="F1994" s="1" t="s">
        <v>11</v>
      </c>
      <c r="G1994">
        <v>1</v>
      </c>
      <c r="H1994">
        <v>200</v>
      </c>
      <c r="I1994">
        <v>100</v>
      </c>
      <c r="J1994">
        <f>Table2[[#This Row],[Hits]]/Table2[[#This Row],[Points]]*100</f>
        <v>0.5</v>
      </c>
      <c r="K1994">
        <f>VLOOKUP(Table2[[#This Row],[Site]],'Site Info'!$A$1:$C$11,2, FALSE)</f>
        <v>17.7</v>
      </c>
      <c r="L1994">
        <f>VLOOKUP(Table2[[#This Row],[Site]],'Site Info'!$A$1:$C$11,3, FALSE)</f>
        <v>10</v>
      </c>
      <c r="M1994" t="str">
        <f>VLOOKUP(Table2[[#This Row],[Species]],'Species Table'!$A$1:$D$68,3, FALSE)</f>
        <v>Perennial</v>
      </c>
      <c r="O1994" s="15">
        <f>IF(SUMPRODUCT(($A$2:$A1994=A1994)*($B$2:$B1994=B1994)*($F$2:$F1994=F1994))&gt;1,0,1)</f>
        <v>0</v>
      </c>
      <c r="P1994" s="15">
        <f>IF(SUMPRODUCT(($A$2:$A1994=A1994)*($B$2:$B1994=B1994)*($D$2:$D1994=D1994))&gt;1,0,1)</f>
        <v>0</v>
      </c>
    </row>
    <row r="1995" spans="1:16" x14ac:dyDescent="0.35">
      <c r="A1995" t="s">
        <v>9</v>
      </c>
      <c r="B1995">
        <v>2019</v>
      </c>
      <c r="C1995" t="s">
        <v>62</v>
      </c>
      <c r="D1995" s="6">
        <v>5.0999999999999996</v>
      </c>
      <c r="E1995" s="6">
        <v>5</v>
      </c>
      <c r="F1995" s="1" t="s">
        <v>12</v>
      </c>
      <c r="G1995">
        <v>2</v>
      </c>
      <c r="H1995">
        <v>200</v>
      </c>
      <c r="I1995">
        <v>100</v>
      </c>
      <c r="J1995">
        <f>Table2[[#This Row],[Hits]]/Table2[[#This Row],[Points]]*100</f>
        <v>1</v>
      </c>
      <c r="K1995">
        <f>VLOOKUP(Table2[[#This Row],[Site]],'Site Info'!$A$1:$C$11,2, FALSE)</f>
        <v>17.7</v>
      </c>
      <c r="L1995">
        <f>VLOOKUP(Table2[[#This Row],[Site]],'Site Info'!$A$1:$C$11,3, FALSE)</f>
        <v>10</v>
      </c>
      <c r="M1995" t="str">
        <f>VLOOKUP(Table2[[#This Row],[Species]],'Species Table'!$A$1:$D$68,3, FALSE)</f>
        <v>Perennial</v>
      </c>
      <c r="O1995" s="15">
        <f>IF(SUMPRODUCT(($A$2:$A1995=A1995)*($B$2:$B1995=B1995)*($F$2:$F1995=F1995))&gt;1,0,1)</f>
        <v>0</v>
      </c>
      <c r="P1995" s="15">
        <f>IF(SUMPRODUCT(($A$2:$A1995=A1995)*($B$2:$B1995=B1995)*($D$2:$D1995=D1995))&gt;1,0,1)</f>
        <v>0</v>
      </c>
    </row>
    <row r="1996" spans="1:16" x14ac:dyDescent="0.35">
      <c r="A1996" t="s">
        <v>9</v>
      </c>
      <c r="B1996">
        <v>2019</v>
      </c>
      <c r="C1996" t="s">
        <v>62</v>
      </c>
      <c r="D1996" s="6">
        <v>5.0999999999999996</v>
      </c>
      <c r="E1996" s="6">
        <v>5</v>
      </c>
      <c r="F1996" s="1" t="s">
        <v>6</v>
      </c>
      <c r="G1996">
        <v>3</v>
      </c>
      <c r="H1996">
        <v>200</v>
      </c>
      <c r="I1996">
        <v>100</v>
      </c>
      <c r="J1996">
        <f>Table2[[#This Row],[Hits]]/Table2[[#This Row],[Points]]*100</f>
        <v>1.5</v>
      </c>
      <c r="K1996">
        <f>VLOOKUP(Table2[[#This Row],[Site]],'Site Info'!$A$1:$C$11,2, FALSE)</f>
        <v>17.7</v>
      </c>
      <c r="L1996">
        <f>VLOOKUP(Table2[[#This Row],[Site]],'Site Info'!$A$1:$C$11,3, FALSE)</f>
        <v>10</v>
      </c>
      <c r="M1996" t="str">
        <f>VLOOKUP(Table2[[#This Row],[Species]],'Species Table'!$A$1:$D$68,3, FALSE)</f>
        <v>Perennial</v>
      </c>
      <c r="O1996" s="15">
        <f>IF(SUMPRODUCT(($A$2:$A1996=A1996)*($B$2:$B1996=B1996)*($F$2:$F1996=F1996))&gt;1,0,1)</f>
        <v>0</v>
      </c>
      <c r="P1996" s="15">
        <f>IF(SUMPRODUCT(($A$2:$A1996=A1996)*($B$2:$B1996=B1996)*($D$2:$D1996=D1996))&gt;1,0,1)</f>
        <v>0</v>
      </c>
    </row>
    <row r="1997" spans="1:16" hidden="1" x14ac:dyDescent="0.35">
      <c r="A1997" t="s">
        <v>9</v>
      </c>
      <c r="B1997">
        <v>2019</v>
      </c>
      <c r="C1997" t="s">
        <v>63</v>
      </c>
      <c r="D1997" s="6">
        <v>5.2</v>
      </c>
      <c r="E1997" s="6">
        <v>5</v>
      </c>
      <c r="F1997" s="1" t="s">
        <v>10</v>
      </c>
      <c r="G1997">
        <v>36</v>
      </c>
      <c r="H1997">
        <v>200</v>
      </c>
      <c r="I1997">
        <v>100</v>
      </c>
      <c r="J1997">
        <f>Table2[[#This Row],[Hits]]/Table2[[#This Row],[Points]]*100</f>
        <v>18</v>
      </c>
      <c r="K1997">
        <f>VLOOKUP(Table2[[#This Row],[Site]],'Site Info'!$A$1:$C$11,2, FALSE)</f>
        <v>17.7</v>
      </c>
      <c r="L1997">
        <f>VLOOKUP(Table2[[#This Row],[Site]],'Site Info'!$A$1:$C$11,3, FALSE)</f>
        <v>10</v>
      </c>
      <c r="M1997" t="str">
        <f>VLOOKUP(Table2[[#This Row],[Species]],'Species Table'!$A$1:$D$68,3, FALSE)</f>
        <v>Annual</v>
      </c>
      <c r="O1997" s="15">
        <f>IF(SUMPRODUCT(($A$2:$A1997=A1997)*($B$2:$B1997=B1997)*($F$2:$F1997=F1997))&gt;1,0,1)</f>
        <v>0</v>
      </c>
      <c r="P1997" s="15">
        <f>IF(SUMPRODUCT(($A$2:$A1997=A1997)*($B$2:$B1997=B1997)*($D$2:$D1997=D1997))&gt;1,0,1)</f>
        <v>1</v>
      </c>
    </row>
    <row r="1998" spans="1:16" x14ac:dyDescent="0.35">
      <c r="A1998" t="s">
        <v>9</v>
      </c>
      <c r="B1998">
        <v>2019</v>
      </c>
      <c r="C1998" t="s">
        <v>63</v>
      </c>
      <c r="D1998" s="6">
        <v>5.2</v>
      </c>
      <c r="E1998" s="6">
        <v>5</v>
      </c>
      <c r="F1998" s="1" t="s">
        <v>12</v>
      </c>
      <c r="G1998">
        <v>2</v>
      </c>
      <c r="H1998">
        <v>200</v>
      </c>
      <c r="I1998">
        <v>100</v>
      </c>
      <c r="J1998">
        <f>Table2[[#This Row],[Hits]]/Table2[[#This Row],[Points]]*100</f>
        <v>1</v>
      </c>
      <c r="K1998">
        <f>VLOOKUP(Table2[[#This Row],[Site]],'Site Info'!$A$1:$C$11,2, FALSE)</f>
        <v>17.7</v>
      </c>
      <c r="L1998">
        <f>VLOOKUP(Table2[[#This Row],[Site]],'Site Info'!$A$1:$C$11,3, FALSE)</f>
        <v>10</v>
      </c>
      <c r="M1998" t="str">
        <f>VLOOKUP(Table2[[#This Row],[Species]],'Species Table'!$A$1:$D$68,3, FALSE)</f>
        <v>Perennial</v>
      </c>
      <c r="O1998" s="15">
        <f>IF(SUMPRODUCT(($A$2:$A1998=A1998)*($B$2:$B1998=B1998)*($F$2:$F1998=F1998))&gt;1,0,1)</f>
        <v>0</v>
      </c>
      <c r="P1998" s="15">
        <f>IF(SUMPRODUCT(($A$2:$A1998=A1998)*($B$2:$B1998=B1998)*($D$2:$D1998=D1998))&gt;1,0,1)</f>
        <v>0</v>
      </c>
    </row>
    <row r="1999" spans="1:16" x14ac:dyDescent="0.35">
      <c r="A1999" t="s">
        <v>9</v>
      </c>
      <c r="B1999">
        <v>2019</v>
      </c>
      <c r="C1999" t="s">
        <v>63</v>
      </c>
      <c r="D1999" s="6">
        <v>5.2</v>
      </c>
      <c r="E1999" s="6">
        <v>5</v>
      </c>
      <c r="F1999" s="1" t="s">
        <v>11</v>
      </c>
      <c r="G1999">
        <v>4</v>
      </c>
      <c r="H1999">
        <v>200</v>
      </c>
      <c r="I1999">
        <v>100</v>
      </c>
      <c r="J1999">
        <f>Table2[[#This Row],[Hits]]/Table2[[#This Row],[Points]]*100</f>
        <v>2</v>
      </c>
      <c r="K1999">
        <f>VLOOKUP(Table2[[#This Row],[Site]],'Site Info'!$A$1:$C$11,2, FALSE)</f>
        <v>17.7</v>
      </c>
      <c r="L1999">
        <f>VLOOKUP(Table2[[#This Row],[Site]],'Site Info'!$A$1:$C$11,3, FALSE)</f>
        <v>10</v>
      </c>
      <c r="M1999" t="str">
        <f>VLOOKUP(Table2[[#This Row],[Species]],'Species Table'!$A$1:$D$68,3, FALSE)</f>
        <v>Perennial</v>
      </c>
      <c r="O1999" s="15">
        <f>IF(SUMPRODUCT(($A$2:$A1999=A1999)*($B$2:$B1999=B1999)*($F$2:$F1999=F1999))&gt;1,0,1)</f>
        <v>0</v>
      </c>
      <c r="P1999" s="15">
        <f>IF(SUMPRODUCT(($A$2:$A1999=A1999)*($B$2:$B1999=B1999)*($D$2:$D1999=D1999))&gt;1,0,1)</f>
        <v>0</v>
      </c>
    </row>
    <row r="2000" spans="1:16" x14ac:dyDescent="0.35">
      <c r="A2000" t="s">
        <v>9</v>
      </c>
      <c r="B2000">
        <v>2019</v>
      </c>
      <c r="C2000" t="s">
        <v>64</v>
      </c>
      <c r="D2000" s="6">
        <v>5.3</v>
      </c>
      <c r="E2000" s="6">
        <v>5</v>
      </c>
      <c r="F2000" s="1" t="s">
        <v>11</v>
      </c>
      <c r="G2000">
        <v>15</v>
      </c>
      <c r="H2000">
        <v>200</v>
      </c>
      <c r="I2000">
        <v>100</v>
      </c>
      <c r="J2000">
        <f>Table2[[#This Row],[Hits]]/Table2[[#This Row],[Points]]*100</f>
        <v>7.5</v>
      </c>
      <c r="K2000">
        <f>VLOOKUP(Table2[[#This Row],[Site]],'Site Info'!$A$1:$C$11,2, FALSE)</f>
        <v>17.7</v>
      </c>
      <c r="L2000">
        <f>VLOOKUP(Table2[[#This Row],[Site]],'Site Info'!$A$1:$C$11,3, FALSE)</f>
        <v>10</v>
      </c>
      <c r="M2000" t="str">
        <f>VLOOKUP(Table2[[#This Row],[Species]],'Species Table'!$A$1:$D$68,3, FALSE)</f>
        <v>Perennial</v>
      </c>
      <c r="O2000" s="15">
        <f>IF(SUMPRODUCT(($A$2:$A2000=A2000)*($B$2:$B2000=B2000)*($F$2:$F2000=F2000))&gt;1,0,1)</f>
        <v>0</v>
      </c>
      <c r="P2000" s="15">
        <f>IF(SUMPRODUCT(($A$2:$A2000=A2000)*($B$2:$B2000=B2000)*($D$2:$D2000=D2000))&gt;1,0,1)</f>
        <v>1</v>
      </c>
    </row>
    <row r="2001" spans="1:16" hidden="1" x14ac:dyDescent="0.35">
      <c r="A2001" t="s">
        <v>9</v>
      </c>
      <c r="B2001">
        <v>2019</v>
      </c>
      <c r="C2001" t="s">
        <v>64</v>
      </c>
      <c r="D2001" s="6">
        <v>5.3</v>
      </c>
      <c r="E2001" s="6">
        <v>5</v>
      </c>
      <c r="F2001" s="1" t="s">
        <v>10</v>
      </c>
      <c r="G2001">
        <v>21</v>
      </c>
      <c r="H2001">
        <v>200</v>
      </c>
      <c r="I2001">
        <v>100</v>
      </c>
      <c r="J2001">
        <f>Table2[[#This Row],[Hits]]/Table2[[#This Row],[Points]]*100</f>
        <v>10.5</v>
      </c>
      <c r="K2001">
        <f>VLOOKUP(Table2[[#This Row],[Site]],'Site Info'!$A$1:$C$11,2, FALSE)</f>
        <v>17.7</v>
      </c>
      <c r="L2001">
        <f>VLOOKUP(Table2[[#This Row],[Site]],'Site Info'!$A$1:$C$11,3, FALSE)</f>
        <v>10</v>
      </c>
      <c r="M2001" t="str">
        <f>VLOOKUP(Table2[[#This Row],[Species]],'Species Table'!$A$1:$D$68,3, FALSE)</f>
        <v>Annual</v>
      </c>
      <c r="O2001" s="15">
        <f>IF(SUMPRODUCT(($A$2:$A2001=A2001)*($B$2:$B2001=B2001)*($F$2:$F2001=F2001))&gt;1,0,1)</f>
        <v>0</v>
      </c>
      <c r="P2001" s="15">
        <f>IF(SUMPRODUCT(($A$2:$A2001=A2001)*($B$2:$B2001=B2001)*($D$2:$D2001=D2001))&gt;1,0,1)</f>
        <v>0</v>
      </c>
    </row>
    <row r="2002" spans="1:16" x14ac:dyDescent="0.35">
      <c r="A2002" t="s">
        <v>9</v>
      </c>
      <c r="B2002">
        <v>2019</v>
      </c>
      <c r="C2002" t="s">
        <v>64</v>
      </c>
      <c r="D2002" s="6">
        <v>5.3</v>
      </c>
      <c r="E2002" s="6">
        <v>5</v>
      </c>
      <c r="F2002" s="1" t="s">
        <v>6</v>
      </c>
      <c r="G2002">
        <v>6</v>
      </c>
      <c r="H2002">
        <v>200</v>
      </c>
      <c r="I2002">
        <v>100</v>
      </c>
      <c r="J2002">
        <f>Table2[[#This Row],[Hits]]/Table2[[#This Row],[Points]]*100</f>
        <v>3</v>
      </c>
      <c r="K2002">
        <f>VLOOKUP(Table2[[#This Row],[Site]],'Site Info'!$A$1:$C$11,2, FALSE)</f>
        <v>17.7</v>
      </c>
      <c r="L2002">
        <f>VLOOKUP(Table2[[#This Row],[Site]],'Site Info'!$A$1:$C$11,3, FALSE)</f>
        <v>10</v>
      </c>
      <c r="M2002" t="str">
        <f>VLOOKUP(Table2[[#This Row],[Species]],'Species Table'!$A$1:$D$68,3, FALSE)</f>
        <v>Perennial</v>
      </c>
      <c r="O2002" s="15">
        <f>IF(SUMPRODUCT(($A$2:$A2002=A2002)*($B$2:$B2002=B2002)*($F$2:$F2002=F2002))&gt;1,0,1)</f>
        <v>0</v>
      </c>
      <c r="P2002" s="15">
        <f>IF(SUMPRODUCT(($A$2:$A2002=A2002)*($B$2:$B2002=B2002)*($D$2:$D2002=D2002))&gt;1,0,1)</f>
        <v>0</v>
      </c>
    </row>
    <row r="2003" spans="1:16" hidden="1" x14ac:dyDescent="0.35">
      <c r="A2003" t="s">
        <v>9</v>
      </c>
      <c r="B2003">
        <v>2019</v>
      </c>
      <c r="C2003" t="s">
        <v>86</v>
      </c>
      <c r="D2003" s="6">
        <v>5.4</v>
      </c>
      <c r="E2003" s="6">
        <v>5</v>
      </c>
      <c r="F2003" s="1" t="s">
        <v>10</v>
      </c>
      <c r="G2003">
        <v>5</v>
      </c>
      <c r="H2003">
        <v>200</v>
      </c>
      <c r="I2003">
        <v>100</v>
      </c>
      <c r="J2003">
        <f>Table2[[#This Row],[Hits]]/Table2[[#This Row],[Points]]*100</f>
        <v>2.5</v>
      </c>
      <c r="K2003">
        <f>VLOOKUP(Table2[[#This Row],[Site]],'Site Info'!$A$1:$C$11,2, FALSE)</f>
        <v>17.7</v>
      </c>
      <c r="L2003">
        <f>VLOOKUP(Table2[[#This Row],[Site]],'Site Info'!$A$1:$C$11,3, FALSE)</f>
        <v>10</v>
      </c>
      <c r="M2003" t="str">
        <f>VLOOKUP(Table2[[#This Row],[Species]],'Species Table'!$A$1:$D$68,3, FALSE)</f>
        <v>Annual</v>
      </c>
      <c r="O2003" s="15">
        <f>IF(SUMPRODUCT(($A$2:$A2003=A2003)*($B$2:$B2003=B2003)*($F$2:$F2003=F2003))&gt;1,0,1)</f>
        <v>0</v>
      </c>
      <c r="P2003" s="15">
        <f>IF(SUMPRODUCT(($A$2:$A2003=A2003)*($B$2:$B2003=B2003)*($D$2:$D2003=D2003))&gt;1,0,1)</f>
        <v>1</v>
      </c>
    </row>
    <row r="2004" spans="1:16" x14ac:dyDescent="0.35">
      <c r="A2004" t="s">
        <v>9</v>
      </c>
      <c r="B2004">
        <v>2019</v>
      </c>
      <c r="C2004" t="s">
        <v>86</v>
      </c>
      <c r="D2004" s="6">
        <v>5.4</v>
      </c>
      <c r="E2004" s="6">
        <v>5</v>
      </c>
      <c r="F2004" s="1" t="s">
        <v>6</v>
      </c>
      <c r="G2004">
        <v>19</v>
      </c>
      <c r="H2004">
        <v>200</v>
      </c>
      <c r="I2004">
        <v>100</v>
      </c>
      <c r="J2004">
        <f>Table2[[#This Row],[Hits]]/Table2[[#This Row],[Points]]*100</f>
        <v>9.5</v>
      </c>
      <c r="K2004">
        <f>VLOOKUP(Table2[[#This Row],[Site]],'Site Info'!$A$1:$C$11,2, FALSE)</f>
        <v>17.7</v>
      </c>
      <c r="L2004">
        <f>VLOOKUP(Table2[[#This Row],[Site]],'Site Info'!$A$1:$C$11,3, FALSE)</f>
        <v>10</v>
      </c>
      <c r="M2004" t="str">
        <f>VLOOKUP(Table2[[#This Row],[Species]],'Species Table'!$A$1:$D$68,3, FALSE)</f>
        <v>Perennial</v>
      </c>
      <c r="O2004" s="15">
        <f>IF(SUMPRODUCT(($A$2:$A2004=A2004)*($B$2:$B2004=B2004)*($F$2:$F2004=F2004))&gt;1,0,1)</f>
        <v>0</v>
      </c>
      <c r="P2004" s="15">
        <f>IF(SUMPRODUCT(($A$2:$A2004=A2004)*($B$2:$B2004=B2004)*($D$2:$D2004=D2004))&gt;1,0,1)</f>
        <v>0</v>
      </c>
    </row>
    <row r="2005" spans="1:16" x14ac:dyDescent="0.35">
      <c r="A2005" t="s">
        <v>9</v>
      </c>
      <c r="B2005">
        <v>2019</v>
      </c>
      <c r="C2005" t="s">
        <v>86</v>
      </c>
      <c r="D2005" s="6">
        <v>5.4</v>
      </c>
      <c r="E2005" s="6">
        <v>5</v>
      </c>
      <c r="F2005" s="1" t="s">
        <v>12</v>
      </c>
      <c r="G2005">
        <v>8</v>
      </c>
      <c r="H2005">
        <v>200</v>
      </c>
      <c r="I2005">
        <v>100</v>
      </c>
      <c r="J2005">
        <f>Table2[[#This Row],[Hits]]/Table2[[#This Row],[Points]]*100</f>
        <v>4</v>
      </c>
      <c r="K2005">
        <f>VLOOKUP(Table2[[#This Row],[Site]],'Site Info'!$A$1:$C$11,2, FALSE)</f>
        <v>17.7</v>
      </c>
      <c r="L2005">
        <f>VLOOKUP(Table2[[#This Row],[Site]],'Site Info'!$A$1:$C$11,3, FALSE)</f>
        <v>10</v>
      </c>
      <c r="M2005" t="str">
        <f>VLOOKUP(Table2[[#This Row],[Species]],'Species Table'!$A$1:$D$68,3, FALSE)</f>
        <v>Perennial</v>
      </c>
      <c r="O2005" s="15">
        <f>IF(SUMPRODUCT(($A$2:$A2005=A2005)*($B$2:$B2005=B2005)*($F$2:$F2005=F2005))&gt;1,0,1)</f>
        <v>0</v>
      </c>
      <c r="P2005" s="15">
        <f>IF(SUMPRODUCT(($A$2:$A2005=A2005)*($B$2:$B2005=B2005)*($D$2:$D2005=D2005))&gt;1,0,1)</f>
        <v>0</v>
      </c>
    </row>
    <row r="2006" spans="1:16" x14ac:dyDescent="0.35">
      <c r="A2006" t="s">
        <v>9</v>
      </c>
      <c r="B2006">
        <v>2019</v>
      </c>
      <c r="C2006" t="s">
        <v>65</v>
      </c>
      <c r="D2006" s="6">
        <v>5.5</v>
      </c>
      <c r="E2006" s="6">
        <v>5</v>
      </c>
      <c r="F2006" s="1" t="s">
        <v>6</v>
      </c>
      <c r="G2006">
        <v>15</v>
      </c>
      <c r="H2006">
        <v>200</v>
      </c>
      <c r="I2006">
        <v>100</v>
      </c>
      <c r="J2006">
        <f>Table2[[#This Row],[Hits]]/Table2[[#This Row],[Points]]*100</f>
        <v>7.5</v>
      </c>
      <c r="K2006">
        <f>VLOOKUP(Table2[[#This Row],[Site]],'Site Info'!$A$1:$C$11,2, FALSE)</f>
        <v>17.7</v>
      </c>
      <c r="L2006">
        <f>VLOOKUP(Table2[[#This Row],[Site]],'Site Info'!$A$1:$C$11,3, FALSE)</f>
        <v>10</v>
      </c>
      <c r="M2006" t="str">
        <f>VLOOKUP(Table2[[#This Row],[Species]],'Species Table'!$A$1:$D$68,3, FALSE)</f>
        <v>Perennial</v>
      </c>
      <c r="O2006" s="15">
        <f>IF(SUMPRODUCT(($A$2:$A2006=A2006)*($B$2:$B2006=B2006)*($F$2:$F2006=F2006))&gt;1,0,1)</f>
        <v>0</v>
      </c>
      <c r="P2006" s="15">
        <f>IF(SUMPRODUCT(($A$2:$A2006=A2006)*($B$2:$B2006=B2006)*($D$2:$D2006=D2006))&gt;1,0,1)</f>
        <v>1</v>
      </c>
    </row>
    <row r="2007" spans="1:16" x14ac:dyDescent="0.35">
      <c r="A2007" t="s">
        <v>9</v>
      </c>
      <c r="B2007">
        <v>2019</v>
      </c>
      <c r="C2007" t="s">
        <v>65</v>
      </c>
      <c r="D2007" s="6">
        <v>5.5</v>
      </c>
      <c r="E2007" s="6">
        <v>5</v>
      </c>
      <c r="F2007" s="1" t="s">
        <v>12</v>
      </c>
      <c r="G2007">
        <v>12</v>
      </c>
      <c r="H2007">
        <v>200</v>
      </c>
      <c r="I2007">
        <v>100</v>
      </c>
      <c r="J2007">
        <f>Table2[[#This Row],[Hits]]/Table2[[#This Row],[Points]]*100</f>
        <v>6</v>
      </c>
      <c r="K2007">
        <f>VLOOKUP(Table2[[#This Row],[Site]],'Site Info'!$A$1:$C$11,2, FALSE)</f>
        <v>17.7</v>
      </c>
      <c r="L2007">
        <f>VLOOKUP(Table2[[#This Row],[Site]],'Site Info'!$A$1:$C$11,3, FALSE)</f>
        <v>10</v>
      </c>
      <c r="M2007" t="str">
        <f>VLOOKUP(Table2[[#This Row],[Species]],'Species Table'!$A$1:$D$68,3, FALSE)</f>
        <v>Perennial</v>
      </c>
      <c r="O2007" s="15">
        <f>IF(SUMPRODUCT(($A$2:$A2007=A2007)*($B$2:$B2007=B2007)*($F$2:$F2007=F2007))&gt;1,0,1)</f>
        <v>0</v>
      </c>
      <c r="P2007" s="15">
        <f>IF(SUMPRODUCT(($A$2:$A2007=A2007)*($B$2:$B2007=B2007)*($D$2:$D2007=D2007))&gt;1,0,1)</f>
        <v>0</v>
      </c>
    </row>
    <row r="2008" spans="1:16" hidden="1" x14ac:dyDescent="0.35">
      <c r="A2008" t="s">
        <v>9</v>
      </c>
      <c r="B2008">
        <v>2019</v>
      </c>
      <c r="C2008" t="s">
        <v>65</v>
      </c>
      <c r="D2008" s="6">
        <v>5.5</v>
      </c>
      <c r="E2008" s="6">
        <v>5</v>
      </c>
      <c r="F2008" s="1" t="s">
        <v>10</v>
      </c>
      <c r="G2008">
        <v>4</v>
      </c>
      <c r="H2008">
        <v>200</v>
      </c>
      <c r="I2008">
        <v>100</v>
      </c>
      <c r="J2008">
        <f>Table2[[#This Row],[Hits]]/Table2[[#This Row],[Points]]*100</f>
        <v>2</v>
      </c>
      <c r="K2008">
        <f>VLOOKUP(Table2[[#This Row],[Site]],'Site Info'!$A$1:$C$11,2, FALSE)</f>
        <v>17.7</v>
      </c>
      <c r="L2008">
        <f>VLOOKUP(Table2[[#This Row],[Site]],'Site Info'!$A$1:$C$11,3, FALSE)</f>
        <v>10</v>
      </c>
      <c r="M2008" t="str">
        <f>VLOOKUP(Table2[[#This Row],[Species]],'Species Table'!$A$1:$D$68,3, FALSE)</f>
        <v>Annual</v>
      </c>
      <c r="O2008" s="15">
        <f>IF(SUMPRODUCT(($A$2:$A2008=A2008)*($B$2:$B2008=B2008)*($F$2:$F2008=F2008))&gt;1,0,1)</f>
        <v>0</v>
      </c>
      <c r="P2008" s="15">
        <f>IF(SUMPRODUCT(($A$2:$A2008=A2008)*($B$2:$B2008=B2008)*($D$2:$D2008=D2008))&gt;1,0,1)</f>
        <v>0</v>
      </c>
    </row>
    <row r="2009" spans="1:16" x14ac:dyDescent="0.35">
      <c r="A2009" t="s">
        <v>9</v>
      </c>
      <c r="B2009">
        <v>2019</v>
      </c>
      <c r="C2009" t="s">
        <v>65</v>
      </c>
      <c r="D2009" s="6">
        <v>5.5</v>
      </c>
      <c r="E2009" s="6">
        <v>5</v>
      </c>
      <c r="F2009" s="1" t="s">
        <v>11</v>
      </c>
      <c r="G2009">
        <v>3</v>
      </c>
      <c r="H2009">
        <v>200</v>
      </c>
      <c r="I2009">
        <v>100</v>
      </c>
      <c r="J2009">
        <f>Table2[[#This Row],[Hits]]/Table2[[#This Row],[Points]]*100</f>
        <v>1.5</v>
      </c>
      <c r="K2009">
        <f>VLOOKUP(Table2[[#This Row],[Site]],'Site Info'!$A$1:$C$11,2, FALSE)</f>
        <v>17.7</v>
      </c>
      <c r="L2009">
        <f>VLOOKUP(Table2[[#This Row],[Site]],'Site Info'!$A$1:$C$11,3, FALSE)</f>
        <v>10</v>
      </c>
      <c r="M2009" t="str">
        <f>VLOOKUP(Table2[[#This Row],[Species]],'Species Table'!$A$1:$D$68,3, FALSE)</f>
        <v>Perennial</v>
      </c>
      <c r="O2009" s="15">
        <f>IF(SUMPRODUCT(($A$2:$A2009=A2009)*($B$2:$B2009=B2009)*($F$2:$F2009=F2009))&gt;1,0,1)</f>
        <v>0</v>
      </c>
      <c r="P2009" s="15">
        <f>IF(SUMPRODUCT(($A$2:$A2009=A2009)*($B$2:$B2009=B2009)*($D$2:$D2009=D2009))&gt;1,0,1)</f>
        <v>0</v>
      </c>
    </row>
    <row r="2010" spans="1:16" x14ac:dyDescent="0.35">
      <c r="A2010" t="s">
        <v>9</v>
      </c>
      <c r="B2010">
        <v>2019</v>
      </c>
      <c r="C2010" t="s">
        <v>65</v>
      </c>
      <c r="D2010" s="6">
        <v>5.5</v>
      </c>
      <c r="E2010" s="6">
        <v>5</v>
      </c>
      <c r="F2010" s="1" t="s">
        <v>5</v>
      </c>
      <c r="G2010">
        <v>2</v>
      </c>
      <c r="H2010">
        <v>200</v>
      </c>
      <c r="I2010">
        <v>100</v>
      </c>
      <c r="J2010">
        <f>Table2[[#This Row],[Hits]]/Table2[[#This Row],[Points]]*100</f>
        <v>1</v>
      </c>
      <c r="K2010">
        <f>VLOOKUP(Table2[[#This Row],[Site]],'Site Info'!$A$1:$C$11,2, FALSE)</f>
        <v>17.7</v>
      </c>
      <c r="L2010">
        <f>VLOOKUP(Table2[[#This Row],[Site]],'Site Info'!$A$1:$C$11,3, FALSE)</f>
        <v>10</v>
      </c>
      <c r="M2010" t="str">
        <f>VLOOKUP(Table2[[#This Row],[Species]],'Species Table'!$A$1:$D$68,3, FALSE)</f>
        <v>Perennial</v>
      </c>
      <c r="O2010" s="15">
        <f>IF(SUMPRODUCT(($A$2:$A2010=A2010)*($B$2:$B2010=B2010)*($F$2:$F2010=F2010))&gt;1,0,1)</f>
        <v>0</v>
      </c>
      <c r="P2010" s="15">
        <f>IF(SUMPRODUCT(($A$2:$A2010=A2010)*($B$2:$B2010=B2010)*($D$2:$D2010=D2010))&gt;1,0,1)</f>
        <v>0</v>
      </c>
    </row>
    <row r="2011" spans="1:16" x14ac:dyDescent="0.35">
      <c r="A2011" t="s">
        <v>9</v>
      </c>
      <c r="B2011">
        <v>2019</v>
      </c>
      <c r="C2011" t="s">
        <v>128</v>
      </c>
      <c r="D2011" s="6">
        <v>5.6</v>
      </c>
      <c r="E2011" s="6">
        <v>5</v>
      </c>
      <c r="F2011" s="1" t="s">
        <v>11</v>
      </c>
      <c r="G2011">
        <v>1</v>
      </c>
      <c r="H2011">
        <v>200</v>
      </c>
      <c r="I2011">
        <v>100</v>
      </c>
      <c r="J2011">
        <f>Table2[[#This Row],[Hits]]/Table2[[#This Row],[Points]]*100</f>
        <v>0.5</v>
      </c>
      <c r="K2011">
        <f>VLOOKUP(Table2[[#This Row],[Site]],'Site Info'!$A$1:$C$11,2, FALSE)</f>
        <v>17.7</v>
      </c>
      <c r="L2011">
        <f>VLOOKUP(Table2[[#This Row],[Site]],'Site Info'!$A$1:$C$11,3, FALSE)</f>
        <v>10</v>
      </c>
      <c r="M2011" t="str">
        <f>VLOOKUP(Table2[[#This Row],[Species]],'Species Table'!$A$1:$D$68,3, FALSE)</f>
        <v>Perennial</v>
      </c>
      <c r="O2011" s="15">
        <f>IF(SUMPRODUCT(($A$2:$A2011=A2011)*($B$2:$B2011=B2011)*($F$2:$F2011=F2011))&gt;1,0,1)</f>
        <v>0</v>
      </c>
      <c r="P2011" s="15">
        <f>IF(SUMPRODUCT(($A$2:$A2011=A2011)*($B$2:$B2011=B2011)*($D$2:$D2011=D2011))&gt;1,0,1)</f>
        <v>1</v>
      </c>
    </row>
    <row r="2012" spans="1:16" hidden="1" x14ac:dyDescent="0.35">
      <c r="A2012" t="s">
        <v>9</v>
      </c>
      <c r="B2012">
        <v>2019</v>
      </c>
      <c r="C2012" t="s">
        <v>128</v>
      </c>
      <c r="D2012" s="6">
        <v>5.6</v>
      </c>
      <c r="E2012" s="6">
        <v>5</v>
      </c>
      <c r="F2012" s="1" t="s">
        <v>10</v>
      </c>
      <c r="G2012">
        <v>23</v>
      </c>
      <c r="H2012">
        <v>200</v>
      </c>
      <c r="I2012">
        <v>100</v>
      </c>
      <c r="J2012">
        <f>Table2[[#This Row],[Hits]]/Table2[[#This Row],[Points]]*100</f>
        <v>11.5</v>
      </c>
      <c r="K2012">
        <f>VLOOKUP(Table2[[#This Row],[Site]],'Site Info'!$A$1:$C$11,2, FALSE)</f>
        <v>17.7</v>
      </c>
      <c r="L2012">
        <f>VLOOKUP(Table2[[#This Row],[Site]],'Site Info'!$A$1:$C$11,3, FALSE)</f>
        <v>10</v>
      </c>
      <c r="M2012" t="str">
        <f>VLOOKUP(Table2[[#This Row],[Species]],'Species Table'!$A$1:$D$68,3, FALSE)</f>
        <v>Annual</v>
      </c>
      <c r="O2012" s="15">
        <f>IF(SUMPRODUCT(($A$2:$A2012=A2012)*($B$2:$B2012=B2012)*($F$2:$F2012=F2012))&gt;1,0,1)</f>
        <v>0</v>
      </c>
      <c r="P2012" s="15">
        <f>IF(SUMPRODUCT(($A$2:$A2012=A2012)*($B$2:$B2012=B2012)*($D$2:$D2012=D2012))&gt;1,0,1)</f>
        <v>0</v>
      </c>
    </row>
    <row r="2013" spans="1:16" x14ac:dyDescent="0.35">
      <c r="A2013" t="s">
        <v>9</v>
      </c>
      <c r="B2013">
        <v>2019</v>
      </c>
      <c r="C2013" t="s">
        <v>128</v>
      </c>
      <c r="D2013" s="6">
        <v>5.6</v>
      </c>
      <c r="E2013" s="6">
        <v>5</v>
      </c>
      <c r="F2013" s="1" t="s">
        <v>6</v>
      </c>
      <c r="G2013">
        <v>15</v>
      </c>
      <c r="H2013">
        <v>200</v>
      </c>
      <c r="I2013">
        <v>100</v>
      </c>
      <c r="J2013">
        <f>Table2[[#This Row],[Hits]]/Table2[[#This Row],[Points]]*100</f>
        <v>7.5</v>
      </c>
      <c r="K2013">
        <f>VLOOKUP(Table2[[#This Row],[Site]],'Site Info'!$A$1:$C$11,2, FALSE)</f>
        <v>17.7</v>
      </c>
      <c r="L2013">
        <f>VLOOKUP(Table2[[#This Row],[Site]],'Site Info'!$A$1:$C$11,3, FALSE)</f>
        <v>10</v>
      </c>
      <c r="M2013" t="str">
        <f>VLOOKUP(Table2[[#This Row],[Species]],'Species Table'!$A$1:$D$68,3, FALSE)</f>
        <v>Perennial</v>
      </c>
      <c r="O2013" s="15">
        <f>IF(SUMPRODUCT(($A$2:$A2013=A2013)*($B$2:$B2013=B2013)*($F$2:$F2013=F2013))&gt;1,0,1)</f>
        <v>0</v>
      </c>
      <c r="P2013" s="15">
        <f>IF(SUMPRODUCT(($A$2:$A2013=A2013)*($B$2:$B2013=B2013)*($D$2:$D2013=D2013))&gt;1,0,1)</f>
        <v>0</v>
      </c>
    </row>
    <row r="2014" spans="1:16" x14ac:dyDescent="0.35">
      <c r="A2014" t="s">
        <v>9</v>
      </c>
      <c r="B2014">
        <v>2019</v>
      </c>
      <c r="C2014" t="s">
        <v>128</v>
      </c>
      <c r="D2014" s="6">
        <v>5.6</v>
      </c>
      <c r="E2014" s="6">
        <v>5</v>
      </c>
      <c r="F2014" s="1" t="s">
        <v>12</v>
      </c>
      <c r="G2014">
        <v>1</v>
      </c>
      <c r="H2014">
        <v>200</v>
      </c>
      <c r="I2014">
        <v>100</v>
      </c>
      <c r="J2014">
        <f>Table2[[#This Row],[Hits]]/Table2[[#This Row],[Points]]*100</f>
        <v>0.5</v>
      </c>
      <c r="K2014">
        <f>VLOOKUP(Table2[[#This Row],[Site]],'Site Info'!$A$1:$C$11,2, FALSE)</f>
        <v>17.7</v>
      </c>
      <c r="L2014">
        <f>VLOOKUP(Table2[[#This Row],[Site]],'Site Info'!$A$1:$C$11,3, FALSE)</f>
        <v>10</v>
      </c>
      <c r="M2014" t="str">
        <f>VLOOKUP(Table2[[#This Row],[Species]],'Species Table'!$A$1:$D$68,3, FALSE)</f>
        <v>Perennial</v>
      </c>
      <c r="O2014" s="15">
        <f>IF(SUMPRODUCT(($A$2:$A2014=A2014)*($B$2:$B2014=B2014)*($F$2:$F2014=F2014))&gt;1,0,1)</f>
        <v>0</v>
      </c>
      <c r="P2014" s="15">
        <f>IF(SUMPRODUCT(($A$2:$A2014=A2014)*($B$2:$B2014=B2014)*($D$2:$D2014=D2014))&gt;1,0,1)</f>
        <v>0</v>
      </c>
    </row>
    <row r="2015" spans="1:16" hidden="1" x14ac:dyDescent="0.35">
      <c r="A2015" t="s">
        <v>9</v>
      </c>
      <c r="B2015">
        <v>2019</v>
      </c>
      <c r="C2015" t="s">
        <v>66</v>
      </c>
      <c r="D2015" s="6">
        <v>5.7</v>
      </c>
      <c r="E2015" s="6">
        <v>5</v>
      </c>
      <c r="F2015" s="1" t="s">
        <v>10</v>
      </c>
      <c r="G2015">
        <v>31</v>
      </c>
      <c r="H2015">
        <v>200</v>
      </c>
      <c r="I2015">
        <v>100</v>
      </c>
      <c r="J2015">
        <f>Table2[[#This Row],[Hits]]/Table2[[#This Row],[Points]]*100</f>
        <v>15.5</v>
      </c>
      <c r="K2015">
        <f>VLOOKUP(Table2[[#This Row],[Site]],'Site Info'!$A$1:$C$11,2, FALSE)</f>
        <v>17.7</v>
      </c>
      <c r="L2015">
        <f>VLOOKUP(Table2[[#This Row],[Site]],'Site Info'!$A$1:$C$11,3, FALSE)</f>
        <v>10</v>
      </c>
      <c r="M2015" t="str">
        <f>VLOOKUP(Table2[[#This Row],[Species]],'Species Table'!$A$1:$D$68,3, FALSE)</f>
        <v>Annual</v>
      </c>
      <c r="O2015" s="15">
        <f>IF(SUMPRODUCT(($A$2:$A2015=A2015)*($B$2:$B2015=B2015)*($F$2:$F2015=F2015))&gt;1,0,1)</f>
        <v>0</v>
      </c>
      <c r="P2015" s="15">
        <f>IF(SUMPRODUCT(($A$2:$A2015=A2015)*($B$2:$B2015=B2015)*($D$2:$D2015=D2015))&gt;1,0,1)</f>
        <v>1</v>
      </c>
    </row>
    <row r="2016" spans="1:16" x14ac:dyDescent="0.35">
      <c r="A2016" t="s">
        <v>9</v>
      </c>
      <c r="B2016">
        <v>2019</v>
      </c>
      <c r="C2016" t="s">
        <v>66</v>
      </c>
      <c r="D2016" s="6">
        <v>5.7</v>
      </c>
      <c r="E2016" s="6">
        <v>5</v>
      </c>
      <c r="F2016" s="1" t="s">
        <v>11</v>
      </c>
      <c r="G2016">
        <v>13</v>
      </c>
      <c r="H2016">
        <v>200</v>
      </c>
      <c r="I2016">
        <v>100</v>
      </c>
      <c r="J2016">
        <f>Table2[[#This Row],[Hits]]/Table2[[#This Row],[Points]]*100</f>
        <v>6.5</v>
      </c>
      <c r="K2016">
        <f>VLOOKUP(Table2[[#This Row],[Site]],'Site Info'!$A$1:$C$11,2, FALSE)</f>
        <v>17.7</v>
      </c>
      <c r="L2016">
        <f>VLOOKUP(Table2[[#This Row],[Site]],'Site Info'!$A$1:$C$11,3, FALSE)</f>
        <v>10</v>
      </c>
      <c r="M2016" t="str">
        <f>VLOOKUP(Table2[[#This Row],[Species]],'Species Table'!$A$1:$D$68,3, FALSE)</f>
        <v>Perennial</v>
      </c>
      <c r="O2016" s="15">
        <f>IF(SUMPRODUCT(($A$2:$A2016=A2016)*($B$2:$B2016=B2016)*($F$2:$F2016=F2016))&gt;1,0,1)</f>
        <v>0</v>
      </c>
      <c r="P2016" s="15">
        <f>IF(SUMPRODUCT(($A$2:$A2016=A2016)*($B$2:$B2016=B2016)*($D$2:$D2016=D2016))&gt;1,0,1)</f>
        <v>0</v>
      </c>
    </row>
    <row r="2017" spans="1:16" hidden="1" x14ac:dyDescent="0.35">
      <c r="A2017" t="s">
        <v>9</v>
      </c>
      <c r="B2017">
        <v>2019</v>
      </c>
      <c r="C2017" t="s">
        <v>67</v>
      </c>
      <c r="D2017" s="6">
        <v>6.1</v>
      </c>
      <c r="E2017" s="6">
        <v>6</v>
      </c>
      <c r="F2017" s="1" t="s">
        <v>10</v>
      </c>
      <c r="G2017">
        <v>25</v>
      </c>
      <c r="H2017">
        <v>200</v>
      </c>
      <c r="I2017">
        <v>100</v>
      </c>
      <c r="J2017">
        <f>Table2[[#This Row],[Hits]]/Table2[[#This Row],[Points]]*100</f>
        <v>12.5</v>
      </c>
      <c r="K2017">
        <f>VLOOKUP(Table2[[#This Row],[Site]],'Site Info'!$A$1:$C$11,2, FALSE)</f>
        <v>17.7</v>
      </c>
      <c r="L2017">
        <f>VLOOKUP(Table2[[#This Row],[Site]],'Site Info'!$A$1:$C$11,3, FALSE)</f>
        <v>10</v>
      </c>
      <c r="M2017" t="str">
        <f>VLOOKUP(Table2[[#This Row],[Species]],'Species Table'!$A$1:$D$68,3, FALSE)</f>
        <v>Annual</v>
      </c>
      <c r="O2017" s="15">
        <f>IF(SUMPRODUCT(($A$2:$A2017=A2017)*($B$2:$B2017=B2017)*($F$2:$F2017=F2017))&gt;1,0,1)</f>
        <v>0</v>
      </c>
      <c r="P2017" s="15">
        <f>IF(SUMPRODUCT(($A$2:$A2017=A2017)*($B$2:$B2017=B2017)*($D$2:$D2017=D2017))&gt;1,0,1)</f>
        <v>1</v>
      </c>
    </row>
    <row r="2018" spans="1:16" x14ac:dyDescent="0.35">
      <c r="A2018" t="s">
        <v>9</v>
      </c>
      <c r="B2018">
        <v>2019</v>
      </c>
      <c r="C2018" t="s">
        <v>88</v>
      </c>
      <c r="D2018" s="6">
        <v>6.2</v>
      </c>
      <c r="E2018" s="6">
        <v>6</v>
      </c>
      <c r="F2018" s="1" t="s">
        <v>12</v>
      </c>
      <c r="G2018">
        <v>8</v>
      </c>
      <c r="H2018">
        <v>200</v>
      </c>
      <c r="I2018">
        <v>100</v>
      </c>
      <c r="J2018">
        <f>Table2[[#This Row],[Hits]]/Table2[[#This Row],[Points]]*100</f>
        <v>4</v>
      </c>
      <c r="K2018">
        <f>VLOOKUP(Table2[[#This Row],[Site]],'Site Info'!$A$1:$C$11,2, FALSE)</f>
        <v>17.7</v>
      </c>
      <c r="L2018">
        <f>VLOOKUP(Table2[[#This Row],[Site]],'Site Info'!$A$1:$C$11,3, FALSE)</f>
        <v>10</v>
      </c>
      <c r="M2018" t="str">
        <f>VLOOKUP(Table2[[#This Row],[Species]],'Species Table'!$A$1:$D$68,3, FALSE)</f>
        <v>Perennial</v>
      </c>
      <c r="O2018" s="15">
        <f>IF(SUMPRODUCT(($A$2:$A2018=A2018)*($B$2:$B2018=B2018)*($F$2:$F2018=F2018))&gt;1,0,1)</f>
        <v>0</v>
      </c>
      <c r="P2018" s="15">
        <f>IF(SUMPRODUCT(($A$2:$A2018=A2018)*($B$2:$B2018=B2018)*($D$2:$D2018=D2018))&gt;1,0,1)</f>
        <v>1</v>
      </c>
    </row>
    <row r="2019" spans="1:16" hidden="1" x14ac:dyDescent="0.35">
      <c r="A2019" t="s">
        <v>9</v>
      </c>
      <c r="B2019">
        <v>2019</v>
      </c>
      <c r="C2019" t="s">
        <v>88</v>
      </c>
      <c r="D2019" s="6">
        <v>6.2</v>
      </c>
      <c r="E2019" s="6">
        <v>6</v>
      </c>
      <c r="F2019" s="1" t="s">
        <v>10</v>
      </c>
      <c r="G2019">
        <v>13</v>
      </c>
      <c r="H2019">
        <v>200</v>
      </c>
      <c r="I2019">
        <v>100</v>
      </c>
      <c r="J2019">
        <f>Table2[[#This Row],[Hits]]/Table2[[#This Row],[Points]]*100</f>
        <v>6.5</v>
      </c>
      <c r="K2019">
        <f>VLOOKUP(Table2[[#This Row],[Site]],'Site Info'!$A$1:$C$11,2, FALSE)</f>
        <v>17.7</v>
      </c>
      <c r="L2019">
        <f>VLOOKUP(Table2[[#This Row],[Site]],'Site Info'!$A$1:$C$11,3, FALSE)</f>
        <v>10</v>
      </c>
      <c r="M2019" t="str">
        <f>VLOOKUP(Table2[[#This Row],[Species]],'Species Table'!$A$1:$D$68,3, FALSE)</f>
        <v>Annual</v>
      </c>
      <c r="O2019" s="15">
        <f>IF(SUMPRODUCT(($A$2:$A2019=A2019)*($B$2:$B2019=B2019)*($F$2:$F2019=F2019))&gt;1,0,1)</f>
        <v>0</v>
      </c>
      <c r="P2019" s="15">
        <f>IF(SUMPRODUCT(($A$2:$A2019=A2019)*($B$2:$B2019=B2019)*($D$2:$D2019=D2019))&gt;1,0,1)</f>
        <v>0</v>
      </c>
    </row>
    <row r="2020" spans="1:16" x14ac:dyDescent="0.35">
      <c r="A2020" t="s">
        <v>9</v>
      </c>
      <c r="B2020">
        <v>2019</v>
      </c>
      <c r="C2020" t="s">
        <v>88</v>
      </c>
      <c r="D2020" s="6">
        <v>6.2</v>
      </c>
      <c r="E2020" s="6">
        <v>6</v>
      </c>
      <c r="F2020" s="1" t="s">
        <v>6</v>
      </c>
      <c r="G2020">
        <v>2</v>
      </c>
      <c r="H2020">
        <v>200</v>
      </c>
      <c r="I2020">
        <v>100</v>
      </c>
      <c r="J2020">
        <f>Table2[[#This Row],[Hits]]/Table2[[#This Row],[Points]]*100</f>
        <v>1</v>
      </c>
      <c r="K2020">
        <f>VLOOKUP(Table2[[#This Row],[Site]],'Site Info'!$A$1:$C$11,2, FALSE)</f>
        <v>17.7</v>
      </c>
      <c r="L2020">
        <f>VLOOKUP(Table2[[#This Row],[Site]],'Site Info'!$A$1:$C$11,3, FALSE)</f>
        <v>10</v>
      </c>
      <c r="M2020" t="str">
        <f>VLOOKUP(Table2[[#This Row],[Species]],'Species Table'!$A$1:$D$68,3, FALSE)</f>
        <v>Perennial</v>
      </c>
      <c r="O2020" s="15">
        <f>IF(SUMPRODUCT(($A$2:$A2020=A2020)*($B$2:$B2020=B2020)*($F$2:$F2020=F2020))&gt;1,0,1)</f>
        <v>0</v>
      </c>
      <c r="P2020" s="15">
        <f>IF(SUMPRODUCT(($A$2:$A2020=A2020)*($B$2:$B2020=B2020)*($D$2:$D2020=D2020))&gt;1,0,1)</f>
        <v>0</v>
      </c>
    </row>
    <row r="2021" spans="1:16" x14ac:dyDescent="0.35">
      <c r="A2021" t="s">
        <v>9</v>
      </c>
      <c r="B2021">
        <v>2019</v>
      </c>
      <c r="C2021" t="s">
        <v>88</v>
      </c>
      <c r="D2021" s="6">
        <v>6.2</v>
      </c>
      <c r="E2021" s="6">
        <v>6</v>
      </c>
      <c r="F2021" s="1" t="s">
        <v>11</v>
      </c>
      <c r="G2021">
        <v>1</v>
      </c>
      <c r="H2021">
        <v>200</v>
      </c>
      <c r="I2021">
        <v>100</v>
      </c>
      <c r="J2021">
        <f>Table2[[#This Row],[Hits]]/Table2[[#This Row],[Points]]*100</f>
        <v>0.5</v>
      </c>
      <c r="K2021">
        <f>VLOOKUP(Table2[[#This Row],[Site]],'Site Info'!$A$1:$C$11,2, FALSE)</f>
        <v>17.7</v>
      </c>
      <c r="L2021">
        <f>VLOOKUP(Table2[[#This Row],[Site]],'Site Info'!$A$1:$C$11,3, FALSE)</f>
        <v>10</v>
      </c>
      <c r="M2021" t="str">
        <f>VLOOKUP(Table2[[#This Row],[Species]],'Species Table'!$A$1:$D$68,3, FALSE)</f>
        <v>Perennial</v>
      </c>
      <c r="O2021" s="15">
        <f>IF(SUMPRODUCT(($A$2:$A2021=A2021)*($B$2:$B2021=B2021)*($F$2:$F2021=F2021))&gt;1,0,1)</f>
        <v>0</v>
      </c>
      <c r="P2021" s="15">
        <f>IF(SUMPRODUCT(($A$2:$A2021=A2021)*($B$2:$B2021=B2021)*($D$2:$D2021=D2021))&gt;1,0,1)</f>
        <v>0</v>
      </c>
    </row>
    <row r="2022" spans="1:16" hidden="1" x14ac:dyDescent="0.35">
      <c r="A2022" t="s">
        <v>9</v>
      </c>
      <c r="B2022">
        <v>2019</v>
      </c>
      <c r="C2022" t="s">
        <v>68</v>
      </c>
      <c r="D2022" s="6">
        <v>6.3</v>
      </c>
      <c r="E2022" s="6">
        <v>6</v>
      </c>
      <c r="F2022" s="1" t="s">
        <v>10</v>
      </c>
      <c r="G2022">
        <v>3</v>
      </c>
      <c r="H2022">
        <v>200</v>
      </c>
      <c r="I2022">
        <v>100</v>
      </c>
      <c r="J2022">
        <f>Table2[[#This Row],[Hits]]/Table2[[#This Row],[Points]]*100</f>
        <v>1.5</v>
      </c>
      <c r="K2022">
        <f>VLOOKUP(Table2[[#This Row],[Site]],'Site Info'!$A$1:$C$11,2, FALSE)</f>
        <v>17.7</v>
      </c>
      <c r="L2022">
        <f>VLOOKUP(Table2[[#This Row],[Site]],'Site Info'!$A$1:$C$11,3, FALSE)</f>
        <v>10</v>
      </c>
      <c r="M2022" t="str">
        <f>VLOOKUP(Table2[[#This Row],[Species]],'Species Table'!$A$1:$D$68,3, FALSE)</f>
        <v>Annual</v>
      </c>
      <c r="O2022" s="15">
        <f>IF(SUMPRODUCT(($A$2:$A2022=A2022)*($B$2:$B2022=B2022)*($F$2:$F2022=F2022))&gt;1,0,1)</f>
        <v>0</v>
      </c>
      <c r="P2022" s="15">
        <f>IF(SUMPRODUCT(($A$2:$A2022=A2022)*($B$2:$B2022=B2022)*($D$2:$D2022=D2022))&gt;1,0,1)</f>
        <v>1</v>
      </c>
    </row>
    <row r="2023" spans="1:16" x14ac:dyDescent="0.35">
      <c r="A2023" t="s">
        <v>9</v>
      </c>
      <c r="B2023">
        <v>2019</v>
      </c>
      <c r="C2023" t="s">
        <v>68</v>
      </c>
      <c r="D2023" s="6">
        <v>6.3</v>
      </c>
      <c r="E2023" s="6">
        <v>6</v>
      </c>
      <c r="F2023" s="1" t="s">
        <v>6</v>
      </c>
      <c r="G2023">
        <v>12</v>
      </c>
      <c r="H2023">
        <v>200</v>
      </c>
      <c r="I2023">
        <v>100</v>
      </c>
      <c r="J2023">
        <f>Table2[[#This Row],[Hits]]/Table2[[#This Row],[Points]]*100</f>
        <v>6</v>
      </c>
      <c r="K2023">
        <f>VLOOKUP(Table2[[#This Row],[Site]],'Site Info'!$A$1:$C$11,2, FALSE)</f>
        <v>17.7</v>
      </c>
      <c r="L2023">
        <f>VLOOKUP(Table2[[#This Row],[Site]],'Site Info'!$A$1:$C$11,3, FALSE)</f>
        <v>10</v>
      </c>
      <c r="M2023" t="str">
        <f>VLOOKUP(Table2[[#This Row],[Species]],'Species Table'!$A$1:$D$68,3, FALSE)</f>
        <v>Perennial</v>
      </c>
      <c r="O2023" s="15">
        <f>IF(SUMPRODUCT(($A$2:$A2023=A2023)*($B$2:$B2023=B2023)*($F$2:$F2023=F2023))&gt;1,0,1)</f>
        <v>0</v>
      </c>
      <c r="P2023" s="15">
        <f>IF(SUMPRODUCT(($A$2:$A2023=A2023)*($B$2:$B2023=B2023)*($D$2:$D2023=D2023))&gt;1,0,1)</f>
        <v>0</v>
      </c>
    </row>
    <row r="2024" spans="1:16" x14ac:dyDescent="0.35">
      <c r="A2024" t="s">
        <v>9</v>
      </c>
      <c r="B2024">
        <v>2019</v>
      </c>
      <c r="C2024" t="s">
        <v>68</v>
      </c>
      <c r="D2024" s="6">
        <v>6.3</v>
      </c>
      <c r="E2024" s="6">
        <v>6</v>
      </c>
      <c r="F2024" s="1" t="s">
        <v>11</v>
      </c>
      <c r="G2024">
        <v>4</v>
      </c>
      <c r="H2024">
        <v>200</v>
      </c>
      <c r="I2024">
        <v>100</v>
      </c>
      <c r="J2024">
        <f>Table2[[#This Row],[Hits]]/Table2[[#This Row],[Points]]*100</f>
        <v>2</v>
      </c>
      <c r="K2024">
        <f>VLOOKUP(Table2[[#This Row],[Site]],'Site Info'!$A$1:$C$11,2, FALSE)</f>
        <v>17.7</v>
      </c>
      <c r="L2024">
        <f>VLOOKUP(Table2[[#This Row],[Site]],'Site Info'!$A$1:$C$11,3, FALSE)</f>
        <v>10</v>
      </c>
      <c r="M2024" t="str">
        <f>VLOOKUP(Table2[[#This Row],[Species]],'Species Table'!$A$1:$D$68,3, FALSE)</f>
        <v>Perennial</v>
      </c>
      <c r="O2024" s="15">
        <f>IF(SUMPRODUCT(($A$2:$A2024=A2024)*($B$2:$B2024=B2024)*($F$2:$F2024=F2024))&gt;1,0,1)</f>
        <v>0</v>
      </c>
      <c r="P2024" s="15">
        <f>IF(SUMPRODUCT(($A$2:$A2024=A2024)*($B$2:$B2024=B2024)*($D$2:$D2024=D2024))&gt;1,0,1)</f>
        <v>0</v>
      </c>
    </row>
    <row r="2025" spans="1:16" x14ac:dyDescent="0.35">
      <c r="A2025" t="s">
        <v>9</v>
      </c>
      <c r="B2025">
        <v>2019</v>
      </c>
      <c r="C2025" t="s">
        <v>68</v>
      </c>
      <c r="D2025" s="6">
        <v>6.3</v>
      </c>
      <c r="E2025" s="6">
        <v>6</v>
      </c>
      <c r="F2025" s="1" t="s">
        <v>12</v>
      </c>
      <c r="G2025">
        <v>7</v>
      </c>
      <c r="H2025">
        <v>200</v>
      </c>
      <c r="I2025">
        <v>100</v>
      </c>
      <c r="J2025">
        <f>Table2[[#This Row],[Hits]]/Table2[[#This Row],[Points]]*100</f>
        <v>3.5000000000000004</v>
      </c>
      <c r="K2025">
        <f>VLOOKUP(Table2[[#This Row],[Site]],'Site Info'!$A$1:$C$11,2, FALSE)</f>
        <v>17.7</v>
      </c>
      <c r="L2025">
        <f>VLOOKUP(Table2[[#This Row],[Site]],'Site Info'!$A$1:$C$11,3, FALSE)</f>
        <v>10</v>
      </c>
      <c r="M2025" t="str">
        <f>VLOOKUP(Table2[[#This Row],[Species]],'Species Table'!$A$1:$D$68,3, FALSE)</f>
        <v>Perennial</v>
      </c>
      <c r="O2025" s="15">
        <f>IF(SUMPRODUCT(($A$2:$A2025=A2025)*($B$2:$B2025=B2025)*($F$2:$F2025=F2025))&gt;1,0,1)</f>
        <v>0</v>
      </c>
      <c r="P2025" s="15">
        <f>IF(SUMPRODUCT(($A$2:$A2025=A2025)*($B$2:$B2025=B2025)*($D$2:$D2025=D2025))&gt;1,0,1)</f>
        <v>0</v>
      </c>
    </row>
    <row r="2026" spans="1:16" hidden="1" x14ac:dyDescent="0.35">
      <c r="A2026" t="s">
        <v>9</v>
      </c>
      <c r="B2026">
        <v>2019</v>
      </c>
      <c r="C2026" t="s">
        <v>89</v>
      </c>
      <c r="D2026" s="6">
        <v>6.4</v>
      </c>
      <c r="E2026" s="6">
        <v>6</v>
      </c>
      <c r="F2026" s="1" t="s">
        <v>10</v>
      </c>
      <c r="G2026">
        <v>18</v>
      </c>
      <c r="H2026">
        <v>200</v>
      </c>
      <c r="I2026">
        <v>100</v>
      </c>
      <c r="J2026">
        <f>Table2[[#This Row],[Hits]]/Table2[[#This Row],[Points]]*100</f>
        <v>9</v>
      </c>
      <c r="K2026">
        <f>VLOOKUP(Table2[[#This Row],[Site]],'Site Info'!$A$1:$C$11,2, FALSE)</f>
        <v>17.7</v>
      </c>
      <c r="L2026">
        <f>VLOOKUP(Table2[[#This Row],[Site]],'Site Info'!$A$1:$C$11,3, FALSE)</f>
        <v>10</v>
      </c>
      <c r="M2026" t="str">
        <f>VLOOKUP(Table2[[#This Row],[Species]],'Species Table'!$A$1:$D$68,3, FALSE)</f>
        <v>Annual</v>
      </c>
      <c r="O2026" s="15">
        <f>IF(SUMPRODUCT(($A$2:$A2026=A2026)*($B$2:$B2026=B2026)*($F$2:$F2026=F2026))&gt;1,0,1)</f>
        <v>0</v>
      </c>
      <c r="P2026" s="15">
        <f>IF(SUMPRODUCT(($A$2:$A2026=A2026)*($B$2:$B2026=B2026)*($D$2:$D2026=D2026))&gt;1,0,1)</f>
        <v>1</v>
      </c>
    </row>
    <row r="2027" spans="1:16" x14ac:dyDescent="0.35">
      <c r="A2027" t="s">
        <v>9</v>
      </c>
      <c r="B2027">
        <v>2019</v>
      </c>
      <c r="C2027" t="s">
        <v>89</v>
      </c>
      <c r="D2027" s="6">
        <v>6.4</v>
      </c>
      <c r="E2027" s="6">
        <v>6</v>
      </c>
      <c r="F2027" s="1" t="s">
        <v>6</v>
      </c>
      <c r="G2027">
        <v>2</v>
      </c>
      <c r="H2027">
        <v>200</v>
      </c>
      <c r="I2027">
        <v>100</v>
      </c>
      <c r="J2027">
        <f>Table2[[#This Row],[Hits]]/Table2[[#This Row],[Points]]*100</f>
        <v>1</v>
      </c>
      <c r="K2027">
        <f>VLOOKUP(Table2[[#This Row],[Site]],'Site Info'!$A$1:$C$11,2, FALSE)</f>
        <v>17.7</v>
      </c>
      <c r="L2027">
        <f>VLOOKUP(Table2[[#This Row],[Site]],'Site Info'!$A$1:$C$11,3, FALSE)</f>
        <v>10</v>
      </c>
      <c r="M2027" t="str">
        <f>VLOOKUP(Table2[[#This Row],[Species]],'Species Table'!$A$1:$D$68,3, FALSE)</f>
        <v>Perennial</v>
      </c>
      <c r="O2027" s="15">
        <f>IF(SUMPRODUCT(($A$2:$A2027=A2027)*($B$2:$B2027=B2027)*($F$2:$F2027=F2027))&gt;1,0,1)</f>
        <v>0</v>
      </c>
      <c r="P2027" s="15">
        <f>IF(SUMPRODUCT(($A$2:$A2027=A2027)*($B$2:$B2027=B2027)*($D$2:$D2027=D2027))&gt;1,0,1)</f>
        <v>0</v>
      </c>
    </row>
    <row r="2028" spans="1:16" x14ac:dyDescent="0.35">
      <c r="A2028" t="s">
        <v>9</v>
      </c>
      <c r="B2028">
        <v>2019</v>
      </c>
      <c r="C2028" t="s">
        <v>89</v>
      </c>
      <c r="D2028" s="6">
        <v>6.4</v>
      </c>
      <c r="E2028" s="6">
        <v>6</v>
      </c>
      <c r="F2028" s="1" t="s">
        <v>12</v>
      </c>
      <c r="G2028">
        <v>1</v>
      </c>
      <c r="H2028">
        <v>200</v>
      </c>
      <c r="I2028">
        <v>100</v>
      </c>
      <c r="J2028">
        <f>Table2[[#This Row],[Hits]]/Table2[[#This Row],[Points]]*100</f>
        <v>0.5</v>
      </c>
      <c r="K2028">
        <f>VLOOKUP(Table2[[#This Row],[Site]],'Site Info'!$A$1:$C$11,2, FALSE)</f>
        <v>17.7</v>
      </c>
      <c r="L2028">
        <f>VLOOKUP(Table2[[#This Row],[Site]],'Site Info'!$A$1:$C$11,3, FALSE)</f>
        <v>10</v>
      </c>
      <c r="M2028" t="str">
        <f>VLOOKUP(Table2[[#This Row],[Species]],'Species Table'!$A$1:$D$68,3, FALSE)</f>
        <v>Perennial</v>
      </c>
      <c r="O2028" s="15">
        <f>IF(SUMPRODUCT(($A$2:$A2028=A2028)*($B$2:$B2028=B2028)*($F$2:$F2028=F2028))&gt;1,0,1)</f>
        <v>0</v>
      </c>
      <c r="P2028" s="15">
        <f>IF(SUMPRODUCT(($A$2:$A2028=A2028)*($B$2:$B2028=B2028)*($D$2:$D2028=D2028))&gt;1,0,1)</f>
        <v>0</v>
      </c>
    </row>
    <row r="2029" spans="1:16" x14ac:dyDescent="0.35">
      <c r="A2029" t="s">
        <v>9</v>
      </c>
      <c r="B2029">
        <v>2019</v>
      </c>
      <c r="C2029" t="s">
        <v>89</v>
      </c>
      <c r="D2029" s="6">
        <v>6.4</v>
      </c>
      <c r="E2029" s="6">
        <v>6</v>
      </c>
      <c r="F2029" s="1" t="s">
        <v>11</v>
      </c>
      <c r="G2029">
        <v>3</v>
      </c>
      <c r="H2029">
        <v>200</v>
      </c>
      <c r="I2029">
        <v>100</v>
      </c>
      <c r="J2029">
        <f>Table2[[#This Row],[Hits]]/Table2[[#This Row],[Points]]*100</f>
        <v>1.5</v>
      </c>
      <c r="K2029">
        <f>VLOOKUP(Table2[[#This Row],[Site]],'Site Info'!$A$1:$C$11,2, FALSE)</f>
        <v>17.7</v>
      </c>
      <c r="L2029">
        <f>VLOOKUP(Table2[[#This Row],[Site]],'Site Info'!$A$1:$C$11,3, FALSE)</f>
        <v>10</v>
      </c>
      <c r="M2029" t="str">
        <f>VLOOKUP(Table2[[#This Row],[Species]],'Species Table'!$A$1:$D$68,3, FALSE)</f>
        <v>Perennial</v>
      </c>
      <c r="O2029" s="15">
        <f>IF(SUMPRODUCT(($A$2:$A2029=A2029)*($B$2:$B2029=B2029)*($F$2:$F2029=F2029))&gt;1,0,1)</f>
        <v>0</v>
      </c>
      <c r="P2029" s="15">
        <f>IF(SUMPRODUCT(($A$2:$A2029=A2029)*($B$2:$B2029=B2029)*($D$2:$D2029=D2029))&gt;1,0,1)</f>
        <v>0</v>
      </c>
    </row>
    <row r="2030" spans="1:16" x14ac:dyDescent="0.35">
      <c r="A2030" t="s">
        <v>9</v>
      </c>
      <c r="B2030">
        <v>2019</v>
      </c>
      <c r="C2030" t="s">
        <v>69</v>
      </c>
      <c r="D2030" s="6">
        <v>6.5</v>
      </c>
      <c r="E2030" s="6">
        <v>6</v>
      </c>
      <c r="F2030" s="1" t="s">
        <v>11</v>
      </c>
      <c r="G2030">
        <v>14</v>
      </c>
      <c r="H2030">
        <v>200</v>
      </c>
      <c r="I2030">
        <v>100</v>
      </c>
      <c r="J2030">
        <f>Table2[[#This Row],[Hits]]/Table2[[#This Row],[Points]]*100</f>
        <v>7.0000000000000009</v>
      </c>
      <c r="K2030">
        <f>VLOOKUP(Table2[[#This Row],[Site]],'Site Info'!$A$1:$C$11,2, FALSE)</f>
        <v>17.7</v>
      </c>
      <c r="L2030">
        <f>VLOOKUP(Table2[[#This Row],[Site]],'Site Info'!$A$1:$C$11,3, FALSE)</f>
        <v>10</v>
      </c>
      <c r="M2030" t="str">
        <f>VLOOKUP(Table2[[#This Row],[Species]],'Species Table'!$A$1:$D$68,3, FALSE)</f>
        <v>Perennial</v>
      </c>
      <c r="O2030" s="15">
        <f>IF(SUMPRODUCT(($A$2:$A2030=A2030)*($B$2:$B2030=B2030)*($F$2:$F2030=F2030))&gt;1,0,1)</f>
        <v>0</v>
      </c>
      <c r="P2030" s="15">
        <f>IF(SUMPRODUCT(($A$2:$A2030=A2030)*($B$2:$B2030=B2030)*($D$2:$D2030=D2030))&gt;1,0,1)</f>
        <v>1</v>
      </c>
    </row>
    <row r="2031" spans="1:16" hidden="1" x14ac:dyDescent="0.35">
      <c r="A2031" t="s">
        <v>9</v>
      </c>
      <c r="B2031">
        <v>2019</v>
      </c>
      <c r="C2031" t="s">
        <v>69</v>
      </c>
      <c r="D2031" s="6">
        <v>6.5</v>
      </c>
      <c r="E2031" s="6">
        <v>6</v>
      </c>
      <c r="F2031" s="1" t="s">
        <v>10</v>
      </c>
      <c r="G2031">
        <v>33</v>
      </c>
      <c r="H2031">
        <v>200</v>
      </c>
      <c r="I2031">
        <v>100</v>
      </c>
      <c r="J2031">
        <f>Table2[[#This Row],[Hits]]/Table2[[#This Row],[Points]]*100</f>
        <v>16.5</v>
      </c>
      <c r="K2031">
        <f>VLOOKUP(Table2[[#This Row],[Site]],'Site Info'!$A$1:$C$11,2, FALSE)</f>
        <v>17.7</v>
      </c>
      <c r="L2031">
        <f>VLOOKUP(Table2[[#This Row],[Site]],'Site Info'!$A$1:$C$11,3, FALSE)</f>
        <v>10</v>
      </c>
      <c r="M2031" t="str">
        <f>VLOOKUP(Table2[[#This Row],[Species]],'Species Table'!$A$1:$D$68,3, FALSE)</f>
        <v>Annual</v>
      </c>
      <c r="O2031" s="15">
        <f>IF(SUMPRODUCT(($A$2:$A2031=A2031)*($B$2:$B2031=B2031)*($F$2:$F2031=F2031))&gt;1,0,1)</f>
        <v>0</v>
      </c>
      <c r="P2031" s="15">
        <f>IF(SUMPRODUCT(($A$2:$A2031=A2031)*($B$2:$B2031=B2031)*($D$2:$D2031=D2031))&gt;1,0,1)</f>
        <v>0</v>
      </c>
    </row>
    <row r="2032" spans="1:16" x14ac:dyDescent="0.35">
      <c r="A2032" t="s">
        <v>9</v>
      </c>
      <c r="B2032">
        <v>2019</v>
      </c>
      <c r="C2032" t="s">
        <v>69</v>
      </c>
      <c r="D2032" s="6">
        <v>6.5</v>
      </c>
      <c r="E2032" s="6">
        <v>6</v>
      </c>
      <c r="F2032" s="1" t="s">
        <v>6</v>
      </c>
      <c r="G2032">
        <v>7</v>
      </c>
      <c r="H2032">
        <v>200</v>
      </c>
      <c r="I2032">
        <v>100</v>
      </c>
      <c r="J2032">
        <f>Table2[[#This Row],[Hits]]/Table2[[#This Row],[Points]]*100</f>
        <v>3.5000000000000004</v>
      </c>
      <c r="K2032">
        <f>VLOOKUP(Table2[[#This Row],[Site]],'Site Info'!$A$1:$C$11,2, FALSE)</f>
        <v>17.7</v>
      </c>
      <c r="L2032">
        <f>VLOOKUP(Table2[[#This Row],[Site]],'Site Info'!$A$1:$C$11,3, FALSE)</f>
        <v>10</v>
      </c>
      <c r="M2032" t="str">
        <f>VLOOKUP(Table2[[#This Row],[Species]],'Species Table'!$A$1:$D$68,3, FALSE)</f>
        <v>Perennial</v>
      </c>
      <c r="O2032" s="15">
        <f>IF(SUMPRODUCT(($A$2:$A2032=A2032)*($B$2:$B2032=B2032)*($F$2:$F2032=F2032))&gt;1,0,1)</f>
        <v>0</v>
      </c>
      <c r="P2032" s="15">
        <f>IF(SUMPRODUCT(($A$2:$A2032=A2032)*($B$2:$B2032=B2032)*($D$2:$D2032=D2032))&gt;1,0,1)</f>
        <v>0</v>
      </c>
    </row>
    <row r="2033" spans="1:16" x14ac:dyDescent="0.35">
      <c r="A2033" t="s">
        <v>9</v>
      </c>
      <c r="B2033">
        <v>2019</v>
      </c>
      <c r="C2033" t="s">
        <v>69</v>
      </c>
      <c r="D2033" s="6">
        <v>6.5</v>
      </c>
      <c r="E2033" s="6">
        <v>6</v>
      </c>
      <c r="F2033" s="1" t="s">
        <v>12</v>
      </c>
      <c r="G2033">
        <v>1</v>
      </c>
      <c r="H2033">
        <v>200</v>
      </c>
      <c r="I2033">
        <v>100</v>
      </c>
      <c r="J2033">
        <f>Table2[[#This Row],[Hits]]/Table2[[#This Row],[Points]]*100</f>
        <v>0.5</v>
      </c>
      <c r="K2033">
        <f>VLOOKUP(Table2[[#This Row],[Site]],'Site Info'!$A$1:$C$11,2, FALSE)</f>
        <v>17.7</v>
      </c>
      <c r="L2033">
        <f>VLOOKUP(Table2[[#This Row],[Site]],'Site Info'!$A$1:$C$11,3, FALSE)</f>
        <v>10</v>
      </c>
      <c r="M2033" t="str">
        <f>VLOOKUP(Table2[[#This Row],[Species]],'Species Table'!$A$1:$D$68,3, FALSE)</f>
        <v>Perennial</v>
      </c>
      <c r="O2033" s="15">
        <f>IF(SUMPRODUCT(($A$2:$A2033=A2033)*($B$2:$B2033=B2033)*($F$2:$F2033=F2033))&gt;1,0,1)</f>
        <v>0</v>
      </c>
      <c r="P2033" s="15">
        <f>IF(SUMPRODUCT(($A$2:$A2033=A2033)*($B$2:$B2033=B2033)*($D$2:$D2033=D2033))&gt;1,0,1)</f>
        <v>0</v>
      </c>
    </row>
    <row r="2034" spans="1:16" x14ac:dyDescent="0.35">
      <c r="A2034" t="s">
        <v>9</v>
      </c>
      <c r="B2034">
        <v>2019</v>
      </c>
      <c r="C2034" t="s">
        <v>129</v>
      </c>
      <c r="D2034" s="6">
        <v>6.6</v>
      </c>
      <c r="E2034" s="6">
        <v>6</v>
      </c>
      <c r="F2034" s="1" t="s">
        <v>6</v>
      </c>
      <c r="G2034">
        <v>3</v>
      </c>
      <c r="H2034">
        <v>200</v>
      </c>
      <c r="I2034">
        <v>100</v>
      </c>
      <c r="J2034">
        <f>Table2[[#This Row],[Hits]]/Table2[[#This Row],[Points]]*100</f>
        <v>1.5</v>
      </c>
      <c r="K2034">
        <f>VLOOKUP(Table2[[#This Row],[Site]],'Site Info'!$A$1:$C$11,2, FALSE)</f>
        <v>17.7</v>
      </c>
      <c r="L2034">
        <f>VLOOKUP(Table2[[#This Row],[Site]],'Site Info'!$A$1:$C$11,3, FALSE)</f>
        <v>10</v>
      </c>
      <c r="M2034" t="str">
        <f>VLOOKUP(Table2[[#This Row],[Species]],'Species Table'!$A$1:$D$68,3, FALSE)</f>
        <v>Perennial</v>
      </c>
      <c r="O2034" s="15">
        <f>IF(SUMPRODUCT(($A$2:$A2034=A2034)*($B$2:$B2034=B2034)*($F$2:$F2034=F2034))&gt;1,0,1)</f>
        <v>0</v>
      </c>
      <c r="P2034" s="15">
        <f>IF(SUMPRODUCT(($A$2:$A2034=A2034)*($B$2:$B2034=B2034)*($D$2:$D2034=D2034))&gt;1,0,1)</f>
        <v>1</v>
      </c>
    </row>
    <row r="2035" spans="1:16" x14ac:dyDescent="0.35">
      <c r="A2035" t="s">
        <v>9</v>
      </c>
      <c r="B2035">
        <v>2019</v>
      </c>
      <c r="C2035" t="s">
        <v>129</v>
      </c>
      <c r="D2035" s="6">
        <v>6.6</v>
      </c>
      <c r="E2035" s="6">
        <v>6</v>
      </c>
      <c r="F2035" s="1" t="s">
        <v>12</v>
      </c>
      <c r="G2035">
        <v>3</v>
      </c>
      <c r="H2035">
        <v>200</v>
      </c>
      <c r="I2035">
        <v>100</v>
      </c>
      <c r="J2035">
        <f>Table2[[#This Row],[Hits]]/Table2[[#This Row],[Points]]*100</f>
        <v>1.5</v>
      </c>
      <c r="K2035">
        <f>VLOOKUP(Table2[[#This Row],[Site]],'Site Info'!$A$1:$C$11,2, FALSE)</f>
        <v>17.7</v>
      </c>
      <c r="L2035">
        <f>VLOOKUP(Table2[[#This Row],[Site]],'Site Info'!$A$1:$C$11,3, FALSE)</f>
        <v>10</v>
      </c>
      <c r="M2035" t="str">
        <f>VLOOKUP(Table2[[#This Row],[Species]],'Species Table'!$A$1:$D$68,3, FALSE)</f>
        <v>Perennial</v>
      </c>
      <c r="O2035" s="15">
        <f>IF(SUMPRODUCT(($A$2:$A2035=A2035)*($B$2:$B2035=B2035)*($F$2:$F2035=F2035))&gt;1,0,1)</f>
        <v>0</v>
      </c>
      <c r="P2035" s="15">
        <f>IF(SUMPRODUCT(($A$2:$A2035=A2035)*($B$2:$B2035=B2035)*($D$2:$D2035=D2035))&gt;1,0,1)</f>
        <v>0</v>
      </c>
    </row>
    <row r="2036" spans="1:16" hidden="1" x14ac:dyDescent="0.35">
      <c r="A2036" t="s">
        <v>9</v>
      </c>
      <c r="B2036">
        <v>2019</v>
      </c>
      <c r="C2036" t="s">
        <v>129</v>
      </c>
      <c r="D2036" s="6">
        <v>6.6</v>
      </c>
      <c r="E2036" s="6">
        <v>6</v>
      </c>
      <c r="F2036" s="1" t="s">
        <v>10</v>
      </c>
      <c r="G2036">
        <v>20</v>
      </c>
      <c r="H2036">
        <v>200</v>
      </c>
      <c r="I2036">
        <v>100</v>
      </c>
      <c r="J2036">
        <f>Table2[[#This Row],[Hits]]/Table2[[#This Row],[Points]]*100</f>
        <v>10</v>
      </c>
      <c r="K2036">
        <f>VLOOKUP(Table2[[#This Row],[Site]],'Site Info'!$A$1:$C$11,2, FALSE)</f>
        <v>17.7</v>
      </c>
      <c r="L2036">
        <f>VLOOKUP(Table2[[#This Row],[Site]],'Site Info'!$A$1:$C$11,3, FALSE)</f>
        <v>10</v>
      </c>
      <c r="M2036" t="str">
        <f>VLOOKUP(Table2[[#This Row],[Species]],'Species Table'!$A$1:$D$68,3, FALSE)</f>
        <v>Annual</v>
      </c>
      <c r="O2036" s="15">
        <f>IF(SUMPRODUCT(($A$2:$A2036=A2036)*($B$2:$B2036=B2036)*($F$2:$F2036=F2036))&gt;1,0,1)</f>
        <v>0</v>
      </c>
      <c r="P2036" s="15">
        <f>IF(SUMPRODUCT(($A$2:$A2036=A2036)*($B$2:$B2036=B2036)*($D$2:$D2036=D2036))&gt;1,0,1)</f>
        <v>0</v>
      </c>
    </row>
    <row r="2037" spans="1:16" x14ac:dyDescent="0.35">
      <c r="A2037" t="s">
        <v>9</v>
      </c>
      <c r="B2037">
        <v>2019</v>
      </c>
      <c r="C2037" t="s">
        <v>129</v>
      </c>
      <c r="D2037" s="6">
        <v>6.6</v>
      </c>
      <c r="E2037" s="6">
        <v>6</v>
      </c>
      <c r="F2037" s="1" t="s">
        <v>11</v>
      </c>
      <c r="G2037">
        <v>3</v>
      </c>
      <c r="H2037">
        <v>200</v>
      </c>
      <c r="I2037">
        <v>100</v>
      </c>
      <c r="J2037">
        <f>Table2[[#This Row],[Hits]]/Table2[[#This Row],[Points]]*100</f>
        <v>1.5</v>
      </c>
      <c r="K2037">
        <f>VLOOKUP(Table2[[#This Row],[Site]],'Site Info'!$A$1:$C$11,2, FALSE)</f>
        <v>17.7</v>
      </c>
      <c r="L2037">
        <f>VLOOKUP(Table2[[#This Row],[Site]],'Site Info'!$A$1:$C$11,3, FALSE)</f>
        <v>10</v>
      </c>
      <c r="M2037" t="str">
        <f>VLOOKUP(Table2[[#This Row],[Species]],'Species Table'!$A$1:$D$68,3, FALSE)</f>
        <v>Perennial</v>
      </c>
      <c r="O2037" s="15">
        <f>IF(SUMPRODUCT(($A$2:$A2037=A2037)*($B$2:$B2037=B2037)*($F$2:$F2037=F2037))&gt;1,0,1)</f>
        <v>0</v>
      </c>
      <c r="P2037" s="15">
        <f>IF(SUMPRODUCT(($A$2:$A2037=A2037)*($B$2:$B2037=B2037)*($D$2:$D2037=D2037))&gt;1,0,1)</f>
        <v>0</v>
      </c>
    </row>
    <row r="2038" spans="1:16" hidden="1" x14ac:dyDescent="0.35">
      <c r="A2038" t="s">
        <v>9</v>
      </c>
      <c r="B2038">
        <v>2019</v>
      </c>
      <c r="C2038" t="s">
        <v>70</v>
      </c>
      <c r="D2038" s="6">
        <v>6.7</v>
      </c>
      <c r="E2038" s="6">
        <v>6</v>
      </c>
      <c r="F2038" s="1" t="s">
        <v>10</v>
      </c>
      <c r="G2038">
        <v>43</v>
      </c>
      <c r="H2038">
        <v>200</v>
      </c>
      <c r="I2038">
        <v>100</v>
      </c>
      <c r="J2038">
        <f>Table2[[#This Row],[Hits]]/Table2[[#This Row],[Points]]*100</f>
        <v>21.5</v>
      </c>
      <c r="K2038">
        <f>VLOOKUP(Table2[[#This Row],[Site]],'Site Info'!$A$1:$C$11,2, FALSE)</f>
        <v>17.7</v>
      </c>
      <c r="L2038">
        <f>VLOOKUP(Table2[[#This Row],[Site]],'Site Info'!$A$1:$C$11,3, FALSE)</f>
        <v>10</v>
      </c>
      <c r="M2038" t="str">
        <f>VLOOKUP(Table2[[#This Row],[Species]],'Species Table'!$A$1:$D$68,3, FALSE)</f>
        <v>Annual</v>
      </c>
      <c r="O2038" s="15">
        <f>IF(SUMPRODUCT(($A$2:$A2038=A2038)*($B$2:$B2038=B2038)*($F$2:$F2038=F2038))&gt;1,0,1)</f>
        <v>0</v>
      </c>
      <c r="P2038" s="15">
        <f>IF(SUMPRODUCT(($A$2:$A2038=A2038)*($B$2:$B2038=B2038)*($D$2:$D2038=D2038))&gt;1,0,1)</f>
        <v>1</v>
      </c>
    </row>
    <row r="2039" spans="1:16" x14ac:dyDescent="0.35">
      <c r="A2039" t="s">
        <v>9</v>
      </c>
      <c r="B2039">
        <v>2019</v>
      </c>
      <c r="C2039" t="s">
        <v>70</v>
      </c>
      <c r="D2039" s="6">
        <v>6.7</v>
      </c>
      <c r="E2039" s="6">
        <v>6</v>
      </c>
      <c r="F2039" s="1" t="s">
        <v>11</v>
      </c>
      <c r="G2039">
        <v>8</v>
      </c>
      <c r="H2039">
        <v>200</v>
      </c>
      <c r="I2039">
        <v>100</v>
      </c>
      <c r="J2039">
        <f>Table2[[#This Row],[Hits]]/Table2[[#This Row],[Points]]*100</f>
        <v>4</v>
      </c>
      <c r="K2039">
        <f>VLOOKUP(Table2[[#This Row],[Site]],'Site Info'!$A$1:$C$11,2, FALSE)</f>
        <v>17.7</v>
      </c>
      <c r="L2039">
        <f>VLOOKUP(Table2[[#This Row],[Site]],'Site Info'!$A$1:$C$11,3, FALSE)</f>
        <v>10</v>
      </c>
      <c r="M2039" t="str">
        <f>VLOOKUP(Table2[[#This Row],[Species]],'Species Table'!$A$1:$D$68,3, FALSE)</f>
        <v>Perennial</v>
      </c>
      <c r="O2039" s="15">
        <f>IF(SUMPRODUCT(($A$2:$A2039=A2039)*($B$2:$B2039=B2039)*($F$2:$F2039=F2039))&gt;1,0,1)</f>
        <v>0</v>
      </c>
      <c r="P2039" s="15">
        <f>IF(SUMPRODUCT(($A$2:$A2039=A2039)*($B$2:$B2039=B2039)*($D$2:$D2039=D2039))&gt;1,0,1)</f>
        <v>0</v>
      </c>
    </row>
    <row r="2040" spans="1:16" x14ac:dyDescent="0.35">
      <c r="A2040" t="s">
        <v>9</v>
      </c>
      <c r="B2040">
        <v>2019</v>
      </c>
      <c r="C2040" t="s">
        <v>70</v>
      </c>
      <c r="D2040" s="6">
        <v>6.7</v>
      </c>
      <c r="E2040" s="6">
        <v>6</v>
      </c>
      <c r="F2040" s="1" t="s">
        <v>3</v>
      </c>
      <c r="G2040">
        <v>7</v>
      </c>
      <c r="H2040">
        <v>200</v>
      </c>
      <c r="I2040">
        <v>100</v>
      </c>
      <c r="J2040">
        <f>Table2[[#This Row],[Hits]]/Table2[[#This Row],[Points]]*100</f>
        <v>3.5000000000000004</v>
      </c>
      <c r="K2040">
        <f>VLOOKUP(Table2[[#This Row],[Site]],'Site Info'!$A$1:$C$11,2, FALSE)</f>
        <v>17.7</v>
      </c>
      <c r="L2040">
        <f>VLOOKUP(Table2[[#This Row],[Site]],'Site Info'!$A$1:$C$11,3, FALSE)</f>
        <v>10</v>
      </c>
      <c r="M2040" t="str">
        <f>VLOOKUP(Table2[[#This Row],[Species]],'Species Table'!$A$1:$D$68,3, FALSE)</f>
        <v>Perennial</v>
      </c>
      <c r="O2040" s="15">
        <f>IF(SUMPRODUCT(($A$2:$A2040=A2040)*($B$2:$B2040=B2040)*($F$2:$F2040=F2040))&gt;1,0,1)</f>
        <v>0</v>
      </c>
      <c r="P2040" s="15">
        <f>IF(SUMPRODUCT(($A$2:$A2040=A2040)*($B$2:$B2040=B2040)*($D$2:$D2040=D2040))&gt;1,0,1)</f>
        <v>0</v>
      </c>
    </row>
    <row r="2041" spans="1:16" hidden="1" x14ac:dyDescent="0.35">
      <c r="A2041" t="s">
        <v>9</v>
      </c>
      <c r="B2041">
        <v>2019</v>
      </c>
      <c r="C2041" t="s">
        <v>71</v>
      </c>
      <c r="D2041" s="6">
        <v>7.1</v>
      </c>
      <c r="E2041" s="6">
        <v>7</v>
      </c>
      <c r="F2041" s="1" t="s">
        <v>10</v>
      </c>
      <c r="G2041">
        <v>56</v>
      </c>
      <c r="H2041">
        <v>200</v>
      </c>
      <c r="I2041">
        <v>100</v>
      </c>
      <c r="J2041">
        <f>Table2[[#This Row],[Hits]]/Table2[[#This Row],[Points]]*100</f>
        <v>28.000000000000004</v>
      </c>
      <c r="K2041">
        <f>VLOOKUP(Table2[[#This Row],[Site]],'Site Info'!$A$1:$C$11,2, FALSE)</f>
        <v>17.7</v>
      </c>
      <c r="L2041">
        <f>VLOOKUP(Table2[[#This Row],[Site]],'Site Info'!$A$1:$C$11,3, FALSE)</f>
        <v>10</v>
      </c>
      <c r="M2041" t="str">
        <f>VLOOKUP(Table2[[#This Row],[Species]],'Species Table'!$A$1:$D$68,3, FALSE)</f>
        <v>Annual</v>
      </c>
      <c r="O2041" s="15">
        <f>IF(SUMPRODUCT(($A$2:$A2041=A2041)*($B$2:$B2041=B2041)*($F$2:$F2041=F2041))&gt;1,0,1)</f>
        <v>0</v>
      </c>
      <c r="P2041" s="15">
        <f>IF(SUMPRODUCT(($A$2:$A2041=A2041)*($B$2:$B2041=B2041)*($D$2:$D2041=D2041))&gt;1,0,1)</f>
        <v>1</v>
      </c>
    </row>
    <row r="2042" spans="1:16" x14ac:dyDescent="0.35">
      <c r="A2042" t="s">
        <v>9</v>
      </c>
      <c r="B2042">
        <v>2019</v>
      </c>
      <c r="C2042" t="s">
        <v>71</v>
      </c>
      <c r="D2042" s="6">
        <v>7.1</v>
      </c>
      <c r="E2042" s="6">
        <v>7</v>
      </c>
      <c r="F2042" s="1" t="s">
        <v>11</v>
      </c>
      <c r="G2042">
        <v>7</v>
      </c>
      <c r="H2042">
        <v>200</v>
      </c>
      <c r="I2042">
        <v>100</v>
      </c>
      <c r="J2042">
        <f>Table2[[#This Row],[Hits]]/Table2[[#This Row],[Points]]*100</f>
        <v>3.5000000000000004</v>
      </c>
      <c r="K2042">
        <f>VLOOKUP(Table2[[#This Row],[Site]],'Site Info'!$A$1:$C$11,2, FALSE)</f>
        <v>17.7</v>
      </c>
      <c r="L2042">
        <f>VLOOKUP(Table2[[#This Row],[Site]],'Site Info'!$A$1:$C$11,3, FALSE)</f>
        <v>10</v>
      </c>
      <c r="M2042" t="str">
        <f>VLOOKUP(Table2[[#This Row],[Species]],'Species Table'!$A$1:$D$68,3, FALSE)</f>
        <v>Perennial</v>
      </c>
      <c r="O2042" s="15">
        <f>IF(SUMPRODUCT(($A$2:$A2042=A2042)*($B$2:$B2042=B2042)*($F$2:$F2042=F2042))&gt;1,0,1)</f>
        <v>0</v>
      </c>
      <c r="P2042" s="15">
        <f>IF(SUMPRODUCT(($A$2:$A2042=A2042)*($B$2:$B2042=B2042)*($D$2:$D2042=D2042))&gt;1,0,1)</f>
        <v>0</v>
      </c>
    </row>
    <row r="2043" spans="1:16" hidden="1" x14ac:dyDescent="0.35">
      <c r="A2043" t="s">
        <v>9</v>
      </c>
      <c r="B2043">
        <v>2019</v>
      </c>
      <c r="C2043" t="s">
        <v>71</v>
      </c>
      <c r="D2043" s="6">
        <v>7.1</v>
      </c>
      <c r="E2043" s="6">
        <v>7</v>
      </c>
      <c r="F2043" s="1" t="s">
        <v>290</v>
      </c>
      <c r="G2043">
        <v>5</v>
      </c>
      <c r="H2043">
        <v>200</v>
      </c>
      <c r="I2043">
        <v>100</v>
      </c>
      <c r="J2043">
        <f>Table2[[#This Row],[Hits]]/Table2[[#This Row],[Points]]*100</f>
        <v>2.5</v>
      </c>
      <c r="K2043">
        <f>VLOOKUP(Table2[[#This Row],[Site]],'Site Info'!$A$1:$C$11,2, FALSE)</f>
        <v>17.7</v>
      </c>
      <c r="L2043">
        <f>VLOOKUP(Table2[[#This Row],[Site]],'Site Info'!$A$1:$C$11,3, FALSE)</f>
        <v>10</v>
      </c>
      <c r="M2043" t="e">
        <f>VLOOKUP(Table2[[#This Row],[Species]],'Species Table'!$A$1:$D$68,3, FALSE)</f>
        <v>#N/A</v>
      </c>
      <c r="O2043" s="15">
        <f>IF(SUMPRODUCT(($A$2:$A2043=A2043)*($B$2:$B2043=B2043)*($F$2:$F2043=F2043))&gt;1,0,1)</f>
        <v>0</v>
      </c>
      <c r="P2043" s="15">
        <f>IF(SUMPRODUCT(($A$2:$A2043=A2043)*($B$2:$B2043=B2043)*($D$2:$D2043=D2043))&gt;1,0,1)</f>
        <v>0</v>
      </c>
    </row>
    <row r="2044" spans="1:16" hidden="1" x14ac:dyDescent="0.35">
      <c r="A2044" t="s">
        <v>9</v>
      </c>
      <c r="B2044">
        <v>2019</v>
      </c>
      <c r="C2044" t="s">
        <v>72</v>
      </c>
      <c r="D2044" s="6">
        <v>7.2</v>
      </c>
      <c r="E2044" s="6">
        <v>7</v>
      </c>
      <c r="F2044" s="1" t="s">
        <v>10</v>
      </c>
      <c r="G2044">
        <v>50</v>
      </c>
      <c r="H2044">
        <v>200</v>
      </c>
      <c r="I2044">
        <v>100</v>
      </c>
      <c r="J2044">
        <f>Table2[[#This Row],[Hits]]/Table2[[#This Row],[Points]]*100</f>
        <v>25</v>
      </c>
      <c r="K2044">
        <f>VLOOKUP(Table2[[#This Row],[Site]],'Site Info'!$A$1:$C$11,2, FALSE)</f>
        <v>17.7</v>
      </c>
      <c r="L2044">
        <f>VLOOKUP(Table2[[#This Row],[Site]],'Site Info'!$A$1:$C$11,3, FALSE)</f>
        <v>10</v>
      </c>
      <c r="M2044" t="str">
        <f>VLOOKUP(Table2[[#This Row],[Species]],'Species Table'!$A$1:$D$68,3, FALSE)</f>
        <v>Annual</v>
      </c>
      <c r="O2044" s="15">
        <f>IF(SUMPRODUCT(($A$2:$A2044=A2044)*($B$2:$B2044=B2044)*($F$2:$F2044=F2044))&gt;1,0,1)</f>
        <v>0</v>
      </c>
      <c r="P2044" s="15">
        <f>IF(SUMPRODUCT(($A$2:$A2044=A2044)*($B$2:$B2044=B2044)*($D$2:$D2044=D2044))&gt;1,0,1)</f>
        <v>1</v>
      </c>
    </row>
    <row r="2045" spans="1:16" x14ac:dyDescent="0.35">
      <c r="A2045" t="s">
        <v>9</v>
      </c>
      <c r="B2045">
        <v>2019</v>
      </c>
      <c r="C2045" t="s">
        <v>72</v>
      </c>
      <c r="D2045" s="6">
        <v>7.2</v>
      </c>
      <c r="E2045" s="6">
        <v>7</v>
      </c>
      <c r="F2045" s="1" t="s">
        <v>11</v>
      </c>
      <c r="G2045">
        <v>12</v>
      </c>
      <c r="H2045">
        <v>200</v>
      </c>
      <c r="I2045">
        <v>100</v>
      </c>
      <c r="J2045">
        <f>Table2[[#This Row],[Hits]]/Table2[[#This Row],[Points]]*100</f>
        <v>6</v>
      </c>
      <c r="K2045">
        <f>VLOOKUP(Table2[[#This Row],[Site]],'Site Info'!$A$1:$C$11,2, FALSE)</f>
        <v>17.7</v>
      </c>
      <c r="L2045">
        <f>VLOOKUP(Table2[[#This Row],[Site]],'Site Info'!$A$1:$C$11,3, FALSE)</f>
        <v>10</v>
      </c>
      <c r="M2045" t="str">
        <f>VLOOKUP(Table2[[#This Row],[Species]],'Species Table'!$A$1:$D$68,3, FALSE)</f>
        <v>Perennial</v>
      </c>
      <c r="O2045" s="15">
        <f>IF(SUMPRODUCT(($A$2:$A2045=A2045)*($B$2:$B2045=B2045)*($F$2:$F2045=F2045))&gt;1,0,1)</f>
        <v>0</v>
      </c>
      <c r="P2045" s="15">
        <f>IF(SUMPRODUCT(($A$2:$A2045=A2045)*($B$2:$B2045=B2045)*($D$2:$D2045=D2045))&gt;1,0,1)</f>
        <v>0</v>
      </c>
    </row>
    <row r="2046" spans="1:16" x14ac:dyDescent="0.35">
      <c r="A2046" t="s">
        <v>9</v>
      </c>
      <c r="B2046">
        <v>2019</v>
      </c>
      <c r="C2046" t="s">
        <v>72</v>
      </c>
      <c r="D2046" s="6">
        <v>7.2</v>
      </c>
      <c r="E2046" s="6">
        <v>7</v>
      </c>
      <c r="F2046" s="1" t="s">
        <v>6</v>
      </c>
      <c r="G2046">
        <v>3</v>
      </c>
      <c r="H2046">
        <v>200</v>
      </c>
      <c r="I2046">
        <v>100</v>
      </c>
      <c r="J2046">
        <f>Table2[[#This Row],[Hits]]/Table2[[#This Row],[Points]]*100</f>
        <v>1.5</v>
      </c>
      <c r="K2046">
        <f>VLOOKUP(Table2[[#This Row],[Site]],'Site Info'!$A$1:$C$11,2, FALSE)</f>
        <v>17.7</v>
      </c>
      <c r="L2046">
        <f>VLOOKUP(Table2[[#This Row],[Site]],'Site Info'!$A$1:$C$11,3, FALSE)</f>
        <v>10</v>
      </c>
      <c r="M2046" t="str">
        <f>VLOOKUP(Table2[[#This Row],[Species]],'Species Table'!$A$1:$D$68,3, FALSE)</f>
        <v>Perennial</v>
      </c>
      <c r="O2046" s="15">
        <f>IF(SUMPRODUCT(($A$2:$A2046=A2046)*($B$2:$B2046=B2046)*($F$2:$F2046=F2046))&gt;1,0,1)</f>
        <v>0</v>
      </c>
      <c r="P2046" s="15">
        <f>IF(SUMPRODUCT(($A$2:$A2046=A2046)*($B$2:$B2046=B2046)*($D$2:$D2046=D2046))&gt;1,0,1)</f>
        <v>0</v>
      </c>
    </row>
    <row r="2047" spans="1:16" x14ac:dyDescent="0.35">
      <c r="A2047" t="s">
        <v>9</v>
      </c>
      <c r="B2047">
        <v>2019</v>
      </c>
      <c r="C2047" t="s">
        <v>72</v>
      </c>
      <c r="D2047" s="6">
        <v>7.2</v>
      </c>
      <c r="E2047" s="6">
        <v>7</v>
      </c>
      <c r="F2047" s="1" t="s">
        <v>12</v>
      </c>
      <c r="G2047">
        <v>2</v>
      </c>
      <c r="H2047">
        <v>200</v>
      </c>
      <c r="I2047">
        <v>100</v>
      </c>
      <c r="J2047">
        <f>Table2[[#This Row],[Hits]]/Table2[[#This Row],[Points]]*100</f>
        <v>1</v>
      </c>
      <c r="K2047">
        <f>VLOOKUP(Table2[[#This Row],[Site]],'Site Info'!$A$1:$C$11,2, FALSE)</f>
        <v>17.7</v>
      </c>
      <c r="L2047">
        <f>VLOOKUP(Table2[[#This Row],[Site]],'Site Info'!$A$1:$C$11,3, FALSE)</f>
        <v>10</v>
      </c>
      <c r="M2047" t="str">
        <f>VLOOKUP(Table2[[#This Row],[Species]],'Species Table'!$A$1:$D$68,3, FALSE)</f>
        <v>Perennial</v>
      </c>
      <c r="O2047" s="15">
        <f>IF(SUMPRODUCT(($A$2:$A2047=A2047)*($B$2:$B2047=B2047)*($F$2:$F2047=F2047))&gt;1,0,1)</f>
        <v>0</v>
      </c>
      <c r="P2047" s="15">
        <f>IF(SUMPRODUCT(($A$2:$A2047=A2047)*($B$2:$B2047=B2047)*($D$2:$D2047=D2047))&gt;1,0,1)</f>
        <v>0</v>
      </c>
    </row>
    <row r="2048" spans="1:16" hidden="1" x14ac:dyDescent="0.35">
      <c r="A2048" t="s">
        <v>9</v>
      </c>
      <c r="B2048">
        <v>2019</v>
      </c>
      <c r="C2048" t="s">
        <v>73</v>
      </c>
      <c r="D2048" s="6">
        <v>7.3</v>
      </c>
      <c r="E2048" s="6">
        <v>7</v>
      </c>
      <c r="F2048" s="1" t="s">
        <v>10</v>
      </c>
      <c r="G2048">
        <v>47</v>
      </c>
      <c r="H2048">
        <v>200</v>
      </c>
      <c r="I2048">
        <v>100</v>
      </c>
      <c r="J2048">
        <f>Table2[[#This Row],[Hits]]/Table2[[#This Row],[Points]]*100</f>
        <v>23.5</v>
      </c>
      <c r="K2048">
        <f>VLOOKUP(Table2[[#This Row],[Site]],'Site Info'!$A$1:$C$11,2, FALSE)</f>
        <v>17.7</v>
      </c>
      <c r="L2048">
        <f>VLOOKUP(Table2[[#This Row],[Site]],'Site Info'!$A$1:$C$11,3, FALSE)</f>
        <v>10</v>
      </c>
      <c r="M2048" t="str">
        <f>VLOOKUP(Table2[[#This Row],[Species]],'Species Table'!$A$1:$D$68,3, FALSE)</f>
        <v>Annual</v>
      </c>
      <c r="O2048" s="15">
        <f>IF(SUMPRODUCT(($A$2:$A2048=A2048)*($B$2:$B2048=B2048)*($F$2:$F2048=F2048))&gt;1,0,1)</f>
        <v>0</v>
      </c>
      <c r="P2048" s="15">
        <f>IF(SUMPRODUCT(($A$2:$A2048=A2048)*($B$2:$B2048=B2048)*($D$2:$D2048=D2048))&gt;1,0,1)</f>
        <v>1</v>
      </c>
    </row>
    <row r="2049" spans="1:16" hidden="1" x14ac:dyDescent="0.35">
      <c r="A2049" t="s">
        <v>9</v>
      </c>
      <c r="B2049">
        <v>2019</v>
      </c>
      <c r="C2049" t="s">
        <v>73</v>
      </c>
      <c r="D2049" s="6">
        <v>7.3</v>
      </c>
      <c r="E2049" s="6">
        <v>7</v>
      </c>
      <c r="F2049" s="1" t="s">
        <v>290</v>
      </c>
      <c r="G2049">
        <v>2</v>
      </c>
      <c r="H2049">
        <v>200</v>
      </c>
      <c r="I2049">
        <v>100</v>
      </c>
      <c r="J2049">
        <f>Table2[[#This Row],[Hits]]/Table2[[#This Row],[Points]]*100</f>
        <v>1</v>
      </c>
      <c r="K2049">
        <f>VLOOKUP(Table2[[#This Row],[Site]],'Site Info'!$A$1:$C$11,2, FALSE)</f>
        <v>17.7</v>
      </c>
      <c r="L2049">
        <f>VLOOKUP(Table2[[#This Row],[Site]],'Site Info'!$A$1:$C$11,3, FALSE)</f>
        <v>10</v>
      </c>
      <c r="M2049" t="e">
        <f>VLOOKUP(Table2[[#This Row],[Species]],'Species Table'!$A$1:$D$68,3, FALSE)</f>
        <v>#N/A</v>
      </c>
      <c r="O2049" s="15">
        <f>IF(SUMPRODUCT(($A$2:$A2049=A2049)*($B$2:$B2049=B2049)*($F$2:$F2049=F2049))&gt;1,0,1)</f>
        <v>0</v>
      </c>
      <c r="P2049" s="15">
        <f>IF(SUMPRODUCT(($A$2:$A2049=A2049)*($B$2:$B2049=B2049)*($D$2:$D2049=D2049))&gt;1,0,1)</f>
        <v>0</v>
      </c>
    </row>
    <row r="2050" spans="1:16" x14ac:dyDescent="0.35">
      <c r="A2050" t="s">
        <v>9</v>
      </c>
      <c r="B2050">
        <v>2019</v>
      </c>
      <c r="C2050" t="s">
        <v>73</v>
      </c>
      <c r="D2050" s="6">
        <v>7.3</v>
      </c>
      <c r="E2050" s="6">
        <v>7</v>
      </c>
      <c r="F2050" s="1" t="s">
        <v>11</v>
      </c>
      <c r="G2050">
        <v>6</v>
      </c>
      <c r="H2050">
        <v>200</v>
      </c>
      <c r="I2050">
        <v>100</v>
      </c>
      <c r="J2050">
        <f>Table2[[#This Row],[Hits]]/Table2[[#This Row],[Points]]*100</f>
        <v>3</v>
      </c>
      <c r="K2050">
        <f>VLOOKUP(Table2[[#This Row],[Site]],'Site Info'!$A$1:$C$11,2, FALSE)</f>
        <v>17.7</v>
      </c>
      <c r="L2050">
        <f>VLOOKUP(Table2[[#This Row],[Site]],'Site Info'!$A$1:$C$11,3, FALSE)</f>
        <v>10</v>
      </c>
      <c r="M2050" t="str">
        <f>VLOOKUP(Table2[[#This Row],[Species]],'Species Table'!$A$1:$D$68,3, FALSE)</f>
        <v>Perennial</v>
      </c>
      <c r="O2050" s="15">
        <f>IF(SUMPRODUCT(($A$2:$A2050=A2050)*($B$2:$B2050=B2050)*($F$2:$F2050=F2050))&gt;1,0,1)</f>
        <v>0</v>
      </c>
      <c r="P2050" s="15">
        <f>IF(SUMPRODUCT(($A$2:$A2050=A2050)*($B$2:$B2050=B2050)*($D$2:$D2050=D2050))&gt;1,0,1)</f>
        <v>0</v>
      </c>
    </row>
    <row r="2051" spans="1:16" hidden="1" x14ac:dyDescent="0.35">
      <c r="A2051" t="s">
        <v>9</v>
      </c>
      <c r="B2051">
        <v>2019</v>
      </c>
      <c r="C2051" t="s">
        <v>130</v>
      </c>
      <c r="D2051" s="6">
        <v>7.4</v>
      </c>
      <c r="E2051" s="6">
        <v>7</v>
      </c>
      <c r="F2051" s="1" t="s">
        <v>10</v>
      </c>
      <c r="G2051">
        <v>26</v>
      </c>
      <c r="H2051">
        <v>200</v>
      </c>
      <c r="I2051">
        <v>100</v>
      </c>
      <c r="J2051">
        <f>Table2[[#This Row],[Hits]]/Table2[[#This Row],[Points]]*100</f>
        <v>13</v>
      </c>
      <c r="K2051">
        <f>VLOOKUP(Table2[[#This Row],[Site]],'Site Info'!$A$1:$C$11,2, FALSE)</f>
        <v>17.7</v>
      </c>
      <c r="L2051">
        <f>VLOOKUP(Table2[[#This Row],[Site]],'Site Info'!$A$1:$C$11,3, FALSE)</f>
        <v>10</v>
      </c>
      <c r="M2051" t="str">
        <f>VLOOKUP(Table2[[#This Row],[Species]],'Species Table'!$A$1:$D$68,3, FALSE)</f>
        <v>Annual</v>
      </c>
      <c r="O2051" s="15">
        <f>IF(SUMPRODUCT(($A$2:$A2051=A2051)*($B$2:$B2051=B2051)*($F$2:$F2051=F2051))&gt;1,0,1)</f>
        <v>0</v>
      </c>
      <c r="P2051" s="15">
        <f>IF(SUMPRODUCT(($A$2:$A2051=A2051)*($B$2:$B2051=B2051)*($D$2:$D2051=D2051))&gt;1,0,1)</f>
        <v>1</v>
      </c>
    </row>
    <row r="2052" spans="1:16" x14ac:dyDescent="0.35">
      <c r="A2052" t="s">
        <v>9</v>
      </c>
      <c r="B2052">
        <v>2019</v>
      </c>
      <c r="C2052" t="s">
        <v>130</v>
      </c>
      <c r="D2052" s="6">
        <v>7.4</v>
      </c>
      <c r="E2052" s="6">
        <v>7</v>
      </c>
      <c r="F2052" s="1" t="s">
        <v>11</v>
      </c>
      <c r="G2052">
        <v>4</v>
      </c>
      <c r="H2052">
        <v>200</v>
      </c>
      <c r="I2052">
        <v>100</v>
      </c>
      <c r="J2052">
        <f>Table2[[#This Row],[Hits]]/Table2[[#This Row],[Points]]*100</f>
        <v>2</v>
      </c>
      <c r="K2052">
        <f>VLOOKUP(Table2[[#This Row],[Site]],'Site Info'!$A$1:$C$11,2, FALSE)</f>
        <v>17.7</v>
      </c>
      <c r="L2052">
        <f>VLOOKUP(Table2[[#This Row],[Site]],'Site Info'!$A$1:$C$11,3, FALSE)</f>
        <v>10</v>
      </c>
      <c r="M2052" t="str">
        <f>VLOOKUP(Table2[[#This Row],[Species]],'Species Table'!$A$1:$D$68,3, FALSE)</f>
        <v>Perennial</v>
      </c>
      <c r="O2052" s="15">
        <f>IF(SUMPRODUCT(($A$2:$A2052=A2052)*($B$2:$B2052=B2052)*($F$2:$F2052=F2052))&gt;1,0,1)</f>
        <v>0</v>
      </c>
      <c r="P2052" s="15">
        <f>IF(SUMPRODUCT(($A$2:$A2052=A2052)*($B$2:$B2052=B2052)*($D$2:$D2052=D2052))&gt;1,0,1)</f>
        <v>0</v>
      </c>
    </row>
    <row r="2053" spans="1:16" hidden="1" x14ac:dyDescent="0.35">
      <c r="A2053" t="s">
        <v>9</v>
      </c>
      <c r="B2053">
        <v>2019</v>
      </c>
      <c r="C2053" t="s">
        <v>74</v>
      </c>
      <c r="D2053" s="6">
        <v>7.5</v>
      </c>
      <c r="E2053" s="6">
        <v>7</v>
      </c>
      <c r="F2053" s="1" t="s">
        <v>10</v>
      </c>
      <c r="G2053">
        <v>44</v>
      </c>
      <c r="H2053">
        <v>200</v>
      </c>
      <c r="I2053">
        <v>100</v>
      </c>
      <c r="J2053">
        <f>Table2[[#This Row],[Hits]]/Table2[[#This Row],[Points]]*100</f>
        <v>22</v>
      </c>
      <c r="K2053">
        <f>VLOOKUP(Table2[[#This Row],[Site]],'Site Info'!$A$1:$C$11,2, FALSE)</f>
        <v>17.7</v>
      </c>
      <c r="L2053">
        <f>VLOOKUP(Table2[[#This Row],[Site]],'Site Info'!$A$1:$C$11,3, FALSE)</f>
        <v>10</v>
      </c>
      <c r="M2053" t="str">
        <f>VLOOKUP(Table2[[#This Row],[Species]],'Species Table'!$A$1:$D$68,3, FALSE)</f>
        <v>Annual</v>
      </c>
      <c r="O2053" s="15">
        <f>IF(SUMPRODUCT(($A$2:$A2053=A2053)*($B$2:$B2053=B2053)*($F$2:$F2053=F2053))&gt;1,0,1)</f>
        <v>0</v>
      </c>
      <c r="P2053" s="15">
        <f>IF(SUMPRODUCT(($A$2:$A2053=A2053)*($B$2:$B2053=B2053)*($D$2:$D2053=D2053))&gt;1,0,1)</f>
        <v>1</v>
      </c>
    </row>
    <row r="2054" spans="1:16" x14ac:dyDescent="0.35">
      <c r="A2054" t="s">
        <v>9</v>
      </c>
      <c r="B2054">
        <v>2019</v>
      </c>
      <c r="C2054" t="s">
        <v>74</v>
      </c>
      <c r="D2054" s="6">
        <v>7.5</v>
      </c>
      <c r="E2054" s="6">
        <v>7</v>
      </c>
      <c r="F2054" s="1" t="s">
        <v>31</v>
      </c>
      <c r="G2054">
        <v>4</v>
      </c>
      <c r="H2054">
        <v>200</v>
      </c>
      <c r="I2054">
        <v>100</v>
      </c>
      <c r="J2054">
        <f>Table2[[#This Row],[Hits]]/Table2[[#This Row],[Points]]*100</f>
        <v>2</v>
      </c>
      <c r="K2054">
        <f>VLOOKUP(Table2[[#This Row],[Site]],'Site Info'!$A$1:$C$11,2, FALSE)</f>
        <v>17.7</v>
      </c>
      <c r="L2054">
        <f>VLOOKUP(Table2[[#This Row],[Site]],'Site Info'!$A$1:$C$11,3, FALSE)</f>
        <v>10</v>
      </c>
      <c r="M2054" t="str">
        <f>VLOOKUP(Table2[[#This Row],[Species]],'Species Table'!$A$1:$D$68,3, FALSE)</f>
        <v>Perennial</v>
      </c>
      <c r="O2054" s="15">
        <f>IF(SUMPRODUCT(($A$2:$A2054=A2054)*($B$2:$B2054=B2054)*($F$2:$F2054=F2054))&gt;1,0,1)</f>
        <v>0</v>
      </c>
      <c r="P2054" s="15">
        <f>IF(SUMPRODUCT(($A$2:$A2054=A2054)*($B$2:$B2054=B2054)*($D$2:$D2054=D2054))&gt;1,0,1)</f>
        <v>0</v>
      </c>
    </row>
    <row r="2055" spans="1:16" x14ac:dyDescent="0.35">
      <c r="A2055" t="s">
        <v>9</v>
      </c>
      <c r="B2055">
        <v>2019</v>
      </c>
      <c r="C2055" t="s">
        <v>74</v>
      </c>
      <c r="D2055" s="6">
        <v>7.5</v>
      </c>
      <c r="E2055" s="6">
        <v>7</v>
      </c>
      <c r="F2055" s="1" t="s">
        <v>11</v>
      </c>
      <c r="G2055">
        <v>19</v>
      </c>
      <c r="H2055">
        <v>200</v>
      </c>
      <c r="I2055">
        <v>100</v>
      </c>
      <c r="J2055">
        <f>Table2[[#This Row],[Hits]]/Table2[[#This Row],[Points]]*100</f>
        <v>9.5</v>
      </c>
      <c r="K2055">
        <f>VLOOKUP(Table2[[#This Row],[Site]],'Site Info'!$A$1:$C$11,2, FALSE)</f>
        <v>17.7</v>
      </c>
      <c r="L2055">
        <f>VLOOKUP(Table2[[#This Row],[Site]],'Site Info'!$A$1:$C$11,3, FALSE)</f>
        <v>10</v>
      </c>
      <c r="M2055" t="str">
        <f>VLOOKUP(Table2[[#This Row],[Species]],'Species Table'!$A$1:$D$68,3, FALSE)</f>
        <v>Perennial</v>
      </c>
      <c r="O2055" s="15">
        <f>IF(SUMPRODUCT(($A$2:$A2055=A2055)*($B$2:$B2055=B2055)*($F$2:$F2055=F2055))&gt;1,0,1)</f>
        <v>0</v>
      </c>
      <c r="P2055" s="15">
        <f>IF(SUMPRODUCT(($A$2:$A2055=A2055)*($B$2:$B2055=B2055)*($D$2:$D2055=D2055))&gt;1,0,1)</f>
        <v>0</v>
      </c>
    </row>
    <row r="2056" spans="1:16" hidden="1" x14ac:dyDescent="0.35">
      <c r="A2056" t="s">
        <v>9</v>
      </c>
      <c r="B2056">
        <v>2019</v>
      </c>
      <c r="C2056" t="s">
        <v>74</v>
      </c>
      <c r="D2056" s="6">
        <v>7.5</v>
      </c>
      <c r="E2056" s="6">
        <v>7</v>
      </c>
      <c r="F2056" s="1" t="s">
        <v>290</v>
      </c>
      <c r="G2056">
        <v>11</v>
      </c>
      <c r="H2056">
        <v>200</v>
      </c>
      <c r="I2056">
        <v>100</v>
      </c>
      <c r="J2056">
        <f>Table2[[#This Row],[Hits]]/Table2[[#This Row],[Points]]*100</f>
        <v>5.5</v>
      </c>
      <c r="K2056">
        <f>VLOOKUP(Table2[[#This Row],[Site]],'Site Info'!$A$1:$C$11,2, FALSE)</f>
        <v>17.7</v>
      </c>
      <c r="L2056">
        <f>VLOOKUP(Table2[[#This Row],[Site]],'Site Info'!$A$1:$C$11,3, FALSE)</f>
        <v>10</v>
      </c>
      <c r="M2056" t="e">
        <f>VLOOKUP(Table2[[#This Row],[Species]],'Species Table'!$A$1:$D$68,3, FALSE)</f>
        <v>#N/A</v>
      </c>
      <c r="O2056" s="15">
        <f>IF(SUMPRODUCT(($A$2:$A2056=A2056)*($B$2:$B2056=B2056)*($F$2:$F2056=F2056))&gt;1,0,1)</f>
        <v>0</v>
      </c>
      <c r="P2056" s="15">
        <f>IF(SUMPRODUCT(($A$2:$A2056=A2056)*($B$2:$B2056=B2056)*($D$2:$D2056=D2056))&gt;1,0,1)</f>
        <v>0</v>
      </c>
    </row>
    <row r="2057" spans="1:16" hidden="1" x14ac:dyDescent="0.35">
      <c r="A2057" t="s">
        <v>9</v>
      </c>
      <c r="B2057">
        <v>2019</v>
      </c>
      <c r="C2057" t="s">
        <v>75</v>
      </c>
      <c r="D2057" s="6">
        <v>7.6</v>
      </c>
      <c r="E2057" s="6">
        <v>7</v>
      </c>
      <c r="F2057" s="1" t="s">
        <v>10</v>
      </c>
      <c r="G2057">
        <v>31</v>
      </c>
      <c r="H2057">
        <v>200</v>
      </c>
      <c r="I2057">
        <v>100</v>
      </c>
      <c r="J2057">
        <f>Table2[[#This Row],[Hits]]/Table2[[#This Row],[Points]]*100</f>
        <v>15.5</v>
      </c>
      <c r="K2057">
        <f>VLOOKUP(Table2[[#This Row],[Site]],'Site Info'!$A$1:$C$11,2, FALSE)</f>
        <v>17.7</v>
      </c>
      <c r="L2057">
        <f>VLOOKUP(Table2[[#This Row],[Site]],'Site Info'!$A$1:$C$11,3, FALSE)</f>
        <v>10</v>
      </c>
      <c r="M2057" t="str">
        <f>VLOOKUP(Table2[[#This Row],[Species]],'Species Table'!$A$1:$D$68,3, FALSE)</f>
        <v>Annual</v>
      </c>
      <c r="O2057" s="15">
        <f>IF(SUMPRODUCT(($A$2:$A2057=A2057)*($B$2:$B2057=B2057)*($F$2:$F2057=F2057))&gt;1,0,1)</f>
        <v>0</v>
      </c>
      <c r="P2057" s="15">
        <f>IF(SUMPRODUCT(($A$2:$A2057=A2057)*($B$2:$B2057=B2057)*($D$2:$D2057=D2057))&gt;1,0,1)</f>
        <v>1</v>
      </c>
    </row>
    <row r="2058" spans="1:16" x14ac:dyDescent="0.35">
      <c r="A2058" t="s">
        <v>9</v>
      </c>
      <c r="B2058">
        <v>2019</v>
      </c>
      <c r="C2058" t="s">
        <v>75</v>
      </c>
      <c r="D2058" s="6">
        <v>7.6</v>
      </c>
      <c r="E2058" s="6">
        <v>7</v>
      </c>
      <c r="F2058" s="1" t="s">
        <v>11</v>
      </c>
      <c r="G2058">
        <v>10</v>
      </c>
      <c r="H2058">
        <v>200</v>
      </c>
      <c r="I2058">
        <v>100</v>
      </c>
      <c r="J2058">
        <f>Table2[[#This Row],[Hits]]/Table2[[#This Row],[Points]]*100</f>
        <v>5</v>
      </c>
      <c r="K2058">
        <f>VLOOKUP(Table2[[#This Row],[Site]],'Site Info'!$A$1:$C$11,2, FALSE)</f>
        <v>17.7</v>
      </c>
      <c r="L2058">
        <f>VLOOKUP(Table2[[#This Row],[Site]],'Site Info'!$A$1:$C$11,3, FALSE)</f>
        <v>10</v>
      </c>
      <c r="M2058" t="str">
        <f>VLOOKUP(Table2[[#This Row],[Species]],'Species Table'!$A$1:$D$68,3, FALSE)</f>
        <v>Perennial</v>
      </c>
      <c r="O2058" s="15">
        <f>IF(SUMPRODUCT(($A$2:$A2058=A2058)*($B$2:$B2058=B2058)*($F$2:$F2058=F2058))&gt;1,0,1)</f>
        <v>0</v>
      </c>
      <c r="P2058" s="15">
        <f>IF(SUMPRODUCT(($A$2:$A2058=A2058)*($B$2:$B2058=B2058)*($D$2:$D2058=D2058))&gt;1,0,1)</f>
        <v>0</v>
      </c>
    </row>
    <row r="2059" spans="1:16" hidden="1" x14ac:dyDescent="0.35">
      <c r="A2059" t="s">
        <v>9</v>
      </c>
      <c r="B2059">
        <v>2019</v>
      </c>
      <c r="C2059" t="s">
        <v>75</v>
      </c>
      <c r="D2059" s="6">
        <v>7.6</v>
      </c>
      <c r="E2059" s="6">
        <v>7</v>
      </c>
      <c r="F2059" s="1" t="s">
        <v>290</v>
      </c>
      <c r="G2059">
        <v>2</v>
      </c>
      <c r="H2059">
        <v>200</v>
      </c>
      <c r="I2059">
        <v>100</v>
      </c>
      <c r="J2059">
        <f>Table2[[#This Row],[Hits]]/Table2[[#This Row],[Points]]*100</f>
        <v>1</v>
      </c>
      <c r="K2059">
        <f>VLOOKUP(Table2[[#This Row],[Site]],'Site Info'!$A$1:$C$11,2, FALSE)</f>
        <v>17.7</v>
      </c>
      <c r="L2059">
        <f>VLOOKUP(Table2[[#This Row],[Site]],'Site Info'!$A$1:$C$11,3, FALSE)</f>
        <v>10</v>
      </c>
      <c r="M2059" t="e">
        <f>VLOOKUP(Table2[[#This Row],[Species]],'Species Table'!$A$1:$D$68,3, FALSE)</f>
        <v>#N/A</v>
      </c>
      <c r="O2059" s="15">
        <f>IF(SUMPRODUCT(($A$2:$A2059=A2059)*($B$2:$B2059=B2059)*($F$2:$F2059=F2059))&gt;1,0,1)</f>
        <v>0</v>
      </c>
      <c r="P2059" s="15">
        <f>IF(SUMPRODUCT(($A$2:$A2059=A2059)*($B$2:$B2059=B2059)*($D$2:$D2059=D2059))&gt;1,0,1)</f>
        <v>0</v>
      </c>
    </row>
    <row r="2060" spans="1:16" hidden="1" x14ac:dyDescent="0.35">
      <c r="A2060" t="s">
        <v>9</v>
      </c>
      <c r="B2060">
        <v>2019</v>
      </c>
      <c r="C2060" t="s">
        <v>76</v>
      </c>
      <c r="D2060" s="6">
        <v>7.7</v>
      </c>
      <c r="E2060" s="6">
        <v>7</v>
      </c>
      <c r="F2060" s="1" t="s">
        <v>10</v>
      </c>
      <c r="G2060">
        <v>7</v>
      </c>
      <c r="H2060">
        <v>200</v>
      </c>
      <c r="I2060">
        <v>100</v>
      </c>
      <c r="J2060">
        <f>Table2[[#This Row],[Hits]]/Table2[[#This Row],[Points]]*100</f>
        <v>3.5000000000000004</v>
      </c>
      <c r="K2060">
        <f>VLOOKUP(Table2[[#This Row],[Site]],'Site Info'!$A$1:$C$11,2, FALSE)</f>
        <v>17.7</v>
      </c>
      <c r="L2060">
        <f>VLOOKUP(Table2[[#This Row],[Site]],'Site Info'!$A$1:$C$11,3, FALSE)</f>
        <v>10</v>
      </c>
      <c r="M2060" t="str">
        <f>VLOOKUP(Table2[[#This Row],[Species]],'Species Table'!$A$1:$D$68,3, FALSE)</f>
        <v>Annual</v>
      </c>
      <c r="O2060" s="15">
        <f>IF(SUMPRODUCT(($A$2:$A2060=A2060)*($B$2:$B2060=B2060)*($F$2:$F2060=F2060))&gt;1,0,1)</f>
        <v>0</v>
      </c>
      <c r="P2060" s="15">
        <f>IF(SUMPRODUCT(($A$2:$A2060=A2060)*($B$2:$B2060=B2060)*($D$2:$D2060=D2060))&gt;1,0,1)</f>
        <v>1</v>
      </c>
    </row>
    <row r="2061" spans="1:16" x14ac:dyDescent="0.35">
      <c r="A2061" t="s">
        <v>9</v>
      </c>
      <c r="B2061">
        <v>2019</v>
      </c>
      <c r="C2061" t="s">
        <v>76</v>
      </c>
      <c r="D2061" s="6">
        <v>7.7</v>
      </c>
      <c r="E2061" s="6">
        <v>7</v>
      </c>
      <c r="F2061" s="1" t="s">
        <v>3</v>
      </c>
      <c r="G2061">
        <v>19</v>
      </c>
      <c r="H2061">
        <v>200</v>
      </c>
      <c r="I2061">
        <v>100</v>
      </c>
      <c r="J2061">
        <f>Table2[[#This Row],[Hits]]/Table2[[#This Row],[Points]]*100</f>
        <v>9.5</v>
      </c>
      <c r="K2061">
        <f>VLOOKUP(Table2[[#This Row],[Site]],'Site Info'!$A$1:$C$11,2, FALSE)</f>
        <v>17.7</v>
      </c>
      <c r="L2061">
        <f>VLOOKUP(Table2[[#This Row],[Site]],'Site Info'!$A$1:$C$11,3, FALSE)</f>
        <v>10</v>
      </c>
      <c r="M2061" t="str">
        <f>VLOOKUP(Table2[[#This Row],[Species]],'Species Table'!$A$1:$D$68,3, FALSE)</f>
        <v>Perennial</v>
      </c>
      <c r="O2061" s="15">
        <f>IF(SUMPRODUCT(($A$2:$A2061=A2061)*($B$2:$B2061=B2061)*($F$2:$F2061=F2061))&gt;1,0,1)</f>
        <v>0</v>
      </c>
      <c r="P2061" s="15">
        <f>IF(SUMPRODUCT(($A$2:$A2061=A2061)*($B$2:$B2061=B2061)*($D$2:$D2061=D2061))&gt;1,0,1)</f>
        <v>0</v>
      </c>
    </row>
    <row r="2062" spans="1:16" x14ac:dyDescent="0.35">
      <c r="A2062" t="s">
        <v>9</v>
      </c>
      <c r="B2062">
        <v>2019</v>
      </c>
      <c r="C2062" t="s">
        <v>76</v>
      </c>
      <c r="D2062" s="6">
        <v>7.7</v>
      </c>
      <c r="E2062" s="6">
        <v>7</v>
      </c>
      <c r="F2062" s="1" t="s">
        <v>14</v>
      </c>
      <c r="G2062">
        <v>4</v>
      </c>
      <c r="H2062">
        <v>200</v>
      </c>
      <c r="I2062">
        <v>100</v>
      </c>
      <c r="J2062">
        <f>Table2[[#This Row],[Hits]]/Table2[[#This Row],[Points]]*100</f>
        <v>2</v>
      </c>
      <c r="K2062">
        <f>VLOOKUP(Table2[[#This Row],[Site]],'Site Info'!$A$1:$C$11,2, FALSE)</f>
        <v>17.7</v>
      </c>
      <c r="L2062">
        <f>VLOOKUP(Table2[[#This Row],[Site]],'Site Info'!$A$1:$C$11,3, FALSE)</f>
        <v>10</v>
      </c>
      <c r="M2062" t="str">
        <f>VLOOKUP(Table2[[#This Row],[Species]],'Species Table'!$A$1:$D$68,3, FALSE)</f>
        <v>Perennial</v>
      </c>
      <c r="O2062" s="15">
        <f>IF(SUMPRODUCT(($A$2:$A2062=A2062)*($B$2:$B2062=B2062)*($F$2:$F2062=F2062))&gt;1,0,1)</f>
        <v>0</v>
      </c>
      <c r="P2062" s="15">
        <f>IF(SUMPRODUCT(($A$2:$A2062=A2062)*($B$2:$B2062=B2062)*($D$2:$D2062=D2062))&gt;1,0,1)</f>
        <v>0</v>
      </c>
    </row>
    <row r="2063" spans="1:16" x14ac:dyDescent="0.35">
      <c r="A2063" t="s">
        <v>9</v>
      </c>
      <c r="B2063">
        <v>2019</v>
      </c>
      <c r="C2063" t="s">
        <v>76</v>
      </c>
      <c r="D2063" s="6">
        <v>7.7</v>
      </c>
      <c r="E2063" s="6">
        <v>7</v>
      </c>
      <c r="F2063" s="1" t="s">
        <v>11</v>
      </c>
      <c r="G2063">
        <v>3</v>
      </c>
      <c r="H2063">
        <v>200</v>
      </c>
      <c r="I2063">
        <v>100</v>
      </c>
      <c r="J2063">
        <f>Table2[[#This Row],[Hits]]/Table2[[#This Row],[Points]]*100</f>
        <v>1.5</v>
      </c>
      <c r="K2063">
        <f>VLOOKUP(Table2[[#This Row],[Site]],'Site Info'!$A$1:$C$11,2, FALSE)</f>
        <v>17.7</v>
      </c>
      <c r="L2063">
        <f>VLOOKUP(Table2[[#This Row],[Site]],'Site Info'!$A$1:$C$11,3, FALSE)</f>
        <v>10</v>
      </c>
      <c r="M2063" t="str">
        <f>VLOOKUP(Table2[[#This Row],[Species]],'Species Table'!$A$1:$D$68,3, FALSE)</f>
        <v>Perennial</v>
      </c>
      <c r="O2063" s="15">
        <f>IF(SUMPRODUCT(($A$2:$A2063=A2063)*($B$2:$B2063=B2063)*($F$2:$F2063=F2063))&gt;1,0,1)</f>
        <v>0</v>
      </c>
      <c r="P2063" s="15">
        <f>IF(SUMPRODUCT(($A$2:$A2063=A2063)*($B$2:$B2063=B2063)*($D$2:$D2063=D2063))&gt;1,0,1)</f>
        <v>0</v>
      </c>
    </row>
    <row r="2064" spans="1:16" x14ac:dyDescent="0.35">
      <c r="A2064" t="s">
        <v>9</v>
      </c>
      <c r="B2064">
        <v>2019</v>
      </c>
      <c r="C2064" t="s">
        <v>77</v>
      </c>
      <c r="D2064" s="6">
        <v>8.1</v>
      </c>
      <c r="E2064" s="6">
        <v>8</v>
      </c>
      <c r="F2064" s="1" t="s">
        <v>14</v>
      </c>
      <c r="G2064">
        <v>38</v>
      </c>
      <c r="H2064">
        <v>200</v>
      </c>
      <c r="I2064">
        <v>100</v>
      </c>
      <c r="J2064">
        <f>Table2[[#This Row],[Hits]]/Table2[[#This Row],[Points]]*100</f>
        <v>19</v>
      </c>
      <c r="K2064">
        <f>VLOOKUP(Table2[[#This Row],[Site]],'Site Info'!$A$1:$C$11,2, FALSE)</f>
        <v>17.7</v>
      </c>
      <c r="L2064">
        <f>VLOOKUP(Table2[[#This Row],[Site]],'Site Info'!$A$1:$C$11,3, FALSE)</f>
        <v>10</v>
      </c>
      <c r="M2064" t="str">
        <f>VLOOKUP(Table2[[#This Row],[Species]],'Species Table'!$A$1:$D$68,3, FALSE)</f>
        <v>Perennial</v>
      </c>
      <c r="O2064" s="15">
        <f>IF(SUMPRODUCT(($A$2:$A2064=A2064)*($B$2:$B2064=B2064)*($F$2:$F2064=F2064))&gt;1,0,1)</f>
        <v>0</v>
      </c>
      <c r="P2064" s="15">
        <f>IF(SUMPRODUCT(($A$2:$A2064=A2064)*($B$2:$B2064=B2064)*($D$2:$D2064=D2064))&gt;1,0,1)</f>
        <v>1</v>
      </c>
    </row>
    <row r="2065" spans="1:16" x14ac:dyDescent="0.35">
      <c r="A2065" t="s">
        <v>9</v>
      </c>
      <c r="B2065">
        <v>2019</v>
      </c>
      <c r="C2065" t="s">
        <v>78</v>
      </c>
      <c r="D2065" s="6">
        <v>8.1999999999999993</v>
      </c>
      <c r="E2065" s="6">
        <v>8</v>
      </c>
      <c r="F2065" s="1" t="s">
        <v>3</v>
      </c>
      <c r="G2065">
        <v>6</v>
      </c>
      <c r="H2065">
        <v>200</v>
      </c>
      <c r="I2065">
        <v>100</v>
      </c>
      <c r="J2065">
        <f>Table2[[#This Row],[Hits]]/Table2[[#This Row],[Points]]*100</f>
        <v>3</v>
      </c>
      <c r="K2065">
        <f>VLOOKUP(Table2[[#This Row],[Site]],'Site Info'!$A$1:$C$11,2, FALSE)</f>
        <v>17.7</v>
      </c>
      <c r="L2065">
        <f>VLOOKUP(Table2[[#This Row],[Site]],'Site Info'!$A$1:$C$11,3, FALSE)</f>
        <v>10</v>
      </c>
      <c r="M2065" t="str">
        <f>VLOOKUP(Table2[[#This Row],[Species]],'Species Table'!$A$1:$D$68,3, FALSE)</f>
        <v>Perennial</v>
      </c>
      <c r="O2065" s="15">
        <f>IF(SUMPRODUCT(($A$2:$A2065=A2065)*($B$2:$B2065=B2065)*($F$2:$F2065=F2065))&gt;1,0,1)</f>
        <v>0</v>
      </c>
      <c r="P2065" s="15">
        <f>IF(SUMPRODUCT(($A$2:$A2065=A2065)*($B$2:$B2065=B2065)*($D$2:$D2065=D2065))&gt;1,0,1)</f>
        <v>1</v>
      </c>
    </row>
    <row r="2066" spans="1:16" hidden="1" x14ac:dyDescent="0.35">
      <c r="A2066" t="s">
        <v>9</v>
      </c>
      <c r="B2066">
        <v>2019</v>
      </c>
      <c r="C2066" t="s">
        <v>78</v>
      </c>
      <c r="D2066" s="6">
        <v>8.1999999999999993</v>
      </c>
      <c r="E2066" s="6">
        <v>8</v>
      </c>
      <c r="F2066" s="1" t="s">
        <v>10</v>
      </c>
      <c r="G2066">
        <v>8</v>
      </c>
      <c r="H2066">
        <v>200</v>
      </c>
      <c r="I2066">
        <v>100</v>
      </c>
      <c r="J2066">
        <f>Table2[[#This Row],[Hits]]/Table2[[#This Row],[Points]]*100</f>
        <v>4</v>
      </c>
      <c r="K2066">
        <f>VLOOKUP(Table2[[#This Row],[Site]],'Site Info'!$A$1:$C$11,2, FALSE)</f>
        <v>17.7</v>
      </c>
      <c r="L2066">
        <f>VLOOKUP(Table2[[#This Row],[Site]],'Site Info'!$A$1:$C$11,3, FALSE)</f>
        <v>10</v>
      </c>
      <c r="M2066" t="str">
        <f>VLOOKUP(Table2[[#This Row],[Species]],'Species Table'!$A$1:$D$68,3, FALSE)</f>
        <v>Annual</v>
      </c>
      <c r="O2066" s="15">
        <f>IF(SUMPRODUCT(($A$2:$A2066=A2066)*($B$2:$B2066=B2066)*($F$2:$F2066=F2066))&gt;1,0,1)</f>
        <v>0</v>
      </c>
      <c r="P2066" s="15">
        <f>IF(SUMPRODUCT(($A$2:$A2066=A2066)*($B$2:$B2066=B2066)*($D$2:$D2066=D2066))&gt;1,0,1)</f>
        <v>0</v>
      </c>
    </row>
    <row r="2067" spans="1:16" x14ac:dyDescent="0.35">
      <c r="A2067" t="s">
        <v>9</v>
      </c>
      <c r="B2067">
        <v>2019</v>
      </c>
      <c r="C2067" t="s">
        <v>78</v>
      </c>
      <c r="D2067" s="6">
        <v>8.1999999999999993</v>
      </c>
      <c r="E2067" s="6">
        <v>8</v>
      </c>
      <c r="F2067" s="1" t="s">
        <v>2</v>
      </c>
      <c r="G2067">
        <v>1</v>
      </c>
      <c r="H2067">
        <v>200</v>
      </c>
      <c r="I2067">
        <v>100</v>
      </c>
      <c r="J2067">
        <f>Table2[[#This Row],[Hits]]/Table2[[#This Row],[Points]]*100</f>
        <v>0.5</v>
      </c>
      <c r="K2067">
        <f>VLOOKUP(Table2[[#This Row],[Site]],'Site Info'!$A$1:$C$11,2, FALSE)</f>
        <v>17.7</v>
      </c>
      <c r="L2067">
        <f>VLOOKUP(Table2[[#This Row],[Site]],'Site Info'!$A$1:$C$11,3, FALSE)</f>
        <v>10</v>
      </c>
      <c r="M2067" t="str">
        <f>VLOOKUP(Table2[[#This Row],[Species]],'Species Table'!$A$1:$D$68,3, FALSE)</f>
        <v>Perennial</v>
      </c>
      <c r="O2067" s="15">
        <f>IF(SUMPRODUCT(($A$2:$A2067=A2067)*($B$2:$B2067=B2067)*($F$2:$F2067=F2067))&gt;1,0,1)</f>
        <v>0</v>
      </c>
      <c r="P2067" s="15">
        <f>IF(SUMPRODUCT(($A$2:$A2067=A2067)*($B$2:$B2067=B2067)*($D$2:$D2067=D2067))&gt;1,0,1)</f>
        <v>0</v>
      </c>
    </row>
    <row r="2068" spans="1:16" hidden="1" x14ac:dyDescent="0.35">
      <c r="A2068" t="s">
        <v>9</v>
      </c>
      <c r="B2068">
        <v>2019</v>
      </c>
      <c r="C2068" t="s">
        <v>79</v>
      </c>
      <c r="D2068" s="6">
        <v>8.3000000000000007</v>
      </c>
      <c r="E2068" s="6">
        <v>8</v>
      </c>
      <c r="F2068" s="1" t="s">
        <v>10</v>
      </c>
      <c r="G2068">
        <v>25</v>
      </c>
      <c r="H2068">
        <v>200</v>
      </c>
      <c r="I2068">
        <v>100</v>
      </c>
      <c r="J2068">
        <f>Table2[[#This Row],[Hits]]/Table2[[#This Row],[Points]]*100</f>
        <v>12.5</v>
      </c>
      <c r="K2068">
        <f>VLOOKUP(Table2[[#This Row],[Site]],'Site Info'!$A$1:$C$11,2, FALSE)</f>
        <v>17.7</v>
      </c>
      <c r="L2068">
        <f>VLOOKUP(Table2[[#This Row],[Site]],'Site Info'!$A$1:$C$11,3, FALSE)</f>
        <v>10</v>
      </c>
      <c r="M2068" t="str">
        <f>VLOOKUP(Table2[[#This Row],[Species]],'Species Table'!$A$1:$D$68,3, FALSE)</f>
        <v>Annual</v>
      </c>
      <c r="O2068" s="15">
        <f>IF(SUMPRODUCT(($A$2:$A2068=A2068)*($B$2:$B2068=B2068)*($F$2:$F2068=F2068))&gt;1,0,1)</f>
        <v>0</v>
      </c>
      <c r="P2068" s="15">
        <f>IF(SUMPRODUCT(($A$2:$A2068=A2068)*($B$2:$B2068=B2068)*($D$2:$D2068=D2068))&gt;1,0,1)</f>
        <v>1</v>
      </c>
    </row>
    <row r="2069" spans="1:16" x14ac:dyDescent="0.35">
      <c r="A2069" t="s">
        <v>9</v>
      </c>
      <c r="B2069">
        <v>2019</v>
      </c>
      <c r="C2069" t="s">
        <v>79</v>
      </c>
      <c r="D2069" s="6">
        <v>8.3000000000000007</v>
      </c>
      <c r="E2069" s="6">
        <v>8</v>
      </c>
      <c r="F2069" s="1" t="s">
        <v>3</v>
      </c>
      <c r="G2069">
        <v>2</v>
      </c>
      <c r="H2069">
        <v>200</v>
      </c>
      <c r="I2069">
        <v>100</v>
      </c>
      <c r="J2069">
        <f>Table2[[#This Row],[Hits]]/Table2[[#This Row],[Points]]*100</f>
        <v>1</v>
      </c>
      <c r="K2069">
        <f>VLOOKUP(Table2[[#This Row],[Site]],'Site Info'!$A$1:$C$11,2, FALSE)</f>
        <v>17.7</v>
      </c>
      <c r="L2069">
        <f>VLOOKUP(Table2[[#This Row],[Site]],'Site Info'!$A$1:$C$11,3, FALSE)</f>
        <v>10</v>
      </c>
      <c r="M2069" t="str">
        <f>VLOOKUP(Table2[[#This Row],[Species]],'Species Table'!$A$1:$D$68,3, FALSE)</f>
        <v>Perennial</v>
      </c>
      <c r="O2069" s="15">
        <f>IF(SUMPRODUCT(($A$2:$A2069=A2069)*($B$2:$B2069=B2069)*($F$2:$F2069=F2069))&gt;1,0,1)</f>
        <v>0</v>
      </c>
      <c r="P2069" s="15">
        <f>IF(SUMPRODUCT(($A$2:$A2069=A2069)*($B$2:$B2069=B2069)*($D$2:$D2069=D2069))&gt;1,0,1)</f>
        <v>0</v>
      </c>
    </row>
    <row r="2070" spans="1:16" x14ac:dyDescent="0.35">
      <c r="A2070" t="s">
        <v>9</v>
      </c>
      <c r="B2070">
        <v>2019</v>
      </c>
      <c r="C2070" t="s">
        <v>79</v>
      </c>
      <c r="D2070" s="6">
        <v>8.3000000000000007</v>
      </c>
      <c r="E2070" s="6">
        <v>8</v>
      </c>
      <c r="F2070" s="1" t="s">
        <v>6</v>
      </c>
      <c r="G2070">
        <v>2</v>
      </c>
      <c r="H2070">
        <v>200</v>
      </c>
      <c r="I2070">
        <v>100</v>
      </c>
      <c r="J2070">
        <f>Table2[[#This Row],[Hits]]/Table2[[#This Row],[Points]]*100</f>
        <v>1</v>
      </c>
      <c r="K2070">
        <f>VLOOKUP(Table2[[#This Row],[Site]],'Site Info'!$A$1:$C$11,2, FALSE)</f>
        <v>17.7</v>
      </c>
      <c r="L2070">
        <f>VLOOKUP(Table2[[#This Row],[Site]],'Site Info'!$A$1:$C$11,3, FALSE)</f>
        <v>10</v>
      </c>
      <c r="M2070" t="str">
        <f>VLOOKUP(Table2[[#This Row],[Species]],'Species Table'!$A$1:$D$68,3, FALSE)</f>
        <v>Perennial</v>
      </c>
      <c r="O2070" s="15">
        <f>IF(SUMPRODUCT(($A$2:$A2070=A2070)*($B$2:$B2070=B2070)*($F$2:$F2070=F2070))&gt;1,0,1)</f>
        <v>0</v>
      </c>
      <c r="P2070" s="15">
        <f>IF(SUMPRODUCT(($A$2:$A2070=A2070)*($B$2:$B2070=B2070)*($D$2:$D2070=D2070))&gt;1,0,1)</f>
        <v>0</v>
      </c>
    </row>
    <row r="2071" spans="1:16" hidden="1" x14ac:dyDescent="0.35">
      <c r="A2071" t="s">
        <v>9</v>
      </c>
      <c r="B2071">
        <v>2019</v>
      </c>
      <c r="C2071" t="s">
        <v>80</v>
      </c>
      <c r="D2071" s="6">
        <v>8.4</v>
      </c>
      <c r="E2071" s="6">
        <v>8</v>
      </c>
      <c r="F2071" s="1" t="s">
        <v>10</v>
      </c>
      <c r="G2071">
        <v>4</v>
      </c>
      <c r="H2071">
        <v>200</v>
      </c>
      <c r="I2071">
        <v>100</v>
      </c>
      <c r="J2071">
        <f>Table2[[#This Row],[Hits]]/Table2[[#This Row],[Points]]*100</f>
        <v>2</v>
      </c>
      <c r="K2071">
        <f>VLOOKUP(Table2[[#This Row],[Site]],'Site Info'!$A$1:$C$11,2, FALSE)</f>
        <v>17.7</v>
      </c>
      <c r="L2071">
        <f>VLOOKUP(Table2[[#This Row],[Site]],'Site Info'!$A$1:$C$11,3, FALSE)</f>
        <v>10</v>
      </c>
      <c r="M2071" t="str">
        <f>VLOOKUP(Table2[[#This Row],[Species]],'Species Table'!$A$1:$D$68,3, FALSE)</f>
        <v>Annual</v>
      </c>
      <c r="O2071" s="15">
        <f>IF(SUMPRODUCT(($A$2:$A2071=A2071)*($B$2:$B2071=B2071)*($F$2:$F2071=F2071))&gt;1,0,1)</f>
        <v>0</v>
      </c>
      <c r="P2071" s="15">
        <f>IF(SUMPRODUCT(($A$2:$A2071=A2071)*($B$2:$B2071=B2071)*($D$2:$D2071=D2071))&gt;1,0,1)</f>
        <v>1</v>
      </c>
    </row>
    <row r="2072" spans="1:16" x14ac:dyDescent="0.35">
      <c r="A2072" t="s">
        <v>9</v>
      </c>
      <c r="B2072">
        <v>2019</v>
      </c>
      <c r="C2072" t="s">
        <v>80</v>
      </c>
      <c r="D2072" s="6">
        <v>8.4</v>
      </c>
      <c r="E2072" s="6">
        <v>8</v>
      </c>
      <c r="F2072" s="1" t="s">
        <v>3</v>
      </c>
      <c r="G2072">
        <v>1</v>
      </c>
      <c r="H2072">
        <v>200</v>
      </c>
      <c r="I2072">
        <v>100</v>
      </c>
      <c r="J2072">
        <f>Table2[[#This Row],[Hits]]/Table2[[#This Row],[Points]]*100</f>
        <v>0.5</v>
      </c>
      <c r="K2072">
        <f>VLOOKUP(Table2[[#This Row],[Site]],'Site Info'!$A$1:$C$11,2, FALSE)</f>
        <v>17.7</v>
      </c>
      <c r="L2072">
        <f>VLOOKUP(Table2[[#This Row],[Site]],'Site Info'!$A$1:$C$11,3, FALSE)</f>
        <v>10</v>
      </c>
      <c r="M2072" t="str">
        <f>VLOOKUP(Table2[[#This Row],[Species]],'Species Table'!$A$1:$D$68,3, FALSE)</f>
        <v>Perennial</v>
      </c>
      <c r="O2072" s="15">
        <f>IF(SUMPRODUCT(($A$2:$A2072=A2072)*($B$2:$B2072=B2072)*($F$2:$F2072=F2072))&gt;1,0,1)</f>
        <v>0</v>
      </c>
      <c r="P2072" s="15">
        <f>IF(SUMPRODUCT(($A$2:$A2072=A2072)*($B$2:$B2072=B2072)*($D$2:$D2072=D2072))&gt;1,0,1)</f>
        <v>0</v>
      </c>
    </row>
    <row r="2073" spans="1:16" x14ac:dyDescent="0.35">
      <c r="A2073" t="s">
        <v>9</v>
      </c>
      <c r="B2073">
        <v>2019</v>
      </c>
      <c r="C2073" t="s">
        <v>80</v>
      </c>
      <c r="D2073" s="6">
        <v>8.4</v>
      </c>
      <c r="E2073" s="6">
        <v>8</v>
      </c>
      <c r="F2073" s="1" t="s">
        <v>6</v>
      </c>
      <c r="G2073">
        <v>43</v>
      </c>
      <c r="H2073">
        <v>200</v>
      </c>
      <c r="I2073">
        <v>100</v>
      </c>
      <c r="J2073">
        <f>Table2[[#This Row],[Hits]]/Table2[[#This Row],[Points]]*100</f>
        <v>21.5</v>
      </c>
      <c r="K2073">
        <f>VLOOKUP(Table2[[#This Row],[Site]],'Site Info'!$A$1:$C$11,2, FALSE)</f>
        <v>17.7</v>
      </c>
      <c r="L2073">
        <f>VLOOKUP(Table2[[#This Row],[Site]],'Site Info'!$A$1:$C$11,3, FALSE)</f>
        <v>10</v>
      </c>
      <c r="M2073" t="str">
        <f>VLOOKUP(Table2[[#This Row],[Species]],'Species Table'!$A$1:$D$68,3, FALSE)</f>
        <v>Perennial</v>
      </c>
      <c r="O2073" s="15">
        <f>IF(SUMPRODUCT(($A$2:$A2073=A2073)*($B$2:$B2073=B2073)*($F$2:$F2073=F2073))&gt;1,0,1)</f>
        <v>0</v>
      </c>
      <c r="P2073" s="15">
        <f>IF(SUMPRODUCT(($A$2:$A2073=A2073)*($B$2:$B2073=B2073)*($D$2:$D2073=D2073))&gt;1,0,1)</f>
        <v>0</v>
      </c>
    </row>
    <row r="2074" spans="1:16" x14ac:dyDescent="0.35">
      <c r="A2074" t="s">
        <v>9</v>
      </c>
      <c r="B2074">
        <v>2019</v>
      </c>
      <c r="C2074" t="s">
        <v>81</v>
      </c>
      <c r="D2074" s="6">
        <v>8.5</v>
      </c>
      <c r="E2074" s="6">
        <v>8</v>
      </c>
      <c r="F2074" s="1" t="s">
        <v>6</v>
      </c>
      <c r="G2074">
        <v>20</v>
      </c>
      <c r="H2074">
        <v>200</v>
      </c>
      <c r="I2074">
        <v>100</v>
      </c>
      <c r="J2074">
        <f>Table2[[#This Row],[Hits]]/Table2[[#This Row],[Points]]*100</f>
        <v>10</v>
      </c>
      <c r="K2074">
        <f>VLOOKUP(Table2[[#This Row],[Site]],'Site Info'!$A$1:$C$11,2, FALSE)</f>
        <v>17.7</v>
      </c>
      <c r="L2074">
        <f>VLOOKUP(Table2[[#This Row],[Site]],'Site Info'!$A$1:$C$11,3, FALSE)</f>
        <v>10</v>
      </c>
      <c r="M2074" t="str">
        <f>VLOOKUP(Table2[[#This Row],[Species]],'Species Table'!$A$1:$D$68,3, FALSE)</f>
        <v>Perennial</v>
      </c>
      <c r="O2074" s="15">
        <f>IF(SUMPRODUCT(($A$2:$A2074=A2074)*($B$2:$B2074=B2074)*($F$2:$F2074=F2074))&gt;1,0,1)</f>
        <v>0</v>
      </c>
      <c r="P2074" s="15">
        <f>IF(SUMPRODUCT(($A$2:$A2074=A2074)*($B$2:$B2074=B2074)*($D$2:$D2074=D2074))&gt;1,0,1)</f>
        <v>1</v>
      </c>
    </row>
    <row r="2075" spans="1:16" hidden="1" x14ac:dyDescent="0.35">
      <c r="A2075" t="s">
        <v>9</v>
      </c>
      <c r="B2075">
        <v>2019</v>
      </c>
      <c r="C2075" t="s">
        <v>81</v>
      </c>
      <c r="D2075" s="6">
        <v>8.5</v>
      </c>
      <c r="E2075" s="6">
        <v>8</v>
      </c>
      <c r="F2075" s="1" t="s">
        <v>10</v>
      </c>
      <c r="G2075">
        <v>13</v>
      </c>
      <c r="H2075">
        <v>200</v>
      </c>
      <c r="I2075">
        <v>100</v>
      </c>
      <c r="J2075">
        <f>Table2[[#This Row],[Hits]]/Table2[[#This Row],[Points]]*100</f>
        <v>6.5</v>
      </c>
      <c r="K2075">
        <f>VLOOKUP(Table2[[#This Row],[Site]],'Site Info'!$A$1:$C$11,2, FALSE)</f>
        <v>17.7</v>
      </c>
      <c r="L2075">
        <f>VLOOKUP(Table2[[#This Row],[Site]],'Site Info'!$A$1:$C$11,3, FALSE)</f>
        <v>10</v>
      </c>
      <c r="M2075" t="str">
        <f>VLOOKUP(Table2[[#This Row],[Species]],'Species Table'!$A$1:$D$68,3, FALSE)</f>
        <v>Annual</v>
      </c>
      <c r="O2075" s="15">
        <f>IF(SUMPRODUCT(($A$2:$A2075=A2075)*($B$2:$B2075=B2075)*($F$2:$F2075=F2075))&gt;1,0,1)</f>
        <v>0</v>
      </c>
      <c r="P2075" s="15">
        <f>IF(SUMPRODUCT(($A$2:$A2075=A2075)*($B$2:$B2075=B2075)*($D$2:$D2075=D2075))&gt;1,0,1)</f>
        <v>0</v>
      </c>
    </row>
    <row r="2076" spans="1:16" x14ac:dyDescent="0.35">
      <c r="A2076" t="s">
        <v>9</v>
      </c>
      <c r="B2076">
        <v>2019</v>
      </c>
      <c r="C2076" t="s">
        <v>81</v>
      </c>
      <c r="D2076" s="6">
        <v>8.5</v>
      </c>
      <c r="E2076" s="6">
        <v>8</v>
      </c>
      <c r="F2076" s="1" t="s">
        <v>3</v>
      </c>
      <c r="G2076">
        <v>6</v>
      </c>
      <c r="H2076">
        <v>200</v>
      </c>
      <c r="I2076">
        <v>100</v>
      </c>
      <c r="J2076">
        <f>Table2[[#This Row],[Hits]]/Table2[[#This Row],[Points]]*100</f>
        <v>3</v>
      </c>
      <c r="K2076">
        <f>VLOOKUP(Table2[[#This Row],[Site]],'Site Info'!$A$1:$C$11,2, FALSE)</f>
        <v>17.7</v>
      </c>
      <c r="L2076">
        <f>VLOOKUP(Table2[[#This Row],[Site]],'Site Info'!$A$1:$C$11,3, FALSE)</f>
        <v>10</v>
      </c>
      <c r="M2076" t="str">
        <f>VLOOKUP(Table2[[#This Row],[Species]],'Species Table'!$A$1:$D$68,3, FALSE)</f>
        <v>Perennial</v>
      </c>
      <c r="O2076" s="15">
        <f>IF(SUMPRODUCT(($A$2:$A2076=A2076)*($B$2:$B2076=B2076)*($F$2:$F2076=F2076))&gt;1,0,1)</f>
        <v>0</v>
      </c>
      <c r="P2076" s="15">
        <f>IF(SUMPRODUCT(($A$2:$A2076=A2076)*($B$2:$B2076=B2076)*($D$2:$D2076=D2076))&gt;1,0,1)</f>
        <v>0</v>
      </c>
    </row>
    <row r="2077" spans="1:16" x14ac:dyDescent="0.35">
      <c r="A2077" t="s">
        <v>9</v>
      </c>
      <c r="B2077">
        <v>2019</v>
      </c>
      <c r="C2077" t="s">
        <v>81</v>
      </c>
      <c r="D2077" s="6">
        <v>8.5</v>
      </c>
      <c r="E2077" s="6">
        <v>8</v>
      </c>
      <c r="F2077" s="1" t="s">
        <v>15</v>
      </c>
      <c r="G2077">
        <v>1</v>
      </c>
      <c r="H2077">
        <v>200</v>
      </c>
      <c r="I2077">
        <v>100</v>
      </c>
      <c r="J2077">
        <f>Table2[[#This Row],[Hits]]/Table2[[#This Row],[Points]]*100</f>
        <v>0.5</v>
      </c>
      <c r="K2077">
        <f>VLOOKUP(Table2[[#This Row],[Site]],'Site Info'!$A$1:$C$11,2, FALSE)</f>
        <v>17.7</v>
      </c>
      <c r="L2077">
        <f>VLOOKUP(Table2[[#This Row],[Site]],'Site Info'!$A$1:$C$11,3, FALSE)</f>
        <v>10</v>
      </c>
      <c r="M2077" t="str">
        <f>VLOOKUP(Table2[[#This Row],[Species]],'Species Table'!$A$1:$D$68,3, FALSE)</f>
        <v>Perennial</v>
      </c>
      <c r="O2077" s="15">
        <f>IF(SUMPRODUCT(($A$2:$A2077=A2077)*($B$2:$B2077=B2077)*($F$2:$F2077=F2077))&gt;1,0,1)</f>
        <v>1</v>
      </c>
      <c r="P2077" s="15">
        <f>IF(SUMPRODUCT(($A$2:$A2077=A2077)*($B$2:$B2077=B2077)*($D$2:$D2077=D2077))&gt;1,0,1)</f>
        <v>0</v>
      </c>
    </row>
    <row r="2078" spans="1:16" hidden="1" x14ac:dyDescent="0.35">
      <c r="A2078" t="s">
        <v>291</v>
      </c>
      <c r="B2078">
        <v>2019</v>
      </c>
      <c r="C2078" t="s">
        <v>82</v>
      </c>
      <c r="D2078" s="6">
        <v>1.1000000000000001</v>
      </c>
      <c r="E2078" s="6">
        <v>1</v>
      </c>
      <c r="F2078" s="1" t="s">
        <v>10</v>
      </c>
      <c r="G2078">
        <v>28</v>
      </c>
      <c r="H2078">
        <v>200</v>
      </c>
      <c r="I2078">
        <v>100</v>
      </c>
      <c r="J2078">
        <f>Table2[[#This Row],[Hits]]/Table2[[#This Row],[Points]]*100</f>
        <v>14.000000000000002</v>
      </c>
      <c r="K2078" t="e">
        <f>VLOOKUP(Table2[[#This Row],[Site]],'Site Info'!$A$1:$C$11,2, FALSE)</f>
        <v>#N/A</v>
      </c>
      <c r="L2078" t="e">
        <f>VLOOKUP(Table2[[#This Row],[Site]],'Site Info'!$A$1:$C$11,3, FALSE)</f>
        <v>#N/A</v>
      </c>
      <c r="M2078" t="str">
        <f>VLOOKUP(Table2[[#This Row],[Species]],'Species Table'!$A$1:$D$68,3, FALSE)</f>
        <v>Annual</v>
      </c>
      <c r="O2078" s="15">
        <f>IF(SUMPRODUCT(($A$2:$A2078=A2078)*($B$2:$B2078=B2078)*($F$2:$F2078=F2078))&gt;1,0,1)</f>
        <v>1</v>
      </c>
      <c r="P2078" s="15">
        <f>IF(SUMPRODUCT(($A$2:$A2078=A2078)*($B$2:$B2078=B2078)*($D$2:$D2078=D2078))&gt;1,0,1)</f>
        <v>1</v>
      </c>
    </row>
    <row r="2079" spans="1:16" x14ac:dyDescent="0.35">
      <c r="A2079" t="s">
        <v>291</v>
      </c>
      <c r="B2079">
        <v>2019</v>
      </c>
      <c r="C2079" t="s">
        <v>82</v>
      </c>
      <c r="D2079" s="6">
        <v>1.1000000000000001</v>
      </c>
      <c r="E2079" s="6">
        <v>1</v>
      </c>
      <c r="F2079" s="1" t="s">
        <v>2</v>
      </c>
      <c r="G2079">
        <v>10</v>
      </c>
      <c r="H2079">
        <v>200</v>
      </c>
      <c r="I2079">
        <v>100</v>
      </c>
      <c r="J2079">
        <f>Table2[[#This Row],[Hits]]/Table2[[#This Row],[Points]]*100</f>
        <v>5</v>
      </c>
      <c r="K2079" t="e">
        <f>VLOOKUP(Table2[[#This Row],[Site]],'Site Info'!$A$1:$C$11,2, FALSE)</f>
        <v>#N/A</v>
      </c>
      <c r="L2079" t="e">
        <f>VLOOKUP(Table2[[#This Row],[Site]],'Site Info'!$A$1:$C$11,3, FALSE)</f>
        <v>#N/A</v>
      </c>
      <c r="M2079" t="str">
        <f>VLOOKUP(Table2[[#This Row],[Species]],'Species Table'!$A$1:$D$68,3, FALSE)</f>
        <v>Perennial</v>
      </c>
      <c r="O2079" s="15">
        <f>IF(SUMPRODUCT(($A$2:$A2079=A2079)*($B$2:$B2079=B2079)*($F$2:$F2079=F2079))&gt;1,0,1)</f>
        <v>1</v>
      </c>
      <c r="P2079" s="15">
        <f>IF(SUMPRODUCT(($A$2:$A2079=A2079)*($B$2:$B2079=B2079)*($D$2:$D2079=D2079))&gt;1,0,1)</f>
        <v>0</v>
      </c>
    </row>
    <row r="2080" spans="1:16" x14ac:dyDescent="0.35">
      <c r="A2080" t="s">
        <v>291</v>
      </c>
      <c r="B2080">
        <v>2019</v>
      </c>
      <c r="C2080" t="s">
        <v>82</v>
      </c>
      <c r="D2080" s="6">
        <v>1.1000000000000001</v>
      </c>
      <c r="E2080" s="6">
        <v>1</v>
      </c>
      <c r="F2080" s="1" t="s">
        <v>3</v>
      </c>
      <c r="G2080">
        <v>10</v>
      </c>
      <c r="H2080">
        <v>200</v>
      </c>
      <c r="I2080">
        <v>100</v>
      </c>
      <c r="J2080">
        <f>Table2[[#This Row],[Hits]]/Table2[[#This Row],[Points]]*100</f>
        <v>5</v>
      </c>
      <c r="K2080" t="e">
        <f>VLOOKUP(Table2[[#This Row],[Site]],'Site Info'!$A$1:$C$11,2, FALSE)</f>
        <v>#N/A</v>
      </c>
      <c r="L2080" t="e">
        <f>VLOOKUP(Table2[[#This Row],[Site]],'Site Info'!$A$1:$C$11,3, FALSE)</f>
        <v>#N/A</v>
      </c>
      <c r="M2080" t="str">
        <f>VLOOKUP(Table2[[#This Row],[Species]],'Species Table'!$A$1:$D$68,3, FALSE)</f>
        <v>Perennial</v>
      </c>
      <c r="O2080" s="15">
        <f>IF(SUMPRODUCT(($A$2:$A2080=A2080)*($B$2:$B2080=B2080)*($F$2:$F2080=F2080))&gt;1,0,1)</f>
        <v>1</v>
      </c>
      <c r="P2080" s="15">
        <f>IF(SUMPRODUCT(($A$2:$A2080=A2080)*($B$2:$B2080=B2080)*($D$2:$D2080=D2080))&gt;1,0,1)</f>
        <v>0</v>
      </c>
    </row>
    <row r="2081" spans="1:16" hidden="1" x14ac:dyDescent="0.35">
      <c r="A2081" t="s">
        <v>291</v>
      </c>
      <c r="B2081">
        <v>2019</v>
      </c>
      <c r="C2081" t="s">
        <v>82</v>
      </c>
      <c r="D2081" s="6">
        <v>1.1000000000000001</v>
      </c>
      <c r="E2081" s="6">
        <v>1</v>
      </c>
      <c r="F2081" s="1" t="s">
        <v>33</v>
      </c>
      <c r="G2081">
        <v>1</v>
      </c>
      <c r="H2081">
        <v>200</v>
      </c>
      <c r="I2081">
        <v>100</v>
      </c>
      <c r="J2081">
        <f>Table2[[#This Row],[Hits]]/Table2[[#This Row],[Points]]*100</f>
        <v>0.5</v>
      </c>
      <c r="K2081" t="e">
        <f>VLOOKUP(Table2[[#This Row],[Site]],'Site Info'!$A$1:$C$11,2, FALSE)</f>
        <v>#N/A</v>
      </c>
      <c r="L2081" t="e">
        <f>VLOOKUP(Table2[[#This Row],[Site]],'Site Info'!$A$1:$C$11,3, FALSE)</f>
        <v>#N/A</v>
      </c>
      <c r="M2081" t="str">
        <f>VLOOKUP(Table2[[#This Row],[Species]],'Species Table'!$A$1:$D$68,3, FALSE)</f>
        <v>Annual</v>
      </c>
      <c r="O2081" s="15">
        <f>IF(SUMPRODUCT(($A$2:$A2081=A2081)*($B$2:$B2081=B2081)*($F$2:$F2081=F2081))&gt;1,0,1)</f>
        <v>1</v>
      </c>
      <c r="P2081" s="15">
        <f>IF(SUMPRODUCT(($A$2:$A2081=A2081)*($B$2:$B2081=B2081)*($D$2:$D2081=D2081))&gt;1,0,1)</f>
        <v>0</v>
      </c>
    </row>
    <row r="2082" spans="1:16" hidden="1" x14ac:dyDescent="0.35">
      <c r="A2082" t="s">
        <v>291</v>
      </c>
      <c r="B2082">
        <v>2019</v>
      </c>
      <c r="C2082" t="s">
        <v>43</v>
      </c>
      <c r="D2082" s="6">
        <v>2.1</v>
      </c>
      <c r="E2082" s="6">
        <v>2</v>
      </c>
      <c r="F2082" s="1" t="s">
        <v>10</v>
      </c>
      <c r="G2082">
        <v>25</v>
      </c>
      <c r="H2082">
        <v>200</v>
      </c>
      <c r="I2082">
        <v>100</v>
      </c>
      <c r="J2082">
        <f>Table2[[#This Row],[Hits]]/Table2[[#This Row],[Points]]*100</f>
        <v>12.5</v>
      </c>
      <c r="K2082" t="e">
        <f>VLOOKUP(Table2[[#This Row],[Site]],'Site Info'!$A$1:$C$11,2, FALSE)</f>
        <v>#N/A</v>
      </c>
      <c r="L2082" t="e">
        <f>VLOOKUP(Table2[[#This Row],[Site]],'Site Info'!$A$1:$C$11,3, FALSE)</f>
        <v>#N/A</v>
      </c>
      <c r="M2082" t="str">
        <f>VLOOKUP(Table2[[#This Row],[Species]],'Species Table'!$A$1:$D$68,3, FALSE)</f>
        <v>Annual</v>
      </c>
      <c r="O2082" s="15">
        <f>IF(SUMPRODUCT(($A$2:$A2082=A2082)*($B$2:$B2082=B2082)*($F$2:$F2082=F2082))&gt;1,0,1)</f>
        <v>0</v>
      </c>
      <c r="P2082" s="15">
        <f>IF(SUMPRODUCT(($A$2:$A2082=A2082)*($B$2:$B2082=B2082)*($D$2:$D2082=D2082))&gt;1,0,1)</f>
        <v>1</v>
      </c>
    </row>
    <row r="2083" spans="1:16" x14ac:dyDescent="0.35">
      <c r="A2083" t="s">
        <v>291</v>
      </c>
      <c r="B2083">
        <v>2019</v>
      </c>
      <c r="C2083" t="s">
        <v>43</v>
      </c>
      <c r="D2083" s="6">
        <v>2.1</v>
      </c>
      <c r="E2083" s="6">
        <v>2</v>
      </c>
      <c r="F2083" s="1" t="s">
        <v>3</v>
      </c>
      <c r="G2083">
        <v>2</v>
      </c>
      <c r="H2083">
        <v>200</v>
      </c>
      <c r="I2083">
        <v>100</v>
      </c>
      <c r="J2083">
        <f>Table2[[#This Row],[Hits]]/Table2[[#This Row],[Points]]*100</f>
        <v>1</v>
      </c>
      <c r="K2083" t="e">
        <f>VLOOKUP(Table2[[#This Row],[Site]],'Site Info'!$A$1:$C$11,2, FALSE)</f>
        <v>#N/A</v>
      </c>
      <c r="L2083" t="e">
        <f>VLOOKUP(Table2[[#This Row],[Site]],'Site Info'!$A$1:$C$11,3, FALSE)</f>
        <v>#N/A</v>
      </c>
      <c r="M2083" t="str">
        <f>VLOOKUP(Table2[[#This Row],[Species]],'Species Table'!$A$1:$D$68,3, FALSE)</f>
        <v>Perennial</v>
      </c>
      <c r="O2083" s="15">
        <f>IF(SUMPRODUCT(($A$2:$A2083=A2083)*($B$2:$B2083=B2083)*($F$2:$F2083=F2083))&gt;1,0,1)</f>
        <v>0</v>
      </c>
      <c r="P2083" s="15">
        <f>IF(SUMPRODUCT(($A$2:$A2083=A2083)*($B$2:$B2083=B2083)*($D$2:$D2083=D2083))&gt;1,0,1)</f>
        <v>0</v>
      </c>
    </row>
    <row r="2084" spans="1:16" x14ac:dyDescent="0.35">
      <c r="A2084" t="s">
        <v>291</v>
      </c>
      <c r="B2084">
        <v>2019</v>
      </c>
      <c r="C2084" t="s">
        <v>43</v>
      </c>
      <c r="D2084" s="6">
        <v>2.1</v>
      </c>
      <c r="E2084" s="6">
        <v>2</v>
      </c>
      <c r="F2084" s="1" t="s">
        <v>2</v>
      </c>
      <c r="G2084">
        <v>6</v>
      </c>
      <c r="H2084">
        <v>200</v>
      </c>
      <c r="I2084">
        <v>100</v>
      </c>
      <c r="J2084">
        <f>Table2[[#This Row],[Hits]]/Table2[[#This Row],[Points]]*100</f>
        <v>3</v>
      </c>
      <c r="K2084" t="e">
        <f>VLOOKUP(Table2[[#This Row],[Site]],'Site Info'!$A$1:$C$11,2, FALSE)</f>
        <v>#N/A</v>
      </c>
      <c r="L2084" t="e">
        <f>VLOOKUP(Table2[[#This Row],[Site]],'Site Info'!$A$1:$C$11,3, FALSE)</f>
        <v>#N/A</v>
      </c>
      <c r="M2084" t="str">
        <f>VLOOKUP(Table2[[#This Row],[Species]],'Species Table'!$A$1:$D$68,3, FALSE)</f>
        <v>Perennial</v>
      </c>
      <c r="O2084" s="15">
        <f>IF(SUMPRODUCT(($A$2:$A2084=A2084)*($B$2:$B2084=B2084)*($F$2:$F2084=F2084))&gt;1,0,1)</f>
        <v>0</v>
      </c>
      <c r="P2084" s="15">
        <f>IF(SUMPRODUCT(($A$2:$A2084=A2084)*($B$2:$B2084=B2084)*($D$2:$D2084=D2084))&gt;1,0,1)</f>
        <v>0</v>
      </c>
    </row>
    <row r="2085" spans="1:16" x14ac:dyDescent="0.35">
      <c r="A2085" t="s">
        <v>291</v>
      </c>
      <c r="B2085">
        <v>2019</v>
      </c>
      <c r="C2085" t="s">
        <v>43</v>
      </c>
      <c r="D2085" s="6">
        <v>2.1</v>
      </c>
      <c r="E2085" s="6">
        <v>2</v>
      </c>
      <c r="F2085" s="1" t="s">
        <v>29</v>
      </c>
      <c r="G2085">
        <v>1</v>
      </c>
      <c r="H2085">
        <v>200</v>
      </c>
      <c r="I2085">
        <v>100</v>
      </c>
      <c r="J2085">
        <f>Table2[[#This Row],[Hits]]/Table2[[#This Row],[Points]]*100</f>
        <v>0.5</v>
      </c>
      <c r="K2085" t="e">
        <f>VLOOKUP(Table2[[#This Row],[Site]],'Site Info'!$A$1:$C$11,2, FALSE)</f>
        <v>#N/A</v>
      </c>
      <c r="L2085" t="e">
        <f>VLOOKUP(Table2[[#This Row],[Site]],'Site Info'!$A$1:$C$11,3, FALSE)</f>
        <v>#N/A</v>
      </c>
      <c r="M2085" t="str">
        <f>VLOOKUP(Table2[[#This Row],[Species]],'Species Table'!$A$1:$D$68,3, FALSE)</f>
        <v>Perennial</v>
      </c>
      <c r="O2085" s="15">
        <f>IF(SUMPRODUCT(($A$2:$A2085=A2085)*($B$2:$B2085=B2085)*($F$2:$F2085=F2085))&gt;1,0,1)</f>
        <v>1</v>
      </c>
      <c r="P2085" s="15">
        <f>IF(SUMPRODUCT(($A$2:$A2085=A2085)*($B$2:$B2085=B2085)*($D$2:$D2085=D2085))&gt;1,0,1)</f>
        <v>0</v>
      </c>
    </row>
    <row r="2086" spans="1:16" hidden="1" x14ac:dyDescent="0.35">
      <c r="A2086" t="s">
        <v>291</v>
      </c>
      <c r="B2086">
        <v>2019</v>
      </c>
      <c r="C2086" t="s">
        <v>110</v>
      </c>
      <c r="D2086" s="6">
        <v>2.2000000000000002</v>
      </c>
      <c r="E2086" s="6">
        <v>2</v>
      </c>
      <c r="F2086" s="1" t="s">
        <v>10</v>
      </c>
      <c r="G2086">
        <v>4</v>
      </c>
      <c r="H2086">
        <v>48</v>
      </c>
      <c r="I2086">
        <v>24</v>
      </c>
      <c r="J2086">
        <f>Table2[[#This Row],[Hits]]/Table2[[#This Row],[Points]]*100</f>
        <v>8.3333333333333321</v>
      </c>
      <c r="K2086" t="e">
        <f>VLOOKUP(Table2[[#This Row],[Site]],'Site Info'!$A$1:$C$11,2, FALSE)</f>
        <v>#N/A</v>
      </c>
      <c r="L2086" t="e">
        <f>VLOOKUP(Table2[[#This Row],[Site]],'Site Info'!$A$1:$C$11,3, FALSE)</f>
        <v>#N/A</v>
      </c>
      <c r="M2086" t="str">
        <f>VLOOKUP(Table2[[#This Row],[Species]],'Species Table'!$A$1:$D$68,3, FALSE)</f>
        <v>Annual</v>
      </c>
      <c r="O2086" s="15">
        <f>IF(SUMPRODUCT(($A$2:$A2086=A2086)*($B$2:$B2086=B2086)*($F$2:$F2086=F2086))&gt;1,0,1)</f>
        <v>0</v>
      </c>
      <c r="P2086" s="15">
        <f>IF(SUMPRODUCT(($A$2:$A2086=A2086)*($B$2:$B2086=B2086)*($D$2:$D2086=D2086))&gt;1,0,1)</f>
        <v>1</v>
      </c>
    </row>
    <row r="2087" spans="1:16" hidden="1" x14ac:dyDescent="0.35">
      <c r="A2087" t="s">
        <v>291</v>
      </c>
      <c r="B2087">
        <v>2019</v>
      </c>
      <c r="C2087" t="s">
        <v>50</v>
      </c>
      <c r="D2087" s="6">
        <v>3.1</v>
      </c>
      <c r="E2087" s="6">
        <v>3</v>
      </c>
      <c r="F2087" s="1" t="s">
        <v>10</v>
      </c>
      <c r="G2087">
        <v>12</v>
      </c>
      <c r="H2087">
        <v>200</v>
      </c>
      <c r="I2087">
        <v>100</v>
      </c>
      <c r="J2087">
        <f>Table2[[#This Row],[Hits]]/Table2[[#This Row],[Points]]*100</f>
        <v>6</v>
      </c>
      <c r="K2087" t="e">
        <f>VLOOKUP(Table2[[#This Row],[Site]],'Site Info'!$A$1:$C$11,2, FALSE)</f>
        <v>#N/A</v>
      </c>
      <c r="L2087" t="e">
        <f>VLOOKUP(Table2[[#This Row],[Site]],'Site Info'!$A$1:$C$11,3, FALSE)</f>
        <v>#N/A</v>
      </c>
      <c r="M2087" t="str">
        <f>VLOOKUP(Table2[[#This Row],[Species]],'Species Table'!$A$1:$D$68,3, FALSE)</f>
        <v>Annual</v>
      </c>
      <c r="O2087" s="15">
        <f>IF(SUMPRODUCT(($A$2:$A2087=A2087)*($B$2:$B2087=B2087)*($F$2:$F2087=F2087))&gt;1,0,1)</f>
        <v>0</v>
      </c>
      <c r="P2087" s="15">
        <f>IF(SUMPRODUCT(($A$2:$A2087=A2087)*($B$2:$B2087=B2087)*($D$2:$D2087=D2087))&gt;1,0,1)</f>
        <v>1</v>
      </c>
    </row>
    <row r="2088" spans="1:16" x14ac:dyDescent="0.35">
      <c r="A2088" t="s">
        <v>291</v>
      </c>
      <c r="B2088">
        <v>2019</v>
      </c>
      <c r="C2088" t="s">
        <v>50</v>
      </c>
      <c r="D2088" s="6">
        <v>3.1</v>
      </c>
      <c r="E2088" s="6">
        <v>3</v>
      </c>
      <c r="F2088" s="1" t="s">
        <v>2</v>
      </c>
      <c r="G2088">
        <v>8</v>
      </c>
      <c r="H2088">
        <v>200</v>
      </c>
      <c r="I2088">
        <v>100</v>
      </c>
      <c r="J2088">
        <f>Table2[[#This Row],[Hits]]/Table2[[#This Row],[Points]]*100</f>
        <v>4</v>
      </c>
      <c r="K2088" t="e">
        <f>VLOOKUP(Table2[[#This Row],[Site]],'Site Info'!$A$1:$C$11,2, FALSE)</f>
        <v>#N/A</v>
      </c>
      <c r="L2088" t="e">
        <f>VLOOKUP(Table2[[#This Row],[Site]],'Site Info'!$A$1:$C$11,3, FALSE)</f>
        <v>#N/A</v>
      </c>
      <c r="M2088" t="str">
        <f>VLOOKUP(Table2[[#This Row],[Species]],'Species Table'!$A$1:$D$68,3, FALSE)</f>
        <v>Perennial</v>
      </c>
      <c r="O2088" s="15">
        <f>IF(SUMPRODUCT(($A$2:$A2088=A2088)*($B$2:$B2088=B2088)*($F$2:$F2088=F2088))&gt;1,0,1)</f>
        <v>0</v>
      </c>
      <c r="P2088" s="15">
        <f>IF(SUMPRODUCT(($A$2:$A2088=A2088)*($B$2:$B2088=B2088)*($D$2:$D2088=D2088))&gt;1,0,1)</f>
        <v>0</v>
      </c>
    </row>
    <row r="2089" spans="1:16" hidden="1" x14ac:dyDescent="0.35">
      <c r="A2089" t="s">
        <v>291</v>
      </c>
      <c r="B2089">
        <v>2019</v>
      </c>
      <c r="C2089" t="s">
        <v>50</v>
      </c>
      <c r="D2089" s="6">
        <v>3.1</v>
      </c>
      <c r="E2089" s="6">
        <v>3</v>
      </c>
      <c r="F2089" s="1" t="s">
        <v>33</v>
      </c>
      <c r="G2089">
        <v>14</v>
      </c>
      <c r="H2089">
        <v>200</v>
      </c>
      <c r="I2089">
        <v>100</v>
      </c>
      <c r="J2089">
        <f>Table2[[#This Row],[Hits]]/Table2[[#This Row],[Points]]*100</f>
        <v>7.0000000000000009</v>
      </c>
      <c r="K2089" t="e">
        <f>VLOOKUP(Table2[[#This Row],[Site]],'Site Info'!$A$1:$C$11,2, FALSE)</f>
        <v>#N/A</v>
      </c>
      <c r="L2089" t="e">
        <f>VLOOKUP(Table2[[#This Row],[Site]],'Site Info'!$A$1:$C$11,3, FALSE)</f>
        <v>#N/A</v>
      </c>
      <c r="M2089" t="str">
        <f>VLOOKUP(Table2[[#This Row],[Species]],'Species Table'!$A$1:$D$68,3, FALSE)</f>
        <v>Annual</v>
      </c>
      <c r="O2089" s="15">
        <f>IF(SUMPRODUCT(($A$2:$A2089=A2089)*($B$2:$B2089=B2089)*($F$2:$F2089=F2089))&gt;1,0,1)</f>
        <v>0</v>
      </c>
      <c r="P2089" s="15">
        <f>IF(SUMPRODUCT(($A$2:$A2089=A2089)*($B$2:$B2089=B2089)*($D$2:$D2089=D2089))&gt;1,0,1)</f>
        <v>0</v>
      </c>
    </row>
    <row r="2090" spans="1:16" hidden="1" x14ac:dyDescent="0.35">
      <c r="A2090" t="s">
        <v>291</v>
      </c>
      <c r="B2090">
        <v>2019</v>
      </c>
      <c r="C2090" t="s">
        <v>112</v>
      </c>
      <c r="D2090" s="6">
        <v>3.2</v>
      </c>
      <c r="E2090" s="6">
        <v>3</v>
      </c>
      <c r="F2090" s="1" t="s">
        <v>10</v>
      </c>
      <c r="G2090">
        <v>20</v>
      </c>
      <c r="H2090">
        <v>106</v>
      </c>
      <c r="I2090">
        <v>53</v>
      </c>
      <c r="J2090">
        <f>Table2[[#This Row],[Hits]]/Table2[[#This Row],[Points]]*100</f>
        <v>18.867924528301888</v>
      </c>
      <c r="K2090" t="e">
        <f>VLOOKUP(Table2[[#This Row],[Site]],'Site Info'!$A$1:$C$11,2, FALSE)</f>
        <v>#N/A</v>
      </c>
      <c r="L2090" t="e">
        <f>VLOOKUP(Table2[[#This Row],[Site]],'Site Info'!$A$1:$C$11,3, FALSE)</f>
        <v>#N/A</v>
      </c>
      <c r="M2090" t="str">
        <f>VLOOKUP(Table2[[#This Row],[Species]],'Species Table'!$A$1:$D$68,3, FALSE)</f>
        <v>Annual</v>
      </c>
      <c r="O2090" s="15">
        <f>IF(SUMPRODUCT(($A$2:$A2090=A2090)*($B$2:$B2090=B2090)*($F$2:$F2090=F2090))&gt;1,0,1)</f>
        <v>0</v>
      </c>
      <c r="P2090" s="15">
        <f>IF(SUMPRODUCT(($A$2:$A2090=A2090)*($B$2:$B2090=B2090)*($D$2:$D2090=D2090))&gt;1,0,1)</f>
        <v>1</v>
      </c>
    </row>
    <row r="2091" spans="1:16" hidden="1" x14ac:dyDescent="0.35">
      <c r="A2091" t="s">
        <v>291</v>
      </c>
      <c r="B2091">
        <v>2019</v>
      </c>
      <c r="C2091" t="s">
        <v>112</v>
      </c>
      <c r="D2091" s="6">
        <v>3.2</v>
      </c>
      <c r="E2091" s="6">
        <v>3</v>
      </c>
      <c r="F2091" s="1" t="s">
        <v>33</v>
      </c>
      <c r="G2091">
        <v>27</v>
      </c>
      <c r="H2091">
        <v>106</v>
      </c>
      <c r="I2091">
        <v>53</v>
      </c>
      <c r="J2091">
        <f>Table2[[#This Row],[Hits]]/Table2[[#This Row],[Points]]*100</f>
        <v>25.471698113207548</v>
      </c>
      <c r="K2091" t="e">
        <f>VLOOKUP(Table2[[#This Row],[Site]],'Site Info'!$A$1:$C$11,2, FALSE)</f>
        <v>#N/A</v>
      </c>
      <c r="L2091" t="e">
        <f>VLOOKUP(Table2[[#This Row],[Site]],'Site Info'!$A$1:$C$11,3, FALSE)</f>
        <v>#N/A</v>
      </c>
      <c r="M2091" t="str">
        <f>VLOOKUP(Table2[[#This Row],[Species]],'Species Table'!$A$1:$D$68,3, FALSE)</f>
        <v>Annual</v>
      </c>
      <c r="O2091" s="15">
        <f>IF(SUMPRODUCT(($A$2:$A2091=A2091)*($B$2:$B2091=B2091)*($F$2:$F2091=F2091))&gt;1,0,1)</f>
        <v>0</v>
      </c>
      <c r="P2091" s="15">
        <f>IF(SUMPRODUCT(($A$2:$A2091=A2091)*($B$2:$B2091=B2091)*($D$2:$D2091=D2091))&gt;1,0,1)</f>
        <v>0</v>
      </c>
    </row>
    <row r="2092" spans="1:16" x14ac:dyDescent="0.35">
      <c r="A2092" t="s">
        <v>291</v>
      </c>
      <c r="B2092">
        <v>2019</v>
      </c>
      <c r="C2092" t="s">
        <v>112</v>
      </c>
      <c r="D2092" s="6">
        <v>3.2</v>
      </c>
      <c r="E2092" s="6">
        <v>3</v>
      </c>
      <c r="F2092" s="1" t="s">
        <v>2</v>
      </c>
      <c r="G2092">
        <v>15</v>
      </c>
      <c r="H2092">
        <v>106</v>
      </c>
      <c r="I2092">
        <v>53</v>
      </c>
      <c r="J2092">
        <f>Table2[[#This Row],[Hits]]/Table2[[#This Row],[Points]]*100</f>
        <v>14.150943396226415</v>
      </c>
      <c r="K2092" t="e">
        <f>VLOOKUP(Table2[[#This Row],[Site]],'Site Info'!$A$1:$C$11,2, FALSE)</f>
        <v>#N/A</v>
      </c>
      <c r="L2092" t="e">
        <f>VLOOKUP(Table2[[#This Row],[Site]],'Site Info'!$A$1:$C$11,3, FALSE)</f>
        <v>#N/A</v>
      </c>
      <c r="M2092" t="str">
        <f>VLOOKUP(Table2[[#This Row],[Species]],'Species Table'!$A$1:$D$68,3, FALSE)</f>
        <v>Perennial</v>
      </c>
      <c r="O2092" s="15">
        <f>IF(SUMPRODUCT(($A$2:$A2092=A2092)*($B$2:$B2092=B2092)*($F$2:$F2092=F2092))&gt;1,0,1)</f>
        <v>0</v>
      </c>
      <c r="P2092" s="15">
        <f>IF(SUMPRODUCT(($A$2:$A2092=A2092)*($B$2:$B2092=B2092)*($D$2:$D2092=D2092))&gt;1,0,1)</f>
        <v>0</v>
      </c>
    </row>
    <row r="2093" spans="1:16" hidden="1" x14ac:dyDescent="0.35">
      <c r="A2093" t="s">
        <v>291</v>
      </c>
      <c r="B2093">
        <v>2019</v>
      </c>
      <c r="C2093" t="s">
        <v>55</v>
      </c>
      <c r="D2093" s="6">
        <v>4.0999999999999996</v>
      </c>
      <c r="E2093" s="6">
        <v>4</v>
      </c>
      <c r="F2093" s="1" t="s">
        <v>10</v>
      </c>
      <c r="G2093">
        <v>29</v>
      </c>
      <c r="H2093">
        <v>200</v>
      </c>
      <c r="I2093">
        <v>100</v>
      </c>
      <c r="J2093">
        <f>Table2[[#This Row],[Hits]]/Table2[[#This Row],[Points]]*100</f>
        <v>14.499999999999998</v>
      </c>
      <c r="K2093" t="e">
        <f>VLOOKUP(Table2[[#This Row],[Site]],'Site Info'!$A$1:$C$11,2, FALSE)</f>
        <v>#N/A</v>
      </c>
      <c r="L2093" t="e">
        <f>VLOOKUP(Table2[[#This Row],[Site]],'Site Info'!$A$1:$C$11,3, FALSE)</f>
        <v>#N/A</v>
      </c>
      <c r="M2093" t="str">
        <f>VLOOKUP(Table2[[#This Row],[Species]],'Species Table'!$A$1:$D$68,3, FALSE)</f>
        <v>Annual</v>
      </c>
      <c r="O2093" s="15">
        <f>IF(SUMPRODUCT(($A$2:$A2093=A2093)*($B$2:$B2093=B2093)*($F$2:$F2093=F2093))&gt;1,0,1)</f>
        <v>0</v>
      </c>
      <c r="P2093" s="15">
        <f>IF(SUMPRODUCT(($A$2:$A2093=A2093)*($B$2:$B2093=B2093)*($D$2:$D2093=D2093))&gt;1,0,1)</f>
        <v>1</v>
      </c>
    </row>
    <row r="2094" spans="1:16" hidden="1" x14ac:dyDescent="0.35">
      <c r="A2094" t="s">
        <v>291</v>
      </c>
      <c r="B2094">
        <v>2019</v>
      </c>
      <c r="C2094" t="s">
        <v>55</v>
      </c>
      <c r="D2094" s="6">
        <v>4.0999999999999996</v>
      </c>
      <c r="E2094" s="6">
        <v>4</v>
      </c>
      <c r="F2094" s="1" t="s">
        <v>33</v>
      </c>
      <c r="G2094">
        <v>36</v>
      </c>
      <c r="H2094">
        <v>200</v>
      </c>
      <c r="I2094">
        <v>100</v>
      </c>
      <c r="J2094">
        <f>Table2[[#This Row],[Hits]]/Table2[[#This Row],[Points]]*100</f>
        <v>18</v>
      </c>
      <c r="K2094" t="e">
        <f>VLOOKUP(Table2[[#This Row],[Site]],'Site Info'!$A$1:$C$11,2, FALSE)</f>
        <v>#N/A</v>
      </c>
      <c r="L2094" t="e">
        <f>VLOOKUP(Table2[[#This Row],[Site]],'Site Info'!$A$1:$C$11,3, FALSE)</f>
        <v>#N/A</v>
      </c>
      <c r="M2094" t="str">
        <f>VLOOKUP(Table2[[#This Row],[Species]],'Species Table'!$A$1:$D$68,3, FALSE)</f>
        <v>Annual</v>
      </c>
      <c r="O2094" s="15">
        <f>IF(SUMPRODUCT(($A$2:$A2094=A2094)*($B$2:$B2094=B2094)*($F$2:$F2094=F2094))&gt;1,0,1)</f>
        <v>0</v>
      </c>
      <c r="P2094" s="15">
        <f>IF(SUMPRODUCT(($A$2:$A2094=A2094)*($B$2:$B2094=B2094)*($D$2:$D2094=D2094))&gt;1,0,1)</f>
        <v>0</v>
      </c>
    </row>
    <row r="2095" spans="1:16" x14ac:dyDescent="0.35">
      <c r="A2095" t="s">
        <v>291</v>
      </c>
      <c r="B2095">
        <v>2019</v>
      </c>
      <c r="C2095" t="s">
        <v>55</v>
      </c>
      <c r="D2095" s="6">
        <v>4.0999999999999996</v>
      </c>
      <c r="E2095" s="6">
        <v>4</v>
      </c>
      <c r="F2095" s="1" t="s">
        <v>12</v>
      </c>
      <c r="G2095">
        <v>10</v>
      </c>
      <c r="H2095">
        <v>200</v>
      </c>
      <c r="I2095">
        <v>100</v>
      </c>
      <c r="J2095">
        <f>Table2[[#This Row],[Hits]]/Table2[[#This Row],[Points]]*100</f>
        <v>5</v>
      </c>
      <c r="K2095" t="e">
        <f>VLOOKUP(Table2[[#This Row],[Site]],'Site Info'!$A$1:$C$11,2, FALSE)</f>
        <v>#N/A</v>
      </c>
      <c r="L2095" t="e">
        <f>VLOOKUP(Table2[[#This Row],[Site]],'Site Info'!$A$1:$C$11,3, FALSE)</f>
        <v>#N/A</v>
      </c>
      <c r="M2095" t="str">
        <f>VLOOKUP(Table2[[#This Row],[Species]],'Species Table'!$A$1:$D$68,3, FALSE)</f>
        <v>Perennial</v>
      </c>
      <c r="O2095" s="15">
        <f>IF(SUMPRODUCT(($A$2:$A2095=A2095)*($B$2:$B2095=B2095)*($F$2:$F2095=F2095))&gt;1,0,1)</f>
        <v>1</v>
      </c>
      <c r="P2095" s="15">
        <f>IF(SUMPRODUCT(($A$2:$A2095=A2095)*($B$2:$B2095=B2095)*($D$2:$D2095=D2095))&gt;1,0,1)</f>
        <v>0</v>
      </c>
    </row>
    <row r="2096" spans="1:16" x14ac:dyDescent="0.35">
      <c r="A2096" t="s">
        <v>291</v>
      </c>
      <c r="B2096">
        <v>2019</v>
      </c>
      <c r="C2096" t="s">
        <v>55</v>
      </c>
      <c r="D2096" s="6">
        <v>4.0999999999999996</v>
      </c>
      <c r="E2096" s="6">
        <v>4</v>
      </c>
      <c r="F2096" s="1" t="s">
        <v>2</v>
      </c>
      <c r="G2096">
        <v>12</v>
      </c>
      <c r="H2096">
        <v>200</v>
      </c>
      <c r="I2096">
        <v>100</v>
      </c>
      <c r="J2096">
        <f>Table2[[#This Row],[Hits]]/Table2[[#This Row],[Points]]*100</f>
        <v>6</v>
      </c>
      <c r="K2096" t="e">
        <f>VLOOKUP(Table2[[#This Row],[Site]],'Site Info'!$A$1:$C$11,2, FALSE)</f>
        <v>#N/A</v>
      </c>
      <c r="L2096" t="e">
        <f>VLOOKUP(Table2[[#This Row],[Site]],'Site Info'!$A$1:$C$11,3, FALSE)</f>
        <v>#N/A</v>
      </c>
      <c r="M2096" t="str">
        <f>VLOOKUP(Table2[[#This Row],[Species]],'Species Table'!$A$1:$D$68,3, FALSE)</f>
        <v>Perennial</v>
      </c>
      <c r="O2096" s="15">
        <f>IF(SUMPRODUCT(($A$2:$A2096=A2096)*($B$2:$B2096=B2096)*($F$2:$F2096=F2096))&gt;1,0,1)</f>
        <v>0</v>
      </c>
      <c r="P2096" s="15">
        <f>IF(SUMPRODUCT(($A$2:$A2096=A2096)*($B$2:$B2096=B2096)*($D$2:$D2096=D2096))&gt;1,0,1)</f>
        <v>0</v>
      </c>
    </row>
    <row r="2097" spans="1:16" hidden="1" x14ac:dyDescent="0.35">
      <c r="A2097" t="s">
        <v>291</v>
      </c>
      <c r="B2097">
        <v>2019</v>
      </c>
      <c r="C2097" t="s">
        <v>103</v>
      </c>
      <c r="D2097" s="6">
        <v>4.2</v>
      </c>
      <c r="E2097" s="6">
        <v>4</v>
      </c>
      <c r="F2097" s="1" t="s">
        <v>10</v>
      </c>
      <c r="G2097">
        <v>20</v>
      </c>
      <c r="H2097">
        <v>146</v>
      </c>
      <c r="I2097">
        <v>73</v>
      </c>
      <c r="J2097">
        <f>Table2[[#This Row],[Hits]]/Table2[[#This Row],[Points]]*100</f>
        <v>13.698630136986301</v>
      </c>
      <c r="K2097" t="e">
        <f>VLOOKUP(Table2[[#This Row],[Site]],'Site Info'!$A$1:$C$11,2, FALSE)</f>
        <v>#N/A</v>
      </c>
      <c r="L2097" t="e">
        <f>VLOOKUP(Table2[[#This Row],[Site]],'Site Info'!$A$1:$C$11,3, FALSE)</f>
        <v>#N/A</v>
      </c>
      <c r="M2097" t="str">
        <f>VLOOKUP(Table2[[#This Row],[Species]],'Species Table'!$A$1:$D$68,3, FALSE)</f>
        <v>Annual</v>
      </c>
      <c r="O2097" s="15">
        <f>IF(SUMPRODUCT(($A$2:$A2097=A2097)*($B$2:$B2097=B2097)*($F$2:$F2097=F2097))&gt;1,0,1)</f>
        <v>0</v>
      </c>
      <c r="P2097" s="15">
        <f>IF(SUMPRODUCT(($A$2:$A2097=A2097)*($B$2:$B2097=B2097)*($D$2:$D2097=D2097))&gt;1,0,1)</f>
        <v>1</v>
      </c>
    </row>
    <row r="2098" spans="1:16" hidden="1" x14ac:dyDescent="0.35">
      <c r="A2098" t="s">
        <v>291</v>
      </c>
      <c r="B2098">
        <v>2019</v>
      </c>
      <c r="C2098" t="s">
        <v>103</v>
      </c>
      <c r="D2098" s="6">
        <v>4.2</v>
      </c>
      <c r="E2098" s="6">
        <v>4</v>
      </c>
      <c r="F2098" s="1" t="s">
        <v>33</v>
      </c>
      <c r="G2098">
        <v>1</v>
      </c>
      <c r="H2098">
        <v>146</v>
      </c>
      <c r="I2098">
        <v>73</v>
      </c>
      <c r="J2098">
        <f>Table2[[#This Row],[Hits]]/Table2[[#This Row],[Points]]*100</f>
        <v>0.68493150684931503</v>
      </c>
      <c r="K2098" t="e">
        <f>VLOOKUP(Table2[[#This Row],[Site]],'Site Info'!$A$1:$C$11,2, FALSE)</f>
        <v>#N/A</v>
      </c>
      <c r="L2098" t="e">
        <f>VLOOKUP(Table2[[#This Row],[Site]],'Site Info'!$A$1:$C$11,3, FALSE)</f>
        <v>#N/A</v>
      </c>
      <c r="M2098" t="str">
        <f>VLOOKUP(Table2[[#This Row],[Species]],'Species Table'!$A$1:$D$68,3, FALSE)</f>
        <v>Annual</v>
      </c>
      <c r="O2098" s="15">
        <f>IF(SUMPRODUCT(($A$2:$A2098=A2098)*($B$2:$B2098=B2098)*($F$2:$F2098=F2098))&gt;1,0,1)</f>
        <v>0</v>
      </c>
      <c r="P2098" s="15">
        <f>IF(SUMPRODUCT(($A$2:$A2098=A2098)*($B$2:$B2098=B2098)*($D$2:$D2098=D2098))&gt;1,0,1)</f>
        <v>0</v>
      </c>
    </row>
    <row r="2099" spans="1:16" x14ac:dyDescent="0.35">
      <c r="A2099" t="s">
        <v>291</v>
      </c>
      <c r="B2099">
        <v>2019</v>
      </c>
      <c r="C2099" t="s">
        <v>103</v>
      </c>
      <c r="D2099" s="6">
        <v>4.2</v>
      </c>
      <c r="E2099" s="6">
        <v>4</v>
      </c>
      <c r="F2099" s="1" t="s">
        <v>12</v>
      </c>
      <c r="G2099">
        <v>13</v>
      </c>
      <c r="H2099">
        <v>146</v>
      </c>
      <c r="I2099">
        <v>73</v>
      </c>
      <c r="J2099">
        <f>Table2[[#This Row],[Hits]]/Table2[[#This Row],[Points]]*100</f>
        <v>8.9041095890410951</v>
      </c>
      <c r="K2099" t="e">
        <f>VLOOKUP(Table2[[#This Row],[Site]],'Site Info'!$A$1:$C$11,2, FALSE)</f>
        <v>#N/A</v>
      </c>
      <c r="L2099" t="e">
        <f>VLOOKUP(Table2[[#This Row],[Site]],'Site Info'!$A$1:$C$11,3, FALSE)</f>
        <v>#N/A</v>
      </c>
      <c r="M2099" t="str">
        <f>VLOOKUP(Table2[[#This Row],[Species]],'Species Table'!$A$1:$D$68,3, FALSE)</f>
        <v>Perennial</v>
      </c>
      <c r="O2099" s="15">
        <f>IF(SUMPRODUCT(($A$2:$A2099=A2099)*($B$2:$B2099=B2099)*($F$2:$F2099=F2099))&gt;1,0,1)</f>
        <v>0</v>
      </c>
      <c r="P2099" s="15">
        <f>IF(SUMPRODUCT(($A$2:$A2099=A2099)*($B$2:$B2099=B2099)*($D$2:$D2099=D2099))&gt;1,0,1)</f>
        <v>0</v>
      </c>
    </row>
    <row r="2100" spans="1:16" x14ac:dyDescent="0.35">
      <c r="A2100" t="s">
        <v>291</v>
      </c>
      <c r="B2100">
        <v>2019</v>
      </c>
      <c r="C2100" t="s">
        <v>103</v>
      </c>
      <c r="D2100" s="6">
        <v>4.2</v>
      </c>
      <c r="E2100" s="6">
        <v>4</v>
      </c>
      <c r="F2100" s="1" t="s">
        <v>2</v>
      </c>
      <c r="G2100">
        <v>9</v>
      </c>
      <c r="H2100">
        <v>146</v>
      </c>
      <c r="I2100">
        <v>73</v>
      </c>
      <c r="J2100">
        <f>Table2[[#This Row],[Hits]]/Table2[[#This Row],[Points]]*100</f>
        <v>6.1643835616438354</v>
      </c>
      <c r="K2100" t="e">
        <f>VLOOKUP(Table2[[#This Row],[Site]],'Site Info'!$A$1:$C$11,2, FALSE)</f>
        <v>#N/A</v>
      </c>
      <c r="L2100" t="e">
        <f>VLOOKUP(Table2[[#This Row],[Site]],'Site Info'!$A$1:$C$11,3, FALSE)</f>
        <v>#N/A</v>
      </c>
      <c r="M2100" t="str">
        <f>VLOOKUP(Table2[[#This Row],[Species]],'Species Table'!$A$1:$D$68,3, FALSE)</f>
        <v>Perennial</v>
      </c>
      <c r="O2100" s="15">
        <f>IF(SUMPRODUCT(($A$2:$A2100=A2100)*($B$2:$B2100=B2100)*($F$2:$F2100=F2100))&gt;1,0,1)</f>
        <v>0</v>
      </c>
      <c r="P2100" s="15">
        <f>IF(SUMPRODUCT(($A$2:$A2100=A2100)*($B$2:$B2100=B2100)*($D$2:$D2100=D2100))&gt;1,0,1)</f>
        <v>0</v>
      </c>
    </row>
    <row r="2101" spans="1:16" hidden="1" x14ac:dyDescent="0.35">
      <c r="A2101" t="s">
        <v>291</v>
      </c>
      <c r="B2101">
        <v>2019</v>
      </c>
      <c r="C2101" t="s">
        <v>103</v>
      </c>
      <c r="D2101" s="6">
        <v>4.2</v>
      </c>
      <c r="E2101" s="6">
        <v>4</v>
      </c>
      <c r="F2101" s="1" t="s">
        <v>290</v>
      </c>
      <c r="G2101">
        <v>2</v>
      </c>
      <c r="H2101">
        <v>146</v>
      </c>
      <c r="I2101">
        <v>73</v>
      </c>
      <c r="J2101">
        <f>Table2[[#This Row],[Hits]]/Table2[[#This Row],[Points]]*100</f>
        <v>1.3698630136986301</v>
      </c>
      <c r="K2101" t="e">
        <f>VLOOKUP(Table2[[#This Row],[Site]],'Site Info'!$A$1:$C$11,2, FALSE)</f>
        <v>#N/A</v>
      </c>
      <c r="L2101" t="e">
        <f>VLOOKUP(Table2[[#This Row],[Site]],'Site Info'!$A$1:$C$11,3, FALSE)</f>
        <v>#N/A</v>
      </c>
      <c r="M2101" t="e">
        <f>VLOOKUP(Table2[[#This Row],[Species]],'Species Table'!$A$1:$D$68,3, FALSE)</f>
        <v>#N/A</v>
      </c>
      <c r="O2101" s="15">
        <f>IF(SUMPRODUCT(($A$2:$A2101=A2101)*($B$2:$B2101=B2101)*($F$2:$F2101=F2101))&gt;1,0,1)</f>
        <v>1</v>
      </c>
      <c r="P2101" s="15">
        <f>IF(SUMPRODUCT(($A$2:$A2101=A2101)*($B$2:$B2101=B2101)*($D$2:$D2101=D2101))&gt;1,0,1)</f>
        <v>0</v>
      </c>
    </row>
    <row r="2102" spans="1:16" x14ac:dyDescent="0.35">
      <c r="A2102" t="s">
        <v>291</v>
      </c>
      <c r="B2102">
        <v>2019</v>
      </c>
      <c r="C2102" t="s">
        <v>103</v>
      </c>
      <c r="D2102" s="6">
        <v>4.2</v>
      </c>
      <c r="E2102" s="6">
        <v>4</v>
      </c>
      <c r="F2102" s="1" t="s">
        <v>11</v>
      </c>
      <c r="G2102">
        <v>1</v>
      </c>
      <c r="H2102">
        <v>146</v>
      </c>
      <c r="I2102">
        <v>73</v>
      </c>
      <c r="J2102">
        <f>Table2[[#This Row],[Hits]]/Table2[[#This Row],[Points]]*100</f>
        <v>0.68493150684931503</v>
      </c>
      <c r="K2102" t="e">
        <f>VLOOKUP(Table2[[#This Row],[Site]],'Site Info'!$A$1:$C$11,2, FALSE)</f>
        <v>#N/A</v>
      </c>
      <c r="L2102" t="e">
        <f>VLOOKUP(Table2[[#This Row],[Site]],'Site Info'!$A$1:$C$11,3, FALSE)</f>
        <v>#N/A</v>
      </c>
      <c r="M2102" t="str">
        <f>VLOOKUP(Table2[[#This Row],[Species]],'Species Table'!$A$1:$D$68,3, FALSE)</f>
        <v>Perennial</v>
      </c>
      <c r="O2102" s="15">
        <f>IF(SUMPRODUCT(($A$2:$A2102=A2102)*($B$2:$B2102=B2102)*($F$2:$F2102=F2102))&gt;1,0,1)</f>
        <v>1</v>
      </c>
      <c r="P2102" s="15">
        <f>IF(SUMPRODUCT(($A$2:$A2102=A2102)*($B$2:$B2102=B2102)*($D$2:$D2102=D2102))&gt;1,0,1)</f>
        <v>0</v>
      </c>
    </row>
    <row r="2103" spans="1:16" x14ac:dyDescent="0.35">
      <c r="A2103" t="s">
        <v>291</v>
      </c>
      <c r="B2103">
        <v>2019</v>
      </c>
      <c r="C2103" t="s">
        <v>62</v>
      </c>
      <c r="D2103" s="6">
        <v>5.0999999999999996</v>
      </c>
      <c r="E2103" s="6">
        <v>5</v>
      </c>
      <c r="F2103" s="1" t="s">
        <v>2</v>
      </c>
      <c r="G2103">
        <v>20</v>
      </c>
      <c r="H2103">
        <v>200</v>
      </c>
      <c r="I2103">
        <v>100</v>
      </c>
      <c r="J2103">
        <f>Table2[[#This Row],[Hits]]/Table2[[#This Row],[Points]]*100</f>
        <v>10</v>
      </c>
      <c r="K2103" t="e">
        <f>VLOOKUP(Table2[[#This Row],[Site]],'Site Info'!$A$1:$C$11,2, FALSE)</f>
        <v>#N/A</v>
      </c>
      <c r="L2103" t="e">
        <f>VLOOKUP(Table2[[#This Row],[Site]],'Site Info'!$A$1:$C$11,3, FALSE)</f>
        <v>#N/A</v>
      </c>
      <c r="M2103" t="str">
        <f>VLOOKUP(Table2[[#This Row],[Species]],'Species Table'!$A$1:$D$68,3, FALSE)</f>
        <v>Perennial</v>
      </c>
      <c r="O2103" s="15">
        <f>IF(SUMPRODUCT(($A$2:$A2103=A2103)*($B$2:$B2103=B2103)*($F$2:$F2103=F2103))&gt;1,0,1)</f>
        <v>0</v>
      </c>
      <c r="P2103" s="15">
        <f>IF(SUMPRODUCT(($A$2:$A2103=A2103)*($B$2:$B2103=B2103)*($D$2:$D2103=D2103))&gt;1,0,1)</f>
        <v>1</v>
      </c>
    </row>
    <row r="2104" spans="1:16" hidden="1" x14ac:dyDescent="0.35">
      <c r="A2104" t="s">
        <v>291</v>
      </c>
      <c r="B2104">
        <v>2019</v>
      </c>
      <c r="C2104" t="s">
        <v>62</v>
      </c>
      <c r="D2104" s="6">
        <v>5.0999999999999996</v>
      </c>
      <c r="E2104" s="6">
        <v>5</v>
      </c>
      <c r="F2104" s="1" t="s">
        <v>10</v>
      </c>
      <c r="G2104">
        <v>12</v>
      </c>
      <c r="H2104">
        <v>200</v>
      </c>
      <c r="I2104">
        <v>100</v>
      </c>
      <c r="J2104">
        <f>Table2[[#This Row],[Hits]]/Table2[[#This Row],[Points]]*100</f>
        <v>6</v>
      </c>
      <c r="K2104" t="e">
        <f>VLOOKUP(Table2[[#This Row],[Site]],'Site Info'!$A$1:$C$11,2, FALSE)</f>
        <v>#N/A</v>
      </c>
      <c r="L2104" t="e">
        <f>VLOOKUP(Table2[[#This Row],[Site]],'Site Info'!$A$1:$C$11,3, FALSE)</f>
        <v>#N/A</v>
      </c>
      <c r="M2104" t="str">
        <f>VLOOKUP(Table2[[#This Row],[Species]],'Species Table'!$A$1:$D$68,3, FALSE)</f>
        <v>Annual</v>
      </c>
      <c r="O2104" s="15">
        <f>IF(SUMPRODUCT(($A$2:$A2104=A2104)*($B$2:$B2104=B2104)*($F$2:$F2104=F2104))&gt;1,0,1)</f>
        <v>0</v>
      </c>
      <c r="P2104" s="15">
        <f>IF(SUMPRODUCT(($A$2:$A2104=A2104)*($B$2:$B2104=B2104)*($D$2:$D2104=D2104))&gt;1,0,1)</f>
        <v>0</v>
      </c>
    </row>
    <row r="2105" spans="1:16" hidden="1" x14ac:dyDescent="0.35">
      <c r="A2105" t="s">
        <v>291</v>
      </c>
      <c r="B2105">
        <v>2019</v>
      </c>
      <c r="C2105" t="s">
        <v>62</v>
      </c>
      <c r="D2105" s="6">
        <v>5.0999999999999996</v>
      </c>
      <c r="E2105" s="6">
        <v>5</v>
      </c>
      <c r="F2105" s="1" t="s">
        <v>33</v>
      </c>
      <c r="G2105">
        <v>3</v>
      </c>
      <c r="H2105">
        <v>200</v>
      </c>
      <c r="I2105">
        <v>100</v>
      </c>
      <c r="J2105">
        <f>Table2[[#This Row],[Hits]]/Table2[[#This Row],[Points]]*100</f>
        <v>1.5</v>
      </c>
      <c r="K2105" t="e">
        <f>VLOOKUP(Table2[[#This Row],[Site]],'Site Info'!$A$1:$C$11,2, FALSE)</f>
        <v>#N/A</v>
      </c>
      <c r="L2105" t="e">
        <f>VLOOKUP(Table2[[#This Row],[Site]],'Site Info'!$A$1:$C$11,3, FALSE)</f>
        <v>#N/A</v>
      </c>
      <c r="M2105" t="str">
        <f>VLOOKUP(Table2[[#This Row],[Species]],'Species Table'!$A$1:$D$68,3, FALSE)</f>
        <v>Annual</v>
      </c>
      <c r="O2105" s="15">
        <f>IF(SUMPRODUCT(($A$2:$A2105=A2105)*($B$2:$B2105=B2105)*($F$2:$F2105=F2105))&gt;1,0,1)</f>
        <v>0</v>
      </c>
      <c r="P2105" s="15">
        <f>IF(SUMPRODUCT(($A$2:$A2105=A2105)*($B$2:$B2105=B2105)*($D$2:$D2105=D2105))&gt;1,0,1)</f>
        <v>0</v>
      </c>
    </row>
    <row r="2106" spans="1:16" x14ac:dyDescent="0.35">
      <c r="A2106" t="s">
        <v>291</v>
      </c>
      <c r="B2106">
        <v>2019</v>
      </c>
      <c r="C2106" t="s">
        <v>62</v>
      </c>
      <c r="D2106" s="6">
        <v>5.0999999999999996</v>
      </c>
      <c r="E2106" s="6">
        <v>5</v>
      </c>
      <c r="F2106" s="1" t="s">
        <v>12</v>
      </c>
      <c r="G2106">
        <v>1</v>
      </c>
      <c r="H2106">
        <v>200</v>
      </c>
      <c r="I2106">
        <v>100</v>
      </c>
      <c r="J2106">
        <f>Table2[[#This Row],[Hits]]/Table2[[#This Row],[Points]]*100</f>
        <v>0.5</v>
      </c>
      <c r="K2106" t="e">
        <f>VLOOKUP(Table2[[#This Row],[Site]],'Site Info'!$A$1:$C$11,2, FALSE)</f>
        <v>#N/A</v>
      </c>
      <c r="L2106" t="e">
        <f>VLOOKUP(Table2[[#This Row],[Site]],'Site Info'!$A$1:$C$11,3, FALSE)</f>
        <v>#N/A</v>
      </c>
      <c r="M2106" t="str">
        <f>VLOOKUP(Table2[[#This Row],[Species]],'Species Table'!$A$1:$D$68,3, FALSE)</f>
        <v>Perennial</v>
      </c>
      <c r="O2106" s="15">
        <f>IF(SUMPRODUCT(($A$2:$A2106=A2106)*($B$2:$B2106=B2106)*($F$2:$F2106=F2106))&gt;1,0,1)</f>
        <v>0</v>
      </c>
      <c r="P2106" s="15">
        <f>IF(SUMPRODUCT(($A$2:$A2106=A2106)*($B$2:$B2106=B2106)*($D$2:$D2106=D2106))&gt;1,0,1)</f>
        <v>0</v>
      </c>
    </row>
    <row r="2107" spans="1:16" hidden="1" x14ac:dyDescent="0.35">
      <c r="A2107" t="s">
        <v>291</v>
      </c>
      <c r="B2107">
        <v>2019</v>
      </c>
      <c r="C2107" t="s">
        <v>114</v>
      </c>
      <c r="D2107" s="6">
        <v>5.2</v>
      </c>
      <c r="E2107" s="6">
        <v>5</v>
      </c>
      <c r="F2107" s="1" t="s">
        <v>10</v>
      </c>
      <c r="G2107">
        <v>7</v>
      </c>
      <c r="H2107">
        <v>160</v>
      </c>
      <c r="I2107">
        <v>80</v>
      </c>
      <c r="J2107">
        <f>Table2[[#This Row],[Hits]]/Table2[[#This Row],[Points]]*100</f>
        <v>4.375</v>
      </c>
      <c r="K2107" t="e">
        <f>VLOOKUP(Table2[[#This Row],[Site]],'Site Info'!$A$1:$C$11,2, FALSE)</f>
        <v>#N/A</v>
      </c>
      <c r="L2107" t="e">
        <f>VLOOKUP(Table2[[#This Row],[Site]],'Site Info'!$A$1:$C$11,3, FALSE)</f>
        <v>#N/A</v>
      </c>
      <c r="M2107" t="str">
        <f>VLOOKUP(Table2[[#This Row],[Species]],'Species Table'!$A$1:$D$68,3, FALSE)</f>
        <v>Annual</v>
      </c>
      <c r="O2107" s="15">
        <f>IF(SUMPRODUCT(($A$2:$A2107=A2107)*($B$2:$B2107=B2107)*($F$2:$F2107=F2107))&gt;1,0,1)</f>
        <v>0</v>
      </c>
      <c r="P2107" s="15">
        <f>IF(SUMPRODUCT(($A$2:$A2107=A2107)*($B$2:$B2107=B2107)*($D$2:$D2107=D2107))&gt;1,0,1)</f>
        <v>1</v>
      </c>
    </row>
    <row r="2108" spans="1:16" hidden="1" x14ac:dyDescent="0.35">
      <c r="A2108" t="s">
        <v>291</v>
      </c>
      <c r="B2108">
        <v>2019</v>
      </c>
      <c r="C2108" t="s">
        <v>114</v>
      </c>
      <c r="D2108" s="6">
        <v>5.2</v>
      </c>
      <c r="E2108" s="6">
        <v>5</v>
      </c>
      <c r="F2108" s="1" t="s">
        <v>33</v>
      </c>
      <c r="G2108">
        <v>59</v>
      </c>
      <c r="H2108">
        <v>160</v>
      </c>
      <c r="I2108">
        <v>80</v>
      </c>
      <c r="J2108">
        <f>Table2[[#This Row],[Hits]]/Table2[[#This Row],[Points]]*100</f>
        <v>36.875</v>
      </c>
      <c r="K2108" t="e">
        <f>VLOOKUP(Table2[[#This Row],[Site]],'Site Info'!$A$1:$C$11,2, FALSE)</f>
        <v>#N/A</v>
      </c>
      <c r="L2108" t="e">
        <f>VLOOKUP(Table2[[#This Row],[Site]],'Site Info'!$A$1:$C$11,3, FALSE)</f>
        <v>#N/A</v>
      </c>
      <c r="M2108" t="str">
        <f>VLOOKUP(Table2[[#This Row],[Species]],'Species Table'!$A$1:$D$68,3, FALSE)</f>
        <v>Annual</v>
      </c>
      <c r="O2108" s="15">
        <f>IF(SUMPRODUCT(($A$2:$A2108=A2108)*($B$2:$B2108=B2108)*($F$2:$F2108=F2108))&gt;1,0,1)</f>
        <v>0</v>
      </c>
      <c r="P2108" s="15">
        <f>IF(SUMPRODUCT(($A$2:$A2108=A2108)*($B$2:$B2108=B2108)*($D$2:$D2108=D2108))&gt;1,0,1)</f>
        <v>0</v>
      </c>
    </row>
    <row r="2109" spans="1:16" x14ac:dyDescent="0.35">
      <c r="A2109" t="s">
        <v>291</v>
      </c>
      <c r="B2109">
        <v>2019</v>
      </c>
      <c r="C2109" t="s">
        <v>114</v>
      </c>
      <c r="D2109" s="6">
        <v>5.2</v>
      </c>
      <c r="E2109" s="6">
        <v>5</v>
      </c>
      <c r="F2109" s="1" t="s">
        <v>14</v>
      </c>
      <c r="G2109">
        <v>6</v>
      </c>
      <c r="H2109">
        <v>160</v>
      </c>
      <c r="I2109">
        <v>80</v>
      </c>
      <c r="J2109">
        <f>Table2[[#This Row],[Hits]]/Table2[[#This Row],[Points]]*100</f>
        <v>3.75</v>
      </c>
      <c r="K2109" t="e">
        <f>VLOOKUP(Table2[[#This Row],[Site]],'Site Info'!$A$1:$C$11,2, FALSE)</f>
        <v>#N/A</v>
      </c>
      <c r="L2109" t="e">
        <f>VLOOKUP(Table2[[#This Row],[Site]],'Site Info'!$A$1:$C$11,3, FALSE)</f>
        <v>#N/A</v>
      </c>
      <c r="M2109" t="str">
        <f>VLOOKUP(Table2[[#This Row],[Species]],'Species Table'!$A$1:$D$68,3, FALSE)</f>
        <v>Perennial</v>
      </c>
      <c r="O2109" s="15">
        <f>IF(SUMPRODUCT(($A$2:$A2109=A2109)*($B$2:$B2109=B2109)*($F$2:$F2109=F2109))&gt;1,0,1)</f>
        <v>1</v>
      </c>
      <c r="P2109" s="15">
        <f>IF(SUMPRODUCT(($A$2:$A2109=A2109)*($B$2:$B2109=B2109)*($D$2:$D2109=D2109))&gt;1,0,1)</f>
        <v>0</v>
      </c>
    </row>
    <row r="2110" spans="1:16" x14ac:dyDescent="0.35">
      <c r="A2110" t="s">
        <v>291</v>
      </c>
      <c r="B2110">
        <v>2019</v>
      </c>
      <c r="C2110" t="s">
        <v>114</v>
      </c>
      <c r="D2110" s="6">
        <v>5.2</v>
      </c>
      <c r="E2110" s="6">
        <v>5</v>
      </c>
      <c r="F2110" s="1" t="s">
        <v>12</v>
      </c>
      <c r="G2110">
        <v>10</v>
      </c>
      <c r="H2110">
        <v>160</v>
      </c>
      <c r="I2110">
        <v>80</v>
      </c>
      <c r="J2110">
        <f>Table2[[#This Row],[Hits]]/Table2[[#This Row],[Points]]*100</f>
        <v>6.25</v>
      </c>
      <c r="K2110" t="e">
        <f>VLOOKUP(Table2[[#This Row],[Site]],'Site Info'!$A$1:$C$11,2, FALSE)</f>
        <v>#N/A</v>
      </c>
      <c r="L2110" t="e">
        <f>VLOOKUP(Table2[[#This Row],[Site]],'Site Info'!$A$1:$C$11,3, FALSE)</f>
        <v>#N/A</v>
      </c>
      <c r="M2110" t="str">
        <f>VLOOKUP(Table2[[#This Row],[Species]],'Species Table'!$A$1:$D$68,3, FALSE)</f>
        <v>Perennial</v>
      </c>
      <c r="O2110" s="15">
        <f>IF(SUMPRODUCT(($A$2:$A2110=A2110)*($B$2:$B2110=B2110)*($F$2:$F2110=F2110))&gt;1,0,1)</f>
        <v>0</v>
      </c>
      <c r="P2110" s="15">
        <f>IF(SUMPRODUCT(($A$2:$A2110=A2110)*($B$2:$B2110=B2110)*($D$2:$D2110=D2110))&gt;1,0,1)</f>
        <v>0</v>
      </c>
    </row>
    <row r="2111" spans="1:16" x14ac:dyDescent="0.35">
      <c r="A2111" t="s">
        <v>291</v>
      </c>
      <c r="B2111">
        <v>2019</v>
      </c>
      <c r="C2111" t="s">
        <v>114</v>
      </c>
      <c r="D2111" s="6">
        <v>5.2</v>
      </c>
      <c r="E2111" s="6">
        <v>5</v>
      </c>
      <c r="F2111" s="1" t="s">
        <v>2</v>
      </c>
      <c r="G2111">
        <v>3</v>
      </c>
      <c r="H2111">
        <v>160</v>
      </c>
      <c r="I2111">
        <v>80</v>
      </c>
      <c r="J2111">
        <f>Table2[[#This Row],[Hits]]/Table2[[#This Row],[Points]]*100</f>
        <v>1.875</v>
      </c>
      <c r="K2111" t="e">
        <f>VLOOKUP(Table2[[#This Row],[Site]],'Site Info'!$A$1:$C$11,2, FALSE)</f>
        <v>#N/A</v>
      </c>
      <c r="L2111" t="e">
        <f>VLOOKUP(Table2[[#This Row],[Site]],'Site Info'!$A$1:$C$11,3, FALSE)</f>
        <v>#N/A</v>
      </c>
      <c r="M2111" t="str">
        <f>VLOOKUP(Table2[[#This Row],[Species]],'Species Table'!$A$1:$D$68,3, FALSE)</f>
        <v>Perennial</v>
      </c>
      <c r="O2111" s="15">
        <f>IF(SUMPRODUCT(($A$2:$A2111=A2111)*($B$2:$B2111=B2111)*($F$2:$F2111=F2111))&gt;1,0,1)</f>
        <v>0</v>
      </c>
      <c r="P2111" s="15">
        <f>IF(SUMPRODUCT(($A$2:$A2111=A2111)*($B$2:$B2111=B2111)*($D$2:$D2111=D2111))&gt;1,0,1)</f>
        <v>0</v>
      </c>
    </row>
    <row r="2112" spans="1:16" x14ac:dyDescent="0.35">
      <c r="A2112" t="s">
        <v>161</v>
      </c>
      <c r="B2112">
        <v>2019</v>
      </c>
      <c r="C2112" t="s">
        <v>82</v>
      </c>
      <c r="D2112" s="6">
        <v>1.1000000000000001</v>
      </c>
      <c r="E2112" s="6">
        <v>1</v>
      </c>
      <c r="F2112" s="1" t="s">
        <v>11</v>
      </c>
      <c r="G2112">
        <v>16</v>
      </c>
      <c r="H2112">
        <v>200</v>
      </c>
      <c r="I2112">
        <v>100</v>
      </c>
      <c r="J2112">
        <f>Table2[[#This Row],[Hits]]/Table2[[#This Row],[Points]]*100</f>
        <v>8</v>
      </c>
      <c r="K2112">
        <f>VLOOKUP(Table2[[#This Row],[Site]],'Site Info'!$A$1:$C$11,2, FALSE)</f>
        <v>17.7</v>
      </c>
      <c r="L2112">
        <f>VLOOKUP(Table2[[#This Row],[Site]],'Site Info'!$A$1:$C$11,3, FALSE)</f>
        <v>10</v>
      </c>
      <c r="M2112" t="str">
        <f>VLOOKUP(Table2[[#This Row],[Species]],'Species Table'!$A$1:$D$68,3, FALSE)</f>
        <v>Perennial</v>
      </c>
      <c r="O2112" s="15">
        <f>IF(SUMPRODUCT(($A$2:$A2112=A2112)*($B$2:$B2112=B2112)*($F$2:$F2112=F2112))&gt;1,0,1)</f>
        <v>1</v>
      </c>
      <c r="P2112" s="15">
        <f>IF(SUMPRODUCT(($A$2:$A2112=A2112)*($B$2:$B2112=B2112)*($D$2:$D2112=D2112))&gt;1,0,1)</f>
        <v>1</v>
      </c>
    </row>
    <row r="2113" spans="1:16" hidden="1" x14ac:dyDescent="0.35">
      <c r="A2113" t="s">
        <v>161</v>
      </c>
      <c r="B2113">
        <v>2019</v>
      </c>
      <c r="C2113" t="s">
        <v>82</v>
      </c>
      <c r="D2113" s="6">
        <v>1.1000000000000001</v>
      </c>
      <c r="E2113" s="6">
        <v>1</v>
      </c>
      <c r="F2113" s="1" t="s">
        <v>10</v>
      </c>
      <c r="G2113">
        <v>45</v>
      </c>
      <c r="H2113">
        <v>200</v>
      </c>
      <c r="I2113">
        <v>100</v>
      </c>
      <c r="J2113">
        <f>Table2[[#This Row],[Hits]]/Table2[[#This Row],[Points]]*100</f>
        <v>22.5</v>
      </c>
      <c r="K2113">
        <f>VLOOKUP(Table2[[#This Row],[Site]],'Site Info'!$A$1:$C$11,2, FALSE)</f>
        <v>17.7</v>
      </c>
      <c r="L2113">
        <f>VLOOKUP(Table2[[#This Row],[Site]],'Site Info'!$A$1:$C$11,3, FALSE)</f>
        <v>10</v>
      </c>
      <c r="M2113" t="str">
        <f>VLOOKUP(Table2[[#This Row],[Species]],'Species Table'!$A$1:$D$68,3, FALSE)</f>
        <v>Annual</v>
      </c>
      <c r="O2113" s="15">
        <f>IF(SUMPRODUCT(($A$2:$A2113=A2113)*($B$2:$B2113=B2113)*($F$2:$F2113=F2113))&gt;1,0,1)</f>
        <v>1</v>
      </c>
      <c r="P2113" s="15">
        <f>IF(SUMPRODUCT(($A$2:$A2113=A2113)*($B$2:$B2113=B2113)*($D$2:$D2113=D2113))&gt;1,0,1)</f>
        <v>0</v>
      </c>
    </row>
    <row r="2114" spans="1:16" hidden="1" x14ac:dyDescent="0.35">
      <c r="A2114" t="s">
        <v>161</v>
      </c>
      <c r="B2114">
        <v>2019</v>
      </c>
      <c r="C2114" t="s">
        <v>292</v>
      </c>
      <c r="D2114" s="6">
        <v>1.2</v>
      </c>
      <c r="E2114" s="6">
        <v>1</v>
      </c>
      <c r="F2114" s="1" t="s">
        <v>10</v>
      </c>
      <c r="G2114">
        <v>45</v>
      </c>
      <c r="H2114">
        <v>180</v>
      </c>
      <c r="I2114">
        <v>90</v>
      </c>
      <c r="J2114">
        <f>Table2[[#This Row],[Hits]]/Table2[[#This Row],[Points]]*100</f>
        <v>25</v>
      </c>
      <c r="K2114">
        <f>VLOOKUP(Table2[[#This Row],[Site]],'Site Info'!$A$1:$C$11,2, FALSE)</f>
        <v>17.7</v>
      </c>
      <c r="L2114">
        <f>VLOOKUP(Table2[[#This Row],[Site]],'Site Info'!$A$1:$C$11,3, FALSE)</f>
        <v>10</v>
      </c>
      <c r="M2114" t="str">
        <f>VLOOKUP(Table2[[#This Row],[Species]],'Species Table'!$A$1:$D$68,3, FALSE)</f>
        <v>Annual</v>
      </c>
      <c r="O2114" s="15">
        <f>IF(SUMPRODUCT(($A$2:$A2114=A2114)*($B$2:$B2114=B2114)*($F$2:$F2114=F2114))&gt;1,0,1)</f>
        <v>0</v>
      </c>
      <c r="P2114" s="15">
        <f>IF(SUMPRODUCT(($A$2:$A2114=A2114)*($B$2:$B2114=B2114)*($D$2:$D2114=D2114))&gt;1,0,1)</f>
        <v>1</v>
      </c>
    </row>
    <row r="2115" spans="1:16" x14ac:dyDescent="0.35">
      <c r="A2115" t="s">
        <v>161</v>
      </c>
      <c r="B2115">
        <v>2019</v>
      </c>
      <c r="C2115" t="s">
        <v>292</v>
      </c>
      <c r="D2115" s="6">
        <v>1.2</v>
      </c>
      <c r="E2115" s="6">
        <v>1</v>
      </c>
      <c r="F2115" s="1" t="s">
        <v>11</v>
      </c>
      <c r="G2115">
        <v>5</v>
      </c>
      <c r="H2115">
        <v>180</v>
      </c>
      <c r="I2115">
        <v>90</v>
      </c>
      <c r="J2115">
        <f>Table2[[#This Row],[Hits]]/Table2[[#This Row],[Points]]*100</f>
        <v>2.7777777777777777</v>
      </c>
      <c r="K2115">
        <f>VLOOKUP(Table2[[#This Row],[Site]],'Site Info'!$A$1:$C$11,2, FALSE)</f>
        <v>17.7</v>
      </c>
      <c r="L2115">
        <f>VLOOKUP(Table2[[#This Row],[Site]],'Site Info'!$A$1:$C$11,3, FALSE)</f>
        <v>10</v>
      </c>
      <c r="M2115" t="str">
        <f>VLOOKUP(Table2[[#This Row],[Species]],'Species Table'!$A$1:$D$68,3, FALSE)</f>
        <v>Perennial</v>
      </c>
      <c r="O2115" s="15">
        <f>IF(SUMPRODUCT(($A$2:$A2115=A2115)*($B$2:$B2115=B2115)*($F$2:$F2115=F2115))&gt;1,0,1)</f>
        <v>0</v>
      </c>
      <c r="P2115" s="15">
        <f>IF(SUMPRODUCT(($A$2:$A2115=A2115)*($B$2:$B2115=B2115)*($D$2:$D2115=D2115))&gt;1,0,1)</f>
        <v>0</v>
      </c>
    </row>
    <row r="2116" spans="1:16" hidden="1" x14ac:dyDescent="0.35">
      <c r="A2116" t="s">
        <v>161</v>
      </c>
      <c r="B2116">
        <v>2019</v>
      </c>
      <c r="C2116" t="s">
        <v>109</v>
      </c>
      <c r="D2116" s="6">
        <v>2.1</v>
      </c>
      <c r="E2116" s="6">
        <v>2</v>
      </c>
      <c r="F2116" s="1" t="s">
        <v>10</v>
      </c>
      <c r="G2116">
        <v>36</v>
      </c>
      <c r="H2116">
        <v>200</v>
      </c>
      <c r="I2116">
        <v>100</v>
      </c>
      <c r="J2116">
        <f>Table2[[#This Row],[Hits]]/Table2[[#This Row],[Points]]*100</f>
        <v>18</v>
      </c>
      <c r="K2116">
        <f>VLOOKUP(Table2[[#This Row],[Site]],'Site Info'!$A$1:$C$11,2, FALSE)</f>
        <v>17.7</v>
      </c>
      <c r="L2116">
        <f>VLOOKUP(Table2[[#This Row],[Site]],'Site Info'!$A$1:$C$11,3, FALSE)</f>
        <v>10</v>
      </c>
      <c r="M2116" t="str">
        <f>VLOOKUP(Table2[[#This Row],[Species]],'Species Table'!$A$1:$D$68,3, FALSE)</f>
        <v>Annual</v>
      </c>
      <c r="O2116" s="15">
        <f>IF(SUMPRODUCT(($A$2:$A2116=A2116)*($B$2:$B2116=B2116)*($F$2:$F2116=F2116))&gt;1,0,1)</f>
        <v>0</v>
      </c>
      <c r="P2116" s="15">
        <f>IF(SUMPRODUCT(($A$2:$A2116=A2116)*($B$2:$B2116=B2116)*($D$2:$D2116=D2116))&gt;1,0,1)</f>
        <v>1</v>
      </c>
    </row>
    <row r="2117" spans="1:16" x14ac:dyDescent="0.35">
      <c r="A2117" t="s">
        <v>161</v>
      </c>
      <c r="B2117">
        <v>2019</v>
      </c>
      <c r="C2117" t="s">
        <v>109</v>
      </c>
      <c r="D2117" s="6">
        <v>2.1</v>
      </c>
      <c r="E2117" s="6">
        <v>2</v>
      </c>
      <c r="F2117" s="1" t="s">
        <v>11</v>
      </c>
      <c r="G2117">
        <v>8</v>
      </c>
      <c r="H2117">
        <v>200</v>
      </c>
      <c r="I2117">
        <v>100</v>
      </c>
      <c r="J2117">
        <f>Table2[[#This Row],[Hits]]/Table2[[#This Row],[Points]]*100</f>
        <v>4</v>
      </c>
      <c r="K2117">
        <f>VLOOKUP(Table2[[#This Row],[Site]],'Site Info'!$A$1:$C$11,2, FALSE)</f>
        <v>17.7</v>
      </c>
      <c r="L2117">
        <f>VLOOKUP(Table2[[#This Row],[Site]],'Site Info'!$A$1:$C$11,3, FALSE)</f>
        <v>10</v>
      </c>
      <c r="M2117" t="str">
        <f>VLOOKUP(Table2[[#This Row],[Species]],'Species Table'!$A$1:$D$68,3, FALSE)</f>
        <v>Perennial</v>
      </c>
      <c r="O2117" s="15">
        <f>IF(SUMPRODUCT(($A$2:$A2117=A2117)*($B$2:$B2117=B2117)*($F$2:$F2117=F2117))&gt;1,0,1)</f>
        <v>0</v>
      </c>
      <c r="P2117" s="15">
        <f>IF(SUMPRODUCT(($A$2:$A2117=A2117)*($B$2:$B2117=B2117)*($D$2:$D2117=D2117))&gt;1,0,1)</f>
        <v>0</v>
      </c>
    </row>
    <row r="2118" spans="1:16" hidden="1" x14ac:dyDescent="0.35">
      <c r="A2118" t="s">
        <v>161</v>
      </c>
      <c r="B2118">
        <v>2019</v>
      </c>
      <c r="C2118" t="s">
        <v>293</v>
      </c>
      <c r="D2118" s="6">
        <v>2.2000000000000002</v>
      </c>
      <c r="E2118" s="6">
        <v>2</v>
      </c>
      <c r="F2118" s="1" t="s">
        <v>10</v>
      </c>
      <c r="G2118">
        <v>11</v>
      </c>
      <c r="H2118">
        <v>149</v>
      </c>
      <c r="I2118">
        <v>74.5</v>
      </c>
      <c r="J2118">
        <f>Table2[[#This Row],[Hits]]/Table2[[#This Row],[Points]]*100</f>
        <v>7.3825503355704702</v>
      </c>
      <c r="K2118">
        <f>VLOOKUP(Table2[[#This Row],[Site]],'Site Info'!$A$1:$C$11,2, FALSE)</f>
        <v>17.7</v>
      </c>
      <c r="L2118">
        <f>VLOOKUP(Table2[[#This Row],[Site]],'Site Info'!$A$1:$C$11,3, FALSE)</f>
        <v>10</v>
      </c>
      <c r="M2118" t="str">
        <f>VLOOKUP(Table2[[#This Row],[Species]],'Species Table'!$A$1:$D$68,3, FALSE)</f>
        <v>Annual</v>
      </c>
      <c r="O2118" s="15">
        <f>IF(SUMPRODUCT(($A$2:$A2118=A2118)*($B$2:$B2118=B2118)*($F$2:$F2118=F2118))&gt;1,0,1)</f>
        <v>0</v>
      </c>
      <c r="P2118" s="15">
        <f>IF(SUMPRODUCT(($A$2:$A2118=A2118)*($B$2:$B2118=B2118)*($D$2:$D2118=D2118))&gt;1,0,1)</f>
        <v>1</v>
      </c>
    </row>
    <row r="2119" spans="1:16" x14ac:dyDescent="0.35">
      <c r="A2119" t="s">
        <v>161</v>
      </c>
      <c r="B2119">
        <v>2019</v>
      </c>
      <c r="C2119" t="s">
        <v>293</v>
      </c>
      <c r="D2119" s="6">
        <v>2.2000000000000002</v>
      </c>
      <c r="E2119" s="6">
        <v>2</v>
      </c>
      <c r="F2119" s="1" t="s">
        <v>11</v>
      </c>
      <c r="G2119">
        <v>9</v>
      </c>
      <c r="H2119">
        <v>149</v>
      </c>
      <c r="I2119">
        <v>74.5</v>
      </c>
      <c r="J2119">
        <f>Table2[[#This Row],[Hits]]/Table2[[#This Row],[Points]]*100</f>
        <v>6.0402684563758395</v>
      </c>
      <c r="K2119">
        <f>VLOOKUP(Table2[[#This Row],[Site]],'Site Info'!$A$1:$C$11,2, FALSE)</f>
        <v>17.7</v>
      </c>
      <c r="L2119">
        <f>VLOOKUP(Table2[[#This Row],[Site]],'Site Info'!$A$1:$C$11,3, FALSE)</f>
        <v>10</v>
      </c>
      <c r="M2119" t="str">
        <f>VLOOKUP(Table2[[#This Row],[Species]],'Species Table'!$A$1:$D$68,3, FALSE)</f>
        <v>Perennial</v>
      </c>
      <c r="O2119" s="15">
        <f>IF(SUMPRODUCT(($A$2:$A2119=A2119)*($B$2:$B2119=B2119)*($F$2:$F2119=F2119))&gt;1,0,1)</f>
        <v>0</v>
      </c>
      <c r="P2119" s="15">
        <f>IF(SUMPRODUCT(($A$2:$A2119=A2119)*($B$2:$B2119=B2119)*($D$2:$D2119=D2119))&gt;1,0,1)</f>
        <v>0</v>
      </c>
    </row>
    <row r="2120" spans="1:16" hidden="1" x14ac:dyDescent="0.35">
      <c r="A2120" t="s">
        <v>161</v>
      </c>
      <c r="B2120">
        <v>2019</v>
      </c>
      <c r="C2120" t="s">
        <v>294</v>
      </c>
      <c r="D2120" s="6">
        <v>3.2</v>
      </c>
      <c r="E2120" s="6">
        <v>3</v>
      </c>
      <c r="F2120" s="1" t="s">
        <v>10</v>
      </c>
      <c r="G2120">
        <v>6</v>
      </c>
      <c r="H2120">
        <v>119</v>
      </c>
      <c r="I2120">
        <v>59.5</v>
      </c>
      <c r="J2120">
        <f>Table2[[#This Row],[Hits]]/Table2[[#This Row],[Points]]*100</f>
        <v>5.0420168067226889</v>
      </c>
      <c r="K2120">
        <f>VLOOKUP(Table2[[#This Row],[Site]],'Site Info'!$A$1:$C$11,2, FALSE)</f>
        <v>17.7</v>
      </c>
      <c r="L2120">
        <f>VLOOKUP(Table2[[#This Row],[Site]],'Site Info'!$A$1:$C$11,3, FALSE)</f>
        <v>10</v>
      </c>
      <c r="M2120" t="str">
        <f>VLOOKUP(Table2[[#This Row],[Species]],'Species Table'!$A$1:$D$68,3, FALSE)</f>
        <v>Annual</v>
      </c>
      <c r="O2120" s="15">
        <f>IF(SUMPRODUCT(($A$2:$A2120=A2120)*($B$2:$B2120=B2120)*($F$2:$F2120=F2120))&gt;1,0,1)</f>
        <v>0</v>
      </c>
      <c r="P2120" s="15">
        <f>IF(SUMPRODUCT(($A$2:$A2120=A2120)*($B$2:$B2120=B2120)*($D$2:$D2120=D2120))&gt;1,0,1)</f>
        <v>1</v>
      </c>
    </row>
    <row r="2121" spans="1:16" x14ac:dyDescent="0.35">
      <c r="A2121" t="s">
        <v>161</v>
      </c>
      <c r="B2121">
        <v>2019</v>
      </c>
      <c r="C2121" t="s">
        <v>294</v>
      </c>
      <c r="D2121" s="6">
        <v>3.2</v>
      </c>
      <c r="E2121" s="6">
        <v>3</v>
      </c>
      <c r="F2121" s="1" t="s">
        <v>6</v>
      </c>
      <c r="G2121">
        <v>3</v>
      </c>
      <c r="H2121">
        <v>119</v>
      </c>
      <c r="I2121">
        <v>59.5</v>
      </c>
      <c r="J2121">
        <f>Table2[[#This Row],[Hits]]/Table2[[#This Row],[Points]]*100</f>
        <v>2.5210084033613445</v>
      </c>
      <c r="K2121">
        <f>VLOOKUP(Table2[[#This Row],[Site]],'Site Info'!$A$1:$C$11,2, FALSE)</f>
        <v>17.7</v>
      </c>
      <c r="L2121">
        <f>VLOOKUP(Table2[[#This Row],[Site]],'Site Info'!$A$1:$C$11,3, FALSE)</f>
        <v>10</v>
      </c>
      <c r="M2121" t="str">
        <f>VLOOKUP(Table2[[#This Row],[Species]],'Species Table'!$A$1:$D$68,3, FALSE)</f>
        <v>Perennial</v>
      </c>
      <c r="O2121" s="15">
        <f>IF(SUMPRODUCT(($A$2:$A2121=A2121)*($B$2:$B2121=B2121)*($F$2:$F2121=F2121))&gt;1,0,1)</f>
        <v>1</v>
      </c>
      <c r="P2121" s="15">
        <f>IF(SUMPRODUCT(($A$2:$A2121=A2121)*($B$2:$B2121=B2121)*($D$2:$D2121=D2121))&gt;1,0,1)</f>
        <v>0</v>
      </c>
    </row>
    <row r="2122" spans="1:16" hidden="1" x14ac:dyDescent="0.35">
      <c r="A2122" t="s">
        <v>161</v>
      </c>
      <c r="B2122">
        <v>2019</v>
      </c>
      <c r="C2122" t="s">
        <v>111</v>
      </c>
      <c r="D2122" s="6">
        <v>3.1</v>
      </c>
      <c r="E2122" s="6">
        <v>3</v>
      </c>
      <c r="F2122" s="1" t="s">
        <v>10</v>
      </c>
      <c r="G2122">
        <v>15</v>
      </c>
      <c r="H2122">
        <v>200</v>
      </c>
      <c r="I2122">
        <v>100</v>
      </c>
      <c r="J2122">
        <f>Table2[[#This Row],[Hits]]/Table2[[#This Row],[Points]]*100</f>
        <v>7.5</v>
      </c>
      <c r="K2122">
        <f>VLOOKUP(Table2[[#This Row],[Site]],'Site Info'!$A$1:$C$11,2, FALSE)</f>
        <v>17.7</v>
      </c>
      <c r="L2122">
        <f>VLOOKUP(Table2[[#This Row],[Site]],'Site Info'!$A$1:$C$11,3, FALSE)</f>
        <v>10</v>
      </c>
      <c r="M2122" t="str">
        <f>VLOOKUP(Table2[[#This Row],[Species]],'Species Table'!$A$1:$D$68,3, FALSE)</f>
        <v>Annual</v>
      </c>
      <c r="O2122" s="15">
        <f>IF(SUMPRODUCT(($A$2:$A2122=A2122)*($B$2:$B2122=B2122)*($F$2:$F2122=F2122))&gt;1,0,1)</f>
        <v>0</v>
      </c>
      <c r="P2122" s="15">
        <f>IF(SUMPRODUCT(($A$2:$A2122=A2122)*($B$2:$B2122=B2122)*($D$2:$D2122=D2122))&gt;1,0,1)</f>
        <v>1</v>
      </c>
    </row>
    <row r="2123" spans="1:16" x14ac:dyDescent="0.35">
      <c r="A2123" t="s">
        <v>161</v>
      </c>
      <c r="B2123">
        <v>2019</v>
      </c>
      <c r="C2123" t="s">
        <v>111</v>
      </c>
      <c r="D2123" s="6">
        <v>3.1</v>
      </c>
      <c r="E2123" s="6">
        <v>3</v>
      </c>
      <c r="F2123" s="1" t="s">
        <v>6</v>
      </c>
      <c r="G2123">
        <v>1</v>
      </c>
      <c r="H2123">
        <v>200</v>
      </c>
      <c r="I2123">
        <v>100</v>
      </c>
      <c r="J2123">
        <f>Table2[[#This Row],[Hits]]/Table2[[#This Row],[Points]]*100</f>
        <v>0.5</v>
      </c>
      <c r="K2123">
        <f>VLOOKUP(Table2[[#This Row],[Site]],'Site Info'!$A$1:$C$11,2, FALSE)</f>
        <v>17.7</v>
      </c>
      <c r="L2123">
        <f>VLOOKUP(Table2[[#This Row],[Site]],'Site Info'!$A$1:$C$11,3, FALSE)</f>
        <v>10</v>
      </c>
      <c r="M2123" t="str">
        <f>VLOOKUP(Table2[[#This Row],[Species]],'Species Table'!$A$1:$D$68,3, FALSE)</f>
        <v>Perennial</v>
      </c>
      <c r="O2123" s="15">
        <f>IF(SUMPRODUCT(($A$2:$A2123=A2123)*($B$2:$B2123=B2123)*($F$2:$F2123=F2123))&gt;1,0,1)</f>
        <v>0</v>
      </c>
      <c r="P2123" s="15">
        <f>IF(SUMPRODUCT(($A$2:$A2123=A2123)*($B$2:$B2123=B2123)*($D$2:$D2123=D2123))&gt;1,0,1)</f>
        <v>0</v>
      </c>
    </row>
    <row r="2124" spans="1:16" x14ac:dyDescent="0.35">
      <c r="A2124" t="s">
        <v>161</v>
      </c>
      <c r="B2124">
        <v>2019</v>
      </c>
      <c r="C2124" t="s">
        <v>111</v>
      </c>
      <c r="D2124" s="6">
        <v>3.1</v>
      </c>
      <c r="E2124" s="6">
        <v>3</v>
      </c>
      <c r="F2124" s="1" t="s">
        <v>12</v>
      </c>
      <c r="G2124">
        <v>4</v>
      </c>
      <c r="H2124">
        <v>200</v>
      </c>
      <c r="I2124">
        <v>100</v>
      </c>
      <c r="J2124">
        <f>Table2[[#This Row],[Hits]]/Table2[[#This Row],[Points]]*100</f>
        <v>2</v>
      </c>
      <c r="K2124">
        <f>VLOOKUP(Table2[[#This Row],[Site]],'Site Info'!$A$1:$C$11,2, FALSE)</f>
        <v>17.7</v>
      </c>
      <c r="L2124">
        <f>VLOOKUP(Table2[[#This Row],[Site]],'Site Info'!$A$1:$C$11,3, FALSE)</f>
        <v>10</v>
      </c>
      <c r="M2124" t="str">
        <f>VLOOKUP(Table2[[#This Row],[Species]],'Species Table'!$A$1:$D$68,3, FALSE)</f>
        <v>Perennial</v>
      </c>
      <c r="O2124" s="15">
        <f>IF(SUMPRODUCT(($A$2:$A2124=A2124)*($B$2:$B2124=B2124)*($F$2:$F2124=F2124))&gt;1,0,1)</f>
        <v>1</v>
      </c>
      <c r="P2124" s="15">
        <f>IF(SUMPRODUCT(($A$2:$A2124=A2124)*($B$2:$B2124=B2124)*($D$2:$D2124=D2124))&gt;1,0,1)</f>
        <v>0</v>
      </c>
    </row>
    <row r="2125" spans="1:16" hidden="1" x14ac:dyDescent="0.35">
      <c r="A2125" t="s">
        <v>161</v>
      </c>
      <c r="B2125">
        <v>2019</v>
      </c>
      <c r="C2125" t="s">
        <v>295</v>
      </c>
      <c r="D2125" s="6">
        <v>4.2</v>
      </c>
      <c r="E2125" s="6">
        <v>4</v>
      </c>
      <c r="F2125" s="1" t="s">
        <v>10</v>
      </c>
      <c r="G2125">
        <v>10</v>
      </c>
      <c r="H2125">
        <v>92</v>
      </c>
      <c r="I2125">
        <v>46</v>
      </c>
      <c r="J2125">
        <f>Table2[[#This Row],[Hits]]/Table2[[#This Row],[Points]]*100</f>
        <v>10.869565217391305</v>
      </c>
      <c r="K2125">
        <f>VLOOKUP(Table2[[#This Row],[Site]],'Site Info'!$A$1:$C$11,2, FALSE)</f>
        <v>17.7</v>
      </c>
      <c r="L2125">
        <f>VLOOKUP(Table2[[#This Row],[Site]],'Site Info'!$A$1:$C$11,3, FALSE)</f>
        <v>10</v>
      </c>
      <c r="M2125" t="str">
        <f>VLOOKUP(Table2[[#This Row],[Species]],'Species Table'!$A$1:$D$68,3, FALSE)</f>
        <v>Annual</v>
      </c>
      <c r="O2125" s="15">
        <f>IF(SUMPRODUCT(($A$2:$A2125=A2125)*($B$2:$B2125=B2125)*($F$2:$F2125=F2125))&gt;1,0,1)</f>
        <v>0</v>
      </c>
      <c r="P2125" s="15">
        <f>IF(SUMPRODUCT(($A$2:$A2125=A2125)*($B$2:$B2125=B2125)*($D$2:$D2125=D2125))&gt;1,0,1)</f>
        <v>1</v>
      </c>
    </row>
    <row r="2126" spans="1:16" hidden="1" x14ac:dyDescent="0.35">
      <c r="A2126" t="s">
        <v>161</v>
      </c>
      <c r="B2126">
        <v>2019</v>
      </c>
      <c r="C2126" t="s">
        <v>113</v>
      </c>
      <c r="D2126" s="6">
        <v>4.0999999999999996</v>
      </c>
      <c r="E2126" s="6">
        <v>4</v>
      </c>
      <c r="F2126" s="1" t="s">
        <v>10</v>
      </c>
      <c r="G2126">
        <v>15</v>
      </c>
      <c r="H2126">
        <v>200</v>
      </c>
      <c r="I2126">
        <v>100</v>
      </c>
      <c r="J2126">
        <f>Table2[[#This Row],[Hits]]/Table2[[#This Row],[Points]]*100</f>
        <v>7.5</v>
      </c>
      <c r="K2126">
        <f>VLOOKUP(Table2[[#This Row],[Site]],'Site Info'!$A$1:$C$11,2, FALSE)</f>
        <v>17.7</v>
      </c>
      <c r="L2126">
        <f>VLOOKUP(Table2[[#This Row],[Site]],'Site Info'!$A$1:$C$11,3, FALSE)</f>
        <v>10</v>
      </c>
      <c r="M2126" t="str">
        <f>VLOOKUP(Table2[[#This Row],[Species]],'Species Table'!$A$1:$D$68,3, FALSE)</f>
        <v>Annual</v>
      </c>
      <c r="O2126" s="15">
        <f>IF(SUMPRODUCT(($A$2:$A2126=A2126)*($B$2:$B2126=B2126)*($F$2:$F2126=F2126))&gt;1,0,1)</f>
        <v>0</v>
      </c>
      <c r="P2126" s="15">
        <f>IF(SUMPRODUCT(($A$2:$A2126=A2126)*($B$2:$B2126=B2126)*($D$2:$D2126=D2126))&gt;1,0,1)</f>
        <v>1</v>
      </c>
    </row>
    <row r="2127" spans="1:16" x14ac:dyDescent="0.35">
      <c r="A2127" t="s">
        <v>161</v>
      </c>
      <c r="B2127">
        <v>2019</v>
      </c>
      <c r="C2127" t="s">
        <v>113</v>
      </c>
      <c r="D2127" s="6">
        <v>4.0999999999999996</v>
      </c>
      <c r="E2127" s="6">
        <v>4</v>
      </c>
      <c r="F2127" s="1" t="s">
        <v>12</v>
      </c>
      <c r="G2127">
        <v>1</v>
      </c>
      <c r="H2127">
        <v>200</v>
      </c>
      <c r="I2127">
        <v>100</v>
      </c>
      <c r="J2127">
        <f>Table2[[#This Row],[Hits]]/Table2[[#This Row],[Points]]*100</f>
        <v>0.5</v>
      </c>
      <c r="K2127">
        <f>VLOOKUP(Table2[[#This Row],[Site]],'Site Info'!$A$1:$C$11,2, FALSE)</f>
        <v>17.7</v>
      </c>
      <c r="L2127">
        <f>VLOOKUP(Table2[[#This Row],[Site]],'Site Info'!$A$1:$C$11,3, FALSE)</f>
        <v>10</v>
      </c>
      <c r="M2127" t="str">
        <f>VLOOKUP(Table2[[#This Row],[Species]],'Species Table'!$A$1:$D$68,3, FALSE)</f>
        <v>Perennial</v>
      </c>
      <c r="O2127" s="15">
        <f>IF(SUMPRODUCT(($A$2:$A2127=A2127)*($B$2:$B2127=B2127)*($F$2:$F2127=F2127))&gt;1,0,1)</f>
        <v>0</v>
      </c>
      <c r="P2127" s="15">
        <f>IF(SUMPRODUCT(($A$2:$A2127=A2127)*($B$2:$B2127=B2127)*($D$2:$D2127=D2127))&gt;1,0,1)</f>
        <v>0</v>
      </c>
    </row>
    <row r="2128" spans="1:16" x14ac:dyDescent="0.35">
      <c r="A2128" t="s">
        <v>161</v>
      </c>
      <c r="B2128">
        <v>2019</v>
      </c>
      <c r="C2128" t="s">
        <v>113</v>
      </c>
      <c r="D2128" s="6">
        <v>4.0999999999999996</v>
      </c>
      <c r="E2128" s="6">
        <v>4</v>
      </c>
      <c r="F2128" s="1" t="s">
        <v>6</v>
      </c>
      <c r="G2128">
        <v>1</v>
      </c>
      <c r="H2128">
        <v>200</v>
      </c>
      <c r="I2128">
        <v>100</v>
      </c>
      <c r="J2128">
        <f>Table2[[#This Row],[Hits]]/Table2[[#This Row],[Points]]*100</f>
        <v>0.5</v>
      </c>
      <c r="K2128">
        <f>VLOOKUP(Table2[[#This Row],[Site]],'Site Info'!$A$1:$C$11,2, FALSE)</f>
        <v>17.7</v>
      </c>
      <c r="L2128">
        <f>VLOOKUP(Table2[[#This Row],[Site]],'Site Info'!$A$1:$C$11,3, FALSE)</f>
        <v>10</v>
      </c>
      <c r="M2128" t="str">
        <f>VLOOKUP(Table2[[#This Row],[Species]],'Species Table'!$A$1:$D$68,3, FALSE)</f>
        <v>Perennial</v>
      </c>
      <c r="O2128" s="15">
        <f>IF(SUMPRODUCT(($A$2:$A2128=A2128)*($B$2:$B2128=B2128)*($F$2:$F2128=F2128))&gt;1,0,1)</f>
        <v>0</v>
      </c>
      <c r="P2128" s="15">
        <f>IF(SUMPRODUCT(($A$2:$A2128=A2128)*($B$2:$B2128=B2128)*($D$2:$D2128=D2128))&gt;1,0,1)</f>
        <v>0</v>
      </c>
    </row>
    <row r="2129" spans="1:16" hidden="1" x14ac:dyDescent="0.35">
      <c r="A2129" t="s">
        <v>138</v>
      </c>
      <c r="B2129">
        <v>2019</v>
      </c>
      <c r="C2129" t="s">
        <v>148</v>
      </c>
      <c r="D2129" s="6" t="s">
        <v>149</v>
      </c>
      <c r="E2129" s="6" t="s">
        <v>149</v>
      </c>
      <c r="F2129" s="1" t="s">
        <v>10</v>
      </c>
      <c r="G2129">
        <v>39</v>
      </c>
      <c r="H2129">
        <v>200</v>
      </c>
      <c r="I2129">
        <v>100</v>
      </c>
      <c r="J2129">
        <f>Table2[[#This Row],[Hits]]/Table2[[#This Row],[Points]]*100</f>
        <v>19.5</v>
      </c>
      <c r="K2129">
        <f>VLOOKUP(Table2[[#This Row],[Site]],'Site Info'!$A$1:$C$11,2, FALSE)</f>
        <v>11.5</v>
      </c>
      <c r="L2129">
        <f>VLOOKUP(Table2[[#This Row],[Site]],'Site Info'!$A$1:$C$11,3, FALSE)</f>
        <v>11</v>
      </c>
      <c r="M2129" t="str">
        <f>VLOOKUP(Table2[[#This Row],[Species]],'Species Table'!$A$1:$D$68,3, FALSE)</f>
        <v>Annual</v>
      </c>
      <c r="O2129" s="15">
        <f>IF(SUMPRODUCT(($A$2:$A2129=A2129)*($B$2:$B2129=B2129)*($F$2:$F2129=F2129))&gt;1,0,1)</f>
        <v>1</v>
      </c>
      <c r="P2129" s="15">
        <f>IF(SUMPRODUCT(($A$2:$A2129=A2129)*($B$2:$B2129=B2129)*($D$2:$D2129=D2129))&gt;1,0,1)</f>
        <v>1</v>
      </c>
    </row>
    <row r="2130" spans="1:16" x14ac:dyDescent="0.35">
      <c r="A2130" t="s">
        <v>138</v>
      </c>
      <c r="B2130">
        <v>2019</v>
      </c>
      <c r="C2130" t="s">
        <v>148</v>
      </c>
      <c r="D2130" s="6" t="s">
        <v>149</v>
      </c>
      <c r="E2130" s="6" t="s">
        <v>149</v>
      </c>
      <c r="F2130" s="1" t="s">
        <v>139</v>
      </c>
      <c r="G2130">
        <v>1</v>
      </c>
      <c r="H2130">
        <v>200</v>
      </c>
      <c r="I2130">
        <v>100</v>
      </c>
      <c r="J2130">
        <f>Table2[[#This Row],[Hits]]/Table2[[#This Row],[Points]]*100</f>
        <v>0.5</v>
      </c>
      <c r="K2130">
        <f>VLOOKUP(Table2[[#This Row],[Site]],'Site Info'!$A$1:$C$11,2, FALSE)</f>
        <v>11.5</v>
      </c>
      <c r="L2130">
        <f>VLOOKUP(Table2[[#This Row],[Site]],'Site Info'!$A$1:$C$11,3, FALSE)</f>
        <v>11</v>
      </c>
      <c r="M2130" t="str">
        <f>VLOOKUP(Table2[[#This Row],[Species]],'Species Table'!$A$1:$D$68,3, FALSE)</f>
        <v>Perennial</v>
      </c>
      <c r="O2130" s="15">
        <f>IF(SUMPRODUCT(($A$2:$A2130=A2130)*($B$2:$B2130=B2130)*($F$2:$F2130=F2130))&gt;1,0,1)</f>
        <v>1</v>
      </c>
      <c r="P2130" s="15">
        <f>IF(SUMPRODUCT(($A$2:$A2130=A2130)*($B$2:$B2130=B2130)*($D$2:$D2130=D2130))&gt;1,0,1)</f>
        <v>0</v>
      </c>
    </row>
    <row r="2131" spans="1:16" hidden="1" x14ac:dyDescent="0.35">
      <c r="A2131" t="s">
        <v>138</v>
      </c>
      <c r="B2131">
        <v>2019</v>
      </c>
      <c r="C2131" t="s">
        <v>148</v>
      </c>
      <c r="D2131" s="6" t="s">
        <v>149</v>
      </c>
      <c r="E2131" s="6" t="s">
        <v>149</v>
      </c>
      <c r="F2131" s="1" t="s">
        <v>171</v>
      </c>
      <c r="G2131">
        <v>2</v>
      </c>
      <c r="H2131">
        <v>200</v>
      </c>
      <c r="I2131">
        <v>100</v>
      </c>
      <c r="J2131">
        <f>Table2[[#This Row],[Hits]]/Table2[[#This Row],[Points]]*100</f>
        <v>1</v>
      </c>
      <c r="K2131">
        <f>VLOOKUP(Table2[[#This Row],[Site]],'Site Info'!$A$1:$C$11,2, FALSE)</f>
        <v>11.5</v>
      </c>
      <c r="L2131">
        <f>VLOOKUP(Table2[[#This Row],[Site]],'Site Info'!$A$1:$C$11,3, FALSE)</f>
        <v>11</v>
      </c>
      <c r="M2131" t="str">
        <f>VLOOKUP(Table2[[#This Row],[Species]],'Species Table'!$A$1:$D$68,3, FALSE)</f>
        <v>Annual</v>
      </c>
      <c r="O2131" s="15">
        <f>IF(SUMPRODUCT(($A$2:$A2131=A2131)*($B$2:$B2131=B2131)*($F$2:$F2131=F2131))&gt;1,0,1)</f>
        <v>1</v>
      </c>
      <c r="P2131" s="15">
        <f>IF(SUMPRODUCT(($A$2:$A2131=A2131)*($B$2:$B2131=B2131)*($D$2:$D2131=D2131))&gt;1,0,1)</f>
        <v>0</v>
      </c>
    </row>
    <row r="2132" spans="1:16" x14ac:dyDescent="0.35">
      <c r="A2132" t="s">
        <v>138</v>
      </c>
      <c r="B2132">
        <v>2019</v>
      </c>
      <c r="C2132" t="s">
        <v>148</v>
      </c>
      <c r="D2132" s="6" t="s">
        <v>149</v>
      </c>
      <c r="E2132" s="6" t="s">
        <v>149</v>
      </c>
      <c r="F2132" s="1" t="s">
        <v>11</v>
      </c>
      <c r="G2132">
        <v>12</v>
      </c>
      <c r="H2132">
        <v>200</v>
      </c>
      <c r="I2132">
        <v>100</v>
      </c>
      <c r="J2132">
        <f>Table2[[#This Row],[Hits]]/Table2[[#This Row],[Points]]*100</f>
        <v>6</v>
      </c>
      <c r="K2132">
        <f>VLOOKUP(Table2[[#This Row],[Site]],'Site Info'!$A$1:$C$11,2, FALSE)</f>
        <v>11.5</v>
      </c>
      <c r="L2132">
        <f>VLOOKUP(Table2[[#This Row],[Site]],'Site Info'!$A$1:$C$11,3, FALSE)</f>
        <v>11</v>
      </c>
      <c r="M2132" t="str">
        <f>VLOOKUP(Table2[[#This Row],[Species]],'Species Table'!$A$1:$D$68,3, FALSE)</f>
        <v>Perennial</v>
      </c>
      <c r="O2132" s="15">
        <f>IF(SUMPRODUCT(($A$2:$A2132=A2132)*($B$2:$B2132=B2132)*($F$2:$F2132=F2132))&gt;1,0,1)</f>
        <v>1</v>
      </c>
      <c r="P2132" s="15">
        <f>IF(SUMPRODUCT(($A$2:$A2132=A2132)*($B$2:$B2132=B2132)*($D$2:$D2132=D2132))&gt;1,0,1)</f>
        <v>0</v>
      </c>
    </row>
    <row r="2133" spans="1:16" x14ac:dyDescent="0.35">
      <c r="A2133" t="s">
        <v>138</v>
      </c>
      <c r="B2133">
        <v>2019</v>
      </c>
      <c r="C2133" t="s">
        <v>148</v>
      </c>
      <c r="D2133" s="6" t="s">
        <v>149</v>
      </c>
      <c r="E2133" s="6" t="s">
        <v>149</v>
      </c>
      <c r="F2133" s="1" t="s">
        <v>29</v>
      </c>
      <c r="G2133">
        <v>1</v>
      </c>
      <c r="H2133">
        <v>200</v>
      </c>
      <c r="I2133">
        <v>100</v>
      </c>
      <c r="J2133">
        <f>Table2[[#This Row],[Hits]]/Table2[[#This Row],[Points]]*100</f>
        <v>0.5</v>
      </c>
      <c r="K2133">
        <f>VLOOKUP(Table2[[#This Row],[Site]],'Site Info'!$A$1:$C$11,2, FALSE)</f>
        <v>11.5</v>
      </c>
      <c r="L2133">
        <f>VLOOKUP(Table2[[#This Row],[Site]],'Site Info'!$A$1:$C$11,3, FALSE)</f>
        <v>11</v>
      </c>
      <c r="M2133" t="str">
        <f>VLOOKUP(Table2[[#This Row],[Species]],'Species Table'!$A$1:$D$68,3, FALSE)</f>
        <v>Perennial</v>
      </c>
      <c r="O2133" s="15">
        <f>IF(SUMPRODUCT(($A$2:$A2133=A2133)*($B$2:$B2133=B2133)*($F$2:$F2133=F2133))&gt;1,0,1)</f>
        <v>1</v>
      </c>
      <c r="P2133" s="15">
        <f>IF(SUMPRODUCT(($A$2:$A2133=A2133)*($B$2:$B2133=B2133)*($D$2:$D2133=D2133))&gt;1,0,1)</f>
        <v>0</v>
      </c>
    </row>
    <row r="2134" spans="1:16" x14ac:dyDescent="0.35">
      <c r="A2134" t="s">
        <v>138</v>
      </c>
      <c r="B2134">
        <v>2019</v>
      </c>
      <c r="C2134" t="s">
        <v>142</v>
      </c>
      <c r="D2134" s="6" t="s">
        <v>143</v>
      </c>
      <c r="E2134" s="6" t="s">
        <v>143</v>
      </c>
      <c r="F2134" s="1" t="s">
        <v>4</v>
      </c>
      <c r="G2134">
        <v>9</v>
      </c>
      <c r="H2134">
        <v>200</v>
      </c>
      <c r="I2134">
        <v>100</v>
      </c>
      <c r="J2134">
        <f>Table2[[#This Row],[Hits]]/Table2[[#This Row],[Points]]*100</f>
        <v>4.5</v>
      </c>
      <c r="K2134">
        <f>VLOOKUP(Table2[[#This Row],[Site]],'Site Info'!$A$1:$C$11,2, FALSE)</f>
        <v>11.5</v>
      </c>
      <c r="L2134">
        <f>VLOOKUP(Table2[[#This Row],[Site]],'Site Info'!$A$1:$C$11,3, FALSE)</f>
        <v>11</v>
      </c>
      <c r="M2134" t="str">
        <f>VLOOKUP(Table2[[#This Row],[Species]],'Species Table'!$A$1:$D$68,3, FALSE)</f>
        <v>Perennial</v>
      </c>
      <c r="O2134" s="15">
        <f>IF(SUMPRODUCT(($A$2:$A2134=A2134)*($B$2:$B2134=B2134)*($F$2:$F2134=F2134))&gt;1,0,1)</f>
        <v>1</v>
      </c>
      <c r="P2134" s="15">
        <f>IF(SUMPRODUCT(($A$2:$A2134=A2134)*($B$2:$B2134=B2134)*($D$2:$D2134=D2134))&gt;1,0,1)</f>
        <v>1</v>
      </c>
    </row>
    <row r="2135" spans="1:16" hidden="1" x14ac:dyDescent="0.35">
      <c r="A2135" t="s">
        <v>138</v>
      </c>
      <c r="B2135">
        <v>2019</v>
      </c>
      <c r="C2135" t="s">
        <v>142</v>
      </c>
      <c r="D2135" s="6" t="s">
        <v>143</v>
      </c>
      <c r="E2135" s="6" t="s">
        <v>143</v>
      </c>
      <c r="F2135" s="1" t="s">
        <v>10</v>
      </c>
      <c r="G2135">
        <v>88</v>
      </c>
      <c r="H2135">
        <v>200</v>
      </c>
      <c r="I2135">
        <v>100</v>
      </c>
      <c r="J2135">
        <f>Table2[[#This Row],[Hits]]/Table2[[#This Row],[Points]]*100</f>
        <v>44</v>
      </c>
      <c r="K2135">
        <f>VLOOKUP(Table2[[#This Row],[Site]],'Site Info'!$A$1:$C$11,2, FALSE)</f>
        <v>11.5</v>
      </c>
      <c r="L2135">
        <f>VLOOKUP(Table2[[#This Row],[Site]],'Site Info'!$A$1:$C$11,3, FALSE)</f>
        <v>11</v>
      </c>
      <c r="M2135" t="str">
        <f>VLOOKUP(Table2[[#This Row],[Species]],'Species Table'!$A$1:$D$68,3, FALSE)</f>
        <v>Annual</v>
      </c>
      <c r="O2135" s="15">
        <f>IF(SUMPRODUCT(($A$2:$A2135=A2135)*($B$2:$B2135=B2135)*($F$2:$F2135=F2135))&gt;1,0,1)</f>
        <v>0</v>
      </c>
      <c r="P2135" s="15">
        <f>IF(SUMPRODUCT(($A$2:$A2135=A2135)*($B$2:$B2135=B2135)*($D$2:$D2135=D2135))&gt;1,0,1)</f>
        <v>0</v>
      </c>
    </row>
    <row r="2136" spans="1:16" x14ac:dyDescent="0.35">
      <c r="A2136" t="s">
        <v>138</v>
      </c>
      <c r="B2136">
        <v>2019</v>
      </c>
      <c r="C2136" t="s">
        <v>142</v>
      </c>
      <c r="D2136" s="6" t="s">
        <v>143</v>
      </c>
      <c r="E2136" s="6" t="s">
        <v>143</v>
      </c>
      <c r="F2136" s="1" t="s">
        <v>11</v>
      </c>
      <c r="G2136">
        <v>3</v>
      </c>
      <c r="H2136">
        <v>200</v>
      </c>
      <c r="I2136">
        <v>100</v>
      </c>
      <c r="J2136">
        <f>Table2[[#This Row],[Hits]]/Table2[[#This Row],[Points]]*100</f>
        <v>1.5</v>
      </c>
      <c r="K2136">
        <f>VLOOKUP(Table2[[#This Row],[Site]],'Site Info'!$A$1:$C$11,2, FALSE)</f>
        <v>11.5</v>
      </c>
      <c r="L2136">
        <f>VLOOKUP(Table2[[#This Row],[Site]],'Site Info'!$A$1:$C$11,3, FALSE)</f>
        <v>11</v>
      </c>
      <c r="M2136" t="str">
        <f>VLOOKUP(Table2[[#This Row],[Species]],'Species Table'!$A$1:$D$68,3, FALSE)</f>
        <v>Perennial</v>
      </c>
      <c r="O2136" s="15">
        <f>IF(SUMPRODUCT(($A$2:$A2136=A2136)*($B$2:$B2136=B2136)*($F$2:$F2136=F2136))&gt;1,0,1)</f>
        <v>0</v>
      </c>
      <c r="P2136" s="15">
        <f>IF(SUMPRODUCT(($A$2:$A2136=A2136)*($B$2:$B2136=B2136)*($D$2:$D2136=D2136))&gt;1,0,1)</f>
        <v>0</v>
      </c>
    </row>
    <row r="2137" spans="1:16" hidden="1" x14ac:dyDescent="0.35">
      <c r="A2137" t="s">
        <v>138</v>
      </c>
      <c r="B2137">
        <v>2019</v>
      </c>
      <c r="C2137" t="s">
        <v>142</v>
      </c>
      <c r="D2137" s="6" t="s">
        <v>143</v>
      </c>
      <c r="E2137" s="6" t="s">
        <v>143</v>
      </c>
      <c r="F2137" s="1" t="s">
        <v>171</v>
      </c>
      <c r="G2137">
        <v>3</v>
      </c>
      <c r="H2137">
        <v>200</v>
      </c>
      <c r="I2137">
        <v>100</v>
      </c>
      <c r="J2137">
        <f>Table2[[#This Row],[Hits]]/Table2[[#This Row],[Points]]*100</f>
        <v>1.5</v>
      </c>
      <c r="K2137">
        <f>VLOOKUP(Table2[[#This Row],[Site]],'Site Info'!$A$1:$C$11,2, FALSE)</f>
        <v>11.5</v>
      </c>
      <c r="L2137">
        <f>VLOOKUP(Table2[[#This Row],[Site]],'Site Info'!$A$1:$C$11,3, FALSE)</f>
        <v>11</v>
      </c>
      <c r="M2137" t="str">
        <f>VLOOKUP(Table2[[#This Row],[Species]],'Species Table'!$A$1:$D$68,3, FALSE)</f>
        <v>Annual</v>
      </c>
      <c r="O2137" s="15">
        <f>IF(SUMPRODUCT(($A$2:$A2137=A2137)*($B$2:$B2137=B2137)*($F$2:$F2137=F2137))&gt;1,0,1)</f>
        <v>0</v>
      </c>
      <c r="P2137" s="15">
        <f>IF(SUMPRODUCT(($A$2:$A2137=A2137)*($B$2:$B2137=B2137)*($D$2:$D2137=D2137))&gt;1,0,1)</f>
        <v>0</v>
      </c>
    </row>
    <row r="2138" spans="1:16" hidden="1" x14ac:dyDescent="0.35">
      <c r="A2138" t="s">
        <v>138</v>
      </c>
      <c r="B2138">
        <v>2019</v>
      </c>
      <c r="C2138" t="s">
        <v>146</v>
      </c>
      <c r="D2138" s="6" t="s">
        <v>147</v>
      </c>
      <c r="E2138" s="6" t="s">
        <v>147</v>
      </c>
      <c r="F2138" s="1" t="s">
        <v>10</v>
      </c>
      <c r="G2138">
        <v>97</v>
      </c>
      <c r="H2138">
        <v>200</v>
      </c>
      <c r="I2138">
        <v>100</v>
      </c>
      <c r="J2138">
        <f>Table2[[#This Row],[Hits]]/Table2[[#This Row],[Points]]*100</f>
        <v>48.5</v>
      </c>
      <c r="K2138">
        <f>VLOOKUP(Table2[[#This Row],[Site]],'Site Info'!$A$1:$C$11,2, FALSE)</f>
        <v>11.5</v>
      </c>
      <c r="L2138">
        <f>VLOOKUP(Table2[[#This Row],[Site]],'Site Info'!$A$1:$C$11,3, FALSE)</f>
        <v>11</v>
      </c>
      <c r="M2138" t="str">
        <f>VLOOKUP(Table2[[#This Row],[Species]],'Species Table'!$A$1:$D$68,3, FALSE)</f>
        <v>Annual</v>
      </c>
      <c r="O2138" s="15">
        <f>IF(SUMPRODUCT(($A$2:$A2138=A2138)*($B$2:$B2138=B2138)*($F$2:$F2138=F2138))&gt;1,0,1)</f>
        <v>0</v>
      </c>
      <c r="P2138" s="15">
        <f>IF(SUMPRODUCT(($A$2:$A2138=A2138)*($B$2:$B2138=B2138)*($D$2:$D2138=D2138))&gt;1,0,1)</f>
        <v>1</v>
      </c>
    </row>
    <row r="2139" spans="1:16" hidden="1" x14ac:dyDescent="0.35">
      <c r="A2139" t="s">
        <v>138</v>
      </c>
      <c r="B2139">
        <v>2019</v>
      </c>
      <c r="C2139" t="s">
        <v>146</v>
      </c>
      <c r="D2139" s="6" t="s">
        <v>147</v>
      </c>
      <c r="E2139" s="6" t="s">
        <v>147</v>
      </c>
      <c r="F2139" s="1" t="s">
        <v>171</v>
      </c>
      <c r="G2139">
        <v>3</v>
      </c>
      <c r="H2139">
        <v>200</v>
      </c>
      <c r="I2139">
        <v>100</v>
      </c>
      <c r="J2139">
        <f>Table2[[#This Row],[Hits]]/Table2[[#This Row],[Points]]*100</f>
        <v>1.5</v>
      </c>
      <c r="K2139">
        <f>VLOOKUP(Table2[[#This Row],[Site]],'Site Info'!$A$1:$C$11,2, FALSE)</f>
        <v>11.5</v>
      </c>
      <c r="L2139">
        <f>VLOOKUP(Table2[[#This Row],[Site]],'Site Info'!$A$1:$C$11,3, FALSE)</f>
        <v>11</v>
      </c>
      <c r="M2139" t="str">
        <f>VLOOKUP(Table2[[#This Row],[Species]],'Species Table'!$A$1:$D$68,3, FALSE)</f>
        <v>Annual</v>
      </c>
      <c r="O2139" s="15">
        <f>IF(SUMPRODUCT(($A$2:$A2139=A2139)*($B$2:$B2139=B2139)*($F$2:$F2139=F2139))&gt;1,0,1)</f>
        <v>0</v>
      </c>
      <c r="P2139" s="15">
        <f>IF(SUMPRODUCT(($A$2:$A2139=A2139)*($B$2:$B2139=B2139)*($D$2:$D2139=D2139))&gt;1,0,1)</f>
        <v>0</v>
      </c>
    </row>
    <row r="2140" spans="1:16" x14ac:dyDescent="0.35">
      <c r="A2140" t="s">
        <v>138</v>
      </c>
      <c r="B2140">
        <v>2019</v>
      </c>
      <c r="C2140" t="s">
        <v>146</v>
      </c>
      <c r="D2140" s="6" t="s">
        <v>147</v>
      </c>
      <c r="E2140" s="6" t="s">
        <v>147</v>
      </c>
      <c r="F2140" s="1" t="s">
        <v>11</v>
      </c>
      <c r="G2140">
        <v>1</v>
      </c>
      <c r="H2140">
        <v>200</v>
      </c>
      <c r="I2140">
        <v>100</v>
      </c>
      <c r="J2140">
        <f>Table2[[#This Row],[Hits]]/Table2[[#This Row],[Points]]*100</f>
        <v>0.5</v>
      </c>
      <c r="K2140">
        <f>VLOOKUP(Table2[[#This Row],[Site]],'Site Info'!$A$1:$C$11,2, FALSE)</f>
        <v>11.5</v>
      </c>
      <c r="L2140">
        <f>VLOOKUP(Table2[[#This Row],[Site]],'Site Info'!$A$1:$C$11,3, FALSE)</f>
        <v>11</v>
      </c>
      <c r="M2140" t="str">
        <f>VLOOKUP(Table2[[#This Row],[Species]],'Species Table'!$A$1:$D$68,3, FALSE)</f>
        <v>Perennial</v>
      </c>
      <c r="O2140" s="15">
        <f>IF(SUMPRODUCT(($A$2:$A2140=A2140)*($B$2:$B2140=B2140)*($F$2:$F2140=F2140))&gt;1,0,1)</f>
        <v>0</v>
      </c>
      <c r="P2140" s="15">
        <f>IF(SUMPRODUCT(($A$2:$A2140=A2140)*($B$2:$B2140=B2140)*($D$2:$D2140=D2140))&gt;1,0,1)</f>
        <v>0</v>
      </c>
    </row>
    <row r="2141" spans="1:16" hidden="1" x14ac:dyDescent="0.35">
      <c r="A2141" t="s">
        <v>138</v>
      </c>
      <c r="B2141">
        <v>2019</v>
      </c>
      <c r="C2141" t="s">
        <v>146</v>
      </c>
      <c r="D2141" s="6" t="s">
        <v>147</v>
      </c>
      <c r="E2141" s="6" t="s">
        <v>147</v>
      </c>
      <c r="F2141" s="1" t="s">
        <v>199</v>
      </c>
      <c r="G2141">
        <v>2</v>
      </c>
      <c r="H2141">
        <v>200</v>
      </c>
      <c r="I2141">
        <v>100</v>
      </c>
      <c r="J2141">
        <f>Table2[[#This Row],[Hits]]/Table2[[#This Row],[Points]]*100</f>
        <v>1</v>
      </c>
      <c r="K2141">
        <f>VLOOKUP(Table2[[#This Row],[Site]],'Site Info'!$A$1:$C$11,2, FALSE)</f>
        <v>11.5</v>
      </c>
      <c r="L2141">
        <f>VLOOKUP(Table2[[#This Row],[Site]],'Site Info'!$A$1:$C$11,3, FALSE)</f>
        <v>11</v>
      </c>
      <c r="M2141" t="str">
        <f>VLOOKUP(Table2[[#This Row],[Species]],'Species Table'!$A$1:$D$68,3, FALSE)</f>
        <v>Annual/Biennial</v>
      </c>
      <c r="O2141" s="15">
        <f>IF(SUMPRODUCT(($A$2:$A2141=A2141)*($B$2:$B2141=B2141)*($F$2:$F2141=F2141))&gt;1,0,1)</f>
        <v>1</v>
      </c>
      <c r="P2141" s="15">
        <f>IF(SUMPRODUCT(($A$2:$A2141=A2141)*($B$2:$B2141=B2141)*($D$2:$D2141=D2141))&gt;1,0,1)</f>
        <v>0</v>
      </c>
    </row>
    <row r="2142" spans="1:16" hidden="1" x14ac:dyDescent="0.35">
      <c r="A2142" t="s">
        <v>138</v>
      </c>
      <c r="B2142">
        <v>2019</v>
      </c>
      <c r="C2142" t="s">
        <v>146</v>
      </c>
      <c r="D2142" s="6" t="s">
        <v>147</v>
      </c>
      <c r="E2142" s="6" t="s">
        <v>147</v>
      </c>
      <c r="F2142" s="1" t="s">
        <v>296</v>
      </c>
      <c r="G2142">
        <v>1</v>
      </c>
      <c r="H2142">
        <v>200</v>
      </c>
      <c r="I2142">
        <v>100</v>
      </c>
      <c r="J2142">
        <f>Table2[[#This Row],[Hits]]/Table2[[#This Row],[Points]]*100</f>
        <v>0.5</v>
      </c>
      <c r="K2142">
        <f>VLOOKUP(Table2[[#This Row],[Site]],'Site Info'!$A$1:$C$11,2, FALSE)</f>
        <v>11.5</v>
      </c>
      <c r="L2142">
        <f>VLOOKUP(Table2[[#This Row],[Site]],'Site Info'!$A$1:$C$11,3, FALSE)</f>
        <v>11</v>
      </c>
      <c r="M2142" t="e">
        <f>VLOOKUP(Table2[[#This Row],[Species]],'Species Table'!$A$1:$D$68,3, FALSE)</f>
        <v>#N/A</v>
      </c>
      <c r="O2142" s="15">
        <f>IF(SUMPRODUCT(($A$2:$A2142=A2142)*($B$2:$B2142=B2142)*($F$2:$F2142=F2142))&gt;1,0,1)</f>
        <v>1</v>
      </c>
      <c r="P2142" s="15">
        <f>IF(SUMPRODUCT(($A$2:$A2142=A2142)*($B$2:$B2142=B2142)*($D$2:$D2142=D2142))&gt;1,0,1)</f>
        <v>0</v>
      </c>
    </row>
    <row r="2143" spans="1:16" x14ac:dyDescent="0.35">
      <c r="A2143" t="s">
        <v>138</v>
      </c>
      <c r="B2143">
        <v>2019</v>
      </c>
      <c r="C2143" t="s">
        <v>140</v>
      </c>
      <c r="D2143" s="6" t="s">
        <v>141</v>
      </c>
      <c r="E2143" s="6" t="s">
        <v>141</v>
      </c>
      <c r="F2143" s="1" t="s">
        <v>11</v>
      </c>
      <c r="G2143">
        <v>30</v>
      </c>
      <c r="H2143">
        <v>200</v>
      </c>
      <c r="I2143">
        <v>100</v>
      </c>
      <c r="J2143">
        <f>Table2[[#This Row],[Hits]]/Table2[[#This Row],[Points]]*100</f>
        <v>15</v>
      </c>
      <c r="K2143">
        <f>VLOOKUP(Table2[[#This Row],[Site]],'Site Info'!$A$1:$C$11,2, FALSE)</f>
        <v>11.5</v>
      </c>
      <c r="L2143">
        <f>VLOOKUP(Table2[[#This Row],[Site]],'Site Info'!$A$1:$C$11,3, FALSE)</f>
        <v>11</v>
      </c>
      <c r="M2143" t="str">
        <f>VLOOKUP(Table2[[#This Row],[Species]],'Species Table'!$A$1:$D$68,3, FALSE)</f>
        <v>Perennial</v>
      </c>
      <c r="O2143" s="15">
        <f>IF(SUMPRODUCT(($A$2:$A2143=A2143)*($B$2:$B2143=B2143)*($F$2:$F2143=F2143))&gt;1,0,1)</f>
        <v>0</v>
      </c>
      <c r="P2143" s="15">
        <f>IF(SUMPRODUCT(($A$2:$A2143=A2143)*($B$2:$B2143=B2143)*($D$2:$D2143=D2143))&gt;1,0,1)</f>
        <v>1</v>
      </c>
    </row>
    <row r="2144" spans="1:16" x14ac:dyDescent="0.35">
      <c r="A2144" t="s">
        <v>138</v>
      </c>
      <c r="B2144">
        <v>2019</v>
      </c>
      <c r="C2144" t="s">
        <v>140</v>
      </c>
      <c r="D2144" s="6" t="s">
        <v>141</v>
      </c>
      <c r="E2144" s="6" t="s">
        <v>141</v>
      </c>
      <c r="F2144" s="1" t="s">
        <v>23</v>
      </c>
      <c r="G2144">
        <v>1</v>
      </c>
      <c r="H2144">
        <v>200</v>
      </c>
      <c r="I2144">
        <v>100</v>
      </c>
      <c r="J2144">
        <f>Table2[[#This Row],[Hits]]/Table2[[#This Row],[Points]]*100</f>
        <v>0.5</v>
      </c>
      <c r="K2144">
        <f>VLOOKUP(Table2[[#This Row],[Site]],'Site Info'!$A$1:$C$11,2, FALSE)</f>
        <v>11.5</v>
      </c>
      <c r="L2144">
        <f>VLOOKUP(Table2[[#This Row],[Site]],'Site Info'!$A$1:$C$11,3, FALSE)</f>
        <v>11</v>
      </c>
      <c r="M2144" t="str">
        <f>VLOOKUP(Table2[[#This Row],[Species]],'Species Table'!$A$1:$D$68,3, FALSE)</f>
        <v>Perennial</v>
      </c>
      <c r="O2144" s="15">
        <f>IF(SUMPRODUCT(($A$2:$A2144=A2144)*($B$2:$B2144=B2144)*($F$2:$F2144=F2144))&gt;1,0,1)</f>
        <v>1</v>
      </c>
      <c r="P2144" s="15">
        <f>IF(SUMPRODUCT(($A$2:$A2144=A2144)*($B$2:$B2144=B2144)*($D$2:$D2144=D2144))&gt;1,0,1)</f>
        <v>0</v>
      </c>
    </row>
    <row r="2145" spans="1:16" x14ac:dyDescent="0.35">
      <c r="A2145" t="s">
        <v>138</v>
      </c>
      <c r="B2145">
        <v>2019</v>
      </c>
      <c r="C2145" t="s">
        <v>140</v>
      </c>
      <c r="D2145" s="6" t="s">
        <v>141</v>
      </c>
      <c r="E2145" s="6" t="s">
        <v>141</v>
      </c>
      <c r="F2145" s="1" t="s">
        <v>3</v>
      </c>
      <c r="G2145">
        <v>2</v>
      </c>
      <c r="H2145">
        <v>200</v>
      </c>
      <c r="I2145">
        <v>100</v>
      </c>
      <c r="J2145">
        <f>Table2[[#This Row],[Hits]]/Table2[[#This Row],[Points]]*100</f>
        <v>1</v>
      </c>
      <c r="K2145">
        <f>VLOOKUP(Table2[[#This Row],[Site]],'Site Info'!$A$1:$C$11,2, FALSE)</f>
        <v>11.5</v>
      </c>
      <c r="L2145">
        <f>VLOOKUP(Table2[[#This Row],[Site]],'Site Info'!$A$1:$C$11,3, FALSE)</f>
        <v>11</v>
      </c>
      <c r="M2145" t="str">
        <f>VLOOKUP(Table2[[#This Row],[Species]],'Species Table'!$A$1:$D$68,3, FALSE)</f>
        <v>Perennial</v>
      </c>
      <c r="O2145" s="15">
        <f>IF(SUMPRODUCT(($A$2:$A2145=A2145)*($B$2:$B2145=B2145)*($F$2:$F2145=F2145))&gt;1,0,1)</f>
        <v>1</v>
      </c>
      <c r="P2145" s="15">
        <f>IF(SUMPRODUCT(($A$2:$A2145=A2145)*($B$2:$B2145=B2145)*($D$2:$D2145=D2145))&gt;1,0,1)</f>
        <v>0</v>
      </c>
    </row>
    <row r="2146" spans="1:16" hidden="1" x14ac:dyDescent="0.35">
      <c r="A2146" t="s">
        <v>138</v>
      </c>
      <c r="B2146">
        <v>2019</v>
      </c>
      <c r="C2146" t="s">
        <v>140</v>
      </c>
      <c r="D2146" s="6" t="s">
        <v>141</v>
      </c>
      <c r="E2146" s="6" t="s">
        <v>141</v>
      </c>
      <c r="F2146" s="1" t="s">
        <v>10</v>
      </c>
      <c r="G2146">
        <v>80</v>
      </c>
      <c r="H2146">
        <v>200</v>
      </c>
      <c r="I2146">
        <v>100</v>
      </c>
      <c r="J2146">
        <f>Table2[[#This Row],[Hits]]/Table2[[#This Row],[Points]]*100</f>
        <v>40</v>
      </c>
      <c r="K2146">
        <f>VLOOKUP(Table2[[#This Row],[Site]],'Site Info'!$A$1:$C$11,2, FALSE)</f>
        <v>11.5</v>
      </c>
      <c r="L2146">
        <f>VLOOKUP(Table2[[#This Row],[Site]],'Site Info'!$A$1:$C$11,3, FALSE)</f>
        <v>11</v>
      </c>
      <c r="M2146" t="str">
        <f>VLOOKUP(Table2[[#This Row],[Species]],'Species Table'!$A$1:$D$68,3, FALSE)</f>
        <v>Annual</v>
      </c>
      <c r="O2146" s="15">
        <f>IF(SUMPRODUCT(($A$2:$A2146=A2146)*($B$2:$B2146=B2146)*($F$2:$F2146=F2146))&gt;1,0,1)</f>
        <v>0</v>
      </c>
      <c r="P2146" s="15">
        <f>IF(SUMPRODUCT(($A$2:$A2146=A2146)*($B$2:$B2146=B2146)*($D$2:$D2146=D2146))&gt;1,0,1)</f>
        <v>0</v>
      </c>
    </row>
    <row r="2147" spans="1:16" hidden="1" x14ac:dyDescent="0.35">
      <c r="A2147" t="s">
        <v>138</v>
      </c>
      <c r="B2147">
        <v>2019</v>
      </c>
      <c r="C2147" t="s">
        <v>140</v>
      </c>
      <c r="D2147" s="6" t="s">
        <v>141</v>
      </c>
      <c r="E2147" s="6" t="s">
        <v>141</v>
      </c>
      <c r="F2147" s="1" t="s">
        <v>290</v>
      </c>
      <c r="G2147">
        <v>3</v>
      </c>
      <c r="H2147">
        <v>200</v>
      </c>
      <c r="I2147">
        <v>100</v>
      </c>
      <c r="J2147">
        <f>Table2[[#This Row],[Hits]]/Table2[[#This Row],[Points]]*100</f>
        <v>1.5</v>
      </c>
      <c r="K2147">
        <f>VLOOKUP(Table2[[#This Row],[Site]],'Site Info'!$A$1:$C$11,2, FALSE)</f>
        <v>11.5</v>
      </c>
      <c r="L2147">
        <f>VLOOKUP(Table2[[#This Row],[Site]],'Site Info'!$A$1:$C$11,3, FALSE)</f>
        <v>11</v>
      </c>
      <c r="M2147" t="e">
        <f>VLOOKUP(Table2[[#This Row],[Species]],'Species Table'!$A$1:$D$68,3, FALSE)</f>
        <v>#N/A</v>
      </c>
      <c r="O2147" s="15">
        <f>IF(SUMPRODUCT(($A$2:$A2147=A2147)*($B$2:$B2147=B2147)*($F$2:$F2147=F2147))&gt;1,0,1)</f>
        <v>1</v>
      </c>
      <c r="P2147" s="15">
        <f>IF(SUMPRODUCT(($A$2:$A2147=A2147)*($B$2:$B2147=B2147)*($D$2:$D2147=D2147))&gt;1,0,1)</f>
        <v>0</v>
      </c>
    </row>
    <row r="2148" spans="1:16" hidden="1" x14ac:dyDescent="0.35">
      <c r="A2148" t="s">
        <v>138</v>
      </c>
      <c r="B2148">
        <v>2019</v>
      </c>
      <c r="C2148" t="s">
        <v>140</v>
      </c>
      <c r="D2148" s="6" t="s">
        <v>141</v>
      </c>
      <c r="E2148" s="6" t="s">
        <v>141</v>
      </c>
      <c r="F2148" s="1" t="s">
        <v>211</v>
      </c>
      <c r="G2148">
        <v>6</v>
      </c>
      <c r="H2148">
        <v>200</v>
      </c>
      <c r="I2148">
        <v>100</v>
      </c>
      <c r="J2148">
        <f>Table2[[#This Row],[Hits]]/Table2[[#This Row],[Points]]*100</f>
        <v>3</v>
      </c>
      <c r="K2148">
        <f>VLOOKUP(Table2[[#This Row],[Site]],'Site Info'!$A$1:$C$11,2, FALSE)</f>
        <v>11.5</v>
      </c>
      <c r="L2148">
        <f>VLOOKUP(Table2[[#This Row],[Site]],'Site Info'!$A$1:$C$11,3, FALSE)</f>
        <v>11</v>
      </c>
      <c r="M2148" t="str">
        <f>VLOOKUP(Table2[[#This Row],[Species]],'Species Table'!$A$1:$D$68,3, FALSE)</f>
        <v>Annual</v>
      </c>
      <c r="O2148" s="15">
        <f>IF(SUMPRODUCT(($A$2:$A2148=A2148)*($B$2:$B2148=B2148)*($F$2:$F2148=F2148))&gt;1,0,1)</f>
        <v>1</v>
      </c>
      <c r="P2148" s="15">
        <f>IF(SUMPRODUCT(($A$2:$A2148=A2148)*($B$2:$B2148=B2148)*($D$2:$D2148=D2148))&gt;1,0,1)</f>
        <v>0</v>
      </c>
    </row>
    <row r="2149" spans="1:16" hidden="1" x14ac:dyDescent="0.35">
      <c r="A2149" t="s">
        <v>138</v>
      </c>
      <c r="B2149">
        <v>2019</v>
      </c>
      <c r="C2149" t="s">
        <v>144</v>
      </c>
      <c r="D2149" s="6" t="s">
        <v>145</v>
      </c>
      <c r="E2149" s="6" t="s">
        <v>145</v>
      </c>
      <c r="F2149" s="1" t="s">
        <v>10</v>
      </c>
      <c r="G2149">
        <v>98</v>
      </c>
      <c r="H2149">
        <v>200</v>
      </c>
      <c r="I2149">
        <v>100</v>
      </c>
      <c r="J2149">
        <f>Table2[[#This Row],[Hits]]/Table2[[#This Row],[Points]]*100</f>
        <v>49</v>
      </c>
      <c r="K2149">
        <f>VLOOKUP(Table2[[#This Row],[Site]],'Site Info'!$A$1:$C$11,2, FALSE)</f>
        <v>11.5</v>
      </c>
      <c r="L2149">
        <f>VLOOKUP(Table2[[#This Row],[Site]],'Site Info'!$A$1:$C$11,3, FALSE)</f>
        <v>11</v>
      </c>
      <c r="M2149" t="str">
        <f>VLOOKUP(Table2[[#This Row],[Species]],'Species Table'!$A$1:$D$68,3, FALSE)</f>
        <v>Annual</v>
      </c>
      <c r="O2149" s="15">
        <f>IF(SUMPRODUCT(($A$2:$A2149=A2149)*($B$2:$B2149=B2149)*($F$2:$F2149=F2149))&gt;1,0,1)</f>
        <v>0</v>
      </c>
      <c r="P2149" s="15">
        <f>IF(SUMPRODUCT(($A$2:$A2149=A2149)*($B$2:$B2149=B2149)*($D$2:$D2149=D2149))&gt;1,0,1)</f>
        <v>1</v>
      </c>
    </row>
    <row r="2150" spans="1:16" hidden="1" x14ac:dyDescent="0.35">
      <c r="A2150" t="s">
        <v>138</v>
      </c>
      <c r="B2150">
        <v>2019</v>
      </c>
      <c r="C2150" t="s">
        <v>144</v>
      </c>
      <c r="D2150" s="6" t="s">
        <v>145</v>
      </c>
      <c r="E2150" s="6" t="s">
        <v>145</v>
      </c>
      <c r="F2150" s="1" t="s">
        <v>290</v>
      </c>
      <c r="G2150">
        <v>2</v>
      </c>
      <c r="H2150">
        <v>200</v>
      </c>
      <c r="I2150">
        <v>100</v>
      </c>
      <c r="J2150">
        <f>Table2[[#This Row],[Hits]]/Table2[[#This Row],[Points]]*100</f>
        <v>1</v>
      </c>
      <c r="K2150">
        <f>VLOOKUP(Table2[[#This Row],[Site]],'Site Info'!$A$1:$C$11,2, FALSE)</f>
        <v>11.5</v>
      </c>
      <c r="L2150">
        <f>VLOOKUP(Table2[[#This Row],[Site]],'Site Info'!$A$1:$C$11,3, FALSE)</f>
        <v>11</v>
      </c>
      <c r="M2150" t="e">
        <f>VLOOKUP(Table2[[#This Row],[Species]],'Species Table'!$A$1:$D$68,3, FALSE)</f>
        <v>#N/A</v>
      </c>
      <c r="O2150" s="15">
        <f>IF(SUMPRODUCT(($A$2:$A2150=A2150)*($B$2:$B2150=B2150)*($F$2:$F2150=F2150))&gt;1,0,1)</f>
        <v>0</v>
      </c>
      <c r="P2150" s="15">
        <f>IF(SUMPRODUCT(($A$2:$A2150=A2150)*($B$2:$B2150=B2150)*($D$2:$D2150=D2150))&gt;1,0,1)</f>
        <v>0</v>
      </c>
    </row>
    <row r="2151" spans="1:16" x14ac:dyDescent="0.35">
      <c r="A2151" t="s">
        <v>138</v>
      </c>
      <c r="B2151">
        <v>2019</v>
      </c>
      <c r="C2151" t="s">
        <v>144</v>
      </c>
      <c r="D2151" s="6" t="s">
        <v>145</v>
      </c>
      <c r="E2151" s="6" t="s">
        <v>145</v>
      </c>
      <c r="F2151" s="1" t="s">
        <v>11</v>
      </c>
      <c r="G2151">
        <v>5</v>
      </c>
      <c r="H2151">
        <v>200</v>
      </c>
      <c r="I2151">
        <v>100</v>
      </c>
      <c r="J2151">
        <f>Table2[[#This Row],[Hits]]/Table2[[#This Row],[Points]]*100</f>
        <v>2.5</v>
      </c>
      <c r="K2151">
        <f>VLOOKUP(Table2[[#This Row],[Site]],'Site Info'!$A$1:$C$11,2, FALSE)</f>
        <v>11.5</v>
      </c>
      <c r="L2151">
        <f>VLOOKUP(Table2[[#This Row],[Site]],'Site Info'!$A$1:$C$11,3, FALSE)</f>
        <v>11</v>
      </c>
      <c r="M2151" t="str">
        <f>VLOOKUP(Table2[[#This Row],[Species]],'Species Table'!$A$1:$D$68,3, FALSE)</f>
        <v>Perennial</v>
      </c>
      <c r="O2151" s="15">
        <f>IF(SUMPRODUCT(($A$2:$A2151=A2151)*($B$2:$B2151=B2151)*($F$2:$F2151=F2151))&gt;1,0,1)</f>
        <v>0</v>
      </c>
      <c r="P2151" s="15">
        <f>IF(SUMPRODUCT(($A$2:$A2151=A2151)*($B$2:$B2151=B2151)*($D$2:$D2151=D2151))&gt;1,0,1)</f>
        <v>0</v>
      </c>
    </row>
    <row r="2152" spans="1:16" hidden="1" x14ac:dyDescent="0.35">
      <c r="A2152" t="s">
        <v>138</v>
      </c>
      <c r="B2152">
        <v>2019</v>
      </c>
      <c r="C2152" t="s">
        <v>144</v>
      </c>
      <c r="D2152" s="6" t="s">
        <v>145</v>
      </c>
      <c r="E2152" s="6" t="s">
        <v>145</v>
      </c>
      <c r="F2152" s="1" t="s">
        <v>211</v>
      </c>
      <c r="G2152">
        <v>1</v>
      </c>
      <c r="H2152">
        <v>200</v>
      </c>
      <c r="I2152">
        <v>100</v>
      </c>
      <c r="J2152">
        <f>Table2[[#This Row],[Hits]]/Table2[[#This Row],[Points]]*100</f>
        <v>0.5</v>
      </c>
      <c r="K2152">
        <f>VLOOKUP(Table2[[#This Row],[Site]],'Site Info'!$A$1:$C$11,2, FALSE)</f>
        <v>11.5</v>
      </c>
      <c r="L2152">
        <f>VLOOKUP(Table2[[#This Row],[Site]],'Site Info'!$A$1:$C$11,3, FALSE)</f>
        <v>11</v>
      </c>
      <c r="M2152" t="str">
        <f>VLOOKUP(Table2[[#This Row],[Species]],'Species Table'!$A$1:$D$68,3, FALSE)</f>
        <v>Annual</v>
      </c>
      <c r="O2152" s="15">
        <f>IF(SUMPRODUCT(($A$2:$A2152=A2152)*($B$2:$B2152=B2152)*($F$2:$F2152=F2152))&gt;1,0,1)</f>
        <v>0</v>
      </c>
      <c r="P2152" s="15">
        <f>IF(SUMPRODUCT(($A$2:$A2152=A2152)*($B$2:$B2152=B2152)*($D$2:$D2152=D2152))&gt;1,0,1)</f>
        <v>0</v>
      </c>
    </row>
    <row r="2153" spans="1:16" hidden="1" x14ac:dyDescent="0.35">
      <c r="A2153" t="s">
        <v>138</v>
      </c>
      <c r="B2153">
        <v>2019</v>
      </c>
      <c r="C2153" t="s">
        <v>144</v>
      </c>
      <c r="D2153" s="6" t="s">
        <v>145</v>
      </c>
      <c r="E2153" s="6" t="s">
        <v>145</v>
      </c>
      <c r="F2153" s="1" t="s">
        <v>296</v>
      </c>
      <c r="G2153">
        <v>2</v>
      </c>
      <c r="H2153">
        <v>200</v>
      </c>
      <c r="I2153">
        <v>100</v>
      </c>
      <c r="J2153">
        <f>Table2[[#This Row],[Hits]]/Table2[[#This Row],[Points]]*100</f>
        <v>1</v>
      </c>
      <c r="K2153">
        <f>VLOOKUP(Table2[[#This Row],[Site]],'Site Info'!$A$1:$C$11,2, FALSE)</f>
        <v>11.5</v>
      </c>
      <c r="L2153">
        <f>VLOOKUP(Table2[[#This Row],[Site]],'Site Info'!$A$1:$C$11,3, FALSE)</f>
        <v>11</v>
      </c>
      <c r="M2153" t="e">
        <f>VLOOKUP(Table2[[#This Row],[Species]],'Species Table'!$A$1:$D$68,3, FALSE)</f>
        <v>#N/A</v>
      </c>
      <c r="O2153" s="15">
        <f>IF(SUMPRODUCT(($A$2:$A2153=A2153)*($B$2:$B2153=B2153)*($F$2:$F2153=F2153))&gt;1,0,1)</f>
        <v>0</v>
      </c>
      <c r="P2153" s="15">
        <f>IF(SUMPRODUCT(($A$2:$A2153=A2153)*($B$2:$B2153=B2153)*($D$2:$D2153=D2153))&gt;1,0,1)</f>
        <v>0</v>
      </c>
    </row>
    <row r="2154" spans="1:16" hidden="1" x14ac:dyDescent="0.35">
      <c r="A2154" t="s">
        <v>138</v>
      </c>
      <c r="B2154">
        <v>2019</v>
      </c>
      <c r="C2154" t="s">
        <v>144</v>
      </c>
      <c r="D2154" s="6" t="s">
        <v>145</v>
      </c>
      <c r="E2154" s="6" t="s">
        <v>145</v>
      </c>
      <c r="F2154" s="1" t="s">
        <v>171</v>
      </c>
      <c r="G2154">
        <v>2</v>
      </c>
      <c r="H2154">
        <v>200</v>
      </c>
      <c r="I2154">
        <v>100</v>
      </c>
      <c r="J2154">
        <f>Table2[[#This Row],[Hits]]/Table2[[#This Row],[Points]]*100</f>
        <v>1</v>
      </c>
      <c r="K2154">
        <f>VLOOKUP(Table2[[#This Row],[Site]],'Site Info'!$A$1:$C$11,2, FALSE)</f>
        <v>11.5</v>
      </c>
      <c r="L2154">
        <f>VLOOKUP(Table2[[#This Row],[Site]],'Site Info'!$A$1:$C$11,3, FALSE)</f>
        <v>11</v>
      </c>
      <c r="M2154" t="str">
        <f>VLOOKUP(Table2[[#This Row],[Species]],'Species Table'!$A$1:$D$68,3, FALSE)</f>
        <v>Annual</v>
      </c>
      <c r="O2154" s="15">
        <f>IF(SUMPRODUCT(($A$2:$A2154=A2154)*($B$2:$B2154=B2154)*($F$2:$F2154=F2154))&gt;1,0,1)</f>
        <v>0</v>
      </c>
      <c r="P2154" s="15">
        <f>IF(SUMPRODUCT(($A$2:$A2154=A2154)*($B$2:$B2154=B2154)*($D$2:$D2154=D2154))&gt;1,0,1)</f>
        <v>0</v>
      </c>
    </row>
    <row r="2155" spans="1:16" x14ac:dyDescent="0.35">
      <c r="A2155" t="s">
        <v>138</v>
      </c>
      <c r="B2155">
        <v>2019</v>
      </c>
      <c r="C2155" t="s">
        <v>153</v>
      </c>
      <c r="D2155" s="6" t="s">
        <v>297</v>
      </c>
      <c r="E2155" s="6">
        <v>10</v>
      </c>
      <c r="F2155" s="1" t="s">
        <v>174</v>
      </c>
      <c r="G2155">
        <v>26</v>
      </c>
      <c r="H2155">
        <v>200</v>
      </c>
      <c r="I2155">
        <v>100</v>
      </c>
      <c r="J2155">
        <f>Table2[[#This Row],[Hits]]/Table2[[#This Row],[Points]]*100</f>
        <v>13</v>
      </c>
      <c r="K2155">
        <f>VLOOKUP(Table2[[#This Row],[Site]],'Site Info'!$A$1:$C$11,2, FALSE)</f>
        <v>11.5</v>
      </c>
      <c r="L2155">
        <f>VLOOKUP(Table2[[#This Row],[Site]],'Site Info'!$A$1:$C$11,3, FALSE)</f>
        <v>11</v>
      </c>
      <c r="M2155" t="str">
        <f>VLOOKUP(Table2[[#This Row],[Species]],'Species Table'!$A$1:$D$68,3, FALSE)</f>
        <v>Perennial</v>
      </c>
      <c r="O2155" s="15">
        <f>IF(SUMPRODUCT(($A$2:$A2155=A2155)*($B$2:$B2155=B2155)*($F$2:$F2155=F2155))&gt;1,0,1)</f>
        <v>1</v>
      </c>
      <c r="P2155" s="15">
        <f>IF(SUMPRODUCT(($A$2:$A2155=A2155)*($B$2:$B2155=B2155)*($D$2:$D2155=D2155))&gt;1,0,1)</f>
        <v>1</v>
      </c>
    </row>
    <row r="2156" spans="1:16" hidden="1" x14ac:dyDescent="0.35">
      <c r="A2156" t="s">
        <v>138</v>
      </c>
      <c r="B2156">
        <v>2019</v>
      </c>
      <c r="C2156" t="s">
        <v>153</v>
      </c>
      <c r="D2156" s="6" t="s">
        <v>297</v>
      </c>
      <c r="E2156" s="6">
        <v>10</v>
      </c>
      <c r="F2156" s="1" t="s">
        <v>298</v>
      </c>
      <c r="G2156">
        <v>11</v>
      </c>
      <c r="H2156">
        <v>200</v>
      </c>
      <c r="I2156">
        <v>100</v>
      </c>
      <c r="J2156">
        <f>Table2[[#This Row],[Hits]]/Table2[[#This Row],[Points]]*100</f>
        <v>5.5</v>
      </c>
      <c r="K2156">
        <f>VLOOKUP(Table2[[#This Row],[Site]],'Site Info'!$A$1:$C$11,2, FALSE)</f>
        <v>11.5</v>
      </c>
      <c r="L2156">
        <f>VLOOKUP(Table2[[#This Row],[Site]],'Site Info'!$A$1:$C$11,3, FALSE)</f>
        <v>11</v>
      </c>
      <c r="M2156" t="e">
        <f>VLOOKUP(Table2[[#This Row],[Species]],'Species Table'!$A$1:$D$68,3, FALSE)</f>
        <v>#N/A</v>
      </c>
      <c r="O2156" s="15">
        <f>IF(SUMPRODUCT(($A$2:$A2156=A2156)*($B$2:$B2156=B2156)*($F$2:$F2156=F2156))&gt;1,0,1)</f>
        <v>1</v>
      </c>
      <c r="P2156" s="15">
        <f>IF(SUMPRODUCT(($A$2:$A2156=A2156)*($B$2:$B2156=B2156)*($D$2:$D2156=D2156))&gt;1,0,1)</f>
        <v>0</v>
      </c>
    </row>
    <row r="2157" spans="1:16" x14ac:dyDescent="0.35">
      <c r="A2157" t="s">
        <v>138</v>
      </c>
      <c r="B2157">
        <v>2019</v>
      </c>
      <c r="C2157" t="s">
        <v>153</v>
      </c>
      <c r="D2157" s="6" t="s">
        <v>297</v>
      </c>
      <c r="E2157" s="6">
        <v>10</v>
      </c>
      <c r="F2157" s="1" t="s">
        <v>206</v>
      </c>
      <c r="G2157">
        <v>32</v>
      </c>
      <c r="H2157">
        <v>200</v>
      </c>
      <c r="I2157">
        <v>100</v>
      </c>
      <c r="J2157">
        <f>Table2[[#This Row],[Hits]]/Table2[[#This Row],[Points]]*100</f>
        <v>16</v>
      </c>
      <c r="K2157">
        <f>VLOOKUP(Table2[[#This Row],[Site]],'Site Info'!$A$1:$C$11,2, FALSE)</f>
        <v>11.5</v>
      </c>
      <c r="L2157">
        <f>VLOOKUP(Table2[[#This Row],[Site]],'Site Info'!$A$1:$C$11,3, FALSE)</f>
        <v>11</v>
      </c>
      <c r="M2157" t="str">
        <f>VLOOKUP(Table2[[#This Row],[Species]],'Species Table'!$A$1:$D$68,3, FALSE)</f>
        <v>Perennial</v>
      </c>
      <c r="O2157" s="15">
        <f>IF(SUMPRODUCT(($A$2:$A2157=A2157)*($B$2:$B2157=B2157)*($F$2:$F2157=F2157))&gt;1,0,1)</f>
        <v>1</v>
      </c>
      <c r="P2157" s="15">
        <f>IF(SUMPRODUCT(($A$2:$A2157=A2157)*($B$2:$B2157=B2157)*($D$2:$D2157=D2157))&gt;1,0,1)</f>
        <v>0</v>
      </c>
    </row>
    <row r="2158" spans="1:16" hidden="1" x14ac:dyDescent="0.35">
      <c r="A2158" t="s">
        <v>138</v>
      </c>
      <c r="B2158">
        <v>2019</v>
      </c>
      <c r="C2158" t="s">
        <v>153</v>
      </c>
      <c r="D2158" s="6" t="s">
        <v>297</v>
      </c>
      <c r="E2158" s="6">
        <v>10</v>
      </c>
      <c r="F2158" s="1" t="s">
        <v>199</v>
      </c>
      <c r="G2158">
        <v>1</v>
      </c>
      <c r="H2158">
        <v>200</v>
      </c>
      <c r="I2158">
        <v>100</v>
      </c>
      <c r="J2158">
        <f>Table2[[#This Row],[Hits]]/Table2[[#This Row],[Points]]*100</f>
        <v>0.5</v>
      </c>
      <c r="K2158">
        <f>VLOOKUP(Table2[[#This Row],[Site]],'Site Info'!$A$1:$C$11,2, FALSE)</f>
        <v>11.5</v>
      </c>
      <c r="L2158">
        <f>VLOOKUP(Table2[[#This Row],[Site]],'Site Info'!$A$1:$C$11,3, FALSE)</f>
        <v>11</v>
      </c>
      <c r="M2158" t="str">
        <f>VLOOKUP(Table2[[#This Row],[Species]],'Species Table'!$A$1:$D$68,3, FALSE)</f>
        <v>Annual/Biennial</v>
      </c>
      <c r="O2158" s="15">
        <f>IF(SUMPRODUCT(($A$2:$A2158=A2158)*($B$2:$B2158=B2158)*($F$2:$F2158=F2158))&gt;1,0,1)</f>
        <v>0</v>
      </c>
      <c r="P2158" s="15">
        <f>IF(SUMPRODUCT(($A$2:$A2158=A2158)*($B$2:$B2158=B2158)*($D$2:$D2158=D2158))&gt;1,0,1)</f>
        <v>0</v>
      </c>
    </row>
    <row r="2159" spans="1:16" hidden="1" x14ac:dyDescent="0.35">
      <c r="A2159" t="s">
        <v>138</v>
      </c>
      <c r="B2159">
        <v>2019</v>
      </c>
      <c r="C2159" t="s">
        <v>153</v>
      </c>
      <c r="D2159" s="6" t="s">
        <v>297</v>
      </c>
      <c r="E2159" s="6">
        <v>10</v>
      </c>
      <c r="F2159" s="1" t="s">
        <v>299</v>
      </c>
      <c r="G2159">
        <v>1</v>
      </c>
      <c r="H2159">
        <v>200</v>
      </c>
      <c r="I2159">
        <v>100</v>
      </c>
      <c r="J2159">
        <f>Table2[[#This Row],[Hits]]/Table2[[#This Row],[Points]]*100</f>
        <v>0.5</v>
      </c>
      <c r="K2159">
        <f>VLOOKUP(Table2[[#This Row],[Site]],'Site Info'!$A$1:$C$11,2, FALSE)</f>
        <v>11.5</v>
      </c>
      <c r="L2159">
        <f>VLOOKUP(Table2[[#This Row],[Site]],'Site Info'!$A$1:$C$11,3, FALSE)</f>
        <v>11</v>
      </c>
      <c r="M2159" t="e">
        <f>VLOOKUP(Table2[[#This Row],[Species]],'Species Table'!$A$1:$D$68,3, FALSE)</f>
        <v>#N/A</v>
      </c>
      <c r="O2159" s="15">
        <f>IF(SUMPRODUCT(($A$2:$A2159=A2159)*($B$2:$B2159=B2159)*($F$2:$F2159=F2159))&gt;1,0,1)</f>
        <v>1</v>
      </c>
      <c r="P2159" s="15">
        <f>IF(SUMPRODUCT(($A$2:$A2159=A2159)*($B$2:$B2159=B2159)*($D$2:$D2159=D2159))&gt;1,0,1)</f>
        <v>0</v>
      </c>
    </row>
    <row r="2160" spans="1:16" hidden="1" x14ac:dyDescent="0.35">
      <c r="A2160" t="s">
        <v>138</v>
      </c>
      <c r="B2160">
        <v>2019</v>
      </c>
      <c r="C2160" t="s">
        <v>153</v>
      </c>
      <c r="D2160" s="6" t="s">
        <v>297</v>
      </c>
      <c r="E2160" s="6">
        <v>10</v>
      </c>
      <c r="F2160" s="1" t="s">
        <v>300</v>
      </c>
      <c r="G2160">
        <v>4</v>
      </c>
      <c r="H2160">
        <v>200</v>
      </c>
      <c r="I2160">
        <v>100</v>
      </c>
      <c r="J2160">
        <f>Table2[[#This Row],[Hits]]/Table2[[#This Row],[Points]]*100</f>
        <v>2</v>
      </c>
      <c r="K2160">
        <f>VLOOKUP(Table2[[#This Row],[Site]],'Site Info'!$A$1:$C$11,2, FALSE)</f>
        <v>11.5</v>
      </c>
      <c r="L2160">
        <f>VLOOKUP(Table2[[#This Row],[Site]],'Site Info'!$A$1:$C$11,3, FALSE)</f>
        <v>11</v>
      </c>
      <c r="M2160" t="e">
        <f>VLOOKUP(Table2[[#This Row],[Species]],'Species Table'!$A$1:$D$68,3, FALSE)</f>
        <v>#N/A</v>
      </c>
      <c r="O2160" s="15">
        <f>IF(SUMPRODUCT(($A$2:$A2160=A2160)*($B$2:$B2160=B2160)*($F$2:$F2160=F2160))&gt;1,0,1)</f>
        <v>1</v>
      </c>
      <c r="P2160" s="15">
        <f>IF(SUMPRODUCT(($A$2:$A2160=A2160)*($B$2:$B2160=B2160)*($D$2:$D2160=D2160))&gt;1,0,1)</f>
        <v>0</v>
      </c>
    </row>
    <row r="2161" spans="1:16" hidden="1" x14ac:dyDescent="0.35">
      <c r="A2161" t="s">
        <v>138</v>
      </c>
      <c r="B2161">
        <v>2019</v>
      </c>
      <c r="C2161" t="s">
        <v>153</v>
      </c>
      <c r="D2161" s="6" t="s">
        <v>297</v>
      </c>
      <c r="E2161" s="6">
        <v>10</v>
      </c>
      <c r="F2161" s="1" t="s">
        <v>296</v>
      </c>
      <c r="G2161">
        <v>33</v>
      </c>
      <c r="H2161">
        <v>200</v>
      </c>
      <c r="I2161">
        <v>100</v>
      </c>
      <c r="J2161">
        <f>Table2[[#This Row],[Hits]]/Table2[[#This Row],[Points]]*100</f>
        <v>16.5</v>
      </c>
      <c r="K2161">
        <f>VLOOKUP(Table2[[#This Row],[Site]],'Site Info'!$A$1:$C$11,2, FALSE)</f>
        <v>11.5</v>
      </c>
      <c r="L2161">
        <f>VLOOKUP(Table2[[#This Row],[Site]],'Site Info'!$A$1:$C$11,3, FALSE)</f>
        <v>11</v>
      </c>
      <c r="M2161" t="e">
        <f>VLOOKUP(Table2[[#This Row],[Species]],'Species Table'!$A$1:$D$68,3, FALSE)</f>
        <v>#N/A</v>
      </c>
      <c r="O2161" s="15">
        <f>IF(SUMPRODUCT(($A$2:$A2161=A2161)*($B$2:$B2161=B2161)*($F$2:$F2161=F2161))&gt;1,0,1)</f>
        <v>0</v>
      </c>
      <c r="P2161" s="15">
        <f>IF(SUMPRODUCT(($A$2:$A2161=A2161)*($B$2:$B2161=B2161)*($D$2:$D2161=D2161))&gt;1,0,1)</f>
        <v>0</v>
      </c>
    </row>
    <row r="2162" spans="1:16" x14ac:dyDescent="0.35">
      <c r="A2162" t="s">
        <v>138</v>
      </c>
      <c r="B2162">
        <v>2019</v>
      </c>
      <c r="C2162" t="s">
        <v>153</v>
      </c>
      <c r="D2162" s="6" t="s">
        <v>297</v>
      </c>
      <c r="E2162" s="6">
        <v>10</v>
      </c>
      <c r="F2162" s="1" t="s">
        <v>173</v>
      </c>
      <c r="G2162">
        <v>18</v>
      </c>
      <c r="H2162">
        <v>200</v>
      </c>
      <c r="I2162">
        <v>100</v>
      </c>
      <c r="J2162">
        <f>Table2[[#This Row],[Hits]]/Table2[[#This Row],[Points]]*100</f>
        <v>9</v>
      </c>
      <c r="K2162">
        <f>VLOOKUP(Table2[[#This Row],[Site]],'Site Info'!$A$1:$C$11,2, FALSE)</f>
        <v>11.5</v>
      </c>
      <c r="L2162">
        <f>VLOOKUP(Table2[[#This Row],[Site]],'Site Info'!$A$1:$C$11,3, FALSE)</f>
        <v>11</v>
      </c>
      <c r="M2162" t="str">
        <f>VLOOKUP(Table2[[#This Row],[Species]],'Species Table'!$A$1:$D$68,3, FALSE)</f>
        <v>Perennial</v>
      </c>
      <c r="O2162" s="15">
        <f>IF(SUMPRODUCT(($A$2:$A2162=A2162)*($B$2:$B2162=B2162)*($F$2:$F2162=F2162))&gt;1,0,1)</f>
        <v>1</v>
      </c>
      <c r="P2162" s="15">
        <f>IF(SUMPRODUCT(($A$2:$A2162=A2162)*($B$2:$B2162=B2162)*($D$2:$D2162=D2162))&gt;1,0,1)</f>
        <v>0</v>
      </c>
    </row>
    <row r="2163" spans="1:16" x14ac:dyDescent="0.35">
      <c r="A2163" t="s">
        <v>138</v>
      </c>
      <c r="B2163">
        <v>2019</v>
      </c>
      <c r="C2163" t="s">
        <v>153</v>
      </c>
      <c r="D2163" s="6" t="s">
        <v>297</v>
      </c>
      <c r="E2163" s="6">
        <v>10</v>
      </c>
      <c r="F2163" s="1" t="s">
        <v>198</v>
      </c>
      <c r="G2163">
        <v>6</v>
      </c>
      <c r="H2163">
        <v>200</v>
      </c>
      <c r="I2163">
        <v>100</v>
      </c>
      <c r="J2163">
        <f>Table2[[#This Row],[Hits]]/Table2[[#This Row],[Points]]*100</f>
        <v>3</v>
      </c>
      <c r="K2163">
        <f>VLOOKUP(Table2[[#This Row],[Site]],'Site Info'!$A$1:$C$11,2, FALSE)</f>
        <v>11.5</v>
      </c>
      <c r="L2163">
        <f>VLOOKUP(Table2[[#This Row],[Site]],'Site Info'!$A$1:$C$11,3, FALSE)</f>
        <v>11</v>
      </c>
      <c r="M2163" t="str">
        <f>VLOOKUP(Table2[[#This Row],[Species]],'Species Table'!$A$1:$D$68,3, FALSE)</f>
        <v>Perennial</v>
      </c>
      <c r="O2163" s="15">
        <f>IF(SUMPRODUCT(($A$2:$A2163=A2163)*($B$2:$B2163=B2163)*($F$2:$F2163=F2163))&gt;1,0,1)</f>
        <v>1</v>
      </c>
      <c r="P2163" s="15">
        <f>IF(SUMPRODUCT(($A$2:$A2163=A2163)*($B$2:$B2163=B2163)*($D$2:$D2163=D2163))&gt;1,0,1)</f>
        <v>0</v>
      </c>
    </row>
    <row r="2164" spans="1:16" hidden="1" x14ac:dyDescent="0.35">
      <c r="A2164" t="s">
        <v>138</v>
      </c>
      <c r="B2164">
        <v>2019</v>
      </c>
      <c r="C2164" t="s">
        <v>153</v>
      </c>
      <c r="D2164" s="6" t="s">
        <v>297</v>
      </c>
      <c r="E2164" s="6">
        <v>10</v>
      </c>
      <c r="F2164" s="1" t="s">
        <v>191</v>
      </c>
      <c r="G2164">
        <v>3</v>
      </c>
      <c r="H2164">
        <v>200</v>
      </c>
      <c r="I2164">
        <v>100</v>
      </c>
      <c r="J2164">
        <f>Table2[[#This Row],[Hits]]/Table2[[#This Row],[Points]]*100</f>
        <v>1.5</v>
      </c>
      <c r="K2164">
        <f>VLOOKUP(Table2[[#This Row],[Site]],'Site Info'!$A$1:$C$11,2, FALSE)</f>
        <v>11.5</v>
      </c>
      <c r="L2164">
        <f>VLOOKUP(Table2[[#This Row],[Site]],'Site Info'!$A$1:$C$11,3, FALSE)</f>
        <v>11</v>
      </c>
      <c r="M2164" t="str">
        <f>VLOOKUP(Table2[[#This Row],[Species]],'Species Table'!$A$1:$D$68,3, FALSE)</f>
        <v>Annual/Biennial</v>
      </c>
      <c r="O2164" s="15">
        <f>IF(SUMPRODUCT(($A$2:$A2164=A2164)*($B$2:$B2164=B2164)*($F$2:$F2164=F2164))&gt;1,0,1)</f>
        <v>1</v>
      </c>
      <c r="P2164" s="15">
        <f>IF(SUMPRODUCT(($A$2:$A2164=A2164)*($B$2:$B2164=B2164)*($D$2:$D2164=D2164))&gt;1,0,1)</f>
        <v>0</v>
      </c>
    </row>
    <row r="2165" spans="1:16" hidden="1" x14ac:dyDescent="0.35">
      <c r="A2165" t="s">
        <v>138</v>
      </c>
      <c r="B2165">
        <v>2019</v>
      </c>
      <c r="C2165" t="s">
        <v>153</v>
      </c>
      <c r="D2165" s="6" t="s">
        <v>297</v>
      </c>
      <c r="E2165" s="6">
        <v>10</v>
      </c>
      <c r="F2165" s="1" t="s">
        <v>197</v>
      </c>
      <c r="G2165">
        <v>2</v>
      </c>
      <c r="H2165">
        <v>200</v>
      </c>
      <c r="I2165">
        <v>100</v>
      </c>
      <c r="J2165">
        <f>Table2[[#This Row],[Hits]]/Table2[[#This Row],[Points]]*100</f>
        <v>1</v>
      </c>
      <c r="K2165">
        <f>VLOOKUP(Table2[[#This Row],[Site]],'Site Info'!$A$1:$C$11,2, FALSE)</f>
        <v>11.5</v>
      </c>
      <c r="L2165">
        <f>VLOOKUP(Table2[[#This Row],[Site]],'Site Info'!$A$1:$C$11,3, FALSE)</f>
        <v>11</v>
      </c>
      <c r="M2165" t="str">
        <f>VLOOKUP(Table2[[#This Row],[Species]],'Species Table'!$A$1:$D$68,3, FALSE)</f>
        <v>Annual</v>
      </c>
      <c r="O2165" s="15">
        <f>IF(SUMPRODUCT(($A$2:$A2165=A2165)*($B$2:$B2165=B2165)*($F$2:$F2165=F2165))&gt;1,0,1)</f>
        <v>1</v>
      </c>
      <c r="P2165" s="15">
        <f>IF(SUMPRODUCT(($A$2:$A2165=A2165)*($B$2:$B2165=B2165)*($D$2:$D2165=D2165))&gt;1,0,1)</f>
        <v>0</v>
      </c>
    </row>
    <row r="2166" spans="1:16" hidden="1" x14ac:dyDescent="0.35">
      <c r="A2166" t="s">
        <v>138</v>
      </c>
      <c r="B2166">
        <v>2019</v>
      </c>
      <c r="C2166" t="s">
        <v>153</v>
      </c>
      <c r="D2166" s="6" t="s">
        <v>297</v>
      </c>
      <c r="E2166" s="6">
        <v>10</v>
      </c>
      <c r="F2166" s="1" t="s">
        <v>301</v>
      </c>
      <c r="G2166">
        <v>12</v>
      </c>
      <c r="H2166">
        <v>200</v>
      </c>
      <c r="I2166">
        <v>100</v>
      </c>
      <c r="J2166">
        <f>Table2[[#This Row],[Hits]]/Table2[[#This Row],[Points]]*100</f>
        <v>6</v>
      </c>
      <c r="K2166">
        <f>VLOOKUP(Table2[[#This Row],[Site]],'Site Info'!$A$1:$C$11,2, FALSE)</f>
        <v>11.5</v>
      </c>
      <c r="L2166">
        <f>VLOOKUP(Table2[[#This Row],[Site]],'Site Info'!$A$1:$C$11,3, FALSE)</f>
        <v>11</v>
      </c>
      <c r="M2166" t="e">
        <f>VLOOKUP(Table2[[#This Row],[Species]],'Species Table'!$A$1:$D$68,3, FALSE)</f>
        <v>#N/A</v>
      </c>
      <c r="O2166" s="15">
        <f>IF(SUMPRODUCT(($A$2:$A2166=A2166)*($B$2:$B2166=B2166)*($F$2:$F2166=F2166))&gt;1,0,1)</f>
        <v>1</v>
      </c>
      <c r="P2166" s="15">
        <f>IF(SUMPRODUCT(($A$2:$A2166=A2166)*($B$2:$B2166=B2166)*($D$2:$D2166=D2166))&gt;1,0,1)</f>
        <v>0</v>
      </c>
    </row>
    <row r="2167" spans="1:16" x14ac:dyDescent="0.35">
      <c r="A2167" t="s">
        <v>138</v>
      </c>
      <c r="B2167">
        <v>2019</v>
      </c>
      <c r="C2167" t="s">
        <v>153</v>
      </c>
      <c r="D2167" s="6" t="s">
        <v>297</v>
      </c>
      <c r="E2167" s="6">
        <v>10</v>
      </c>
      <c r="F2167" s="1" t="s">
        <v>11</v>
      </c>
      <c r="G2167">
        <v>1</v>
      </c>
      <c r="H2167">
        <v>200</v>
      </c>
      <c r="I2167">
        <v>100</v>
      </c>
      <c r="J2167">
        <f>Table2[[#This Row],[Hits]]/Table2[[#This Row],[Points]]*100</f>
        <v>0.5</v>
      </c>
      <c r="K2167">
        <f>VLOOKUP(Table2[[#This Row],[Site]],'Site Info'!$A$1:$C$11,2, FALSE)</f>
        <v>11.5</v>
      </c>
      <c r="L2167">
        <f>VLOOKUP(Table2[[#This Row],[Site]],'Site Info'!$A$1:$C$11,3, FALSE)</f>
        <v>11</v>
      </c>
      <c r="M2167" t="str">
        <f>VLOOKUP(Table2[[#This Row],[Species]],'Species Table'!$A$1:$D$68,3, FALSE)</f>
        <v>Perennial</v>
      </c>
      <c r="O2167" s="15">
        <f>IF(SUMPRODUCT(($A$2:$A2167=A2167)*($B$2:$B2167=B2167)*($F$2:$F2167=F2167))&gt;1,0,1)</f>
        <v>0</v>
      </c>
      <c r="P2167" s="15">
        <f>IF(SUMPRODUCT(($A$2:$A2167=A2167)*($B$2:$B2167=B2167)*($D$2:$D2167=D2167))&gt;1,0,1)</f>
        <v>0</v>
      </c>
    </row>
    <row r="2168" spans="1:16" x14ac:dyDescent="0.35">
      <c r="A2168" t="s">
        <v>138</v>
      </c>
      <c r="B2168">
        <v>2019</v>
      </c>
      <c r="C2168" t="s">
        <v>153</v>
      </c>
      <c r="D2168" s="6" t="s">
        <v>302</v>
      </c>
      <c r="E2168" s="6">
        <v>10</v>
      </c>
      <c r="F2168" s="1" t="s">
        <v>173</v>
      </c>
      <c r="G2168">
        <v>79</v>
      </c>
      <c r="H2168">
        <v>200</v>
      </c>
      <c r="I2168">
        <v>100</v>
      </c>
      <c r="J2168">
        <f>Table2[[#This Row],[Hits]]/Table2[[#This Row],[Points]]*100</f>
        <v>39.5</v>
      </c>
      <c r="K2168">
        <f>VLOOKUP(Table2[[#This Row],[Site]],'Site Info'!$A$1:$C$11,2, FALSE)</f>
        <v>11.5</v>
      </c>
      <c r="L2168">
        <f>VLOOKUP(Table2[[#This Row],[Site]],'Site Info'!$A$1:$C$11,3, FALSE)</f>
        <v>11</v>
      </c>
      <c r="M2168" t="str">
        <f>VLOOKUP(Table2[[#This Row],[Species]],'Species Table'!$A$1:$D$68,3, FALSE)</f>
        <v>Perennial</v>
      </c>
      <c r="O2168" s="15">
        <f>IF(SUMPRODUCT(($A$2:$A2168=A2168)*($B$2:$B2168=B2168)*($F$2:$F2168=F2168))&gt;1,0,1)</f>
        <v>0</v>
      </c>
      <c r="P2168" s="15">
        <f>IF(SUMPRODUCT(($A$2:$A2168=A2168)*($B$2:$B2168=B2168)*($D$2:$D2168=D2168))&gt;1,0,1)</f>
        <v>1</v>
      </c>
    </row>
    <row r="2169" spans="1:16" x14ac:dyDescent="0.35">
      <c r="A2169" t="s">
        <v>138</v>
      </c>
      <c r="B2169">
        <v>2019</v>
      </c>
      <c r="C2169" t="s">
        <v>153</v>
      </c>
      <c r="D2169" s="6" t="s">
        <v>302</v>
      </c>
      <c r="E2169" s="6">
        <v>10</v>
      </c>
      <c r="F2169" s="1" t="s">
        <v>206</v>
      </c>
      <c r="G2169">
        <v>25</v>
      </c>
      <c r="H2169">
        <v>200</v>
      </c>
      <c r="I2169">
        <v>100</v>
      </c>
      <c r="J2169">
        <f>Table2[[#This Row],[Hits]]/Table2[[#This Row],[Points]]*100</f>
        <v>12.5</v>
      </c>
      <c r="K2169">
        <f>VLOOKUP(Table2[[#This Row],[Site]],'Site Info'!$A$1:$C$11,2, FALSE)</f>
        <v>11.5</v>
      </c>
      <c r="L2169">
        <f>VLOOKUP(Table2[[#This Row],[Site]],'Site Info'!$A$1:$C$11,3, FALSE)</f>
        <v>11</v>
      </c>
      <c r="M2169" t="str">
        <f>VLOOKUP(Table2[[#This Row],[Species]],'Species Table'!$A$1:$D$68,3, FALSE)</f>
        <v>Perennial</v>
      </c>
      <c r="O2169" s="15">
        <f>IF(SUMPRODUCT(($A$2:$A2169=A2169)*($B$2:$B2169=B2169)*($F$2:$F2169=F2169))&gt;1,0,1)</f>
        <v>0</v>
      </c>
      <c r="P2169" s="15">
        <f>IF(SUMPRODUCT(($A$2:$A2169=A2169)*($B$2:$B2169=B2169)*($D$2:$D2169=D2169))&gt;1,0,1)</f>
        <v>0</v>
      </c>
    </row>
    <row r="2170" spans="1:16" x14ac:dyDescent="0.35">
      <c r="A2170" t="s">
        <v>138</v>
      </c>
      <c r="B2170">
        <v>2019</v>
      </c>
      <c r="C2170" t="s">
        <v>153</v>
      </c>
      <c r="D2170" s="6" t="s">
        <v>302</v>
      </c>
      <c r="E2170" s="6">
        <v>10</v>
      </c>
      <c r="F2170" s="1" t="s">
        <v>174</v>
      </c>
      <c r="G2170">
        <v>22</v>
      </c>
      <c r="H2170">
        <v>200</v>
      </c>
      <c r="I2170">
        <v>100</v>
      </c>
      <c r="J2170">
        <f>Table2[[#This Row],[Hits]]/Table2[[#This Row],[Points]]*100</f>
        <v>11</v>
      </c>
      <c r="K2170">
        <f>VLOOKUP(Table2[[#This Row],[Site]],'Site Info'!$A$1:$C$11,2, FALSE)</f>
        <v>11.5</v>
      </c>
      <c r="L2170">
        <f>VLOOKUP(Table2[[#This Row],[Site]],'Site Info'!$A$1:$C$11,3, FALSE)</f>
        <v>11</v>
      </c>
      <c r="M2170" t="str">
        <f>VLOOKUP(Table2[[#This Row],[Species]],'Species Table'!$A$1:$D$68,3, FALSE)</f>
        <v>Perennial</v>
      </c>
      <c r="O2170" s="15">
        <f>IF(SUMPRODUCT(($A$2:$A2170=A2170)*($B$2:$B2170=B2170)*($F$2:$F2170=F2170))&gt;1,0,1)</f>
        <v>0</v>
      </c>
      <c r="P2170" s="15">
        <f>IF(SUMPRODUCT(($A$2:$A2170=A2170)*($B$2:$B2170=B2170)*($D$2:$D2170=D2170))&gt;1,0,1)</f>
        <v>0</v>
      </c>
    </row>
    <row r="2171" spans="1:16" x14ac:dyDescent="0.35">
      <c r="A2171" t="s">
        <v>138</v>
      </c>
      <c r="B2171">
        <v>2019</v>
      </c>
      <c r="C2171" t="s">
        <v>153</v>
      </c>
      <c r="D2171" s="6" t="s">
        <v>302</v>
      </c>
      <c r="E2171" s="6">
        <v>10</v>
      </c>
      <c r="F2171" s="1" t="s">
        <v>11</v>
      </c>
      <c r="G2171">
        <v>9</v>
      </c>
      <c r="H2171">
        <v>200</v>
      </c>
      <c r="I2171">
        <v>100</v>
      </c>
      <c r="J2171">
        <f>Table2[[#This Row],[Hits]]/Table2[[#This Row],[Points]]*100</f>
        <v>4.5</v>
      </c>
      <c r="K2171">
        <f>VLOOKUP(Table2[[#This Row],[Site]],'Site Info'!$A$1:$C$11,2, FALSE)</f>
        <v>11.5</v>
      </c>
      <c r="L2171">
        <f>VLOOKUP(Table2[[#This Row],[Site]],'Site Info'!$A$1:$C$11,3, FALSE)</f>
        <v>11</v>
      </c>
      <c r="M2171" t="str">
        <f>VLOOKUP(Table2[[#This Row],[Species]],'Species Table'!$A$1:$D$68,3, FALSE)</f>
        <v>Perennial</v>
      </c>
      <c r="O2171" s="15">
        <f>IF(SUMPRODUCT(($A$2:$A2171=A2171)*($B$2:$B2171=B2171)*($F$2:$F2171=F2171))&gt;1,0,1)</f>
        <v>0</v>
      </c>
      <c r="P2171" s="15">
        <f>IF(SUMPRODUCT(($A$2:$A2171=A2171)*($B$2:$B2171=B2171)*($D$2:$D2171=D2171))&gt;1,0,1)</f>
        <v>0</v>
      </c>
    </row>
    <row r="2172" spans="1:16" x14ac:dyDescent="0.35">
      <c r="A2172" t="s">
        <v>138</v>
      </c>
      <c r="B2172">
        <v>2019</v>
      </c>
      <c r="C2172" t="s">
        <v>153</v>
      </c>
      <c r="D2172" s="6" t="s">
        <v>302</v>
      </c>
      <c r="E2172" s="6">
        <v>10</v>
      </c>
      <c r="F2172" s="1" t="s">
        <v>207</v>
      </c>
      <c r="G2172">
        <v>6</v>
      </c>
      <c r="H2172">
        <v>200</v>
      </c>
      <c r="I2172">
        <v>100</v>
      </c>
      <c r="J2172">
        <f>Table2[[#This Row],[Hits]]/Table2[[#This Row],[Points]]*100</f>
        <v>3</v>
      </c>
      <c r="K2172">
        <f>VLOOKUP(Table2[[#This Row],[Site]],'Site Info'!$A$1:$C$11,2, FALSE)</f>
        <v>11.5</v>
      </c>
      <c r="L2172">
        <f>VLOOKUP(Table2[[#This Row],[Site]],'Site Info'!$A$1:$C$11,3, FALSE)</f>
        <v>11</v>
      </c>
      <c r="M2172" t="str">
        <f>VLOOKUP(Table2[[#This Row],[Species]],'Species Table'!$A$1:$D$68,3, FALSE)</f>
        <v>Perennial</v>
      </c>
      <c r="O2172" s="15">
        <f>IF(SUMPRODUCT(($A$2:$A2172=A2172)*($B$2:$B2172=B2172)*($F$2:$F2172=F2172))&gt;1,0,1)</f>
        <v>1</v>
      </c>
      <c r="P2172" s="15">
        <f>IF(SUMPRODUCT(($A$2:$A2172=A2172)*($B$2:$B2172=B2172)*($D$2:$D2172=D2172))&gt;1,0,1)</f>
        <v>0</v>
      </c>
    </row>
    <row r="2173" spans="1:16" hidden="1" x14ac:dyDescent="0.35">
      <c r="A2173" t="s">
        <v>138</v>
      </c>
      <c r="B2173">
        <v>2019</v>
      </c>
      <c r="C2173" t="s">
        <v>153</v>
      </c>
      <c r="D2173" s="6" t="s">
        <v>302</v>
      </c>
      <c r="E2173" s="6">
        <v>10</v>
      </c>
      <c r="F2173" s="1" t="s">
        <v>20</v>
      </c>
      <c r="G2173">
        <v>1</v>
      </c>
      <c r="H2173">
        <v>200</v>
      </c>
      <c r="I2173">
        <v>100</v>
      </c>
      <c r="J2173">
        <f>Table2[[#This Row],[Hits]]/Table2[[#This Row],[Points]]*100</f>
        <v>0.5</v>
      </c>
      <c r="K2173">
        <f>VLOOKUP(Table2[[#This Row],[Site]],'Site Info'!$A$1:$C$11,2, FALSE)</f>
        <v>11.5</v>
      </c>
      <c r="L2173">
        <f>VLOOKUP(Table2[[#This Row],[Site]],'Site Info'!$A$1:$C$11,3, FALSE)</f>
        <v>11</v>
      </c>
      <c r="M2173" t="str">
        <f>VLOOKUP(Table2[[#This Row],[Species]],'Species Table'!$A$1:$D$68,3, FALSE)</f>
        <v>Annual</v>
      </c>
      <c r="O2173" s="15">
        <f>IF(SUMPRODUCT(($A$2:$A2173=A2173)*($B$2:$B2173=B2173)*($F$2:$F2173=F2173))&gt;1,0,1)</f>
        <v>1</v>
      </c>
      <c r="P2173" s="15">
        <f>IF(SUMPRODUCT(($A$2:$A2173=A2173)*($B$2:$B2173=B2173)*($D$2:$D2173=D2173))&gt;1,0,1)</f>
        <v>0</v>
      </c>
    </row>
    <row r="2174" spans="1:16" hidden="1" x14ac:dyDescent="0.35">
      <c r="A2174" t="s">
        <v>138</v>
      </c>
      <c r="B2174">
        <v>2019</v>
      </c>
      <c r="C2174" t="s">
        <v>153</v>
      </c>
      <c r="D2174" s="6" t="s">
        <v>302</v>
      </c>
      <c r="E2174" s="6">
        <v>10</v>
      </c>
      <c r="F2174" s="1" t="s">
        <v>303</v>
      </c>
      <c r="G2174">
        <v>1</v>
      </c>
      <c r="H2174">
        <v>200</v>
      </c>
      <c r="I2174">
        <v>100</v>
      </c>
      <c r="J2174">
        <f>Table2[[#This Row],[Hits]]/Table2[[#This Row],[Points]]*100</f>
        <v>0.5</v>
      </c>
      <c r="K2174">
        <f>VLOOKUP(Table2[[#This Row],[Site]],'Site Info'!$A$1:$C$11,2, FALSE)</f>
        <v>11.5</v>
      </c>
      <c r="L2174">
        <f>VLOOKUP(Table2[[#This Row],[Site]],'Site Info'!$A$1:$C$11,3, FALSE)</f>
        <v>11</v>
      </c>
      <c r="M2174" t="e">
        <f>VLOOKUP(Table2[[#This Row],[Species]],'Species Table'!$A$1:$D$68,3, FALSE)</f>
        <v>#N/A</v>
      </c>
      <c r="O2174" s="15">
        <f>IF(SUMPRODUCT(($A$2:$A2174=A2174)*($B$2:$B2174=B2174)*($F$2:$F2174=F2174))&gt;1,0,1)</f>
        <v>1</v>
      </c>
      <c r="P2174" s="15">
        <f>IF(SUMPRODUCT(($A$2:$A2174=A2174)*($B$2:$B2174=B2174)*($D$2:$D2174=D2174))&gt;1,0,1)</f>
        <v>0</v>
      </c>
    </row>
    <row r="2175" spans="1:16" hidden="1" x14ac:dyDescent="0.35">
      <c r="A2175" t="s">
        <v>138</v>
      </c>
      <c r="B2175">
        <v>2019</v>
      </c>
      <c r="C2175" t="s">
        <v>153</v>
      </c>
      <c r="D2175" s="6" t="s">
        <v>302</v>
      </c>
      <c r="E2175" s="6">
        <v>10</v>
      </c>
      <c r="F2175" s="1" t="s">
        <v>296</v>
      </c>
      <c r="G2175">
        <v>14</v>
      </c>
      <c r="H2175">
        <v>200</v>
      </c>
      <c r="I2175">
        <v>100</v>
      </c>
      <c r="J2175">
        <f>Table2[[#This Row],[Hits]]/Table2[[#This Row],[Points]]*100</f>
        <v>7.0000000000000009</v>
      </c>
      <c r="K2175">
        <f>VLOOKUP(Table2[[#This Row],[Site]],'Site Info'!$A$1:$C$11,2, FALSE)</f>
        <v>11.5</v>
      </c>
      <c r="L2175">
        <f>VLOOKUP(Table2[[#This Row],[Site]],'Site Info'!$A$1:$C$11,3, FALSE)</f>
        <v>11</v>
      </c>
      <c r="M2175" t="e">
        <f>VLOOKUP(Table2[[#This Row],[Species]],'Species Table'!$A$1:$D$68,3, FALSE)</f>
        <v>#N/A</v>
      </c>
      <c r="O2175" s="15">
        <f>IF(SUMPRODUCT(($A$2:$A2175=A2175)*($B$2:$B2175=B2175)*($F$2:$F2175=F2175))&gt;1,0,1)</f>
        <v>0</v>
      </c>
      <c r="P2175" s="15">
        <f>IF(SUMPRODUCT(($A$2:$A2175=A2175)*($B$2:$B2175=B2175)*($D$2:$D2175=D2175))&gt;1,0,1)</f>
        <v>0</v>
      </c>
    </row>
    <row r="2176" spans="1:16" x14ac:dyDescent="0.35">
      <c r="A2176" t="s">
        <v>138</v>
      </c>
      <c r="B2176">
        <v>2019</v>
      </c>
      <c r="C2176" t="s">
        <v>153</v>
      </c>
      <c r="D2176" s="6" t="s">
        <v>302</v>
      </c>
      <c r="E2176" s="6">
        <v>10</v>
      </c>
      <c r="F2176" s="1" t="s">
        <v>23</v>
      </c>
      <c r="G2176">
        <v>8</v>
      </c>
      <c r="H2176">
        <v>200</v>
      </c>
      <c r="I2176">
        <v>100</v>
      </c>
      <c r="J2176">
        <f>Table2[[#This Row],[Hits]]/Table2[[#This Row],[Points]]*100</f>
        <v>4</v>
      </c>
      <c r="K2176">
        <f>VLOOKUP(Table2[[#This Row],[Site]],'Site Info'!$A$1:$C$11,2, FALSE)</f>
        <v>11.5</v>
      </c>
      <c r="L2176">
        <f>VLOOKUP(Table2[[#This Row],[Site]],'Site Info'!$A$1:$C$11,3, FALSE)</f>
        <v>11</v>
      </c>
      <c r="M2176" t="str">
        <f>VLOOKUP(Table2[[#This Row],[Species]],'Species Table'!$A$1:$D$68,3, FALSE)</f>
        <v>Perennial</v>
      </c>
      <c r="O2176" s="15">
        <f>IF(SUMPRODUCT(($A$2:$A2176=A2176)*($B$2:$B2176=B2176)*($F$2:$F2176=F2176))&gt;1,0,1)</f>
        <v>0</v>
      </c>
      <c r="P2176" s="15">
        <f>IF(SUMPRODUCT(($A$2:$A2176=A2176)*($B$2:$B2176=B2176)*($D$2:$D2176=D2176))&gt;1,0,1)</f>
        <v>0</v>
      </c>
    </row>
    <row r="2177" spans="1:16" hidden="1" x14ac:dyDescent="0.35">
      <c r="A2177" t="s">
        <v>138</v>
      </c>
      <c r="B2177">
        <v>2019</v>
      </c>
      <c r="C2177" t="s">
        <v>153</v>
      </c>
      <c r="D2177" s="6" t="s">
        <v>302</v>
      </c>
      <c r="E2177" s="6">
        <v>10</v>
      </c>
      <c r="F2177" s="1" t="s">
        <v>300</v>
      </c>
      <c r="G2177">
        <v>1</v>
      </c>
      <c r="H2177">
        <v>200</v>
      </c>
      <c r="I2177">
        <v>100</v>
      </c>
      <c r="J2177">
        <f>Table2[[#This Row],[Hits]]/Table2[[#This Row],[Points]]*100</f>
        <v>0.5</v>
      </c>
      <c r="K2177">
        <f>VLOOKUP(Table2[[#This Row],[Site]],'Site Info'!$A$1:$C$11,2, FALSE)</f>
        <v>11.5</v>
      </c>
      <c r="L2177">
        <f>VLOOKUP(Table2[[#This Row],[Site]],'Site Info'!$A$1:$C$11,3, FALSE)</f>
        <v>11</v>
      </c>
      <c r="M2177" t="e">
        <f>VLOOKUP(Table2[[#This Row],[Species]],'Species Table'!$A$1:$D$68,3, FALSE)</f>
        <v>#N/A</v>
      </c>
      <c r="O2177" s="15">
        <f>IF(SUMPRODUCT(($A$2:$A2177=A2177)*($B$2:$B2177=B2177)*($F$2:$F2177=F2177))&gt;1,0,1)</f>
        <v>0</v>
      </c>
      <c r="P2177" s="15">
        <f>IF(SUMPRODUCT(($A$2:$A2177=A2177)*($B$2:$B2177=B2177)*($D$2:$D2177=D2177))&gt;1,0,1)</f>
        <v>0</v>
      </c>
    </row>
    <row r="2178" spans="1:16" x14ac:dyDescent="0.35">
      <c r="A2178" t="s">
        <v>138</v>
      </c>
      <c r="B2178">
        <v>2019</v>
      </c>
      <c r="C2178" t="s">
        <v>153</v>
      </c>
      <c r="D2178" s="6" t="s">
        <v>302</v>
      </c>
      <c r="E2178" s="6">
        <v>10</v>
      </c>
      <c r="F2178" s="1" t="s">
        <v>198</v>
      </c>
      <c r="G2178">
        <v>3</v>
      </c>
      <c r="H2178">
        <v>200</v>
      </c>
      <c r="I2178">
        <v>100</v>
      </c>
      <c r="J2178">
        <f>Table2[[#This Row],[Hits]]/Table2[[#This Row],[Points]]*100</f>
        <v>1.5</v>
      </c>
      <c r="K2178">
        <f>VLOOKUP(Table2[[#This Row],[Site]],'Site Info'!$A$1:$C$11,2, FALSE)</f>
        <v>11.5</v>
      </c>
      <c r="L2178">
        <f>VLOOKUP(Table2[[#This Row],[Site]],'Site Info'!$A$1:$C$11,3, FALSE)</f>
        <v>11</v>
      </c>
      <c r="M2178" t="str">
        <f>VLOOKUP(Table2[[#This Row],[Species]],'Species Table'!$A$1:$D$68,3, FALSE)</f>
        <v>Perennial</v>
      </c>
      <c r="O2178" s="15">
        <f>IF(SUMPRODUCT(($A$2:$A2178=A2178)*($B$2:$B2178=B2178)*($F$2:$F2178=F2178))&gt;1,0,1)</f>
        <v>0</v>
      </c>
      <c r="P2178" s="15">
        <f>IF(SUMPRODUCT(($A$2:$A2178=A2178)*($B$2:$B2178=B2178)*($D$2:$D2178=D2178))&gt;1,0,1)</f>
        <v>0</v>
      </c>
    </row>
    <row r="2179" spans="1:16" x14ac:dyDescent="0.35">
      <c r="A2179" t="s">
        <v>138</v>
      </c>
      <c r="B2179">
        <v>2019</v>
      </c>
      <c r="C2179" t="s">
        <v>153</v>
      </c>
      <c r="D2179" s="6" t="s">
        <v>302</v>
      </c>
      <c r="E2179" s="6">
        <v>10</v>
      </c>
      <c r="F2179" s="1" t="s">
        <v>134</v>
      </c>
      <c r="G2179">
        <v>3</v>
      </c>
      <c r="H2179">
        <v>200</v>
      </c>
      <c r="I2179">
        <v>100</v>
      </c>
      <c r="J2179">
        <f>Table2[[#This Row],[Hits]]/Table2[[#This Row],[Points]]*100</f>
        <v>1.5</v>
      </c>
      <c r="K2179">
        <f>VLOOKUP(Table2[[#This Row],[Site]],'Site Info'!$A$1:$C$11,2, FALSE)</f>
        <v>11.5</v>
      </c>
      <c r="L2179">
        <f>VLOOKUP(Table2[[#This Row],[Site]],'Site Info'!$A$1:$C$11,3, FALSE)</f>
        <v>11</v>
      </c>
      <c r="M2179" t="str">
        <f>VLOOKUP(Table2[[#This Row],[Species]],'Species Table'!$A$1:$D$68,3, FALSE)</f>
        <v>Perennial</v>
      </c>
      <c r="O2179" s="15">
        <f>IF(SUMPRODUCT(($A$2:$A2179=A2179)*($B$2:$B2179=B2179)*($F$2:$F2179=F2179))&gt;1,0,1)</f>
        <v>1</v>
      </c>
      <c r="P2179" s="15">
        <f>IF(SUMPRODUCT(($A$2:$A2179=A2179)*($B$2:$B2179=B2179)*($D$2:$D2179=D2179))&gt;1,0,1)</f>
        <v>0</v>
      </c>
    </row>
    <row r="2180" spans="1:16" hidden="1" x14ac:dyDescent="0.35">
      <c r="A2180" t="s">
        <v>138</v>
      </c>
      <c r="B2180">
        <v>2019</v>
      </c>
      <c r="C2180" t="s">
        <v>153</v>
      </c>
      <c r="D2180" s="6" t="s">
        <v>302</v>
      </c>
      <c r="E2180" s="6">
        <v>10</v>
      </c>
      <c r="F2180" s="1" t="s">
        <v>304</v>
      </c>
      <c r="G2180">
        <v>3</v>
      </c>
      <c r="H2180">
        <v>200</v>
      </c>
      <c r="I2180">
        <v>100</v>
      </c>
      <c r="J2180">
        <f>Table2[[#This Row],[Hits]]/Table2[[#This Row],[Points]]*100</f>
        <v>1.5</v>
      </c>
      <c r="K2180">
        <f>VLOOKUP(Table2[[#This Row],[Site]],'Site Info'!$A$1:$C$11,2, FALSE)</f>
        <v>11.5</v>
      </c>
      <c r="L2180">
        <f>VLOOKUP(Table2[[#This Row],[Site]],'Site Info'!$A$1:$C$11,3, FALSE)</f>
        <v>11</v>
      </c>
      <c r="M2180" t="e">
        <f>VLOOKUP(Table2[[#This Row],[Species]],'Species Table'!$A$1:$D$68,3, FALSE)</f>
        <v>#N/A</v>
      </c>
      <c r="O2180" s="15">
        <f>IF(SUMPRODUCT(($A$2:$A2180=A2180)*($B$2:$B2180=B2180)*($F$2:$F2180=F2180))&gt;1,0,1)</f>
        <v>1</v>
      </c>
      <c r="P2180" s="15">
        <f>IF(SUMPRODUCT(($A$2:$A2180=A2180)*($B$2:$B2180=B2180)*($D$2:$D2180=D2180))&gt;1,0,1)</f>
        <v>0</v>
      </c>
    </row>
    <row r="2181" spans="1:16" hidden="1" x14ac:dyDescent="0.35">
      <c r="A2181" t="s">
        <v>138</v>
      </c>
      <c r="B2181">
        <v>2019</v>
      </c>
      <c r="C2181" t="s">
        <v>120</v>
      </c>
      <c r="D2181" s="6">
        <v>9.1999999999999993</v>
      </c>
      <c r="E2181" s="6">
        <v>9</v>
      </c>
      <c r="F2181" s="1" t="s">
        <v>10</v>
      </c>
      <c r="G2181">
        <v>48</v>
      </c>
      <c r="H2181">
        <v>200</v>
      </c>
      <c r="I2181">
        <v>100</v>
      </c>
      <c r="J2181">
        <f>Table2[[#This Row],[Hits]]/Table2[[#This Row],[Points]]*100</f>
        <v>24</v>
      </c>
      <c r="K2181">
        <f>VLOOKUP(Table2[[#This Row],[Site]],'Site Info'!$A$1:$C$11,2, FALSE)</f>
        <v>11.5</v>
      </c>
      <c r="L2181">
        <f>VLOOKUP(Table2[[#This Row],[Site]],'Site Info'!$A$1:$C$11,3, FALSE)</f>
        <v>11</v>
      </c>
      <c r="M2181" t="str">
        <f>VLOOKUP(Table2[[#This Row],[Species]],'Species Table'!$A$1:$D$68,3, FALSE)</f>
        <v>Annual</v>
      </c>
      <c r="O2181" s="15">
        <f>IF(SUMPRODUCT(($A$2:$A2181=A2181)*($B$2:$B2181=B2181)*($F$2:$F2181=F2181))&gt;1,0,1)</f>
        <v>0</v>
      </c>
      <c r="P2181" s="15">
        <f>IF(SUMPRODUCT(($A$2:$A2181=A2181)*($B$2:$B2181=B2181)*($D$2:$D2181=D2181))&gt;1,0,1)</f>
        <v>1</v>
      </c>
    </row>
    <row r="2182" spans="1:16" x14ac:dyDescent="0.35">
      <c r="A2182" t="s">
        <v>138</v>
      </c>
      <c r="B2182">
        <v>2019</v>
      </c>
      <c r="C2182" t="s">
        <v>120</v>
      </c>
      <c r="D2182" s="6">
        <v>9.1999999999999993</v>
      </c>
      <c r="E2182" s="6">
        <v>9</v>
      </c>
      <c r="F2182" s="1" t="s">
        <v>29</v>
      </c>
      <c r="G2182">
        <v>13</v>
      </c>
      <c r="H2182">
        <v>200</v>
      </c>
      <c r="I2182">
        <v>100</v>
      </c>
      <c r="J2182">
        <f>Table2[[#This Row],[Hits]]/Table2[[#This Row],[Points]]*100</f>
        <v>6.5</v>
      </c>
      <c r="K2182">
        <f>VLOOKUP(Table2[[#This Row],[Site]],'Site Info'!$A$1:$C$11,2, FALSE)</f>
        <v>11.5</v>
      </c>
      <c r="L2182">
        <f>VLOOKUP(Table2[[#This Row],[Site]],'Site Info'!$A$1:$C$11,3, FALSE)</f>
        <v>11</v>
      </c>
      <c r="M2182" t="str">
        <f>VLOOKUP(Table2[[#This Row],[Species]],'Species Table'!$A$1:$D$68,3, FALSE)</f>
        <v>Perennial</v>
      </c>
      <c r="O2182" s="15">
        <f>IF(SUMPRODUCT(($A$2:$A2182=A2182)*($B$2:$B2182=B2182)*($F$2:$F2182=F2182))&gt;1,0,1)</f>
        <v>0</v>
      </c>
      <c r="P2182" s="15">
        <f>IF(SUMPRODUCT(($A$2:$A2182=A2182)*($B$2:$B2182=B2182)*($D$2:$D2182=D2182))&gt;1,0,1)</f>
        <v>0</v>
      </c>
    </row>
    <row r="2183" spans="1:16" x14ac:dyDescent="0.35">
      <c r="A2183" t="s">
        <v>138</v>
      </c>
      <c r="B2183">
        <v>2019</v>
      </c>
      <c r="C2183" t="s">
        <v>120</v>
      </c>
      <c r="D2183" s="6">
        <v>9.1999999999999993</v>
      </c>
      <c r="E2183" s="6">
        <v>9</v>
      </c>
      <c r="F2183" s="1" t="s">
        <v>23</v>
      </c>
      <c r="G2183">
        <v>2</v>
      </c>
      <c r="H2183">
        <v>200</v>
      </c>
      <c r="I2183">
        <v>100</v>
      </c>
      <c r="J2183">
        <f>Table2[[#This Row],[Hits]]/Table2[[#This Row],[Points]]*100</f>
        <v>1</v>
      </c>
      <c r="K2183">
        <f>VLOOKUP(Table2[[#This Row],[Site]],'Site Info'!$A$1:$C$11,2, FALSE)</f>
        <v>11.5</v>
      </c>
      <c r="L2183">
        <f>VLOOKUP(Table2[[#This Row],[Site]],'Site Info'!$A$1:$C$11,3, FALSE)</f>
        <v>11</v>
      </c>
      <c r="M2183" t="str">
        <f>VLOOKUP(Table2[[#This Row],[Species]],'Species Table'!$A$1:$D$68,3, FALSE)</f>
        <v>Perennial</v>
      </c>
      <c r="O2183" s="15">
        <f>IF(SUMPRODUCT(($A$2:$A2183=A2183)*($B$2:$B2183=B2183)*($F$2:$F2183=F2183))&gt;1,0,1)</f>
        <v>0</v>
      </c>
      <c r="P2183" s="15">
        <f>IF(SUMPRODUCT(($A$2:$A2183=A2183)*($B$2:$B2183=B2183)*($D$2:$D2183=D2183))&gt;1,0,1)</f>
        <v>0</v>
      </c>
    </row>
    <row r="2184" spans="1:16" hidden="1" x14ac:dyDescent="0.35">
      <c r="A2184" t="s">
        <v>138</v>
      </c>
      <c r="B2184">
        <v>2019</v>
      </c>
      <c r="C2184" t="s">
        <v>120</v>
      </c>
      <c r="D2184" s="6">
        <v>9.1999999999999993</v>
      </c>
      <c r="E2184" s="6">
        <v>9</v>
      </c>
      <c r="F2184" s="1" t="s">
        <v>20</v>
      </c>
      <c r="G2184">
        <v>2</v>
      </c>
      <c r="H2184">
        <v>200</v>
      </c>
      <c r="I2184">
        <v>100</v>
      </c>
      <c r="J2184">
        <f>Table2[[#This Row],[Hits]]/Table2[[#This Row],[Points]]*100</f>
        <v>1</v>
      </c>
      <c r="K2184">
        <f>VLOOKUP(Table2[[#This Row],[Site]],'Site Info'!$A$1:$C$11,2, FALSE)</f>
        <v>11.5</v>
      </c>
      <c r="L2184">
        <f>VLOOKUP(Table2[[#This Row],[Site]],'Site Info'!$A$1:$C$11,3, FALSE)</f>
        <v>11</v>
      </c>
      <c r="M2184" t="str">
        <f>VLOOKUP(Table2[[#This Row],[Species]],'Species Table'!$A$1:$D$68,3, FALSE)</f>
        <v>Annual</v>
      </c>
      <c r="O2184" s="15">
        <f>IF(SUMPRODUCT(($A$2:$A2184=A2184)*($B$2:$B2184=B2184)*($F$2:$F2184=F2184))&gt;1,0,1)</f>
        <v>0</v>
      </c>
      <c r="P2184" s="15">
        <f>IF(SUMPRODUCT(($A$2:$A2184=A2184)*($B$2:$B2184=B2184)*($D$2:$D2184=D2184))&gt;1,0,1)</f>
        <v>0</v>
      </c>
    </row>
    <row r="2185" spans="1:16" hidden="1" x14ac:dyDescent="0.35">
      <c r="A2185" t="s">
        <v>138</v>
      </c>
      <c r="B2185">
        <v>2019</v>
      </c>
      <c r="C2185" t="s">
        <v>120</v>
      </c>
      <c r="D2185" s="6">
        <v>9.1999999999999993</v>
      </c>
      <c r="E2185" s="6">
        <v>9</v>
      </c>
      <c r="F2185" s="1" t="s">
        <v>171</v>
      </c>
      <c r="G2185">
        <v>3</v>
      </c>
      <c r="H2185">
        <v>200</v>
      </c>
      <c r="I2185">
        <v>100</v>
      </c>
      <c r="J2185">
        <f>Table2[[#This Row],[Hits]]/Table2[[#This Row],[Points]]*100</f>
        <v>1.5</v>
      </c>
      <c r="K2185">
        <f>VLOOKUP(Table2[[#This Row],[Site]],'Site Info'!$A$1:$C$11,2, FALSE)</f>
        <v>11.5</v>
      </c>
      <c r="L2185">
        <f>VLOOKUP(Table2[[#This Row],[Site]],'Site Info'!$A$1:$C$11,3, FALSE)</f>
        <v>11</v>
      </c>
      <c r="M2185" t="str">
        <f>VLOOKUP(Table2[[#This Row],[Species]],'Species Table'!$A$1:$D$68,3, FALSE)</f>
        <v>Annual</v>
      </c>
      <c r="O2185" s="15">
        <f>IF(SUMPRODUCT(($A$2:$A2185=A2185)*($B$2:$B2185=B2185)*($F$2:$F2185=F2185))&gt;1,0,1)</f>
        <v>0</v>
      </c>
      <c r="P2185" s="15">
        <f>IF(SUMPRODUCT(($A$2:$A2185=A2185)*($B$2:$B2185=B2185)*($D$2:$D2185=D2185))&gt;1,0,1)</f>
        <v>0</v>
      </c>
    </row>
    <row r="2186" spans="1:16" x14ac:dyDescent="0.35">
      <c r="A2186" t="s">
        <v>138</v>
      </c>
      <c r="B2186">
        <v>2019</v>
      </c>
      <c r="C2186" t="s">
        <v>120</v>
      </c>
      <c r="D2186" s="6">
        <v>9.1999999999999993</v>
      </c>
      <c r="E2186" s="6">
        <v>9</v>
      </c>
      <c r="F2186" s="1" t="s">
        <v>198</v>
      </c>
      <c r="G2186">
        <v>10</v>
      </c>
      <c r="H2186">
        <v>200</v>
      </c>
      <c r="I2186">
        <v>100</v>
      </c>
      <c r="J2186">
        <f>Table2[[#This Row],[Hits]]/Table2[[#This Row],[Points]]*100</f>
        <v>5</v>
      </c>
      <c r="K2186">
        <f>VLOOKUP(Table2[[#This Row],[Site]],'Site Info'!$A$1:$C$11,2, FALSE)</f>
        <v>11.5</v>
      </c>
      <c r="L2186">
        <f>VLOOKUP(Table2[[#This Row],[Site]],'Site Info'!$A$1:$C$11,3, FALSE)</f>
        <v>11</v>
      </c>
      <c r="M2186" t="str">
        <f>VLOOKUP(Table2[[#This Row],[Species]],'Species Table'!$A$1:$D$68,3, FALSE)</f>
        <v>Perennial</v>
      </c>
      <c r="O2186" s="15">
        <f>IF(SUMPRODUCT(($A$2:$A2186=A2186)*($B$2:$B2186=B2186)*($F$2:$F2186=F2186))&gt;1,0,1)</f>
        <v>0</v>
      </c>
      <c r="P2186" s="15">
        <f>IF(SUMPRODUCT(($A$2:$A2186=A2186)*($B$2:$B2186=B2186)*($D$2:$D2186=D2186))&gt;1,0,1)</f>
        <v>0</v>
      </c>
    </row>
    <row r="2187" spans="1:16" x14ac:dyDescent="0.35">
      <c r="A2187" t="s">
        <v>138</v>
      </c>
      <c r="B2187">
        <v>2019</v>
      </c>
      <c r="C2187" t="s">
        <v>119</v>
      </c>
      <c r="D2187" s="6">
        <v>9.1</v>
      </c>
      <c r="E2187" s="6">
        <v>9</v>
      </c>
      <c r="F2187" s="1" t="s">
        <v>174</v>
      </c>
      <c r="G2187">
        <v>51</v>
      </c>
      <c r="H2187">
        <v>200</v>
      </c>
      <c r="I2187">
        <v>100</v>
      </c>
      <c r="J2187">
        <f>Table2[[#This Row],[Hits]]/Table2[[#This Row],[Points]]*100</f>
        <v>25.5</v>
      </c>
      <c r="K2187">
        <f>VLOOKUP(Table2[[#This Row],[Site]],'Site Info'!$A$1:$C$11,2, FALSE)</f>
        <v>11.5</v>
      </c>
      <c r="L2187">
        <f>VLOOKUP(Table2[[#This Row],[Site]],'Site Info'!$A$1:$C$11,3, FALSE)</f>
        <v>11</v>
      </c>
      <c r="M2187" t="str">
        <f>VLOOKUP(Table2[[#This Row],[Species]],'Species Table'!$A$1:$D$68,3, FALSE)</f>
        <v>Perennial</v>
      </c>
      <c r="O2187" s="15">
        <f>IF(SUMPRODUCT(($A$2:$A2187=A2187)*($B$2:$B2187=B2187)*($F$2:$F2187=F2187))&gt;1,0,1)</f>
        <v>0</v>
      </c>
      <c r="P2187" s="15">
        <f>IF(SUMPRODUCT(($A$2:$A2187=A2187)*($B$2:$B2187=B2187)*($D$2:$D2187=D2187))&gt;1,0,1)</f>
        <v>1</v>
      </c>
    </row>
    <row r="2188" spans="1:16" hidden="1" x14ac:dyDescent="0.35">
      <c r="A2188" t="s">
        <v>138</v>
      </c>
      <c r="B2188">
        <v>2019</v>
      </c>
      <c r="C2188" t="s">
        <v>119</v>
      </c>
      <c r="D2188" s="6">
        <v>9.1</v>
      </c>
      <c r="E2188" s="6">
        <v>9</v>
      </c>
      <c r="F2188" s="1" t="s">
        <v>20</v>
      </c>
      <c r="G2188">
        <v>2</v>
      </c>
      <c r="H2188">
        <v>200</v>
      </c>
      <c r="I2188">
        <v>100</v>
      </c>
      <c r="J2188">
        <f>Table2[[#This Row],[Hits]]/Table2[[#This Row],[Points]]*100</f>
        <v>1</v>
      </c>
      <c r="K2188">
        <f>VLOOKUP(Table2[[#This Row],[Site]],'Site Info'!$A$1:$C$11,2, FALSE)</f>
        <v>11.5</v>
      </c>
      <c r="L2188">
        <f>VLOOKUP(Table2[[#This Row],[Site]],'Site Info'!$A$1:$C$11,3, FALSE)</f>
        <v>11</v>
      </c>
      <c r="M2188" t="str">
        <f>VLOOKUP(Table2[[#This Row],[Species]],'Species Table'!$A$1:$D$68,3, FALSE)</f>
        <v>Annual</v>
      </c>
      <c r="O2188" s="15">
        <f>IF(SUMPRODUCT(($A$2:$A2188=A2188)*($B$2:$B2188=B2188)*($F$2:$F2188=F2188))&gt;1,0,1)</f>
        <v>0</v>
      </c>
      <c r="P2188" s="15">
        <f>IF(SUMPRODUCT(($A$2:$A2188=A2188)*($B$2:$B2188=B2188)*($D$2:$D2188=D2188))&gt;1,0,1)</f>
        <v>0</v>
      </c>
    </row>
    <row r="2189" spans="1:16" x14ac:dyDescent="0.35">
      <c r="A2189" t="s">
        <v>138</v>
      </c>
      <c r="B2189">
        <v>2019</v>
      </c>
      <c r="C2189" t="s">
        <v>119</v>
      </c>
      <c r="D2189" s="6">
        <v>9.1</v>
      </c>
      <c r="E2189" s="6">
        <v>9</v>
      </c>
      <c r="F2189" s="1" t="s">
        <v>173</v>
      </c>
      <c r="G2189">
        <v>15</v>
      </c>
      <c r="H2189">
        <v>200</v>
      </c>
      <c r="I2189">
        <v>100</v>
      </c>
      <c r="J2189">
        <f>Table2[[#This Row],[Hits]]/Table2[[#This Row],[Points]]*100</f>
        <v>7.5</v>
      </c>
      <c r="K2189">
        <f>VLOOKUP(Table2[[#This Row],[Site]],'Site Info'!$A$1:$C$11,2, FALSE)</f>
        <v>11.5</v>
      </c>
      <c r="L2189">
        <f>VLOOKUP(Table2[[#This Row],[Site]],'Site Info'!$A$1:$C$11,3, FALSE)</f>
        <v>11</v>
      </c>
      <c r="M2189" t="str">
        <f>VLOOKUP(Table2[[#This Row],[Species]],'Species Table'!$A$1:$D$68,3, FALSE)</f>
        <v>Perennial</v>
      </c>
      <c r="O2189" s="15">
        <f>IF(SUMPRODUCT(($A$2:$A2189=A2189)*($B$2:$B2189=B2189)*($F$2:$F2189=F2189))&gt;1,0,1)</f>
        <v>0</v>
      </c>
      <c r="P2189" s="15">
        <f>IF(SUMPRODUCT(($A$2:$A2189=A2189)*($B$2:$B2189=B2189)*($D$2:$D2189=D2189))&gt;1,0,1)</f>
        <v>0</v>
      </c>
    </row>
    <row r="2190" spans="1:16" x14ac:dyDescent="0.35">
      <c r="A2190" t="s">
        <v>138</v>
      </c>
      <c r="B2190">
        <v>2019</v>
      </c>
      <c r="C2190" t="s">
        <v>119</v>
      </c>
      <c r="D2190" s="6">
        <v>9.1</v>
      </c>
      <c r="E2190" s="6">
        <v>9</v>
      </c>
      <c r="F2190" s="1" t="s">
        <v>11</v>
      </c>
      <c r="G2190">
        <v>49</v>
      </c>
      <c r="H2190">
        <v>200</v>
      </c>
      <c r="I2190">
        <v>100</v>
      </c>
      <c r="J2190">
        <f>Table2[[#This Row],[Hits]]/Table2[[#This Row],[Points]]*100</f>
        <v>24.5</v>
      </c>
      <c r="K2190">
        <f>VLOOKUP(Table2[[#This Row],[Site]],'Site Info'!$A$1:$C$11,2, FALSE)</f>
        <v>11.5</v>
      </c>
      <c r="L2190">
        <f>VLOOKUP(Table2[[#This Row],[Site]],'Site Info'!$A$1:$C$11,3, FALSE)</f>
        <v>11</v>
      </c>
      <c r="M2190" t="str">
        <f>VLOOKUP(Table2[[#This Row],[Species]],'Species Table'!$A$1:$D$68,3, FALSE)</f>
        <v>Perennial</v>
      </c>
      <c r="O2190" s="15">
        <f>IF(SUMPRODUCT(($A$2:$A2190=A2190)*($B$2:$B2190=B2190)*($F$2:$F2190=F2190))&gt;1,0,1)</f>
        <v>0</v>
      </c>
      <c r="P2190" s="15">
        <f>IF(SUMPRODUCT(($A$2:$A2190=A2190)*($B$2:$B2190=B2190)*($D$2:$D2190=D2190))&gt;1,0,1)</f>
        <v>0</v>
      </c>
    </row>
    <row r="2191" spans="1:16" x14ac:dyDescent="0.35">
      <c r="A2191" t="s">
        <v>138</v>
      </c>
      <c r="B2191">
        <v>2019</v>
      </c>
      <c r="C2191" t="s">
        <v>119</v>
      </c>
      <c r="D2191" s="6">
        <v>9.1</v>
      </c>
      <c r="E2191" s="6">
        <v>9</v>
      </c>
      <c r="F2191" s="1" t="s">
        <v>23</v>
      </c>
      <c r="G2191">
        <v>4</v>
      </c>
      <c r="H2191">
        <v>200</v>
      </c>
      <c r="I2191">
        <v>100</v>
      </c>
      <c r="J2191">
        <f>Table2[[#This Row],[Hits]]/Table2[[#This Row],[Points]]*100</f>
        <v>2</v>
      </c>
      <c r="K2191">
        <f>VLOOKUP(Table2[[#This Row],[Site]],'Site Info'!$A$1:$C$11,2, FALSE)</f>
        <v>11.5</v>
      </c>
      <c r="L2191">
        <f>VLOOKUP(Table2[[#This Row],[Site]],'Site Info'!$A$1:$C$11,3, FALSE)</f>
        <v>11</v>
      </c>
      <c r="M2191" t="str">
        <f>VLOOKUP(Table2[[#This Row],[Species]],'Species Table'!$A$1:$D$68,3, FALSE)</f>
        <v>Perennial</v>
      </c>
      <c r="O2191" s="15">
        <f>IF(SUMPRODUCT(($A$2:$A2191=A2191)*($B$2:$B2191=B2191)*($F$2:$F2191=F2191))&gt;1,0,1)</f>
        <v>0</v>
      </c>
      <c r="P2191" s="15">
        <f>IF(SUMPRODUCT(($A$2:$A2191=A2191)*($B$2:$B2191=B2191)*($D$2:$D2191=D2191))&gt;1,0,1)</f>
        <v>0</v>
      </c>
    </row>
    <row r="2192" spans="1:16" x14ac:dyDescent="0.35">
      <c r="A2192" t="s">
        <v>138</v>
      </c>
      <c r="B2192">
        <v>2019</v>
      </c>
      <c r="C2192" t="s">
        <v>119</v>
      </c>
      <c r="D2192" s="6">
        <v>9.1</v>
      </c>
      <c r="E2192" s="6">
        <v>9</v>
      </c>
      <c r="F2192" s="1" t="s">
        <v>175</v>
      </c>
      <c r="G2192">
        <v>1</v>
      </c>
      <c r="H2192">
        <v>200</v>
      </c>
      <c r="I2192">
        <v>100</v>
      </c>
      <c r="J2192">
        <f>Table2[[#This Row],[Hits]]/Table2[[#This Row],[Points]]*100</f>
        <v>0.5</v>
      </c>
      <c r="K2192">
        <f>VLOOKUP(Table2[[#This Row],[Site]],'Site Info'!$A$1:$C$11,2, FALSE)</f>
        <v>11.5</v>
      </c>
      <c r="L2192">
        <f>VLOOKUP(Table2[[#This Row],[Site]],'Site Info'!$A$1:$C$11,3, FALSE)</f>
        <v>11</v>
      </c>
      <c r="M2192" t="str">
        <f>VLOOKUP(Table2[[#This Row],[Species]],'Species Table'!$A$1:$D$68,3, FALSE)</f>
        <v>Perennial</v>
      </c>
      <c r="O2192" s="15">
        <f>IF(SUMPRODUCT(($A$2:$A2192=A2192)*($B$2:$B2192=B2192)*($F$2:$F2192=F2192))&gt;1,0,1)</f>
        <v>1</v>
      </c>
      <c r="P2192" s="15">
        <f>IF(SUMPRODUCT(($A$2:$A2192=A2192)*($B$2:$B2192=B2192)*($D$2:$D2192=D2192))&gt;1,0,1)</f>
        <v>0</v>
      </c>
    </row>
    <row r="2193" spans="1:16" x14ac:dyDescent="0.35">
      <c r="A2193" t="s">
        <v>138</v>
      </c>
      <c r="B2193">
        <v>2019</v>
      </c>
      <c r="C2193" t="s">
        <v>119</v>
      </c>
      <c r="D2193" s="6">
        <v>9.1</v>
      </c>
      <c r="E2193" s="6">
        <v>9</v>
      </c>
      <c r="F2193" s="1" t="s">
        <v>29</v>
      </c>
      <c r="G2193">
        <v>1</v>
      </c>
      <c r="H2193">
        <v>200</v>
      </c>
      <c r="I2193">
        <v>100</v>
      </c>
      <c r="J2193">
        <f>Table2[[#This Row],[Hits]]/Table2[[#This Row],[Points]]*100</f>
        <v>0.5</v>
      </c>
      <c r="K2193">
        <f>VLOOKUP(Table2[[#This Row],[Site]],'Site Info'!$A$1:$C$11,2, FALSE)</f>
        <v>11.5</v>
      </c>
      <c r="L2193">
        <f>VLOOKUP(Table2[[#This Row],[Site]],'Site Info'!$A$1:$C$11,3, FALSE)</f>
        <v>11</v>
      </c>
      <c r="M2193" t="str">
        <f>VLOOKUP(Table2[[#This Row],[Species]],'Species Table'!$A$1:$D$68,3, FALSE)</f>
        <v>Perennial</v>
      </c>
      <c r="O2193" s="15">
        <f>IF(SUMPRODUCT(($A$2:$A2193=A2193)*($B$2:$B2193=B2193)*($F$2:$F2193=F2193))&gt;1,0,1)</f>
        <v>0</v>
      </c>
      <c r="P2193" s="15">
        <f>IF(SUMPRODUCT(($A$2:$A2193=A2193)*($B$2:$B2193=B2193)*($D$2:$D2193=D2193))&gt;1,0,1)</f>
        <v>0</v>
      </c>
    </row>
    <row r="2194" spans="1:16" hidden="1" x14ac:dyDescent="0.35">
      <c r="A2194" t="s">
        <v>138</v>
      </c>
      <c r="B2194">
        <v>2019</v>
      </c>
      <c r="C2194" t="s">
        <v>119</v>
      </c>
      <c r="D2194" s="6">
        <v>9.1</v>
      </c>
      <c r="E2194" s="6">
        <v>9</v>
      </c>
      <c r="F2194" s="1" t="s">
        <v>10</v>
      </c>
      <c r="G2194">
        <v>15</v>
      </c>
      <c r="H2194">
        <v>200</v>
      </c>
      <c r="I2194">
        <v>100</v>
      </c>
      <c r="J2194">
        <f>Table2[[#This Row],[Hits]]/Table2[[#This Row],[Points]]*100</f>
        <v>7.5</v>
      </c>
      <c r="K2194">
        <f>VLOOKUP(Table2[[#This Row],[Site]],'Site Info'!$A$1:$C$11,2, FALSE)</f>
        <v>11.5</v>
      </c>
      <c r="L2194">
        <f>VLOOKUP(Table2[[#This Row],[Site]],'Site Info'!$A$1:$C$11,3, FALSE)</f>
        <v>11</v>
      </c>
      <c r="M2194" t="str">
        <f>VLOOKUP(Table2[[#This Row],[Species]],'Species Table'!$A$1:$D$68,3, FALSE)</f>
        <v>Annual</v>
      </c>
      <c r="O2194" s="15">
        <f>IF(SUMPRODUCT(($A$2:$A2194=A2194)*($B$2:$B2194=B2194)*($F$2:$F2194=F2194))&gt;1,0,1)</f>
        <v>0</v>
      </c>
      <c r="P2194" s="15">
        <f>IF(SUMPRODUCT(($A$2:$A2194=A2194)*($B$2:$B2194=B2194)*($D$2:$D2194=D2194))&gt;1,0,1)</f>
        <v>0</v>
      </c>
    </row>
    <row r="2195" spans="1:16" hidden="1" x14ac:dyDescent="0.35">
      <c r="A2195" t="s">
        <v>138</v>
      </c>
      <c r="B2195">
        <v>2019</v>
      </c>
      <c r="C2195" t="s">
        <v>119</v>
      </c>
      <c r="D2195" s="6">
        <v>9.1</v>
      </c>
      <c r="E2195" s="6">
        <v>9</v>
      </c>
      <c r="F2195" s="1" t="s">
        <v>171</v>
      </c>
      <c r="G2195">
        <v>1</v>
      </c>
      <c r="H2195">
        <v>200</v>
      </c>
      <c r="I2195">
        <v>100</v>
      </c>
      <c r="J2195">
        <f>Table2[[#This Row],[Hits]]/Table2[[#This Row],[Points]]*100</f>
        <v>0.5</v>
      </c>
      <c r="K2195">
        <f>VLOOKUP(Table2[[#This Row],[Site]],'Site Info'!$A$1:$C$11,2, FALSE)</f>
        <v>11.5</v>
      </c>
      <c r="L2195">
        <f>VLOOKUP(Table2[[#This Row],[Site]],'Site Info'!$A$1:$C$11,3, FALSE)</f>
        <v>11</v>
      </c>
      <c r="M2195" t="str">
        <f>VLOOKUP(Table2[[#This Row],[Species]],'Species Table'!$A$1:$D$68,3, FALSE)</f>
        <v>Annual</v>
      </c>
      <c r="O2195" s="15">
        <f>IF(SUMPRODUCT(($A$2:$A2195=A2195)*($B$2:$B2195=B2195)*($F$2:$F2195=F2195))&gt;1,0,1)</f>
        <v>0</v>
      </c>
      <c r="P2195" s="15">
        <f>IF(SUMPRODUCT(($A$2:$A2195=A2195)*($B$2:$B2195=B2195)*($D$2:$D2195=D2195))&gt;1,0,1)</f>
        <v>0</v>
      </c>
    </row>
    <row r="2196" spans="1:16" x14ac:dyDescent="0.35">
      <c r="A2196" t="s">
        <v>138</v>
      </c>
      <c r="B2196">
        <v>2019</v>
      </c>
      <c r="C2196" t="s">
        <v>109</v>
      </c>
      <c r="D2196" s="6">
        <v>2.1</v>
      </c>
      <c r="E2196" s="6">
        <v>2</v>
      </c>
      <c r="F2196" s="1" t="s">
        <v>11</v>
      </c>
      <c r="G2196">
        <v>6</v>
      </c>
      <c r="H2196">
        <v>200</v>
      </c>
      <c r="I2196">
        <v>100</v>
      </c>
      <c r="J2196">
        <f>Table2[[#This Row],[Hits]]/Table2[[#This Row],[Points]]*100</f>
        <v>3</v>
      </c>
      <c r="K2196">
        <f>VLOOKUP(Table2[[#This Row],[Site]],'Site Info'!$A$1:$C$11,2, FALSE)</f>
        <v>11.5</v>
      </c>
      <c r="L2196">
        <f>VLOOKUP(Table2[[#This Row],[Site]],'Site Info'!$A$1:$C$11,3, FALSE)</f>
        <v>11</v>
      </c>
      <c r="M2196" t="str">
        <f>VLOOKUP(Table2[[#This Row],[Species]],'Species Table'!$A$1:$D$68,3, FALSE)</f>
        <v>Perennial</v>
      </c>
      <c r="O2196" s="15">
        <f>IF(SUMPRODUCT(($A$2:$A2196=A2196)*($B$2:$B2196=B2196)*($F$2:$F2196=F2196))&gt;1,0,1)</f>
        <v>0</v>
      </c>
      <c r="P2196" s="15">
        <f>IF(SUMPRODUCT(($A$2:$A2196=A2196)*($B$2:$B2196=B2196)*($D$2:$D2196=D2196))&gt;1,0,1)</f>
        <v>1</v>
      </c>
    </row>
    <row r="2197" spans="1:16" hidden="1" x14ac:dyDescent="0.35">
      <c r="A2197" t="s">
        <v>138</v>
      </c>
      <c r="B2197">
        <v>2019</v>
      </c>
      <c r="C2197" t="s">
        <v>109</v>
      </c>
      <c r="D2197" s="6">
        <v>2.1</v>
      </c>
      <c r="E2197" s="6">
        <v>2</v>
      </c>
      <c r="F2197" s="1" t="s">
        <v>10</v>
      </c>
      <c r="G2197">
        <v>17</v>
      </c>
      <c r="H2197">
        <v>200</v>
      </c>
      <c r="I2197">
        <v>100</v>
      </c>
      <c r="J2197">
        <f>Table2[[#This Row],[Hits]]/Table2[[#This Row],[Points]]*100</f>
        <v>8.5</v>
      </c>
      <c r="K2197">
        <f>VLOOKUP(Table2[[#This Row],[Site]],'Site Info'!$A$1:$C$11,2, FALSE)</f>
        <v>11.5</v>
      </c>
      <c r="L2197">
        <f>VLOOKUP(Table2[[#This Row],[Site]],'Site Info'!$A$1:$C$11,3, FALSE)</f>
        <v>11</v>
      </c>
      <c r="M2197" t="str">
        <f>VLOOKUP(Table2[[#This Row],[Species]],'Species Table'!$A$1:$D$68,3, FALSE)</f>
        <v>Annual</v>
      </c>
      <c r="O2197" s="15">
        <f>IF(SUMPRODUCT(($A$2:$A2197=A2197)*($B$2:$B2197=B2197)*($F$2:$F2197=F2197))&gt;1,0,1)</f>
        <v>0</v>
      </c>
      <c r="P2197" s="15">
        <f>IF(SUMPRODUCT(($A$2:$A2197=A2197)*($B$2:$B2197=B2197)*($D$2:$D2197=D2197))&gt;1,0,1)</f>
        <v>0</v>
      </c>
    </row>
    <row r="2198" spans="1:16" x14ac:dyDescent="0.35">
      <c r="A2198" t="s">
        <v>138</v>
      </c>
      <c r="B2198">
        <v>2019</v>
      </c>
      <c r="C2198" t="s">
        <v>109</v>
      </c>
      <c r="D2198" s="6">
        <v>2.1</v>
      </c>
      <c r="E2198" s="6">
        <v>2</v>
      </c>
      <c r="F2198" s="1" t="s">
        <v>29</v>
      </c>
      <c r="G2198">
        <v>4</v>
      </c>
      <c r="H2198">
        <v>200</v>
      </c>
      <c r="I2198">
        <v>100</v>
      </c>
      <c r="J2198">
        <f>Table2[[#This Row],[Hits]]/Table2[[#This Row],[Points]]*100</f>
        <v>2</v>
      </c>
      <c r="K2198">
        <f>VLOOKUP(Table2[[#This Row],[Site]],'Site Info'!$A$1:$C$11,2, FALSE)</f>
        <v>11.5</v>
      </c>
      <c r="L2198">
        <f>VLOOKUP(Table2[[#This Row],[Site]],'Site Info'!$A$1:$C$11,3, FALSE)</f>
        <v>11</v>
      </c>
      <c r="M2198" t="str">
        <f>VLOOKUP(Table2[[#This Row],[Species]],'Species Table'!$A$1:$D$68,3, FALSE)</f>
        <v>Perennial</v>
      </c>
      <c r="O2198" s="15">
        <f>IF(SUMPRODUCT(($A$2:$A2198=A2198)*($B$2:$B2198=B2198)*($F$2:$F2198=F2198))&gt;1,0,1)</f>
        <v>0</v>
      </c>
      <c r="P2198" s="15">
        <f>IF(SUMPRODUCT(($A$2:$A2198=A2198)*($B$2:$B2198=B2198)*($D$2:$D2198=D2198))&gt;1,0,1)</f>
        <v>0</v>
      </c>
    </row>
    <row r="2199" spans="1:16" hidden="1" x14ac:dyDescent="0.35">
      <c r="A2199" t="s">
        <v>138</v>
      </c>
      <c r="B2199">
        <v>2019</v>
      </c>
      <c r="C2199" t="s">
        <v>82</v>
      </c>
      <c r="D2199" s="6">
        <v>1.1000000000000001</v>
      </c>
      <c r="E2199" s="6">
        <v>1</v>
      </c>
      <c r="F2199" s="1" t="s">
        <v>10</v>
      </c>
      <c r="G2199">
        <v>11</v>
      </c>
      <c r="H2199">
        <v>119</v>
      </c>
      <c r="I2199">
        <v>59.5</v>
      </c>
      <c r="J2199">
        <f>Table2[[#This Row],[Hits]]/Table2[[#This Row],[Points]]*100</f>
        <v>9.2436974789915975</v>
      </c>
      <c r="K2199">
        <f>VLOOKUP(Table2[[#This Row],[Site]],'Site Info'!$A$1:$C$11,2, FALSE)</f>
        <v>11.5</v>
      </c>
      <c r="L2199">
        <f>VLOOKUP(Table2[[#This Row],[Site]],'Site Info'!$A$1:$C$11,3, FALSE)</f>
        <v>11</v>
      </c>
      <c r="M2199" t="str">
        <f>VLOOKUP(Table2[[#This Row],[Species]],'Species Table'!$A$1:$D$68,3, FALSE)</f>
        <v>Annual</v>
      </c>
      <c r="O2199" s="15">
        <f>IF(SUMPRODUCT(($A$2:$A2199=A2199)*($B$2:$B2199=B2199)*($F$2:$F2199=F2199))&gt;1,0,1)</f>
        <v>0</v>
      </c>
      <c r="P2199" s="15">
        <f>IF(SUMPRODUCT(($A$2:$A2199=A2199)*($B$2:$B2199=B2199)*($D$2:$D2199=D2199))&gt;1,0,1)</f>
        <v>1</v>
      </c>
    </row>
    <row r="2200" spans="1:16" x14ac:dyDescent="0.35">
      <c r="A2200" t="s">
        <v>138</v>
      </c>
      <c r="B2200">
        <v>2019</v>
      </c>
      <c r="C2200" t="s">
        <v>82</v>
      </c>
      <c r="D2200" s="6">
        <v>1.1000000000000001</v>
      </c>
      <c r="E2200" s="6">
        <v>1</v>
      </c>
      <c r="F2200" s="1" t="s">
        <v>11</v>
      </c>
      <c r="G2200">
        <v>5</v>
      </c>
      <c r="H2200">
        <v>119</v>
      </c>
      <c r="I2200">
        <v>59.5</v>
      </c>
      <c r="J2200">
        <f>Table2[[#This Row],[Hits]]/Table2[[#This Row],[Points]]*100</f>
        <v>4.2016806722689077</v>
      </c>
      <c r="K2200">
        <f>VLOOKUP(Table2[[#This Row],[Site]],'Site Info'!$A$1:$C$11,2, FALSE)</f>
        <v>11.5</v>
      </c>
      <c r="L2200">
        <f>VLOOKUP(Table2[[#This Row],[Site]],'Site Info'!$A$1:$C$11,3, FALSE)</f>
        <v>11</v>
      </c>
      <c r="M2200" t="str">
        <f>VLOOKUP(Table2[[#This Row],[Species]],'Species Table'!$A$1:$D$68,3, FALSE)</f>
        <v>Perennial</v>
      </c>
      <c r="O2200" s="15">
        <f>IF(SUMPRODUCT(($A$2:$A2200=A2200)*($B$2:$B2200=B2200)*($F$2:$F2200=F2200))&gt;1,0,1)</f>
        <v>0</v>
      </c>
      <c r="P2200" s="15">
        <f>IF(SUMPRODUCT(($A$2:$A2200=A2200)*($B$2:$B2200=B2200)*($D$2:$D2200=D2200))&gt;1,0,1)</f>
        <v>0</v>
      </c>
    </row>
    <row r="2201" spans="1:16" x14ac:dyDescent="0.35">
      <c r="A2201" t="s">
        <v>138</v>
      </c>
      <c r="B2201">
        <v>2019</v>
      </c>
      <c r="C2201" t="s">
        <v>82</v>
      </c>
      <c r="D2201" s="6">
        <v>1.1000000000000001</v>
      </c>
      <c r="E2201" s="6">
        <v>1</v>
      </c>
      <c r="F2201" s="1" t="s">
        <v>29</v>
      </c>
      <c r="G2201">
        <v>2</v>
      </c>
      <c r="H2201">
        <v>119</v>
      </c>
      <c r="I2201">
        <v>59.5</v>
      </c>
      <c r="J2201">
        <f>Table2[[#This Row],[Hits]]/Table2[[#This Row],[Points]]*100</f>
        <v>1.680672268907563</v>
      </c>
      <c r="K2201">
        <f>VLOOKUP(Table2[[#This Row],[Site]],'Site Info'!$A$1:$C$11,2, FALSE)</f>
        <v>11.5</v>
      </c>
      <c r="L2201">
        <f>VLOOKUP(Table2[[#This Row],[Site]],'Site Info'!$A$1:$C$11,3, FALSE)</f>
        <v>11</v>
      </c>
      <c r="M2201" t="str">
        <f>VLOOKUP(Table2[[#This Row],[Species]],'Species Table'!$A$1:$D$68,3, FALSE)</f>
        <v>Perennial</v>
      </c>
      <c r="O2201" s="15">
        <f>IF(SUMPRODUCT(($A$2:$A2201=A2201)*($B$2:$B2201=B2201)*($F$2:$F2201=F2201))&gt;1,0,1)</f>
        <v>0</v>
      </c>
      <c r="P2201" s="15">
        <f>IF(SUMPRODUCT(($A$2:$A2201=A2201)*($B$2:$B2201=B2201)*($D$2:$D2201=D2201))&gt;1,0,1)</f>
        <v>0</v>
      </c>
    </row>
    <row r="2202" spans="1:16" hidden="1" x14ac:dyDescent="0.35">
      <c r="A2202" t="s">
        <v>138</v>
      </c>
      <c r="B2202">
        <v>2019</v>
      </c>
      <c r="C2202" t="s">
        <v>62</v>
      </c>
      <c r="D2202" s="6">
        <v>5.0999999999999996</v>
      </c>
      <c r="E2202" s="6">
        <v>5</v>
      </c>
      <c r="F2202" s="1" t="s">
        <v>10</v>
      </c>
      <c r="G2202">
        <v>14</v>
      </c>
      <c r="H2202">
        <v>200</v>
      </c>
      <c r="I2202">
        <v>100</v>
      </c>
      <c r="J2202">
        <f>Table2[[#This Row],[Hits]]/Table2[[#This Row],[Points]]*100</f>
        <v>7.0000000000000009</v>
      </c>
      <c r="K2202">
        <f>VLOOKUP(Table2[[#This Row],[Site]],'Site Info'!$A$1:$C$11,2, FALSE)</f>
        <v>11.5</v>
      </c>
      <c r="L2202">
        <f>VLOOKUP(Table2[[#This Row],[Site]],'Site Info'!$A$1:$C$11,3, FALSE)</f>
        <v>11</v>
      </c>
      <c r="M2202" t="str">
        <f>VLOOKUP(Table2[[#This Row],[Species]],'Species Table'!$A$1:$D$68,3, FALSE)</f>
        <v>Annual</v>
      </c>
      <c r="O2202" s="15">
        <f>IF(SUMPRODUCT(($A$2:$A2202=A2202)*($B$2:$B2202=B2202)*($F$2:$F2202=F2202))&gt;1,0,1)</f>
        <v>0</v>
      </c>
      <c r="P2202" s="15">
        <f>IF(SUMPRODUCT(($A$2:$A2202=A2202)*($B$2:$B2202=B2202)*($D$2:$D2202=D2202))&gt;1,0,1)</f>
        <v>1</v>
      </c>
    </row>
    <row r="2203" spans="1:16" x14ac:dyDescent="0.35">
      <c r="A2203" t="s">
        <v>138</v>
      </c>
      <c r="B2203">
        <v>2019</v>
      </c>
      <c r="C2203" t="s">
        <v>62</v>
      </c>
      <c r="D2203" s="6">
        <v>5.0999999999999996</v>
      </c>
      <c r="E2203" s="6">
        <v>5</v>
      </c>
      <c r="F2203" s="1" t="s">
        <v>116</v>
      </c>
      <c r="G2203">
        <v>1</v>
      </c>
      <c r="H2203">
        <v>200</v>
      </c>
      <c r="I2203">
        <v>100</v>
      </c>
      <c r="J2203">
        <f>Table2[[#This Row],[Hits]]/Table2[[#This Row],[Points]]*100</f>
        <v>0.5</v>
      </c>
      <c r="K2203">
        <f>VLOOKUP(Table2[[#This Row],[Site]],'Site Info'!$A$1:$C$11,2, FALSE)</f>
        <v>11.5</v>
      </c>
      <c r="L2203">
        <f>VLOOKUP(Table2[[#This Row],[Site]],'Site Info'!$A$1:$C$11,3, FALSE)</f>
        <v>11</v>
      </c>
      <c r="M2203" t="str">
        <f>VLOOKUP(Table2[[#This Row],[Species]],'Species Table'!$A$1:$D$68,3, FALSE)</f>
        <v>Perennial</v>
      </c>
      <c r="O2203" s="15">
        <f>IF(SUMPRODUCT(($A$2:$A2203=A2203)*($B$2:$B2203=B2203)*($F$2:$F2203=F2203))&gt;1,0,1)</f>
        <v>1</v>
      </c>
      <c r="P2203" s="15">
        <f>IF(SUMPRODUCT(($A$2:$A2203=A2203)*($B$2:$B2203=B2203)*($D$2:$D2203=D2203))&gt;1,0,1)</f>
        <v>0</v>
      </c>
    </row>
    <row r="2204" spans="1:16" x14ac:dyDescent="0.35">
      <c r="A2204" t="s">
        <v>138</v>
      </c>
      <c r="B2204">
        <v>2019</v>
      </c>
      <c r="C2204" t="s">
        <v>62</v>
      </c>
      <c r="D2204" s="6">
        <v>5.0999999999999996</v>
      </c>
      <c r="E2204" s="6">
        <v>5</v>
      </c>
      <c r="F2204" s="1" t="s">
        <v>12</v>
      </c>
      <c r="G2204">
        <v>2</v>
      </c>
      <c r="H2204">
        <v>200</v>
      </c>
      <c r="I2204">
        <v>100</v>
      </c>
      <c r="J2204">
        <f>Table2[[#This Row],[Hits]]/Table2[[#This Row],[Points]]*100</f>
        <v>1</v>
      </c>
      <c r="K2204">
        <f>VLOOKUP(Table2[[#This Row],[Site]],'Site Info'!$A$1:$C$11,2, FALSE)</f>
        <v>11.5</v>
      </c>
      <c r="L2204">
        <f>VLOOKUP(Table2[[#This Row],[Site]],'Site Info'!$A$1:$C$11,3, FALSE)</f>
        <v>11</v>
      </c>
      <c r="M2204" t="str">
        <f>VLOOKUP(Table2[[#This Row],[Species]],'Species Table'!$A$1:$D$68,3, FALSE)</f>
        <v>Perennial</v>
      </c>
      <c r="O2204" s="15">
        <f>IF(SUMPRODUCT(($A$2:$A2204=A2204)*($B$2:$B2204=B2204)*($F$2:$F2204=F2204))&gt;1,0,1)</f>
        <v>1</v>
      </c>
      <c r="P2204" s="15">
        <f>IF(SUMPRODUCT(($A$2:$A2204=A2204)*($B$2:$B2204=B2204)*($D$2:$D2204=D2204))&gt;1,0,1)</f>
        <v>0</v>
      </c>
    </row>
    <row r="2205" spans="1:16" x14ac:dyDescent="0.35">
      <c r="A2205" t="s">
        <v>138</v>
      </c>
      <c r="B2205">
        <v>2019</v>
      </c>
      <c r="C2205" t="s">
        <v>62</v>
      </c>
      <c r="D2205" s="6">
        <v>5.0999999999999996</v>
      </c>
      <c r="E2205" s="6">
        <v>5</v>
      </c>
      <c r="F2205" s="1" t="s">
        <v>2</v>
      </c>
      <c r="G2205">
        <v>2</v>
      </c>
      <c r="H2205">
        <v>200</v>
      </c>
      <c r="I2205">
        <v>100</v>
      </c>
      <c r="J2205">
        <f>Table2[[#This Row],[Hits]]/Table2[[#This Row],[Points]]*100</f>
        <v>1</v>
      </c>
      <c r="K2205">
        <f>VLOOKUP(Table2[[#This Row],[Site]],'Site Info'!$A$1:$C$11,2, FALSE)</f>
        <v>11.5</v>
      </c>
      <c r="L2205">
        <f>VLOOKUP(Table2[[#This Row],[Site]],'Site Info'!$A$1:$C$11,3, FALSE)</f>
        <v>11</v>
      </c>
      <c r="M2205" t="str">
        <f>VLOOKUP(Table2[[#This Row],[Species]],'Species Table'!$A$1:$D$68,3, FALSE)</f>
        <v>Perennial</v>
      </c>
      <c r="O2205" s="15">
        <f>IF(SUMPRODUCT(($A$2:$A2205=A2205)*($B$2:$B2205=B2205)*($F$2:$F2205=F2205))&gt;1,0,1)</f>
        <v>1</v>
      </c>
      <c r="P2205" s="15">
        <f>IF(SUMPRODUCT(($A$2:$A2205=A2205)*($B$2:$B2205=B2205)*($D$2:$D2205=D2205))&gt;1,0,1)</f>
        <v>0</v>
      </c>
    </row>
    <row r="2206" spans="1:16" hidden="1" x14ac:dyDescent="0.35">
      <c r="A2206" t="s">
        <v>138</v>
      </c>
      <c r="B2206">
        <v>2019</v>
      </c>
      <c r="C2206" t="s">
        <v>114</v>
      </c>
      <c r="D2206" s="6">
        <v>5.2</v>
      </c>
      <c r="E2206" s="6">
        <v>5</v>
      </c>
      <c r="F2206" s="1" t="s">
        <v>10</v>
      </c>
      <c r="G2206">
        <v>21</v>
      </c>
      <c r="H2206">
        <v>200</v>
      </c>
      <c r="I2206">
        <v>100</v>
      </c>
      <c r="J2206">
        <f>Table2[[#This Row],[Hits]]/Table2[[#This Row],[Points]]*100</f>
        <v>10.5</v>
      </c>
      <c r="K2206">
        <f>VLOOKUP(Table2[[#This Row],[Site]],'Site Info'!$A$1:$C$11,2, FALSE)</f>
        <v>11.5</v>
      </c>
      <c r="L2206">
        <f>VLOOKUP(Table2[[#This Row],[Site]],'Site Info'!$A$1:$C$11,3, FALSE)</f>
        <v>11</v>
      </c>
      <c r="M2206" t="str">
        <f>VLOOKUP(Table2[[#This Row],[Species]],'Species Table'!$A$1:$D$68,3, FALSE)</f>
        <v>Annual</v>
      </c>
      <c r="O2206" s="15">
        <f>IF(SUMPRODUCT(($A$2:$A2206=A2206)*($B$2:$B2206=B2206)*($F$2:$F2206=F2206))&gt;1,0,1)</f>
        <v>0</v>
      </c>
      <c r="P2206" s="15">
        <f>IF(SUMPRODUCT(($A$2:$A2206=A2206)*($B$2:$B2206=B2206)*($D$2:$D2206=D2206))&gt;1,0,1)</f>
        <v>1</v>
      </c>
    </row>
    <row r="2207" spans="1:16" x14ac:dyDescent="0.35">
      <c r="A2207" t="s">
        <v>138</v>
      </c>
      <c r="B2207">
        <v>2019</v>
      </c>
      <c r="C2207" t="s">
        <v>114</v>
      </c>
      <c r="D2207" s="6">
        <v>5.2</v>
      </c>
      <c r="E2207" s="6">
        <v>5</v>
      </c>
      <c r="F2207" s="1" t="s">
        <v>116</v>
      </c>
      <c r="G2207">
        <v>2</v>
      </c>
      <c r="H2207">
        <v>200</v>
      </c>
      <c r="I2207">
        <v>100</v>
      </c>
      <c r="J2207">
        <f>Table2[[#This Row],[Hits]]/Table2[[#This Row],[Points]]*100</f>
        <v>1</v>
      </c>
      <c r="K2207">
        <f>VLOOKUP(Table2[[#This Row],[Site]],'Site Info'!$A$1:$C$11,2, FALSE)</f>
        <v>11.5</v>
      </c>
      <c r="L2207">
        <f>VLOOKUP(Table2[[#This Row],[Site]],'Site Info'!$A$1:$C$11,3, FALSE)</f>
        <v>11</v>
      </c>
      <c r="M2207" t="str">
        <f>VLOOKUP(Table2[[#This Row],[Species]],'Species Table'!$A$1:$D$68,3, FALSE)</f>
        <v>Perennial</v>
      </c>
      <c r="O2207" s="15">
        <f>IF(SUMPRODUCT(($A$2:$A2207=A2207)*($B$2:$B2207=B2207)*($F$2:$F2207=F2207))&gt;1,0,1)</f>
        <v>0</v>
      </c>
      <c r="P2207" s="15">
        <f>IF(SUMPRODUCT(($A$2:$A2207=A2207)*($B$2:$B2207=B2207)*($D$2:$D2207=D2207))&gt;1,0,1)</f>
        <v>0</v>
      </c>
    </row>
    <row r="2208" spans="1:16" x14ac:dyDescent="0.35">
      <c r="A2208" t="s">
        <v>138</v>
      </c>
      <c r="B2208">
        <v>2019</v>
      </c>
      <c r="C2208" t="s">
        <v>114</v>
      </c>
      <c r="D2208" s="6">
        <v>5.2</v>
      </c>
      <c r="E2208" s="6">
        <v>5</v>
      </c>
      <c r="F2208" s="1" t="s">
        <v>12</v>
      </c>
      <c r="G2208">
        <v>8</v>
      </c>
      <c r="H2208">
        <v>200</v>
      </c>
      <c r="I2208">
        <v>100</v>
      </c>
      <c r="J2208">
        <f>Table2[[#This Row],[Hits]]/Table2[[#This Row],[Points]]*100</f>
        <v>4</v>
      </c>
      <c r="K2208">
        <f>VLOOKUP(Table2[[#This Row],[Site]],'Site Info'!$A$1:$C$11,2, FALSE)</f>
        <v>11.5</v>
      </c>
      <c r="L2208">
        <f>VLOOKUP(Table2[[#This Row],[Site]],'Site Info'!$A$1:$C$11,3, FALSE)</f>
        <v>11</v>
      </c>
      <c r="M2208" t="str">
        <f>VLOOKUP(Table2[[#This Row],[Species]],'Species Table'!$A$1:$D$68,3, FALSE)</f>
        <v>Perennial</v>
      </c>
      <c r="O2208" s="15">
        <f>IF(SUMPRODUCT(($A$2:$A2208=A2208)*($B$2:$B2208=B2208)*($F$2:$F2208=F2208))&gt;1,0,1)</f>
        <v>0</v>
      </c>
      <c r="P2208" s="15">
        <f>IF(SUMPRODUCT(($A$2:$A2208=A2208)*($B$2:$B2208=B2208)*($D$2:$D2208=D2208))&gt;1,0,1)</f>
        <v>0</v>
      </c>
    </row>
    <row r="2209" spans="1:16" x14ac:dyDescent="0.35">
      <c r="A2209" t="s">
        <v>138</v>
      </c>
      <c r="B2209">
        <v>2019</v>
      </c>
      <c r="C2209" t="s">
        <v>114</v>
      </c>
      <c r="D2209" s="6">
        <v>5.2</v>
      </c>
      <c r="E2209" s="6">
        <v>5</v>
      </c>
      <c r="F2209" s="1" t="s">
        <v>2</v>
      </c>
      <c r="G2209">
        <v>1</v>
      </c>
      <c r="H2209">
        <v>200</v>
      </c>
      <c r="I2209">
        <v>100</v>
      </c>
      <c r="J2209">
        <f>Table2[[#This Row],[Hits]]/Table2[[#This Row],[Points]]*100</f>
        <v>0.5</v>
      </c>
      <c r="K2209">
        <f>VLOOKUP(Table2[[#This Row],[Site]],'Site Info'!$A$1:$C$11,2, FALSE)</f>
        <v>11.5</v>
      </c>
      <c r="L2209">
        <f>VLOOKUP(Table2[[#This Row],[Site]],'Site Info'!$A$1:$C$11,3, FALSE)</f>
        <v>11</v>
      </c>
      <c r="M2209" t="str">
        <f>VLOOKUP(Table2[[#This Row],[Species]],'Species Table'!$A$1:$D$68,3, FALSE)</f>
        <v>Perennial</v>
      </c>
      <c r="O2209" s="15">
        <f>IF(SUMPRODUCT(($A$2:$A2209=A2209)*($B$2:$B2209=B2209)*($F$2:$F2209=F2209))&gt;1,0,1)</f>
        <v>0</v>
      </c>
      <c r="P2209" s="15">
        <f>IF(SUMPRODUCT(($A$2:$A2209=A2209)*($B$2:$B2209=B2209)*($D$2:$D2209=D2209))&gt;1,0,1)</f>
        <v>0</v>
      </c>
    </row>
    <row r="2210" spans="1:16" hidden="1" x14ac:dyDescent="0.35">
      <c r="A2210" t="s">
        <v>138</v>
      </c>
      <c r="B2210">
        <v>2019</v>
      </c>
      <c r="C2210" t="s">
        <v>67</v>
      </c>
      <c r="D2210" s="6">
        <v>6.1</v>
      </c>
      <c r="E2210" s="6">
        <v>6</v>
      </c>
      <c r="F2210" s="1" t="s">
        <v>10</v>
      </c>
      <c r="G2210">
        <v>31</v>
      </c>
      <c r="H2210">
        <v>200</v>
      </c>
      <c r="I2210">
        <v>100</v>
      </c>
      <c r="J2210">
        <f>Table2[[#This Row],[Hits]]/Table2[[#This Row],[Points]]*100</f>
        <v>15.5</v>
      </c>
      <c r="K2210">
        <f>VLOOKUP(Table2[[#This Row],[Site]],'Site Info'!$A$1:$C$11,2, FALSE)</f>
        <v>11.5</v>
      </c>
      <c r="L2210">
        <f>VLOOKUP(Table2[[#This Row],[Site]],'Site Info'!$A$1:$C$11,3, FALSE)</f>
        <v>11</v>
      </c>
      <c r="M2210" t="str">
        <f>VLOOKUP(Table2[[#This Row],[Species]],'Species Table'!$A$1:$D$68,3, FALSE)</f>
        <v>Annual</v>
      </c>
      <c r="O2210" s="15">
        <f>IF(SUMPRODUCT(($A$2:$A2210=A2210)*($B$2:$B2210=B2210)*($F$2:$F2210=F2210))&gt;1,0,1)</f>
        <v>0</v>
      </c>
      <c r="P2210" s="15">
        <f>IF(SUMPRODUCT(($A$2:$A2210=A2210)*($B$2:$B2210=B2210)*($D$2:$D2210=D2210))&gt;1,0,1)</f>
        <v>1</v>
      </c>
    </row>
    <row r="2211" spans="1:16" hidden="1" x14ac:dyDescent="0.35">
      <c r="A2211" t="s">
        <v>138</v>
      </c>
      <c r="B2211">
        <v>2019</v>
      </c>
      <c r="C2211" t="s">
        <v>115</v>
      </c>
      <c r="D2211" s="6">
        <v>6.2</v>
      </c>
      <c r="E2211" s="6">
        <v>6</v>
      </c>
      <c r="F2211" s="1" t="s">
        <v>10</v>
      </c>
      <c r="G2211">
        <v>29</v>
      </c>
      <c r="H2211">
        <v>200</v>
      </c>
      <c r="I2211">
        <v>100</v>
      </c>
      <c r="J2211">
        <f>Table2[[#This Row],[Hits]]/Table2[[#This Row],[Points]]*100</f>
        <v>14.499999999999998</v>
      </c>
      <c r="K2211">
        <f>VLOOKUP(Table2[[#This Row],[Site]],'Site Info'!$A$1:$C$11,2, FALSE)</f>
        <v>11.5</v>
      </c>
      <c r="L2211">
        <f>VLOOKUP(Table2[[#This Row],[Site]],'Site Info'!$A$1:$C$11,3, FALSE)</f>
        <v>11</v>
      </c>
      <c r="M2211" t="str">
        <f>VLOOKUP(Table2[[#This Row],[Species]],'Species Table'!$A$1:$D$68,3, FALSE)</f>
        <v>Annual</v>
      </c>
      <c r="O2211" s="15">
        <f>IF(SUMPRODUCT(($A$2:$A2211=A2211)*($B$2:$B2211=B2211)*($F$2:$F2211=F2211))&gt;1,0,1)</f>
        <v>0</v>
      </c>
      <c r="P2211" s="15">
        <f>IF(SUMPRODUCT(($A$2:$A2211=A2211)*($B$2:$B2211=B2211)*($D$2:$D2211=D2211))&gt;1,0,1)</f>
        <v>1</v>
      </c>
    </row>
    <row r="2212" spans="1:16" hidden="1" x14ac:dyDescent="0.35">
      <c r="A2212" t="s">
        <v>138</v>
      </c>
      <c r="B2212">
        <v>2019</v>
      </c>
      <c r="C2212" t="s">
        <v>113</v>
      </c>
      <c r="D2212" s="6">
        <v>4.0999999999999996</v>
      </c>
      <c r="E2212" s="6">
        <v>4</v>
      </c>
      <c r="F2212" s="1" t="s">
        <v>10</v>
      </c>
      <c r="G2212">
        <v>21</v>
      </c>
      <c r="H2212">
        <v>200</v>
      </c>
      <c r="I2212">
        <v>100</v>
      </c>
      <c r="J2212">
        <f>Table2[[#This Row],[Hits]]/Table2[[#This Row],[Points]]*100</f>
        <v>10.5</v>
      </c>
      <c r="K2212">
        <f>VLOOKUP(Table2[[#This Row],[Site]],'Site Info'!$A$1:$C$11,2, FALSE)</f>
        <v>11.5</v>
      </c>
      <c r="L2212">
        <f>VLOOKUP(Table2[[#This Row],[Site]],'Site Info'!$A$1:$C$11,3, FALSE)</f>
        <v>11</v>
      </c>
      <c r="M2212" t="str">
        <f>VLOOKUP(Table2[[#This Row],[Species]],'Species Table'!$A$1:$D$68,3, FALSE)</f>
        <v>Annual</v>
      </c>
      <c r="O2212" s="15">
        <f>IF(SUMPRODUCT(($A$2:$A2212=A2212)*($B$2:$B2212=B2212)*($F$2:$F2212=F2212))&gt;1,0,1)</f>
        <v>0</v>
      </c>
      <c r="P2212" s="15">
        <f>IF(SUMPRODUCT(($A$2:$A2212=A2212)*($B$2:$B2212=B2212)*($D$2:$D2212=D2212))&gt;1,0,1)</f>
        <v>1</v>
      </c>
    </row>
    <row r="2213" spans="1:16" x14ac:dyDescent="0.35">
      <c r="A2213" t="s">
        <v>138</v>
      </c>
      <c r="B2213">
        <v>2019</v>
      </c>
      <c r="C2213" t="s">
        <v>113</v>
      </c>
      <c r="D2213" s="6">
        <v>4.0999999999999996</v>
      </c>
      <c r="E2213" s="6">
        <v>4</v>
      </c>
      <c r="F2213" s="1" t="s">
        <v>11</v>
      </c>
      <c r="G2213">
        <v>3</v>
      </c>
      <c r="H2213">
        <v>200</v>
      </c>
      <c r="I2213">
        <v>100</v>
      </c>
      <c r="J2213">
        <f>Table2[[#This Row],[Hits]]/Table2[[#This Row],[Points]]*100</f>
        <v>1.5</v>
      </c>
      <c r="K2213">
        <f>VLOOKUP(Table2[[#This Row],[Site]],'Site Info'!$A$1:$C$11,2, FALSE)</f>
        <v>11.5</v>
      </c>
      <c r="L2213">
        <f>VLOOKUP(Table2[[#This Row],[Site]],'Site Info'!$A$1:$C$11,3, FALSE)</f>
        <v>11</v>
      </c>
      <c r="M2213" t="str">
        <f>VLOOKUP(Table2[[#This Row],[Species]],'Species Table'!$A$1:$D$68,3, FALSE)</f>
        <v>Perennial</v>
      </c>
      <c r="O2213" s="15">
        <f>IF(SUMPRODUCT(($A$2:$A2213=A2213)*($B$2:$B2213=B2213)*($F$2:$F2213=F2213))&gt;1,0,1)</f>
        <v>0</v>
      </c>
      <c r="P2213" s="15">
        <f>IF(SUMPRODUCT(($A$2:$A2213=A2213)*($B$2:$B2213=B2213)*($D$2:$D2213=D2213))&gt;1,0,1)</f>
        <v>0</v>
      </c>
    </row>
    <row r="2214" spans="1:16" x14ac:dyDescent="0.35">
      <c r="A2214" t="s">
        <v>138</v>
      </c>
      <c r="B2214">
        <v>2019</v>
      </c>
      <c r="C2214" t="s">
        <v>113</v>
      </c>
      <c r="D2214" s="6">
        <v>4.0999999999999996</v>
      </c>
      <c r="E2214" s="6">
        <v>4</v>
      </c>
      <c r="F2214" s="1" t="s">
        <v>12</v>
      </c>
      <c r="G2214">
        <v>2</v>
      </c>
      <c r="H2214">
        <v>200</v>
      </c>
      <c r="I2214">
        <v>100</v>
      </c>
      <c r="J2214">
        <f>Table2[[#This Row],[Hits]]/Table2[[#This Row],[Points]]*100</f>
        <v>1</v>
      </c>
      <c r="K2214">
        <f>VLOOKUP(Table2[[#This Row],[Site]],'Site Info'!$A$1:$C$11,2, FALSE)</f>
        <v>11.5</v>
      </c>
      <c r="L2214">
        <f>VLOOKUP(Table2[[#This Row],[Site]],'Site Info'!$A$1:$C$11,3, FALSE)</f>
        <v>11</v>
      </c>
      <c r="M2214" t="str">
        <f>VLOOKUP(Table2[[#This Row],[Species]],'Species Table'!$A$1:$D$68,3, FALSE)</f>
        <v>Perennial</v>
      </c>
      <c r="O2214" s="15">
        <f>IF(SUMPRODUCT(($A$2:$A2214=A2214)*($B$2:$B2214=B2214)*($F$2:$F2214=F2214))&gt;1,0,1)</f>
        <v>0</v>
      </c>
      <c r="P2214" s="15">
        <f>IF(SUMPRODUCT(($A$2:$A2214=A2214)*($B$2:$B2214=B2214)*($D$2:$D2214=D2214))&gt;1,0,1)</f>
        <v>0</v>
      </c>
    </row>
    <row r="2215" spans="1:16" x14ac:dyDescent="0.35">
      <c r="A2215" t="s">
        <v>138</v>
      </c>
      <c r="B2215">
        <v>2019</v>
      </c>
      <c r="C2215" t="s">
        <v>113</v>
      </c>
      <c r="D2215" s="6">
        <v>4.0999999999999996</v>
      </c>
      <c r="E2215" s="6">
        <v>4</v>
      </c>
      <c r="F2215" s="1" t="s">
        <v>116</v>
      </c>
      <c r="G2215">
        <v>2</v>
      </c>
      <c r="H2215">
        <v>200</v>
      </c>
      <c r="I2215">
        <v>100</v>
      </c>
      <c r="J2215">
        <f>Table2[[#This Row],[Hits]]/Table2[[#This Row],[Points]]*100</f>
        <v>1</v>
      </c>
      <c r="K2215">
        <f>VLOOKUP(Table2[[#This Row],[Site]],'Site Info'!$A$1:$C$11,2, FALSE)</f>
        <v>11.5</v>
      </c>
      <c r="L2215">
        <f>VLOOKUP(Table2[[#This Row],[Site]],'Site Info'!$A$1:$C$11,3, FALSE)</f>
        <v>11</v>
      </c>
      <c r="M2215" t="str">
        <f>VLOOKUP(Table2[[#This Row],[Species]],'Species Table'!$A$1:$D$68,3, FALSE)</f>
        <v>Perennial</v>
      </c>
      <c r="O2215" s="15">
        <f>IF(SUMPRODUCT(($A$2:$A2215=A2215)*($B$2:$B2215=B2215)*($F$2:$F2215=F2215))&gt;1,0,1)</f>
        <v>0</v>
      </c>
      <c r="P2215" s="15">
        <f>IF(SUMPRODUCT(($A$2:$A2215=A2215)*($B$2:$B2215=B2215)*($D$2:$D2215=D2215))&gt;1,0,1)</f>
        <v>0</v>
      </c>
    </row>
    <row r="2216" spans="1:16" hidden="1" x14ac:dyDescent="0.35">
      <c r="A2216" t="s">
        <v>138</v>
      </c>
      <c r="B2216">
        <v>2019</v>
      </c>
      <c r="C2216" t="s">
        <v>111</v>
      </c>
      <c r="D2216" s="6">
        <v>3.1</v>
      </c>
      <c r="E2216" s="6">
        <v>3</v>
      </c>
      <c r="F2216" s="1" t="s">
        <v>10</v>
      </c>
      <c r="G2216">
        <v>28</v>
      </c>
      <c r="H2216">
        <v>200</v>
      </c>
      <c r="I2216">
        <v>100</v>
      </c>
      <c r="J2216">
        <f>Table2[[#This Row],[Hits]]/Table2[[#This Row],[Points]]*100</f>
        <v>14.000000000000002</v>
      </c>
      <c r="K2216">
        <f>VLOOKUP(Table2[[#This Row],[Site]],'Site Info'!$A$1:$C$11,2, FALSE)</f>
        <v>11.5</v>
      </c>
      <c r="L2216">
        <f>VLOOKUP(Table2[[#This Row],[Site]],'Site Info'!$A$1:$C$11,3, FALSE)</f>
        <v>11</v>
      </c>
      <c r="M2216" t="str">
        <f>VLOOKUP(Table2[[#This Row],[Species]],'Species Table'!$A$1:$D$68,3, FALSE)</f>
        <v>Annual</v>
      </c>
      <c r="O2216" s="15">
        <f>IF(SUMPRODUCT(($A$2:$A2216=A2216)*($B$2:$B2216=B2216)*($F$2:$F2216=F2216))&gt;1,0,1)</f>
        <v>0</v>
      </c>
      <c r="P2216" s="15">
        <f>IF(SUMPRODUCT(($A$2:$A2216=A2216)*($B$2:$B2216=B2216)*($D$2:$D2216=D2216))&gt;1,0,1)</f>
        <v>1</v>
      </c>
    </row>
    <row r="2217" spans="1:16" x14ac:dyDescent="0.35">
      <c r="A2217" t="s">
        <v>138</v>
      </c>
      <c r="B2217">
        <v>2019</v>
      </c>
      <c r="C2217" t="s">
        <v>111</v>
      </c>
      <c r="D2217" s="6">
        <v>3.1</v>
      </c>
      <c r="E2217" s="6">
        <v>3</v>
      </c>
      <c r="F2217" s="1" t="s">
        <v>11</v>
      </c>
      <c r="G2217">
        <v>9</v>
      </c>
      <c r="H2217">
        <v>200</v>
      </c>
      <c r="I2217">
        <v>100</v>
      </c>
      <c r="J2217">
        <f>Table2[[#This Row],[Hits]]/Table2[[#This Row],[Points]]*100</f>
        <v>4.5</v>
      </c>
      <c r="K2217">
        <f>VLOOKUP(Table2[[#This Row],[Site]],'Site Info'!$A$1:$C$11,2, FALSE)</f>
        <v>11.5</v>
      </c>
      <c r="L2217">
        <f>VLOOKUP(Table2[[#This Row],[Site]],'Site Info'!$A$1:$C$11,3, FALSE)</f>
        <v>11</v>
      </c>
      <c r="M2217" t="str">
        <f>VLOOKUP(Table2[[#This Row],[Species]],'Species Table'!$A$1:$D$68,3, FALSE)</f>
        <v>Perennial</v>
      </c>
      <c r="O2217" s="15">
        <f>IF(SUMPRODUCT(($A$2:$A2217=A2217)*($B$2:$B2217=B2217)*($F$2:$F2217=F2217))&gt;1,0,1)</f>
        <v>0</v>
      </c>
      <c r="P2217" s="15">
        <f>IF(SUMPRODUCT(($A$2:$A2217=A2217)*($B$2:$B2217=B2217)*($D$2:$D2217=D2217))&gt;1,0,1)</f>
        <v>0</v>
      </c>
    </row>
    <row r="2218" spans="1:16" hidden="1" x14ac:dyDescent="0.35">
      <c r="A2218" t="s">
        <v>138</v>
      </c>
      <c r="B2218">
        <v>2019</v>
      </c>
      <c r="C2218" t="s">
        <v>111</v>
      </c>
      <c r="D2218" s="6">
        <v>3.1</v>
      </c>
      <c r="E2218" s="6">
        <v>3</v>
      </c>
      <c r="F2218" s="1" t="s">
        <v>296</v>
      </c>
      <c r="G2218">
        <v>1</v>
      </c>
      <c r="H2218">
        <v>200</v>
      </c>
      <c r="I2218">
        <v>100</v>
      </c>
      <c r="J2218">
        <f>Table2[[#This Row],[Hits]]/Table2[[#This Row],[Points]]*100</f>
        <v>0.5</v>
      </c>
      <c r="K2218">
        <f>VLOOKUP(Table2[[#This Row],[Site]],'Site Info'!$A$1:$C$11,2, FALSE)</f>
        <v>11.5</v>
      </c>
      <c r="L2218">
        <f>VLOOKUP(Table2[[#This Row],[Site]],'Site Info'!$A$1:$C$11,3, FALSE)</f>
        <v>11</v>
      </c>
      <c r="M2218" t="e">
        <f>VLOOKUP(Table2[[#This Row],[Species]],'Species Table'!$A$1:$D$68,3, FALSE)</f>
        <v>#N/A</v>
      </c>
      <c r="O2218" s="15">
        <f>IF(SUMPRODUCT(($A$2:$A2218=A2218)*($B$2:$B2218=B2218)*($F$2:$F2218=F2218))&gt;1,0,1)</f>
        <v>0</v>
      </c>
      <c r="P2218" s="15">
        <f>IF(SUMPRODUCT(($A$2:$A2218=A2218)*($B$2:$B2218=B2218)*($D$2:$D2218=D2218))&gt;1,0,1)</f>
        <v>0</v>
      </c>
    </row>
    <row r="2219" spans="1:16" x14ac:dyDescent="0.35">
      <c r="A2219" t="s">
        <v>138</v>
      </c>
      <c r="B2219">
        <v>2019</v>
      </c>
      <c r="C2219" t="s">
        <v>77</v>
      </c>
      <c r="D2219" s="6">
        <v>8.1</v>
      </c>
      <c r="E2219" s="6">
        <v>8</v>
      </c>
      <c r="F2219" s="1" t="s">
        <v>13</v>
      </c>
      <c r="G2219">
        <v>1</v>
      </c>
      <c r="H2219">
        <v>200</v>
      </c>
      <c r="I2219">
        <v>100</v>
      </c>
      <c r="J2219">
        <f>Table2[[#This Row],[Hits]]/Table2[[#This Row],[Points]]*100</f>
        <v>0.5</v>
      </c>
      <c r="K2219">
        <f>VLOOKUP(Table2[[#This Row],[Site]],'Site Info'!$A$1:$C$11,2, FALSE)</f>
        <v>11.5</v>
      </c>
      <c r="L2219">
        <f>VLOOKUP(Table2[[#This Row],[Site]],'Site Info'!$A$1:$C$11,3, FALSE)</f>
        <v>11</v>
      </c>
      <c r="M2219" t="str">
        <f>VLOOKUP(Table2[[#This Row],[Species]],'Species Table'!$A$1:$D$68,3, FALSE)</f>
        <v>Perennial</v>
      </c>
      <c r="O2219" s="15">
        <f>IF(SUMPRODUCT(($A$2:$A2219=A2219)*($B$2:$B2219=B2219)*($F$2:$F2219=F2219))&gt;1,0,1)</f>
        <v>1</v>
      </c>
      <c r="P2219" s="15">
        <f>IF(SUMPRODUCT(($A$2:$A2219=A2219)*($B$2:$B2219=B2219)*($D$2:$D2219=D2219))&gt;1,0,1)</f>
        <v>1</v>
      </c>
    </row>
    <row r="2220" spans="1:16" x14ac:dyDescent="0.35">
      <c r="A2220" t="s">
        <v>138</v>
      </c>
      <c r="B2220">
        <v>2019</v>
      </c>
      <c r="C2220" t="s">
        <v>77</v>
      </c>
      <c r="D2220" s="6">
        <v>8.1</v>
      </c>
      <c r="E2220" s="6">
        <v>8</v>
      </c>
      <c r="F2220" s="1" t="s">
        <v>3</v>
      </c>
      <c r="G2220">
        <v>2</v>
      </c>
      <c r="H2220">
        <v>200</v>
      </c>
      <c r="I2220">
        <v>100</v>
      </c>
      <c r="J2220">
        <f>Table2[[#This Row],[Hits]]/Table2[[#This Row],[Points]]*100</f>
        <v>1</v>
      </c>
      <c r="K2220">
        <f>VLOOKUP(Table2[[#This Row],[Site]],'Site Info'!$A$1:$C$11,2, FALSE)</f>
        <v>11.5</v>
      </c>
      <c r="L2220">
        <f>VLOOKUP(Table2[[#This Row],[Site]],'Site Info'!$A$1:$C$11,3, FALSE)</f>
        <v>11</v>
      </c>
      <c r="M2220" t="str">
        <f>VLOOKUP(Table2[[#This Row],[Species]],'Species Table'!$A$1:$D$68,3, FALSE)</f>
        <v>Perennial</v>
      </c>
      <c r="O2220" s="15">
        <f>IF(SUMPRODUCT(($A$2:$A2220=A2220)*($B$2:$B2220=B2220)*($F$2:$F2220=F2220))&gt;1,0,1)</f>
        <v>0</v>
      </c>
      <c r="P2220" s="15">
        <f>IF(SUMPRODUCT(($A$2:$A2220=A2220)*($B$2:$B2220=B2220)*($D$2:$D2220=D2220))&gt;1,0,1)</f>
        <v>0</v>
      </c>
    </row>
    <row r="2221" spans="1:16" x14ac:dyDescent="0.35">
      <c r="A2221" t="s">
        <v>138</v>
      </c>
      <c r="B2221">
        <v>2019</v>
      </c>
      <c r="C2221" t="s">
        <v>77</v>
      </c>
      <c r="D2221" s="6">
        <v>8.1</v>
      </c>
      <c r="E2221" s="6">
        <v>8</v>
      </c>
      <c r="F2221" s="1" t="s">
        <v>14</v>
      </c>
      <c r="G2221">
        <v>3</v>
      </c>
      <c r="H2221">
        <v>200</v>
      </c>
      <c r="I2221">
        <v>100</v>
      </c>
      <c r="J2221">
        <f>Table2[[#This Row],[Hits]]/Table2[[#This Row],[Points]]*100</f>
        <v>1.5</v>
      </c>
      <c r="K2221">
        <f>VLOOKUP(Table2[[#This Row],[Site]],'Site Info'!$A$1:$C$11,2, FALSE)</f>
        <v>11.5</v>
      </c>
      <c r="L2221">
        <f>VLOOKUP(Table2[[#This Row],[Site]],'Site Info'!$A$1:$C$11,3, FALSE)</f>
        <v>11</v>
      </c>
      <c r="M2221" t="str">
        <f>VLOOKUP(Table2[[#This Row],[Species]],'Species Table'!$A$1:$D$68,3, FALSE)</f>
        <v>Perennial</v>
      </c>
      <c r="O2221" s="15">
        <f>IF(SUMPRODUCT(($A$2:$A2221=A2221)*($B$2:$B2221=B2221)*($F$2:$F2221=F2221))&gt;1,0,1)</f>
        <v>1</v>
      </c>
      <c r="P2221" s="15">
        <f>IF(SUMPRODUCT(($A$2:$A2221=A2221)*($B$2:$B2221=B2221)*($D$2:$D2221=D2221))&gt;1,0,1)</f>
        <v>0</v>
      </c>
    </row>
    <row r="2222" spans="1:16" x14ac:dyDescent="0.35">
      <c r="A2222" t="s">
        <v>138</v>
      </c>
      <c r="B2222">
        <v>2019</v>
      </c>
      <c r="C2222" t="s">
        <v>77</v>
      </c>
      <c r="D2222" s="6">
        <v>8.1</v>
      </c>
      <c r="E2222" s="6">
        <v>8</v>
      </c>
      <c r="F2222" s="1" t="s">
        <v>11</v>
      </c>
      <c r="G2222">
        <v>11</v>
      </c>
      <c r="H2222">
        <v>200</v>
      </c>
      <c r="I2222">
        <v>100</v>
      </c>
      <c r="J2222">
        <f>Table2[[#This Row],[Hits]]/Table2[[#This Row],[Points]]*100</f>
        <v>5.5</v>
      </c>
      <c r="K2222">
        <f>VLOOKUP(Table2[[#This Row],[Site]],'Site Info'!$A$1:$C$11,2, FALSE)</f>
        <v>11.5</v>
      </c>
      <c r="L2222">
        <f>VLOOKUP(Table2[[#This Row],[Site]],'Site Info'!$A$1:$C$11,3, FALSE)</f>
        <v>11</v>
      </c>
      <c r="M2222" t="str">
        <f>VLOOKUP(Table2[[#This Row],[Species]],'Species Table'!$A$1:$D$68,3, FALSE)</f>
        <v>Perennial</v>
      </c>
      <c r="O2222" s="15">
        <f>IF(SUMPRODUCT(($A$2:$A2222=A2222)*($B$2:$B2222=B2222)*($F$2:$F2222=F2222))&gt;1,0,1)</f>
        <v>0</v>
      </c>
      <c r="P2222" s="15">
        <f>IF(SUMPRODUCT(($A$2:$A2222=A2222)*($B$2:$B2222=B2222)*($D$2:$D2222=D2222))&gt;1,0,1)</f>
        <v>0</v>
      </c>
    </row>
    <row r="2223" spans="1:16" hidden="1" x14ac:dyDescent="0.35">
      <c r="A2223" t="s">
        <v>138</v>
      </c>
      <c r="B2223">
        <v>2019</v>
      </c>
      <c r="C2223" t="s">
        <v>77</v>
      </c>
      <c r="D2223" s="6">
        <v>8.1</v>
      </c>
      <c r="E2223" s="6">
        <v>8</v>
      </c>
      <c r="F2223" s="1" t="s">
        <v>10</v>
      </c>
      <c r="G2223">
        <v>67</v>
      </c>
      <c r="H2223">
        <v>200</v>
      </c>
      <c r="I2223">
        <v>100</v>
      </c>
      <c r="J2223">
        <f>Table2[[#This Row],[Hits]]/Table2[[#This Row],[Points]]*100</f>
        <v>33.5</v>
      </c>
      <c r="K2223">
        <f>VLOOKUP(Table2[[#This Row],[Site]],'Site Info'!$A$1:$C$11,2, FALSE)</f>
        <v>11.5</v>
      </c>
      <c r="L2223">
        <f>VLOOKUP(Table2[[#This Row],[Site]],'Site Info'!$A$1:$C$11,3, FALSE)</f>
        <v>11</v>
      </c>
      <c r="M2223" t="str">
        <f>VLOOKUP(Table2[[#This Row],[Species]],'Species Table'!$A$1:$D$68,3, FALSE)</f>
        <v>Annual</v>
      </c>
      <c r="O2223" s="15">
        <f>IF(SUMPRODUCT(($A$2:$A2223=A2223)*($B$2:$B2223=B2223)*($F$2:$F2223=F2223))&gt;1,0,1)</f>
        <v>0</v>
      </c>
      <c r="P2223" s="15">
        <f>IF(SUMPRODUCT(($A$2:$A2223=A2223)*($B$2:$B2223=B2223)*($D$2:$D2223=D2223))&gt;1,0,1)</f>
        <v>0</v>
      </c>
    </row>
    <row r="2224" spans="1:16" x14ac:dyDescent="0.35">
      <c r="A2224" t="s">
        <v>138</v>
      </c>
      <c r="B2224">
        <v>2019</v>
      </c>
      <c r="C2224" t="s">
        <v>77</v>
      </c>
      <c r="D2224" s="6">
        <v>8.1</v>
      </c>
      <c r="E2224" s="6">
        <v>8</v>
      </c>
      <c r="F2224" s="1" t="s">
        <v>23</v>
      </c>
      <c r="G2224">
        <v>1</v>
      </c>
      <c r="H2224">
        <v>200</v>
      </c>
      <c r="I2224">
        <v>100</v>
      </c>
      <c r="J2224">
        <f>Table2[[#This Row],[Hits]]/Table2[[#This Row],[Points]]*100</f>
        <v>0.5</v>
      </c>
      <c r="K2224">
        <f>VLOOKUP(Table2[[#This Row],[Site]],'Site Info'!$A$1:$C$11,2, FALSE)</f>
        <v>11.5</v>
      </c>
      <c r="L2224">
        <f>VLOOKUP(Table2[[#This Row],[Site]],'Site Info'!$A$1:$C$11,3, FALSE)</f>
        <v>11</v>
      </c>
      <c r="M2224" t="str">
        <f>VLOOKUP(Table2[[#This Row],[Species]],'Species Table'!$A$1:$D$68,3, FALSE)</f>
        <v>Perennial</v>
      </c>
      <c r="O2224" s="15">
        <f>IF(SUMPRODUCT(($A$2:$A2224=A2224)*($B$2:$B2224=B2224)*($F$2:$F2224=F2224))&gt;1,0,1)</f>
        <v>0</v>
      </c>
      <c r="P2224" s="15">
        <f>IF(SUMPRODUCT(($A$2:$A2224=A2224)*($B$2:$B2224=B2224)*($D$2:$D2224=D2224))&gt;1,0,1)</f>
        <v>0</v>
      </c>
    </row>
    <row r="2225" spans="1:16" x14ac:dyDescent="0.35">
      <c r="A2225" t="s">
        <v>138</v>
      </c>
      <c r="B2225">
        <v>2019</v>
      </c>
      <c r="C2225" t="s">
        <v>77</v>
      </c>
      <c r="D2225" s="6">
        <v>8.1</v>
      </c>
      <c r="E2225" s="6">
        <v>8</v>
      </c>
      <c r="F2225" s="1" t="s">
        <v>29</v>
      </c>
      <c r="G2225">
        <v>9</v>
      </c>
      <c r="H2225">
        <v>200</v>
      </c>
      <c r="I2225">
        <v>100</v>
      </c>
      <c r="J2225">
        <f>Table2[[#This Row],[Hits]]/Table2[[#This Row],[Points]]*100</f>
        <v>4.5</v>
      </c>
      <c r="K2225">
        <f>VLOOKUP(Table2[[#This Row],[Site]],'Site Info'!$A$1:$C$11,2, FALSE)</f>
        <v>11.5</v>
      </c>
      <c r="L2225">
        <f>VLOOKUP(Table2[[#This Row],[Site]],'Site Info'!$A$1:$C$11,3, FALSE)</f>
        <v>11</v>
      </c>
      <c r="M2225" t="str">
        <f>VLOOKUP(Table2[[#This Row],[Species]],'Species Table'!$A$1:$D$68,3, FALSE)</f>
        <v>Perennial</v>
      </c>
      <c r="O2225" s="15">
        <f>IF(SUMPRODUCT(($A$2:$A2225=A2225)*($B$2:$B2225=B2225)*($F$2:$F2225=F2225))&gt;1,0,1)</f>
        <v>0</v>
      </c>
      <c r="P2225" s="15">
        <f>IF(SUMPRODUCT(($A$2:$A2225=A2225)*($B$2:$B2225=B2225)*($D$2:$D2225=D2225))&gt;1,0,1)</f>
        <v>0</v>
      </c>
    </row>
    <row r="2226" spans="1:16" hidden="1" x14ac:dyDescent="0.35">
      <c r="A2226" t="s">
        <v>138</v>
      </c>
      <c r="B2226">
        <v>2019</v>
      </c>
      <c r="C2226" t="s">
        <v>118</v>
      </c>
      <c r="D2226" s="6">
        <v>8.1999999999999993</v>
      </c>
      <c r="E2226" s="6">
        <v>8</v>
      </c>
      <c r="F2226" s="1" t="s">
        <v>10</v>
      </c>
      <c r="G2226">
        <v>129</v>
      </c>
      <c r="H2226">
        <v>200</v>
      </c>
      <c r="I2226">
        <v>100</v>
      </c>
      <c r="J2226">
        <f>Table2[[#This Row],[Hits]]/Table2[[#This Row],[Points]]*100</f>
        <v>64.5</v>
      </c>
      <c r="K2226">
        <f>VLOOKUP(Table2[[#This Row],[Site]],'Site Info'!$A$1:$C$11,2, FALSE)</f>
        <v>11.5</v>
      </c>
      <c r="L2226">
        <f>VLOOKUP(Table2[[#This Row],[Site]],'Site Info'!$A$1:$C$11,3, FALSE)</f>
        <v>11</v>
      </c>
      <c r="M2226" t="str">
        <f>VLOOKUP(Table2[[#This Row],[Species]],'Species Table'!$A$1:$D$68,3, FALSE)</f>
        <v>Annual</v>
      </c>
      <c r="O2226" s="15">
        <f>IF(SUMPRODUCT(($A$2:$A2226=A2226)*($B$2:$B2226=B2226)*($F$2:$F2226=F2226))&gt;1,0,1)</f>
        <v>0</v>
      </c>
      <c r="P2226" s="15">
        <f>IF(SUMPRODUCT(($A$2:$A2226=A2226)*($B$2:$B2226=B2226)*($D$2:$D2226=D2226))&gt;1,0,1)</f>
        <v>1</v>
      </c>
    </row>
    <row r="2227" spans="1:16" hidden="1" x14ac:dyDescent="0.35">
      <c r="A2227" t="s">
        <v>138</v>
      </c>
      <c r="B2227">
        <v>2019</v>
      </c>
      <c r="C2227" t="s">
        <v>118</v>
      </c>
      <c r="D2227" s="6">
        <v>8.1999999999999993</v>
      </c>
      <c r="E2227" s="6">
        <v>8</v>
      </c>
      <c r="F2227" s="1" t="s">
        <v>171</v>
      </c>
      <c r="G2227">
        <v>1</v>
      </c>
      <c r="H2227">
        <v>200</v>
      </c>
      <c r="I2227">
        <v>100</v>
      </c>
      <c r="J2227">
        <f>Table2[[#This Row],[Hits]]/Table2[[#This Row],[Points]]*100</f>
        <v>0.5</v>
      </c>
      <c r="K2227">
        <f>VLOOKUP(Table2[[#This Row],[Site]],'Site Info'!$A$1:$C$11,2, FALSE)</f>
        <v>11.5</v>
      </c>
      <c r="L2227">
        <f>VLOOKUP(Table2[[#This Row],[Site]],'Site Info'!$A$1:$C$11,3, FALSE)</f>
        <v>11</v>
      </c>
      <c r="M2227" t="str">
        <f>VLOOKUP(Table2[[#This Row],[Species]],'Species Table'!$A$1:$D$68,3, FALSE)</f>
        <v>Annual</v>
      </c>
      <c r="O2227" s="15">
        <f>IF(SUMPRODUCT(($A$2:$A2227=A2227)*($B$2:$B2227=B2227)*($F$2:$F2227=F2227))&gt;1,0,1)</f>
        <v>0</v>
      </c>
      <c r="P2227" s="15">
        <f>IF(SUMPRODUCT(($A$2:$A2227=A2227)*($B$2:$B2227=B2227)*($D$2:$D2227=D2227))&gt;1,0,1)</f>
        <v>0</v>
      </c>
    </row>
    <row r="2228" spans="1:16" hidden="1" x14ac:dyDescent="0.35">
      <c r="A2228" t="s">
        <v>138</v>
      </c>
      <c r="B2228">
        <v>2019</v>
      </c>
      <c r="C2228" t="s">
        <v>118</v>
      </c>
      <c r="D2228" s="6">
        <v>8.1999999999999993</v>
      </c>
      <c r="E2228" s="6">
        <v>8</v>
      </c>
      <c r="F2228" s="1" t="s">
        <v>20</v>
      </c>
      <c r="G2228">
        <v>3</v>
      </c>
      <c r="H2228">
        <v>200</v>
      </c>
      <c r="I2228">
        <v>100</v>
      </c>
      <c r="J2228">
        <f>Table2[[#This Row],[Hits]]/Table2[[#This Row],[Points]]*100</f>
        <v>1.5</v>
      </c>
      <c r="K2228">
        <f>VLOOKUP(Table2[[#This Row],[Site]],'Site Info'!$A$1:$C$11,2, FALSE)</f>
        <v>11.5</v>
      </c>
      <c r="L2228">
        <f>VLOOKUP(Table2[[#This Row],[Site]],'Site Info'!$A$1:$C$11,3, FALSE)</f>
        <v>11</v>
      </c>
      <c r="M2228" t="str">
        <f>VLOOKUP(Table2[[#This Row],[Species]],'Species Table'!$A$1:$D$68,3, FALSE)</f>
        <v>Annual</v>
      </c>
      <c r="O2228" s="15">
        <f>IF(SUMPRODUCT(($A$2:$A2228=A2228)*($B$2:$B2228=B2228)*($F$2:$F2228=F2228))&gt;1,0,1)</f>
        <v>0</v>
      </c>
      <c r="P2228" s="15">
        <f>IF(SUMPRODUCT(($A$2:$A2228=A2228)*($B$2:$B2228=B2228)*($D$2:$D2228=D2228))&gt;1,0,1)</f>
        <v>0</v>
      </c>
    </row>
    <row r="2229" spans="1:16" x14ac:dyDescent="0.35">
      <c r="A2229" t="s">
        <v>138</v>
      </c>
      <c r="B2229">
        <v>2019</v>
      </c>
      <c r="C2229" t="s">
        <v>118</v>
      </c>
      <c r="D2229" s="6">
        <v>8.1999999999999993</v>
      </c>
      <c r="E2229" s="6">
        <v>8</v>
      </c>
      <c r="F2229" s="1" t="s">
        <v>13</v>
      </c>
      <c r="G2229">
        <v>1</v>
      </c>
      <c r="H2229">
        <v>200</v>
      </c>
      <c r="I2229">
        <v>100</v>
      </c>
      <c r="J2229">
        <f>Table2[[#This Row],[Hits]]/Table2[[#This Row],[Points]]*100</f>
        <v>0.5</v>
      </c>
      <c r="K2229">
        <f>VLOOKUP(Table2[[#This Row],[Site]],'Site Info'!$A$1:$C$11,2, FALSE)</f>
        <v>11.5</v>
      </c>
      <c r="L2229">
        <f>VLOOKUP(Table2[[#This Row],[Site]],'Site Info'!$A$1:$C$11,3, FALSE)</f>
        <v>11</v>
      </c>
      <c r="M2229" t="str">
        <f>VLOOKUP(Table2[[#This Row],[Species]],'Species Table'!$A$1:$D$68,3, FALSE)</f>
        <v>Perennial</v>
      </c>
      <c r="O2229" s="15">
        <f>IF(SUMPRODUCT(($A$2:$A2229=A2229)*($B$2:$B2229=B2229)*($F$2:$F2229=F2229))&gt;1,0,1)</f>
        <v>0</v>
      </c>
      <c r="P2229" s="15">
        <f>IF(SUMPRODUCT(($A$2:$A2229=A2229)*($B$2:$B2229=B2229)*($D$2:$D2229=D2229))&gt;1,0,1)</f>
        <v>0</v>
      </c>
    </row>
    <row r="2230" spans="1:16" hidden="1" x14ac:dyDescent="0.35">
      <c r="A2230" t="s">
        <v>138</v>
      </c>
      <c r="B2230">
        <v>2019</v>
      </c>
      <c r="C2230" t="s">
        <v>71</v>
      </c>
      <c r="D2230" s="6">
        <v>7.1</v>
      </c>
      <c r="E2230" s="6">
        <v>7</v>
      </c>
      <c r="F2230" s="1" t="s">
        <v>10</v>
      </c>
      <c r="G2230">
        <v>59</v>
      </c>
      <c r="H2230">
        <v>200</v>
      </c>
      <c r="I2230">
        <v>100</v>
      </c>
      <c r="J2230">
        <f>Table2[[#This Row],[Hits]]/Table2[[#This Row],[Points]]*100</f>
        <v>29.5</v>
      </c>
      <c r="K2230">
        <f>VLOOKUP(Table2[[#This Row],[Site]],'Site Info'!$A$1:$C$11,2, FALSE)</f>
        <v>11.5</v>
      </c>
      <c r="L2230">
        <f>VLOOKUP(Table2[[#This Row],[Site]],'Site Info'!$A$1:$C$11,3, FALSE)</f>
        <v>11</v>
      </c>
      <c r="M2230" t="str">
        <f>VLOOKUP(Table2[[#This Row],[Species]],'Species Table'!$A$1:$D$68,3, FALSE)</f>
        <v>Annual</v>
      </c>
      <c r="O2230" s="15">
        <f>IF(SUMPRODUCT(($A$2:$A2230=A2230)*($B$2:$B2230=B2230)*($F$2:$F2230=F2230))&gt;1,0,1)</f>
        <v>0</v>
      </c>
      <c r="P2230" s="15">
        <f>IF(SUMPRODUCT(($A$2:$A2230=A2230)*($B$2:$B2230=B2230)*($D$2:$D2230=D2230))&gt;1,0,1)</f>
        <v>1</v>
      </c>
    </row>
    <row r="2231" spans="1:16" x14ac:dyDescent="0.35">
      <c r="A2231" t="s">
        <v>138</v>
      </c>
      <c r="B2231">
        <v>2019</v>
      </c>
      <c r="C2231" t="s">
        <v>71</v>
      </c>
      <c r="D2231" s="6">
        <v>7.1</v>
      </c>
      <c r="E2231" s="6">
        <v>7</v>
      </c>
      <c r="F2231" s="1" t="s">
        <v>139</v>
      </c>
      <c r="G2231">
        <v>2</v>
      </c>
      <c r="H2231">
        <v>200</v>
      </c>
      <c r="I2231">
        <v>100</v>
      </c>
      <c r="J2231">
        <f>Table2[[#This Row],[Hits]]/Table2[[#This Row],[Points]]*100</f>
        <v>1</v>
      </c>
      <c r="K2231">
        <f>VLOOKUP(Table2[[#This Row],[Site]],'Site Info'!$A$1:$C$11,2, FALSE)</f>
        <v>11.5</v>
      </c>
      <c r="L2231">
        <f>VLOOKUP(Table2[[#This Row],[Site]],'Site Info'!$A$1:$C$11,3, FALSE)</f>
        <v>11</v>
      </c>
      <c r="M2231" t="str">
        <f>VLOOKUP(Table2[[#This Row],[Species]],'Species Table'!$A$1:$D$68,3, FALSE)</f>
        <v>Perennial</v>
      </c>
      <c r="O2231" s="15">
        <f>IF(SUMPRODUCT(($A$2:$A2231=A2231)*($B$2:$B2231=B2231)*($F$2:$F2231=F2231))&gt;1,0,1)</f>
        <v>0</v>
      </c>
      <c r="P2231" s="15">
        <f>IF(SUMPRODUCT(($A$2:$A2231=A2231)*($B$2:$B2231=B2231)*($D$2:$D2231=D2231))&gt;1,0,1)</f>
        <v>0</v>
      </c>
    </row>
    <row r="2232" spans="1:16" hidden="1" x14ac:dyDescent="0.35">
      <c r="A2232" t="s">
        <v>138</v>
      </c>
      <c r="B2232">
        <v>2019</v>
      </c>
      <c r="C2232" t="s">
        <v>117</v>
      </c>
      <c r="D2232" s="6">
        <v>7.2</v>
      </c>
      <c r="E2232" s="6">
        <v>7</v>
      </c>
      <c r="F2232" s="1" t="s">
        <v>10</v>
      </c>
      <c r="G2232">
        <v>41</v>
      </c>
      <c r="H2232">
        <v>200</v>
      </c>
      <c r="I2232">
        <v>100</v>
      </c>
      <c r="J2232">
        <f>Table2[[#This Row],[Hits]]/Table2[[#This Row],[Points]]*100</f>
        <v>20.5</v>
      </c>
      <c r="K2232">
        <f>VLOOKUP(Table2[[#This Row],[Site]],'Site Info'!$A$1:$C$11,2, FALSE)</f>
        <v>11.5</v>
      </c>
      <c r="L2232">
        <f>VLOOKUP(Table2[[#This Row],[Site]],'Site Info'!$A$1:$C$11,3, FALSE)</f>
        <v>11</v>
      </c>
      <c r="M2232" t="str">
        <f>VLOOKUP(Table2[[#This Row],[Species]],'Species Table'!$A$1:$D$68,3, FALSE)</f>
        <v>Annual</v>
      </c>
      <c r="O2232" s="15">
        <f>IF(SUMPRODUCT(($A$2:$A2232=A2232)*($B$2:$B2232=B2232)*($F$2:$F2232=F2232))&gt;1,0,1)</f>
        <v>0</v>
      </c>
      <c r="P2232" s="15">
        <f>IF(SUMPRODUCT(($A$2:$A2232=A2232)*($B$2:$B2232=B2232)*($D$2:$D2232=D2232))&gt;1,0,1)</f>
        <v>1</v>
      </c>
    </row>
    <row r="2233" spans="1:16" hidden="1" x14ac:dyDescent="0.35">
      <c r="A2233" t="s">
        <v>138</v>
      </c>
      <c r="B2233">
        <v>2019</v>
      </c>
      <c r="C2233" t="s">
        <v>117</v>
      </c>
      <c r="D2233" s="6">
        <v>7.2</v>
      </c>
      <c r="E2233" s="6">
        <v>7</v>
      </c>
      <c r="F2233" s="1" t="s">
        <v>20</v>
      </c>
      <c r="G2233">
        <v>6</v>
      </c>
      <c r="H2233">
        <v>200</v>
      </c>
      <c r="I2233">
        <v>100</v>
      </c>
      <c r="J2233">
        <f>Table2[[#This Row],[Hits]]/Table2[[#This Row],[Points]]*100</f>
        <v>3</v>
      </c>
      <c r="K2233">
        <f>VLOOKUP(Table2[[#This Row],[Site]],'Site Info'!$A$1:$C$11,2, FALSE)</f>
        <v>11.5</v>
      </c>
      <c r="L2233">
        <f>VLOOKUP(Table2[[#This Row],[Site]],'Site Info'!$A$1:$C$11,3, FALSE)</f>
        <v>11</v>
      </c>
      <c r="M2233" t="str">
        <f>VLOOKUP(Table2[[#This Row],[Species]],'Species Table'!$A$1:$D$68,3, FALSE)</f>
        <v>Annual</v>
      </c>
      <c r="O2233" s="15">
        <f>IF(SUMPRODUCT(($A$2:$A2233=A2233)*($B$2:$B2233=B2233)*($F$2:$F2233=F2233))&gt;1,0,1)</f>
        <v>0</v>
      </c>
      <c r="P2233" s="15">
        <f>IF(SUMPRODUCT(($A$2:$A2233=A2233)*($B$2:$B2233=B2233)*($D$2:$D2233=D2233))&gt;1,0,1)</f>
        <v>0</v>
      </c>
    </row>
    <row r="2234" spans="1:16" x14ac:dyDescent="0.35">
      <c r="A2234" t="s">
        <v>138</v>
      </c>
      <c r="B2234">
        <v>2019</v>
      </c>
      <c r="C2234" t="s">
        <v>117</v>
      </c>
      <c r="D2234" s="6">
        <v>7.2</v>
      </c>
      <c r="E2234" s="6">
        <v>7</v>
      </c>
      <c r="F2234" s="1" t="s">
        <v>13</v>
      </c>
      <c r="G2234">
        <v>3</v>
      </c>
      <c r="H2234">
        <v>200</v>
      </c>
      <c r="I2234">
        <v>100</v>
      </c>
      <c r="J2234">
        <f>Table2[[#This Row],[Hits]]/Table2[[#This Row],[Points]]*100</f>
        <v>1.5</v>
      </c>
      <c r="K2234">
        <f>VLOOKUP(Table2[[#This Row],[Site]],'Site Info'!$A$1:$C$11,2, FALSE)</f>
        <v>11.5</v>
      </c>
      <c r="L2234">
        <f>VLOOKUP(Table2[[#This Row],[Site]],'Site Info'!$A$1:$C$11,3, FALSE)</f>
        <v>11</v>
      </c>
      <c r="M2234" t="str">
        <f>VLOOKUP(Table2[[#This Row],[Species]],'Species Table'!$A$1:$D$68,3, FALSE)</f>
        <v>Perennial</v>
      </c>
      <c r="O2234" s="15">
        <f>IF(SUMPRODUCT(($A$2:$A2234=A2234)*($B$2:$B2234=B2234)*($F$2:$F2234=F2234))&gt;1,0,1)</f>
        <v>0</v>
      </c>
      <c r="P2234" s="15">
        <f>IF(SUMPRODUCT(($A$2:$A2234=A2234)*($B$2:$B2234=B2234)*($D$2:$D2234=D2234))&gt;1,0,1)</f>
        <v>0</v>
      </c>
    </row>
    <row r="2235" spans="1:16" hidden="1" x14ac:dyDescent="0.35">
      <c r="A2235" t="s">
        <v>138</v>
      </c>
      <c r="B2235">
        <v>2019</v>
      </c>
      <c r="C2235" t="s">
        <v>117</v>
      </c>
      <c r="D2235" s="6">
        <v>7.2</v>
      </c>
      <c r="E2235" s="6">
        <v>7</v>
      </c>
      <c r="F2235" s="1" t="s">
        <v>290</v>
      </c>
      <c r="G2235">
        <v>10</v>
      </c>
      <c r="H2235">
        <v>200</v>
      </c>
      <c r="I2235">
        <v>100</v>
      </c>
      <c r="J2235">
        <f>Table2[[#This Row],[Hits]]/Table2[[#This Row],[Points]]*100</f>
        <v>5</v>
      </c>
      <c r="K2235">
        <f>VLOOKUP(Table2[[#This Row],[Site]],'Site Info'!$A$1:$C$11,2, FALSE)</f>
        <v>11.5</v>
      </c>
      <c r="L2235">
        <f>VLOOKUP(Table2[[#This Row],[Site]],'Site Info'!$A$1:$C$11,3, FALSE)</f>
        <v>11</v>
      </c>
      <c r="M2235" t="e">
        <f>VLOOKUP(Table2[[#This Row],[Species]],'Species Table'!$A$1:$D$68,3, FALSE)</f>
        <v>#N/A</v>
      </c>
      <c r="O2235" s="15">
        <f>IF(SUMPRODUCT(($A$2:$A2235=A2235)*($B$2:$B2235=B2235)*($F$2:$F2235=F2235))&gt;1,0,1)</f>
        <v>0</v>
      </c>
      <c r="P2235" s="15">
        <f>IF(SUMPRODUCT(($A$2:$A2235=A2235)*($B$2:$B2235=B2235)*($D$2:$D2235=D2235))&gt;1,0,1)</f>
        <v>0</v>
      </c>
    </row>
    <row r="2236" spans="1:16" x14ac:dyDescent="0.35">
      <c r="A2236" t="s">
        <v>138</v>
      </c>
      <c r="B2236">
        <v>2019</v>
      </c>
      <c r="C2236" t="s">
        <v>117</v>
      </c>
      <c r="D2236" s="6">
        <v>7.2</v>
      </c>
      <c r="E2236" s="6">
        <v>7</v>
      </c>
      <c r="F2236" s="1" t="s">
        <v>2</v>
      </c>
      <c r="G2236">
        <v>1</v>
      </c>
      <c r="H2236">
        <v>200</v>
      </c>
      <c r="I2236">
        <v>100</v>
      </c>
      <c r="J2236">
        <f>Table2[[#This Row],[Hits]]/Table2[[#This Row],[Points]]*100</f>
        <v>0.5</v>
      </c>
      <c r="K2236">
        <f>VLOOKUP(Table2[[#This Row],[Site]],'Site Info'!$A$1:$C$11,2, FALSE)</f>
        <v>11.5</v>
      </c>
      <c r="L2236">
        <f>VLOOKUP(Table2[[#This Row],[Site]],'Site Info'!$A$1:$C$11,3, FALSE)</f>
        <v>11</v>
      </c>
      <c r="M2236" t="str">
        <f>VLOOKUP(Table2[[#This Row],[Species]],'Species Table'!$A$1:$D$68,3, FALSE)</f>
        <v>Perennial</v>
      </c>
      <c r="O2236" s="15">
        <f>IF(SUMPRODUCT(($A$2:$A2236=A2236)*($B$2:$B2236=B2236)*($F$2:$F2236=F2236))&gt;1,0,1)</f>
        <v>0</v>
      </c>
      <c r="P2236" s="15">
        <f>IF(SUMPRODUCT(($A$2:$A2236=A2236)*($B$2:$B2236=B2236)*($D$2:$D2236=D2236))&gt;1,0,1)</f>
        <v>0</v>
      </c>
    </row>
    <row r="2237" spans="1:16" x14ac:dyDescent="0.35">
      <c r="A2237" t="s">
        <v>138</v>
      </c>
      <c r="B2237">
        <v>2019</v>
      </c>
      <c r="C2237" t="s">
        <v>117</v>
      </c>
      <c r="D2237" s="6">
        <v>7.2</v>
      </c>
      <c r="E2237" s="6">
        <v>7</v>
      </c>
      <c r="F2237" s="1" t="s">
        <v>12</v>
      </c>
      <c r="G2237">
        <v>5</v>
      </c>
      <c r="H2237">
        <v>200</v>
      </c>
      <c r="I2237">
        <v>100</v>
      </c>
      <c r="J2237">
        <f>Table2[[#This Row],[Hits]]/Table2[[#This Row],[Points]]*100</f>
        <v>2.5</v>
      </c>
      <c r="K2237">
        <f>VLOOKUP(Table2[[#This Row],[Site]],'Site Info'!$A$1:$C$11,2, FALSE)</f>
        <v>11.5</v>
      </c>
      <c r="L2237">
        <f>VLOOKUP(Table2[[#This Row],[Site]],'Site Info'!$A$1:$C$11,3, FALSE)</f>
        <v>11</v>
      </c>
      <c r="M2237" t="str">
        <f>VLOOKUP(Table2[[#This Row],[Species]],'Species Table'!$A$1:$D$68,3, FALSE)</f>
        <v>Perennial</v>
      </c>
      <c r="O2237" s="15">
        <f>IF(SUMPRODUCT(($A$2:$A2237=A2237)*($B$2:$B2237=B2237)*($F$2:$F2237=F2237))&gt;1,0,1)</f>
        <v>0</v>
      </c>
      <c r="P2237" s="15">
        <f>IF(SUMPRODUCT(($A$2:$A2237=A2237)*($B$2:$B2237=B2237)*($D$2:$D2237=D2237))&gt;1,0,1)</f>
        <v>0</v>
      </c>
    </row>
    <row r="2238" spans="1:16" x14ac:dyDescent="0.35">
      <c r="A2238" t="s">
        <v>138</v>
      </c>
      <c r="B2238">
        <v>2019</v>
      </c>
      <c r="C2238" t="s">
        <v>117</v>
      </c>
      <c r="D2238" s="6">
        <v>7.2</v>
      </c>
      <c r="E2238" s="6">
        <v>7</v>
      </c>
      <c r="F2238" s="1" t="s">
        <v>11</v>
      </c>
      <c r="G2238">
        <v>4</v>
      </c>
      <c r="H2238">
        <v>200</v>
      </c>
      <c r="I2238">
        <v>100</v>
      </c>
      <c r="J2238">
        <f>Table2[[#This Row],[Hits]]/Table2[[#This Row],[Points]]*100</f>
        <v>2</v>
      </c>
      <c r="K2238">
        <f>VLOOKUP(Table2[[#This Row],[Site]],'Site Info'!$A$1:$C$11,2, FALSE)</f>
        <v>11.5</v>
      </c>
      <c r="L2238">
        <f>VLOOKUP(Table2[[#This Row],[Site]],'Site Info'!$A$1:$C$11,3, FALSE)</f>
        <v>11</v>
      </c>
      <c r="M2238" t="str">
        <f>VLOOKUP(Table2[[#This Row],[Species]],'Species Table'!$A$1:$D$68,3, FALSE)</f>
        <v>Perennial</v>
      </c>
      <c r="O2238" s="15">
        <f>IF(SUMPRODUCT(($A$2:$A2238=A2238)*($B$2:$B2238=B2238)*($F$2:$F2238=F2238))&gt;1,0,1)</f>
        <v>0</v>
      </c>
      <c r="P2238" s="15">
        <f>IF(SUMPRODUCT(($A$2:$A2238=A2238)*($B$2:$B2238=B2238)*($D$2:$D2238=D2238))&gt;1,0,1)</f>
        <v>0</v>
      </c>
    </row>
    <row r="2239" spans="1:16" hidden="1" x14ac:dyDescent="0.35">
      <c r="A2239" t="s">
        <v>138</v>
      </c>
      <c r="B2239">
        <v>2019</v>
      </c>
      <c r="C2239" t="s">
        <v>117</v>
      </c>
      <c r="D2239" s="6">
        <v>7.2</v>
      </c>
      <c r="E2239" s="6">
        <v>7</v>
      </c>
      <c r="F2239" s="1" t="s">
        <v>296</v>
      </c>
      <c r="G2239">
        <v>1</v>
      </c>
      <c r="H2239">
        <v>200</v>
      </c>
      <c r="I2239">
        <v>100</v>
      </c>
      <c r="J2239">
        <f>Table2[[#This Row],[Hits]]/Table2[[#This Row],[Points]]*100</f>
        <v>0.5</v>
      </c>
      <c r="K2239">
        <f>VLOOKUP(Table2[[#This Row],[Site]],'Site Info'!$A$1:$C$11,2, FALSE)</f>
        <v>11.5</v>
      </c>
      <c r="L2239">
        <f>VLOOKUP(Table2[[#This Row],[Site]],'Site Info'!$A$1:$C$11,3, FALSE)</f>
        <v>11</v>
      </c>
      <c r="M2239" t="e">
        <f>VLOOKUP(Table2[[#This Row],[Species]],'Species Table'!$A$1:$D$68,3, FALSE)</f>
        <v>#N/A</v>
      </c>
      <c r="O2239" s="15">
        <f>IF(SUMPRODUCT(($A$2:$A2239=A2239)*($B$2:$B2239=B2239)*($F$2:$F2239=F2239))&gt;1,0,1)</f>
        <v>0</v>
      </c>
      <c r="P2239" s="15">
        <f>IF(SUMPRODUCT(($A$2:$A2239=A2239)*($B$2:$B2239=B2239)*($D$2:$D2239=D2239))&gt;1,0,1)</f>
        <v>0</v>
      </c>
    </row>
    <row r="2240" spans="1:16" x14ac:dyDescent="0.35">
      <c r="A2240" t="s">
        <v>138</v>
      </c>
      <c r="B2240">
        <v>2019</v>
      </c>
      <c r="C2240" t="s">
        <v>117</v>
      </c>
      <c r="D2240" s="6">
        <v>7.2</v>
      </c>
      <c r="E2240" s="6">
        <v>7</v>
      </c>
      <c r="F2240" s="1" t="s">
        <v>214</v>
      </c>
      <c r="G2240">
        <v>1</v>
      </c>
      <c r="H2240">
        <v>200</v>
      </c>
      <c r="I2240">
        <v>100</v>
      </c>
      <c r="J2240">
        <f>Table2[[#This Row],[Hits]]/Table2[[#This Row],[Points]]*100</f>
        <v>0.5</v>
      </c>
      <c r="K2240">
        <f>VLOOKUP(Table2[[#This Row],[Site]],'Site Info'!$A$1:$C$11,2, FALSE)</f>
        <v>11.5</v>
      </c>
      <c r="L2240">
        <f>VLOOKUP(Table2[[#This Row],[Site]],'Site Info'!$A$1:$C$11,3, FALSE)</f>
        <v>11</v>
      </c>
      <c r="M2240" t="str">
        <f>VLOOKUP(Table2[[#This Row],[Species]],'Species Table'!$A$1:$D$68,3, FALSE)</f>
        <v>Perennial</v>
      </c>
      <c r="O2240" s="15">
        <f>IF(SUMPRODUCT(($A$2:$A2240=A2240)*($B$2:$B2240=B2240)*($F$2:$F2240=F2240))&gt;1,0,1)</f>
        <v>1</v>
      </c>
      <c r="P2240" s="15">
        <f>IF(SUMPRODUCT(($A$2:$A2240=A2240)*($B$2:$B2240=B2240)*($D$2:$D2240=D2240))&gt;1,0,1)</f>
        <v>0</v>
      </c>
    </row>
    <row r="2241" spans="1:16" x14ac:dyDescent="0.35">
      <c r="A2241" t="s">
        <v>18</v>
      </c>
      <c r="B2241">
        <v>2019</v>
      </c>
      <c r="C2241" t="s">
        <v>37</v>
      </c>
      <c r="D2241" s="6">
        <v>1.1000000000000001</v>
      </c>
      <c r="E2241" s="6">
        <v>1</v>
      </c>
      <c r="F2241" s="1" t="s">
        <v>11</v>
      </c>
      <c r="G2241">
        <v>43</v>
      </c>
      <c r="H2241">
        <v>200</v>
      </c>
      <c r="I2241">
        <v>100</v>
      </c>
      <c r="J2241">
        <f>Table2[[#This Row],[Hits]]/Table2[[#This Row],[Points]]*100</f>
        <v>21.5</v>
      </c>
      <c r="K2241">
        <f>VLOOKUP(Table2[[#This Row],[Site]],'Site Info'!$A$1:$C$11,2, FALSE)</f>
        <v>15</v>
      </c>
      <c r="L2241">
        <f>VLOOKUP(Table2[[#This Row],[Site]],'Site Info'!$A$1:$C$11,3, FALSE)</f>
        <v>12</v>
      </c>
      <c r="M2241" t="str">
        <f>VLOOKUP(Table2[[#This Row],[Species]],'Species Table'!$A$1:$D$68,3, FALSE)</f>
        <v>Perennial</v>
      </c>
      <c r="O2241" s="15">
        <f>IF(SUMPRODUCT(($A$2:$A2241=A2241)*($B$2:$B2241=B2241)*($F$2:$F2241=F2241))&gt;1,0,1)</f>
        <v>1</v>
      </c>
      <c r="P2241" s="15">
        <f>IF(SUMPRODUCT(($A$2:$A2241=A2241)*($B$2:$B2241=B2241)*($D$2:$D2241=D2241))&gt;1,0,1)</f>
        <v>1</v>
      </c>
    </row>
    <row r="2242" spans="1:16" x14ac:dyDescent="0.35">
      <c r="A2242" t="s">
        <v>18</v>
      </c>
      <c r="B2242">
        <v>2019</v>
      </c>
      <c r="C2242" t="s">
        <v>38</v>
      </c>
      <c r="D2242" s="6">
        <v>1.2</v>
      </c>
      <c r="E2242" s="6">
        <v>1</v>
      </c>
      <c r="F2242" s="1" t="s">
        <v>11</v>
      </c>
      <c r="G2242">
        <v>29</v>
      </c>
      <c r="H2242">
        <v>200</v>
      </c>
      <c r="I2242">
        <v>100</v>
      </c>
      <c r="J2242">
        <f>Table2[[#This Row],[Hits]]/Table2[[#This Row],[Points]]*100</f>
        <v>14.499999999999998</v>
      </c>
      <c r="K2242">
        <f>VLOOKUP(Table2[[#This Row],[Site]],'Site Info'!$A$1:$C$11,2, FALSE)</f>
        <v>15</v>
      </c>
      <c r="L2242">
        <f>VLOOKUP(Table2[[#This Row],[Site]],'Site Info'!$A$1:$C$11,3, FALSE)</f>
        <v>12</v>
      </c>
      <c r="M2242" t="str">
        <f>VLOOKUP(Table2[[#This Row],[Species]],'Species Table'!$A$1:$D$68,3, FALSE)</f>
        <v>Perennial</v>
      </c>
      <c r="O2242" s="15">
        <f>IF(SUMPRODUCT(($A$2:$A2242=A2242)*($B$2:$B2242=B2242)*($F$2:$F2242=F2242))&gt;1,0,1)</f>
        <v>0</v>
      </c>
      <c r="P2242" s="15">
        <f>IF(SUMPRODUCT(($A$2:$A2242=A2242)*($B$2:$B2242=B2242)*($D$2:$D2242=D2242))&gt;1,0,1)</f>
        <v>1</v>
      </c>
    </row>
    <row r="2243" spans="1:16" hidden="1" x14ac:dyDescent="0.35">
      <c r="A2243" t="s">
        <v>18</v>
      </c>
      <c r="B2243">
        <v>2019</v>
      </c>
      <c r="C2243" t="s">
        <v>83</v>
      </c>
      <c r="D2243" s="6">
        <v>1.3</v>
      </c>
      <c r="E2243" s="6">
        <v>1</v>
      </c>
      <c r="F2243" s="1" t="s">
        <v>10</v>
      </c>
      <c r="G2243">
        <v>4</v>
      </c>
      <c r="H2243">
        <v>200</v>
      </c>
      <c r="I2243">
        <v>100</v>
      </c>
      <c r="J2243">
        <f>Table2[[#This Row],[Hits]]/Table2[[#This Row],[Points]]*100</f>
        <v>2</v>
      </c>
      <c r="K2243">
        <f>VLOOKUP(Table2[[#This Row],[Site]],'Site Info'!$A$1:$C$11,2, FALSE)</f>
        <v>15</v>
      </c>
      <c r="L2243">
        <f>VLOOKUP(Table2[[#This Row],[Site]],'Site Info'!$A$1:$C$11,3, FALSE)</f>
        <v>12</v>
      </c>
      <c r="M2243" t="str">
        <f>VLOOKUP(Table2[[#This Row],[Species]],'Species Table'!$A$1:$D$68,3, FALSE)</f>
        <v>Annual</v>
      </c>
      <c r="O2243" s="15">
        <f>IF(SUMPRODUCT(($A$2:$A2243=A2243)*($B$2:$B2243=B2243)*($F$2:$F2243=F2243))&gt;1,0,1)</f>
        <v>1</v>
      </c>
      <c r="P2243" s="15">
        <f>IF(SUMPRODUCT(($A$2:$A2243=A2243)*($B$2:$B2243=B2243)*($D$2:$D2243=D2243))&gt;1,0,1)</f>
        <v>1</v>
      </c>
    </row>
    <row r="2244" spans="1:16" x14ac:dyDescent="0.35">
      <c r="A2244" t="s">
        <v>18</v>
      </c>
      <c r="B2244">
        <v>2019</v>
      </c>
      <c r="C2244" t="s">
        <v>83</v>
      </c>
      <c r="D2244" s="6">
        <v>1.3</v>
      </c>
      <c r="E2244" s="6">
        <v>1</v>
      </c>
      <c r="F2244" s="1" t="s">
        <v>11</v>
      </c>
      <c r="G2244">
        <v>38</v>
      </c>
      <c r="H2244">
        <v>200</v>
      </c>
      <c r="I2244">
        <v>100</v>
      </c>
      <c r="J2244">
        <f>Table2[[#This Row],[Hits]]/Table2[[#This Row],[Points]]*100</f>
        <v>19</v>
      </c>
      <c r="K2244">
        <f>VLOOKUP(Table2[[#This Row],[Site]],'Site Info'!$A$1:$C$11,2, FALSE)</f>
        <v>15</v>
      </c>
      <c r="L2244">
        <f>VLOOKUP(Table2[[#This Row],[Site]],'Site Info'!$A$1:$C$11,3, FALSE)</f>
        <v>12</v>
      </c>
      <c r="M2244" t="str">
        <f>VLOOKUP(Table2[[#This Row],[Species]],'Species Table'!$A$1:$D$68,3, FALSE)</f>
        <v>Perennial</v>
      </c>
      <c r="O2244" s="15">
        <f>IF(SUMPRODUCT(($A$2:$A2244=A2244)*($B$2:$B2244=B2244)*($F$2:$F2244=F2244))&gt;1,0,1)</f>
        <v>0</v>
      </c>
      <c r="P2244" s="15">
        <f>IF(SUMPRODUCT(($A$2:$A2244=A2244)*($B$2:$B2244=B2244)*($D$2:$D2244=D2244))&gt;1,0,1)</f>
        <v>0</v>
      </c>
    </row>
    <row r="2245" spans="1:16" x14ac:dyDescent="0.35">
      <c r="A2245" t="s">
        <v>18</v>
      </c>
      <c r="B2245">
        <v>2019</v>
      </c>
      <c r="C2245" t="s">
        <v>39</v>
      </c>
      <c r="D2245" s="6">
        <v>1.4</v>
      </c>
      <c r="E2245" s="6">
        <v>1</v>
      </c>
      <c r="F2245" s="1" t="s">
        <v>11</v>
      </c>
      <c r="G2245">
        <v>52</v>
      </c>
      <c r="H2245">
        <v>200</v>
      </c>
      <c r="I2245">
        <v>100</v>
      </c>
      <c r="J2245">
        <f>Table2[[#This Row],[Hits]]/Table2[[#This Row],[Points]]*100</f>
        <v>26</v>
      </c>
      <c r="K2245">
        <f>VLOOKUP(Table2[[#This Row],[Site]],'Site Info'!$A$1:$C$11,2, FALSE)</f>
        <v>15</v>
      </c>
      <c r="L2245">
        <f>VLOOKUP(Table2[[#This Row],[Site]],'Site Info'!$A$1:$C$11,3, FALSE)</f>
        <v>12</v>
      </c>
      <c r="M2245" t="str">
        <f>VLOOKUP(Table2[[#This Row],[Species]],'Species Table'!$A$1:$D$68,3, FALSE)</f>
        <v>Perennial</v>
      </c>
      <c r="O2245" s="15">
        <f>IF(SUMPRODUCT(($A$2:$A2245=A2245)*($B$2:$B2245=B2245)*($F$2:$F2245=F2245))&gt;1,0,1)</f>
        <v>0</v>
      </c>
      <c r="P2245" s="15">
        <f>IF(SUMPRODUCT(($A$2:$A2245=A2245)*($B$2:$B2245=B2245)*($D$2:$D2245=D2245))&gt;1,0,1)</f>
        <v>1</v>
      </c>
    </row>
    <row r="2246" spans="1:16" x14ac:dyDescent="0.35">
      <c r="A2246" t="s">
        <v>18</v>
      </c>
      <c r="B2246">
        <v>2019</v>
      </c>
      <c r="C2246" t="s">
        <v>84</v>
      </c>
      <c r="D2246" s="6">
        <v>1.5</v>
      </c>
      <c r="E2246" s="6">
        <v>1</v>
      </c>
      <c r="F2246" s="1" t="s">
        <v>11</v>
      </c>
      <c r="G2246">
        <v>33</v>
      </c>
      <c r="H2246">
        <v>200</v>
      </c>
      <c r="I2246">
        <v>100</v>
      </c>
      <c r="J2246">
        <f>Table2[[#This Row],[Hits]]/Table2[[#This Row],[Points]]*100</f>
        <v>16.5</v>
      </c>
      <c r="K2246">
        <f>VLOOKUP(Table2[[#This Row],[Site]],'Site Info'!$A$1:$C$11,2, FALSE)</f>
        <v>15</v>
      </c>
      <c r="L2246">
        <f>VLOOKUP(Table2[[#This Row],[Site]],'Site Info'!$A$1:$C$11,3, FALSE)</f>
        <v>12</v>
      </c>
      <c r="M2246" t="str">
        <f>VLOOKUP(Table2[[#This Row],[Species]],'Species Table'!$A$1:$D$68,3, FALSE)</f>
        <v>Perennial</v>
      </c>
      <c r="O2246" s="15">
        <f>IF(SUMPRODUCT(($A$2:$A2246=A2246)*($B$2:$B2246=B2246)*($F$2:$F2246=F2246))&gt;1,0,1)</f>
        <v>0</v>
      </c>
      <c r="P2246" s="15">
        <f>IF(SUMPRODUCT(($A$2:$A2246=A2246)*($B$2:$B2246=B2246)*($D$2:$D2246=D2246))&gt;1,0,1)</f>
        <v>1</v>
      </c>
    </row>
    <row r="2247" spans="1:16" hidden="1" x14ac:dyDescent="0.35">
      <c r="A2247" t="s">
        <v>18</v>
      </c>
      <c r="B2247">
        <v>2019</v>
      </c>
      <c r="C2247" t="s">
        <v>84</v>
      </c>
      <c r="D2247" s="6">
        <v>1.5</v>
      </c>
      <c r="E2247" s="6">
        <v>1</v>
      </c>
      <c r="F2247" s="1" t="s">
        <v>10</v>
      </c>
      <c r="G2247">
        <v>6</v>
      </c>
      <c r="H2247">
        <v>200</v>
      </c>
      <c r="I2247">
        <v>100</v>
      </c>
      <c r="J2247">
        <f>Table2[[#This Row],[Hits]]/Table2[[#This Row],[Points]]*100</f>
        <v>3</v>
      </c>
      <c r="K2247">
        <f>VLOOKUP(Table2[[#This Row],[Site]],'Site Info'!$A$1:$C$11,2, FALSE)</f>
        <v>15</v>
      </c>
      <c r="L2247">
        <f>VLOOKUP(Table2[[#This Row],[Site]],'Site Info'!$A$1:$C$11,3, FALSE)</f>
        <v>12</v>
      </c>
      <c r="M2247" t="str">
        <f>VLOOKUP(Table2[[#This Row],[Species]],'Species Table'!$A$1:$D$68,3, FALSE)</f>
        <v>Annual</v>
      </c>
      <c r="O2247" s="15">
        <f>IF(SUMPRODUCT(($A$2:$A2247=A2247)*($B$2:$B2247=B2247)*($F$2:$F2247=F2247))&gt;1,0,1)</f>
        <v>0</v>
      </c>
      <c r="P2247" s="15">
        <f>IF(SUMPRODUCT(($A$2:$A2247=A2247)*($B$2:$B2247=B2247)*($D$2:$D2247=D2247))&gt;1,0,1)</f>
        <v>0</v>
      </c>
    </row>
    <row r="2248" spans="1:16" x14ac:dyDescent="0.35">
      <c r="A2248" t="s">
        <v>18</v>
      </c>
      <c r="B2248">
        <v>2019</v>
      </c>
      <c r="C2248" t="s">
        <v>43</v>
      </c>
      <c r="D2248" s="6">
        <v>2.1</v>
      </c>
      <c r="E2248" s="6">
        <v>2</v>
      </c>
      <c r="F2248" s="1" t="s">
        <v>11</v>
      </c>
      <c r="G2248">
        <v>17</v>
      </c>
      <c r="H2248">
        <v>200</v>
      </c>
      <c r="I2248">
        <v>100</v>
      </c>
      <c r="J2248">
        <f>Table2[[#This Row],[Hits]]/Table2[[#This Row],[Points]]*100</f>
        <v>8.5</v>
      </c>
      <c r="K2248">
        <f>VLOOKUP(Table2[[#This Row],[Site]],'Site Info'!$A$1:$C$11,2, FALSE)</f>
        <v>15</v>
      </c>
      <c r="L2248">
        <f>VLOOKUP(Table2[[#This Row],[Site]],'Site Info'!$A$1:$C$11,3, FALSE)</f>
        <v>12</v>
      </c>
      <c r="M2248" t="str">
        <f>VLOOKUP(Table2[[#This Row],[Species]],'Species Table'!$A$1:$D$68,3, FALSE)</f>
        <v>Perennial</v>
      </c>
      <c r="O2248" s="15">
        <f>IF(SUMPRODUCT(($A$2:$A2248=A2248)*($B$2:$B2248=B2248)*($F$2:$F2248=F2248))&gt;1,0,1)</f>
        <v>0</v>
      </c>
      <c r="P2248" s="15">
        <f>IF(SUMPRODUCT(($A$2:$A2248=A2248)*($B$2:$B2248=B2248)*($D$2:$D2248=D2248))&gt;1,0,1)</f>
        <v>1</v>
      </c>
    </row>
    <row r="2249" spans="1:16" hidden="1" x14ac:dyDescent="0.35">
      <c r="A2249" t="s">
        <v>18</v>
      </c>
      <c r="B2249">
        <v>2019</v>
      </c>
      <c r="C2249" t="s">
        <v>43</v>
      </c>
      <c r="D2249" s="6">
        <v>2.1</v>
      </c>
      <c r="E2249" s="6">
        <v>2</v>
      </c>
      <c r="F2249" s="1" t="s">
        <v>10</v>
      </c>
      <c r="G2249">
        <v>3</v>
      </c>
      <c r="H2249">
        <v>200</v>
      </c>
      <c r="I2249">
        <v>100</v>
      </c>
      <c r="J2249">
        <f>Table2[[#This Row],[Hits]]/Table2[[#This Row],[Points]]*100</f>
        <v>1.5</v>
      </c>
      <c r="K2249">
        <f>VLOOKUP(Table2[[#This Row],[Site]],'Site Info'!$A$1:$C$11,2, FALSE)</f>
        <v>15</v>
      </c>
      <c r="L2249">
        <f>VLOOKUP(Table2[[#This Row],[Site]],'Site Info'!$A$1:$C$11,3, FALSE)</f>
        <v>12</v>
      </c>
      <c r="M2249" t="str">
        <f>VLOOKUP(Table2[[#This Row],[Species]],'Species Table'!$A$1:$D$68,3, FALSE)</f>
        <v>Annual</v>
      </c>
      <c r="O2249" s="15">
        <f>IF(SUMPRODUCT(($A$2:$A2249=A2249)*($B$2:$B2249=B2249)*($F$2:$F2249=F2249))&gt;1,0,1)</f>
        <v>0</v>
      </c>
      <c r="P2249" s="15">
        <f>IF(SUMPRODUCT(($A$2:$A2249=A2249)*($B$2:$B2249=B2249)*($D$2:$D2249=D2249))&gt;1,0,1)</f>
        <v>0</v>
      </c>
    </row>
    <row r="2250" spans="1:16" x14ac:dyDescent="0.35">
      <c r="A2250" t="s">
        <v>18</v>
      </c>
      <c r="B2250">
        <v>2019</v>
      </c>
      <c r="C2250" t="s">
        <v>44</v>
      </c>
      <c r="D2250" s="6">
        <v>2.2000000000000002</v>
      </c>
      <c r="E2250" s="6">
        <v>2</v>
      </c>
      <c r="F2250" s="1" t="s">
        <v>11</v>
      </c>
      <c r="G2250">
        <v>9</v>
      </c>
      <c r="H2250">
        <v>200</v>
      </c>
      <c r="I2250">
        <v>100</v>
      </c>
      <c r="J2250">
        <f>Table2[[#This Row],[Hits]]/Table2[[#This Row],[Points]]*100</f>
        <v>4.5</v>
      </c>
      <c r="K2250">
        <f>VLOOKUP(Table2[[#This Row],[Site]],'Site Info'!$A$1:$C$11,2, FALSE)</f>
        <v>15</v>
      </c>
      <c r="L2250">
        <f>VLOOKUP(Table2[[#This Row],[Site]],'Site Info'!$A$1:$C$11,3, FALSE)</f>
        <v>12</v>
      </c>
      <c r="M2250" t="str">
        <f>VLOOKUP(Table2[[#This Row],[Species]],'Species Table'!$A$1:$D$68,3, FALSE)</f>
        <v>Perennial</v>
      </c>
      <c r="O2250" s="15">
        <f>IF(SUMPRODUCT(($A$2:$A2250=A2250)*($B$2:$B2250=B2250)*($F$2:$F2250=F2250))&gt;1,0,1)</f>
        <v>0</v>
      </c>
      <c r="P2250" s="15">
        <f>IF(SUMPRODUCT(($A$2:$A2250=A2250)*($B$2:$B2250=B2250)*($D$2:$D2250=D2250))&gt;1,0,1)</f>
        <v>1</v>
      </c>
    </row>
    <row r="2251" spans="1:16" x14ac:dyDescent="0.35">
      <c r="A2251" t="s">
        <v>18</v>
      </c>
      <c r="B2251">
        <v>2019</v>
      </c>
      <c r="C2251" t="s">
        <v>44</v>
      </c>
      <c r="D2251" s="6">
        <v>2.2000000000000002</v>
      </c>
      <c r="E2251" s="6">
        <v>2</v>
      </c>
      <c r="F2251" s="1" t="s">
        <v>12</v>
      </c>
      <c r="G2251">
        <v>1</v>
      </c>
      <c r="H2251">
        <v>200</v>
      </c>
      <c r="I2251">
        <v>100</v>
      </c>
      <c r="J2251">
        <f>Table2[[#This Row],[Hits]]/Table2[[#This Row],[Points]]*100</f>
        <v>0.5</v>
      </c>
      <c r="K2251">
        <f>VLOOKUP(Table2[[#This Row],[Site]],'Site Info'!$A$1:$C$11,2, FALSE)</f>
        <v>15</v>
      </c>
      <c r="L2251">
        <f>VLOOKUP(Table2[[#This Row],[Site]],'Site Info'!$A$1:$C$11,3, FALSE)</f>
        <v>12</v>
      </c>
      <c r="M2251" t="str">
        <f>VLOOKUP(Table2[[#This Row],[Species]],'Species Table'!$A$1:$D$68,3, FALSE)</f>
        <v>Perennial</v>
      </c>
      <c r="O2251" s="15">
        <f>IF(SUMPRODUCT(($A$2:$A2251=A2251)*($B$2:$B2251=B2251)*($F$2:$F2251=F2251))&gt;1,0,1)</f>
        <v>1</v>
      </c>
      <c r="P2251" s="15">
        <f>IF(SUMPRODUCT(($A$2:$A2251=A2251)*($B$2:$B2251=B2251)*($D$2:$D2251=D2251))&gt;1,0,1)</f>
        <v>0</v>
      </c>
    </row>
    <row r="2252" spans="1:16" hidden="1" x14ac:dyDescent="0.35">
      <c r="A2252" t="s">
        <v>18</v>
      </c>
      <c r="B2252">
        <v>2019</v>
      </c>
      <c r="C2252" t="s">
        <v>44</v>
      </c>
      <c r="D2252" s="6">
        <v>2.2000000000000002</v>
      </c>
      <c r="E2252" s="6">
        <v>2</v>
      </c>
      <c r="F2252" s="1" t="s">
        <v>10</v>
      </c>
      <c r="G2252">
        <v>1</v>
      </c>
      <c r="H2252">
        <v>200</v>
      </c>
      <c r="I2252">
        <v>100</v>
      </c>
      <c r="J2252">
        <f>Table2[[#This Row],[Hits]]/Table2[[#This Row],[Points]]*100</f>
        <v>0.5</v>
      </c>
      <c r="K2252">
        <f>VLOOKUP(Table2[[#This Row],[Site]],'Site Info'!$A$1:$C$11,2, FALSE)</f>
        <v>15</v>
      </c>
      <c r="L2252">
        <f>VLOOKUP(Table2[[#This Row],[Site]],'Site Info'!$A$1:$C$11,3, FALSE)</f>
        <v>12</v>
      </c>
      <c r="M2252" t="str">
        <f>VLOOKUP(Table2[[#This Row],[Species]],'Species Table'!$A$1:$D$68,3, FALSE)</f>
        <v>Annual</v>
      </c>
      <c r="O2252" s="15">
        <f>IF(SUMPRODUCT(($A$2:$A2252=A2252)*($B$2:$B2252=B2252)*($F$2:$F2252=F2252))&gt;1,0,1)</f>
        <v>0</v>
      </c>
      <c r="P2252" s="15">
        <f>IF(SUMPRODUCT(($A$2:$A2252=A2252)*($B$2:$B2252=B2252)*($D$2:$D2252=D2252))&gt;1,0,1)</f>
        <v>0</v>
      </c>
    </row>
    <row r="2253" spans="1:16" hidden="1" x14ac:dyDescent="0.35">
      <c r="A2253" t="s">
        <v>18</v>
      </c>
      <c r="B2253">
        <v>2019</v>
      </c>
      <c r="C2253" t="s">
        <v>45</v>
      </c>
      <c r="D2253" s="6">
        <v>2.2999999999999998</v>
      </c>
      <c r="E2253" s="6">
        <v>2</v>
      </c>
      <c r="F2253" s="1" t="s">
        <v>10</v>
      </c>
      <c r="G2253">
        <v>3</v>
      </c>
      <c r="H2253">
        <v>200</v>
      </c>
      <c r="I2253">
        <v>100</v>
      </c>
      <c r="J2253">
        <f>Table2[[#This Row],[Hits]]/Table2[[#This Row],[Points]]*100</f>
        <v>1.5</v>
      </c>
      <c r="K2253">
        <f>VLOOKUP(Table2[[#This Row],[Site]],'Site Info'!$A$1:$C$11,2, FALSE)</f>
        <v>15</v>
      </c>
      <c r="L2253">
        <f>VLOOKUP(Table2[[#This Row],[Site]],'Site Info'!$A$1:$C$11,3, FALSE)</f>
        <v>12</v>
      </c>
      <c r="M2253" t="str">
        <f>VLOOKUP(Table2[[#This Row],[Species]],'Species Table'!$A$1:$D$68,3, FALSE)</f>
        <v>Annual</v>
      </c>
      <c r="O2253" s="15">
        <f>IF(SUMPRODUCT(($A$2:$A2253=A2253)*($B$2:$B2253=B2253)*($F$2:$F2253=F2253))&gt;1,0,1)</f>
        <v>0</v>
      </c>
      <c r="P2253" s="15">
        <f>IF(SUMPRODUCT(($A$2:$A2253=A2253)*($B$2:$B2253=B2253)*($D$2:$D2253=D2253))&gt;1,0,1)</f>
        <v>1</v>
      </c>
    </row>
    <row r="2254" spans="1:16" x14ac:dyDescent="0.35">
      <c r="A2254" t="s">
        <v>18</v>
      </c>
      <c r="B2254">
        <v>2019</v>
      </c>
      <c r="C2254" t="s">
        <v>45</v>
      </c>
      <c r="D2254" s="6">
        <v>2.2999999999999998</v>
      </c>
      <c r="E2254" s="6">
        <v>2</v>
      </c>
      <c r="F2254" s="1" t="s">
        <v>11</v>
      </c>
      <c r="G2254">
        <v>17</v>
      </c>
      <c r="H2254">
        <v>200</v>
      </c>
      <c r="I2254">
        <v>100</v>
      </c>
      <c r="J2254">
        <f>Table2[[#This Row],[Hits]]/Table2[[#This Row],[Points]]*100</f>
        <v>8.5</v>
      </c>
      <c r="K2254">
        <f>VLOOKUP(Table2[[#This Row],[Site]],'Site Info'!$A$1:$C$11,2, FALSE)</f>
        <v>15</v>
      </c>
      <c r="L2254">
        <f>VLOOKUP(Table2[[#This Row],[Site]],'Site Info'!$A$1:$C$11,3, FALSE)</f>
        <v>12</v>
      </c>
      <c r="M2254" t="str">
        <f>VLOOKUP(Table2[[#This Row],[Species]],'Species Table'!$A$1:$D$68,3, FALSE)</f>
        <v>Perennial</v>
      </c>
      <c r="O2254" s="15">
        <f>IF(SUMPRODUCT(($A$2:$A2254=A2254)*($B$2:$B2254=B2254)*($F$2:$F2254=F2254))&gt;1,0,1)</f>
        <v>0</v>
      </c>
      <c r="P2254" s="15">
        <f>IF(SUMPRODUCT(($A$2:$A2254=A2254)*($B$2:$B2254=B2254)*($D$2:$D2254=D2254))&gt;1,0,1)</f>
        <v>0</v>
      </c>
    </row>
    <row r="2255" spans="1:16" x14ac:dyDescent="0.35">
      <c r="A2255" t="s">
        <v>18</v>
      </c>
      <c r="B2255">
        <v>2019</v>
      </c>
      <c r="C2255" t="s">
        <v>46</v>
      </c>
      <c r="D2255" s="6">
        <v>2.4</v>
      </c>
      <c r="E2255" s="6">
        <v>2</v>
      </c>
      <c r="F2255" s="1" t="s">
        <v>11</v>
      </c>
      <c r="G2255">
        <v>30</v>
      </c>
      <c r="H2255">
        <v>200</v>
      </c>
      <c r="I2255">
        <v>100</v>
      </c>
      <c r="J2255">
        <f>Table2[[#This Row],[Hits]]/Table2[[#This Row],[Points]]*100</f>
        <v>15</v>
      </c>
      <c r="K2255">
        <f>VLOOKUP(Table2[[#This Row],[Site]],'Site Info'!$A$1:$C$11,2, FALSE)</f>
        <v>15</v>
      </c>
      <c r="L2255">
        <f>VLOOKUP(Table2[[#This Row],[Site]],'Site Info'!$A$1:$C$11,3, FALSE)</f>
        <v>12</v>
      </c>
      <c r="M2255" t="str">
        <f>VLOOKUP(Table2[[#This Row],[Species]],'Species Table'!$A$1:$D$68,3, FALSE)</f>
        <v>Perennial</v>
      </c>
      <c r="O2255" s="15">
        <f>IF(SUMPRODUCT(($A$2:$A2255=A2255)*($B$2:$B2255=B2255)*($F$2:$F2255=F2255))&gt;1,0,1)</f>
        <v>0</v>
      </c>
      <c r="P2255" s="15">
        <f>IF(SUMPRODUCT(($A$2:$A2255=A2255)*($B$2:$B2255=B2255)*($D$2:$D2255=D2255))&gt;1,0,1)</f>
        <v>1</v>
      </c>
    </row>
    <row r="2256" spans="1:16" x14ac:dyDescent="0.35">
      <c r="A2256" t="s">
        <v>18</v>
      </c>
      <c r="B2256">
        <v>2019</v>
      </c>
      <c r="C2256" t="s">
        <v>47</v>
      </c>
      <c r="D2256" s="6">
        <v>2.5</v>
      </c>
      <c r="E2256" s="6">
        <v>2</v>
      </c>
      <c r="F2256" s="1" t="s">
        <v>11</v>
      </c>
      <c r="G2256">
        <v>30</v>
      </c>
      <c r="H2256">
        <v>200</v>
      </c>
      <c r="I2256">
        <v>100</v>
      </c>
      <c r="J2256">
        <f>Table2[[#This Row],[Hits]]/Table2[[#This Row],[Points]]*100</f>
        <v>15</v>
      </c>
      <c r="K2256">
        <f>VLOOKUP(Table2[[#This Row],[Site]],'Site Info'!$A$1:$C$11,2, FALSE)</f>
        <v>15</v>
      </c>
      <c r="L2256">
        <f>VLOOKUP(Table2[[#This Row],[Site]],'Site Info'!$A$1:$C$11,3, FALSE)</f>
        <v>12</v>
      </c>
      <c r="M2256" t="str">
        <f>VLOOKUP(Table2[[#This Row],[Species]],'Species Table'!$A$1:$D$68,3, FALSE)</f>
        <v>Perennial</v>
      </c>
      <c r="O2256" s="15">
        <f>IF(SUMPRODUCT(($A$2:$A2256=A2256)*($B$2:$B2256=B2256)*($F$2:$F2256=F2256))&gt;1,0,1)</f>
        <v>0</v>
      </c>
      <c r="P2256" s="15">
        <f>IF(SUMPRODUCT(($A$2:$A2256=A2256)*($B$2:$B2256=B2256)*($D$2:$D2256=D2256))&gt;1,0,1)</f>
        <v>1</v>
      </c>
    </row>
    <row r="2257" spans="1:16" x14ac:dyDescent="0.35">
      <c r="A2257" t="s">
        <v>18</v>
      </c>
      <c r="B2257">
        <v>2019</v>
      </c>
      <c r="C2257" t="s">
        <v>47</v>
      </c>
      <c r="D2257" s="6">
        <v>2.6</v>
      </c>
      <c r="E2257" s="6">
        <v>2</v>
      </c>
      <c r="F2257" s="1" t="s">
        <v>11</v>
      </c>
      <c r="G2257">
        <v>28</v>
      </c>
      <c r="H2257">
        <v>200</v>
      </c>
      <c r="I2257">
        <v>100</v>
      </c>
      <c r="J2257">
        <f>Table2[[#This Row],[Hits]]/Table2[[#This Row],[Points]]*100</f>
        <v>14.000000000000002</v>
      </c>
      <c r="K2257">
        <f>VLOOKUP(Table2[[#This Row],[Site]],'Site Info'!$A$1:$C$11,2, FALSE)</f>
        <v>15</v>
      </c>
      <c r="L2257">
        <f>VLOOKUP(Table2[[#This Row],[Site]],'Site Info'!$A$1:$C$11,3, FALSE)</f>
        <v>12</v>
      </c>
      <c r="M2257" t="str">
        <f>VLOOKUP(Table2[[#This Row],[Species]],'Species Table'!$A$1:$D$68,3, FALSE)</f>
        <v>Perennial</v>
      </c>
      <c r="O2257" s="15">
        <f>IF(SUMPRODUCT(($A$2:$A2257=A2257)*($B$2:$B2257=B2257)*($F$2:$F2257=F2257))&gt;1,0,1)</f>
        <v>0</v>
      </c>
      <c r="P2257" s="15">
        <f>IF(SUMPRODUCT(($A$2:$A2257=A2257)*($B$2:$B2257=B2257)*($D$2:$D2257=D2257))&gt;1,0,1)</f>
        <v>1</v>
      </c>
    </row>
    <row r="2258" spans="1:16" x14ac:dyDescent="0.35">
      <c r="A2258" t="s">
        <v>18</v>
      </c>
      <c r="B2258">
        <v>2019</v>
      </c>
      <c r="C2258" t="s">
        <v>125</v>
      </c>
      <c r="D2258" s="6">
        <v>2.7</v>
      </c>
      <c r="E2258" s="6">
        <v>2</v>
      </c>
      <c r="F2258" s="1" t="s">
        <v>11</v>
      </c>
      <c r="G2258">
        <v>30</v>
      </c>
      <c r="H2258">
        <v>200</v>
      </c>
      <c r="I2258">
        <v>100</v>
      </c>
      <c r="J2258">
        <f>Table2[[#This Row],[Hits]]/Table2[[#This Row],[Points]]*100</f>
        <v>15</v>
      </c>
      <c r="K2258">
        <f>VLOOKUP(Table2[[#This Row],[Site]],'Site Info'!$A$1:$C$11,2, FALSE)</f>
        <v>15</v>
      </c>
      <c r="L2258">
        <f>VLOOKUP(Table2[[#This Row],[Site]],'Site Info'!$A$1:$C$11,3, FALSE)</f>
        <v>12</v>
      </c>
      <c r="M2258" t="str">
        <f>VLOOKUP(Table2[[#This Row],[Species]],'Species Table'!$A$1:$D$68,3, FALSE)</f>
        <v>Perennial</v>
      </c>
      <c r="O2258" s="15">
        <f>IF(SUMPRODUCT(($A$2:$A2258=A2258)*($B$2:$B2258=B2258)*($F$2:$F2258=F2258))&gt;1,0,1)</f>
        <v>0</v>
      </c>
      <c r="P2258" s="15">
        <f>IF(SUMPRODUCT(($A$2:$A2258=A2258)*($B$2:$B2258=B2258)*($D$2:$D2258=D2258))&gt;1,0,1)</f>
        <v>1</v>
      </c>
    </row>
    <row r="2259" spans="1:16" x14ac:dyDescent="0.35">
      <c r="A2259" t="s">
        <v>18</v>
      </c>
      <c r="B2259">
        <v>2019</v>
      </c>
      <c r="C2259" t="s">
        <v>85</v>
      </c>
      <c r="D2259" s="6">
        <v>2.8</v>
      </c>
      <c r="E2259" s="6">
        <v>2</v>
      </c>
      <c r="F2259" s="1" t="s">
        <v>11</v>
      </c>
      <c r="G2259">
        <v>39</v>
      </c>
      <c r="H2259">
        <v>200</v>
      </c>
      <c r="I2259">
        <v>100</v>
      </c>
      <c r="J2259">
        <f>Table2[[#This Row],[Hits]]/Table2[[#This Row],[Points]]*100</f>
        <v>19.5</v>
      </c>
      <c r="K2259">
        <f>VLOOKUP(Table2[[#This Row],[Site]],'Site Info'!$A$1:$C$11,2, FALSE)</f>
        <v>15</v>
      </c>
      <c r="L2259">
        <f>VLOOKUP(Table2[[#This Row],[Site]],'Site Info'!$A$1:$C$11,3, FALSE)</f>
        <v>12</v>
      </c>
      <c r="M2259" t="str">
        <f>VLOOKUP(Table2[[#This Row],[Species]],'Species Table'!$A$1:$D$68,3, FALSE)</f>
        <v>Perennial</v>
      </c>
      <c r="O2259" s="15">
        <f>IF(SUMPRODUCT(($A$2:$A2259=A2259)*($B$2:$B2259=B2259)*($F$2:$F2259=F2259))&gt;1,0,1)</f>
        <v>0</v>
      </c>
      <c r="P2259" s="15">
        <f>IF(SUMPRODUCT(($A$2:$A2259=A2259)*($B$2:$B2259=B2259)*($D$2:$D2259=D2259))&gt;1,0,1)</f>
        <v>1</v>
      </c>
    </row>
    <row r="2260" spans="1:16" hidden="1" x14ac:dyDescent="0.35">
      <c r="A2260" t="s">
        <v>18</v>
      </c>
      <c r="B2260">
        <v>2019</v>
      </c>
      <c r="C2260" t="s">
        <v>85</v>
      </c>
      <c r="D2260" s="6">
        <v>2.8</v>
      </c>
      <c r="E2260" s="6">
        <v>2</v>
      </c>
      <c r="F2260" s="1" t="s">
        <v>304</v>
      </c>
      <c r="G2260">
        <v>10</v>
      </c>
      <c r="H2260">
        <v>200</v>
      </c>
      <c r="I2260">
        <v>100</v>
      </c>
      <c r="J2260">
        <f>Table2[[#This Row],[Hits]]/Table2[[#This Row],[Points]]*100</f>
        <v>5</v>
      </c>
      <c r="K2260">
        <f>VLOOKUP(Table2[[#This Row],[Site]],'Site Info'!$A$1:$C$11,2, FALSE)</f>
        <v>15</v>
      </c>
      <c r="L2260">
        <f>VLOOKUP(Table2[[#This Row],[Site]],'Site Info'!$A$1:$C$11,3, FALSE)</f>
        <v>12</v>
      </c>
      <c r="M2260" t="e">
        <f>VLOOKUP(Table2[[#This Row],[Species]],'Species Table'!$A$1:$D$68,3, FALSE)</f>
        <v>#N/A</v>
      </c>
      <c r="O2260" s="15">
        <f>IF(SUMPRODUCT(($A$2:$A2260=A2260)*($B$2:$B2260=B2260)*($F$2:$F2260=F2260))&gt;1,0,1)</f>
        <v>1</v>
      </c>
      <c r="P2260" s="15">
        <f>IF(SUMPRODUCT(($A$2:$A2260=A2260)*($B$2:$B2260=B2260)*($D$2:$D2260=D2260))&gt;1,0,1)</f>
        <v>0</v>
      </c>
    </row>
    <row r="2261" spans="1:16" x14ac:dyDescent="0.35">
      <c r="A2261" t="s">
        <v>18</v>
      </c>
      <c r="B2261">
        <v>2019</v>
      </c>
      <c r="C2261" t="s">
        <v>55</v>
      </c>
      <c r="D2261" s="6">
        <v>4.0999999999999996</v>
      </c>
      <c r="E2261" s="6">
        <v>4</v>
      </c>
      <c r="F2261" s="1" t="s">
        <v>11</v>
      </c>
      <c r="G2261">
        <v>56</v>
      </c>
      <c r="H2261">
        <v>200</v>
      </c>
      <c r="I2261">
        <v>100</v>
      </c>
      <c r="J2261">
        <f>Table2[[#This Row],[Hits]]/Table2[[#This Row],[Points]]*100</f>
        <v>28.000000000000004</v>
      </c>
      <c r="K2261">
        <f>VLOOKUP(Table2[[#This Row],[Site]],'Site Info'!$A$1:$C$11,2, FALSE)</f>
        <v>15</v>
      </c>
      <c r="L2261">
        <f>VLOOKUP(Table2[[#This Row],[Site]],'Site Info'!$A$1:$C$11,3, FALSE)</f>
        <v>12</v>
      </c>
      <c r="M2261" t="str">
        <f>VLOOKUP(Table2[[#This Row],[Species]],'Species Table'!$A$1:$D$68,3, FALSE)</f>
        <v>Perennial</v>
      </c>
      <c r="O2261" s="15">
        <f>IF(SUMPRODUCT(($A$2:$A2261=A2261)*($B$2:$B2261=B2261)*($F$2:$F2261=F2261))&gt;1,0,1)</f>
        <v>0</v>
      </c>
      <c r="P2261" s="15">
        <f>IF(SUMPRODUCT(($A$2:$A2261=A2261)*($B$2:$B2261=B2261)*($D$2:$D2261=D2261))&gt;1,0,1)</f>
        <v>1</v>
      </c>
    </row>
    <row r="2262" spans="1:16" x14ac:dyDescent="0.35">
      <c r="A2262" t="s">
        <v>18</v>
      </c>
      <c r="B2262">
        <v>2019</v>
      </c>
      <c r="C2262" t="s">
        <v>56</v>
      </c>
      <c r="D2262" s="6">
        <v>4.2</v>
      </c>
      <c r="E2262" s="6">
        <v>4</v>
      </c>
      <c r="F2262" s="1" t="s">
        <v>11</v>
      </c>
      <c r="G2262">
        <v>23</v>
      </c>
      <c r="H2262">
        <v>200</v>
      </c>
      <c r="I2262">
        <v>100</v>
      </c>
      <c r="J2262">
        <f>Table2[[#This Row],[Hits]]/Table2[[#This Row],[Points]]*100</f>
        <v>11.5</v>
      </c>
      <c r="K2262">
        <f>VLOOKUP(Table2[[#This Row],[Site]],'Site Info'!$A$1:$C$11,2, FALSE)</f>
        <v>15</v>
      </c>
      <c r="L2262">
        <f>VLOOKUP(Table2[[#This Row],[Site]],'Site Info'!$A$1:$C$11,3, FALSE)</f>
        <v>12</v>
      </c>
      <c r="M2262" t="str">
        <f>VLOOKUP(Table2[[#This Row],[Species]],'Species Table'!$A$1:$D$68,3, FALSE)</f>
        <v>Perennial</v>
      </c>
      <c r="O2262" s="15">
        <f>IF(SUMPRODUCT(($A$2:$A2262=A2262)*($B$2:$B2262=B2262)*($F$2:$F2262=F2262))&gt;1,0,1)</f>
        <v>0</v>
      </c>
      <c r="P2262" s="15">
        <f>IF(SUMPRODUCT(($A$2:$A2262=A2262)*($B$2:$B2262=B2262)*($D$2:$D2262=D2262))&gt;1,0,1)</f>
        <v>1</v>
      </c>
    </row>
    <row r="2263" spans="1:16" x14ac:dyDescent="0.35">
      <c r="A2263" t="s">
        <v>18</v>
      </c>
      <c r="B2263">
        <v>2019</v>
      </c>
      <c r="C2263" t="s">
        <v>57</v>
      </c>
      <c r="D2263" s="6">
        <v>4.3</v>
      </c>
      <c r="E2263" s="6">
        <v>4</v>
      </c>
      <c r="F2263" s="1" t="s">
        <v>11</v>
      </c>
      <c r="G2263">
        <v>44</v>
      </c>
      <c r="H2263">
        <v>200</v>
      </c>
      <c r="I2263">
        <v>100</v>
      </c>
      <c r="J2263">
        <f>Table2[[#This Row],[Hits]]/Table2[[#This Row],[Points]]*100</f>
        <v>22</v>
      </c>
      <c r="K2263">
        <f>VLOOKUP(Table2[[#This Row],[Site]],'Site Info'!$A$1:$C$11,2, FALSE)</f>
        <v>15</v>
      </c>
      <c r="L2263">
        <f>VLOOKUP(Table2[[#This Row],[Site]],'Site Info'!$A$1:$C$11,3, FALSE)</f>
        <v>12</v>
      </c>
      <c r="M2263" t="str">
        <f>VLOOKUP(Table2[[#This Row],[Species]],'Species Table'!$A$1:$D$68,3, FALSE)</f>
        <v>Perennial</v>
      </c>
      <c r="O2263" s="15">
        <f>IF(SUMPRODUCT(($A$2:$A2263=A2263)*($B$2:$B2263=B2263)*($F$2:$F2263=F2263))&gt;1,0,1)</f>
        <v>0</v>
      </c>
      <c r="P2263" s="15">
        <f>IF(SUMPRODUCT(($A$2:$A2263=A2263)*($B$2:$B2263=B2263)*($D$2:$D2263=D2263))&gt;1,0,1)</f>
        <v>1</v>
      </c>
    </row>
    <row r="2264" spans="1:16" hidden="1" x14ac:dyDescent="0.35">
      <c r="A2264" t="s">
        <v>18</v>
      </c>
      <c r="B2264">
        <v>2019</v>
      </c>
      <c r="C2264" t="s">
        <v>57</v>
      </c>
      <c r="D2264" s="6">
        <v>4.3</v>
      </c>
      <c r="E2264" s="6">
        <v>4</v>
      </c>
      <c r="F2264" s="1" t="s">
        <v>10</v>
      </c>
      <c r="G2264">
        <v>2</v>
      </c>
      <c r="H2264">
        <v>200</v>
      </c>
      <c r="I2264">
        <v>100</v>
      </c>
      <c r="J2264">
        <f>Table2[[#This Row],[Hits]]/Table2[[#This Row],[Points]]*100</f>
        <v>1</v>
      </c>
      <c r="K2264">
        <f>VLOOKUP(Table2[[#This Row],[Site]],'Site Info'!$A$1:$C$11,2, FALSE)</f>
        <v>15</v>
      </c>
      <c r="L2264">
        <f>VLOOKUP(Table2[[#This Row],[Site]],'Site Info'!$A$1:$C$11,3, FALSE)</f>
        <v>12</v>
      </c>
      <c r="M2264" t="str">
        <f>VLOOKUP(Table2[[#This Row],[Species]],'Species Table'!$A$1:$D$68,3, FALSE)</f>
        <v>Annual</v>
      </c>
      <c r="O2264" s="15">
        <f>IF(SUMPRODUCT(($A$2:$A2264=A2264)*($B$2:$B2264=B2264)*($F$2:$F2264=F2264))&gt;1,0,1)</f>
        <v>0</v>
      </c>
      <c r="P2264" s="15">
        <f>IF(SUMPRODUCT(($A$2:$A2264=A2264)*($B$2:$B2264=B2264)*($D$2:$D2264=D2264))&gt;1,0,1)</f>
        <v>0</v>
      </c>
    </row>
    <row r="2265" spans="1:16" x14ac:dyDescent="0.35">
      <c r="A2265" t="s">
        <v>18</v>
      </c>
      <c r="B2265">
        <v>2019</v>
      </c>
      <c r="C2265" t="s">
        <v>58</v>
      </c>
      <c r="D2265" s="6">
        <v>4.4000000000000004</v>
      </c>
      <c r="E2265" s="6">
        <v>4</v>
      </c>
      <c r="F2265" s="1" t="s">
        <v>11</v>
      </c>
      <c r="G2265">
        <v>22</v>
      </c>
      <c r="H2265">
        <v>200</v>
      </c>
      <c r="I2265">
        <v>100</v>
      </c>
      <c r="J2265">
        <f>Table2[[#This Row],[Hits]]/Table2[[#This Row],[Points]]*100</f>
        <v>11</v>
      </c>
      <c r="K2265">
        <f>VLOOKUP(Table2[[#This Row],[Site]],'Site Info'!$A$1:$C$11,2, FALSE)</f>
        <v>15</v>
      </c>
      <c r="L2265">
        <f>VLOOKUP(Table2[[#This Row],[Site]],'Site Info'!$A$1:$C$11,3, FALSE)</f>
        <v>12</v>
      </c>
      <c r="M2265" t="str">
        <f>VLOOKUP(Table2[[#This Row],[Species]],'Species Table'!$A$1:$D$68,3, FALSE)</f>
        <v>Perennial</v>
      </c>
      <c r="O2265" s="15">
        <f>IF(SUMPRODUCT(($A$2:$A2265=A2265)*($B$2:$B2265=B2265)*($F$2:$F2265=F2265))&gt;1,0,1)</f>
        <v>0</v>
      </c>
      <c r="P2265" s="15">
        <f>IF(SUMPRODUCT(($A$2:$A2265=A2265)*($B$2:$B2265=B2265)*($D$2:$D2265=D2265))&gt;1,0,1)</f>
        <v>1</v>
      </c>
    </row>
    <row r="2266" spans="1:16" hidden="1" x14ac:dyDescent="0.35">
      <c r="A2266" t="s">
        <v>18</v>
      </c>
      <c r="B2266">
        <v>2019</v>
      </c>
      <c r="C2266" t="s">
        <v>58</v>
      </c>
      <c r="D2266" s="6">
        <v>4.4000000000000004</v>
      </c>
      <c r="E2266" s="6">
        <v>4</v>
      </c>
      <c r="F2266" s="1" t="s">
        <v>10</v>
      </c>
      <c r="G2266">
        <v>5</v>
      </c>
      <c r="H2266">
        <v>200</v>
      </c>
      <c r="I2266">
        <v>100</v>
      </c>
      <c r="J2266">
        <f>Table2[[#This Row],[Hits]]/Table2[[#This Row],[Points]]*100</f>
        <v>2.5</v>
      </c>
      <c r="K2266">
        <f>VLOOKUP(Table2[[#This Row],[Site]],'Site Info'!$A$1:$C$11,2, FALSE)</f>
        <v>15</v>
      </c>
      <c r="L2266">
        <f>VLOOKUP(Table2[[#This Row],[Site]],'Site Info'!$A$1:$C$11,3, FALSE)</f>
        <v>12</v>
      </c>
      <c r="M2266" t="str">
        <f>VLOOKUP(Table2[[#This Row],[Species]],'Species Table'!$A$1:$D$68,3, FALSE)</f>
        <v>Annual</v>
      </c>
      <c r="O2266" s="15">
        <f>IF(SUMPRODUCT(($A$2:$A2266=A2266)*($B$2:$B2266=B2266)*($F$2:$F2266=F2266))&gt;1,0,1)</f>
        <v>0</v>
      </c>
      <c r="P2266" s="15">
        <f>IF(SUMPRODUCT(($A$2:$A2266=A2266)*($B$2:$B2266=B2266)*($D$2:$D2266=D2266))&gt;1,0,1)</f>
        <v>0</v>
      </c>
    </row>
    <row r="2267" spans="1:16" x14ac:dyDescent="0.35">
      <c r="A2267" t="s">
        <v>18</v>
      </c>
      <c r="B2267">
        <v>2019</v>
      </c>
      <c r="C2267" t="s">
        <v>59</v>
      </c>
      <c r="D2267" s="6">
        <v>4.5</v>
      </c>
      <c r="E2267" s="6">
        <v>4</v>
      </c>
      <c r="F2267" s="1" t="s">
        <v>11</v>
      </c>
      <c r="G2267">
        <v>34</v>
      </c>
      <c r="H2267">
        <v>200</v>
      </c>
      <c r="I2267">
        <v>100</v>
      </c>
      <c r="J2267">
        <f>Table2[[#This Row],[Hits]]/Table2[[#This Row],[Points]]*100</f>
        <v>17</v>
      </c>
      <c r="K2267">
        <f>VLOOKUP(Table2[[#This Row],[Site]],'Site Info'!$A$1:$C$11,2, FALSE)</f>
        <v>15</v>
      </c>
      <c r="L2267">
        <f>VLOOKUP(Table2[[#This Row],[Site]],'Site Info'!$A$1:$C$11,3, FALSE)</f>
        <v>12</v>
      </c>
      <c r="M2267" t="str">
        <f>VLOOKUP(Table2[[#This Row],[Species]],'Species Table'!$A$1:$D$68,3, FALSE)</f>
        <v>Perennial</v>
      </c>
      <c r="O2267" s="15">
        <f>IF(SUMPRODUCT(($A$2:$A2267=A2267)*($B$2:$B2267=B2267)*($F$2:$F2267=F2267))&gt;1,0,1)</f>
        <v>0</v>
      </c>
      <c r="P2267" s="15">
        <f>IF(SUMPRODUCT(($A$2:$A2267=A2267)*($B$2:$B2267=B2267)*($D$2:$D2267=D2267))&gt;1,0,1)</f>
        <v>1</v>
      </c>
    </row>
    <row r="2268" spans="1:16" hidden="1" x14ac:dyDescent="0.35">
      <c r="A2268" t="s">
        <v>18</v>
      </c>
      <c r="B2268">
        <v>2019</v>
      </c>
      <c r="C2268" t="s">
        <v>59</v>
      </c>
      <c r="D2268" s="6">
        <v>4.5</v>
      </c>
      <c r="E2268" s="6">
        <v>4</v>
      </c>
      <c r="F2268" s="1" t="s">
        <v>10</v>
      </c>
      <c r="G2268">
        <v>14</v>
      </c>
      <c r="H2268">
        <v>200</v>
      </c>
      <c r="I2268">
        <v>100</v>
      </c>
      <c r="J2268">
        <f>Table2[[#This Row],[Hits]]/Table2[[#This Row],[Points]]*100</f>
        <v>7.0000000000000009</v>
      </c>
      <c r="K2268">
        <f>VLOOKUP(Table2[[#This Row],[Site]],'Site Info'!$A$1:$C$11,2, FALSE)</f>
        <v>15</v>
      </c>
      <c r="L2268">
        <f>VLOOKUP(Table2[[#This Row],[Site]],'Site Info'!$A$1:$C$11,3, FALSE)</f>
        <v>12</v>
      </c>
      <c r="M2268" t="str">
        <f>VLOOKUP(Table2[[#This Row],[Species]],'Species Table'!$A$1:$D$68,3, FALSE)</f>
        <v>Annual</v>
      </c>
      <c r="O2268" s="15">
        <f>IF(SUMPRODUCT(($A$2:$A2268=A2268)*($B$2:$B2268=B2268)*($F$2:$F2268=F2268))&gt;1,0,1)</f>
        <v>0</v>
      </c>
      <c r="P2268" s="15">
        <f>IF(SUMPRODUCT(($A$2:$A2268=A2268)*($B$2:$B2268=B2268)*($D$2:$D2268=D2268))&gt;1,0,1)</f>
        <v>0</v>
      </c>
    </row>
    <row r="2269" spans="1:16" x14ac:dyDescent="0.35">
      <c r="A2269" t="s">
        <v>18</v>
      </c>
      <c r="B2269">
        <v>2019</v>
      </c>
      <c r="C2269" t="s">
        <v>60</v>
      </c>
      <c r="D2269" s="6">
        <v>4.5999999999999996</v>
      </c>
      <c r="E2269" s="6">
        <v>4</v>
      </c>
      <c r="F2269" s="1" t="s">
        <v>11</v>
      </c>
      <c r="G2269">
        <v>9</v>
      </c>
      <c r="H2269">
        <v>200</v>
      </c>
      <c r="I2269">
        <v>100</v>
      </c>
      <c r="J2269">
        <f>Table2[[#This Row],[Hits]]/Table2[[#This Row],[Points]]*100</f>
        <v>4.5</v>
      </c>
      <c r="K2269">
        <f>VLOOKUP(Table2[[#This Row],[Site]],'Site Info'!$A$1:$C$11,2, FALSE)</f>
        <v>15</v>
      </c>
      <c r="L2269">
        <f>VLOOKUP(Table2[[#This Row],[Site]],'Site Info'!$A$1:$C$11,3, FALSE)</f>
        <v>12</v>
      </c>
      <c r="M2269" t="str">
        <f>VLOOKUP(Table2[[#This Row],[Species]],'Species Table'!$A$1:$D$68,3, FALSE)</f>
        <v>Perennial</v>
      </c>
      <c r="O2269" s="15">
        <f>IF(SUMPRODUCT(($A$2:$A2269=A2269)*($B$2:$B2269=B2269)*($F$2:$F2269=F2269))&gt;1,0,1)</f>
        <v>0</v>
      </c>
      <c r="P2269" s="15">
        <f>IF(SUMPRODUCT(($A$2:$A2269=A2269)*($B$2:$B2269=B2269)*($D$2:$D2269=D2269))&gt;1,0,1)</f>
        <v>1</v>
      </c>
    </row>
    <row r="2270" spans="1:16" hidden="1" x14ac:dyDescent="0.35">
      <c r="A2270" t="s">
        <v>18</v>
      </c>
      <c r="B2270">
        <v>2019</v>
      </c>
      <c r="C2270" t="s">
        <v>60</v>
      </c>
      <c r="D2270" s="6">
        <v>4.5999999999999996</v>
      </c>
      <c r="E2270" s="6">
        <v>4</v>
      </c>
      <c r="F2270" s="1" t="s">
        <v>10</v>
      </c>
      <c r="G2270">
        <v>42</v>
      </c>
      <c r="H2270">
        <v>200</v>
      </c>
      <c r="I2270">
        <v>100</v>
      </c>
      <c r="J2270">
        <f>Table2[[#This Row],[Hits]]/Table2[[#This Row],[Points]]*100</f>
        <v>21</v>
      </c>
      <c r="K2270">
        <f>VLOOKUP(Table2[[#This Row],[Site]],'Site Info'!$A$1:$C$11,2, FALSE)</f>
        <v>15</v>
      </c>
      <c r="L2270">
        <f>VLOOKUP(Table2[[#This Row],[Site]],'Site Info'!$A$1:$C$11,3, FALSE)</f>
        <v>12</v>
      </c>
      <c r="M2270" t="str">
        <f>VLOOKUP(Table2[[#This Row],[Species]],'Species Table'!$A$1:$D$68,3, FALSE)</f>
        <v>Annual</v>
      </c>
      <c r="O2270" s="15">
        <f>IF(SUMPRODUCT(($A$2:$A2270=A2270)*($B$2:$B2270=B2270)*($F$2:$F2270=F2270))&gt;1,0,1)</f>
        <v>0</v>
      </c>
      <c r="P2270" s="15">
        <f>IF(SUMPRODUCT(($A$2:$A2270=A2270)*($B$2:$B2270=B2270)*($D$2:$D2270=D2270))&gt;1,0,1)</f>
        <v>0</v>
      </c>
    </row>
    <row r="2271" spans="1:16" x14ac:dyDescent="0.35">
      <c r="A2271" t="s">
        <v>18</v>
      </c>
      <c r="B2271">
        <v>2019</v>
      </c>
      <c r="C2271" t="s">
        <v>61</v>
      </c>
      <c r="D2271" s="6">
        <v>4.7</v>
      </c>
      <c r="E2271" s="6">
        <v>4</v>
      </c>
      <c r="F2271" s="1" t="s">
        <v>11</v>
      </c>
      <c r="G2271">
        <v>23</v>
      </c>
      <c r="H2271">
        <v>200</v>
      </c>
      <c r="I2271">
        <v>100</v>
      </c>
      <c r="J2271">
        <f>Table2[[#This Row],[Hits]]/Table2[[#This Row],[Points]]*100</f>
        <v>11.5</v>
      </c>
      <c r="K2271">
        <f>VLOOKUP(Table2[[#This Row],[Site]],'Site Info'!$A$1:$C$11,2, FALSE)</f>
        <v>15</v>
      </c>
      <c r="L2271">
        <f>VLOOKUP(Table2[[#This Row],[Site]],'Site Info'!$A$1:$C$11,3, FALSE)</f>
        <v>12</v>
      </c>
      <c r="M2271" t="str">
        <f>VLOOKUP(Table2[[#This Row],[Species]],'Species Table'!$A$1:$D$68,3, FALSE)</f>
        <v>Perennial</v>
      </c>
      <c r="O2271" s="15">
        <f>IF(SUMPRODUCT(($A$2:$A2271=A2271)*($B$2:$B2271=B2271)*($F$2:$F2271=F2271))&gt;1,0,1)</f>
        <v>0</v>
      </c>
      <c r="P2271" s="15">
        <f>IF(SUMPRODUCT(($A$2:$A2271=A2271)*($B$2:$B2271=B2271)*($D$2:$D2271=D2271))&gt;1,0,1)</f>
        <v>1</v>
      </c>
    </row>
    <row r="2272" spans="1:16" hidden="1" x14ac:dyDescent="0.35">
      <c r="A2272" t="s">
        <v>18</v>
      </c>
      <c r="B2272">
        <v>2019</v>
      </c>
      <c r="C2272" t="s">
        <v>61</v>
      </c>
      <c r="D2272" s="6">
        <v>4.7</v>
      </c>
      <c r="E2272" s="6">
        <v>4</v>
      </c>
      <c r="F2272" s="1" t="s">
        <v>10</v>
      </c>
      <c r="G2272">
        <v>46</v>
      </c>
      <c r="H2272">
        <v>200</v>
      </c>
      <c r="I2272">
        <v>100</v>
      </c>
      <c r="J2272">
        <f>Table2[[#This Row],[Hits]]/Table2[[#This Row],[Points]]*100</f>
        <v>23</v>
      </c>
      <c r="K2272">
        <f>VLOOKUP(Table2[[#This Row],[Site]],'Site Info'!$A$1:$C$11,2, FALSE)</f>
        <v>15</v>
      </c>
      <c r="L2272">
        <f>VLOOKUP(Table2[[#This Row],[Site]],'Site Info'!$A$1:$C$11,3, FALSE)</f>
        <v>12</v>
      </c>
      <c r="M2272" t="str">
        <f>VLOOKUP(Table2[[#This Row],[Species]],'Species Table'!$A$1:$D$68,3, FALSE)</f>
        <v>Annual</v>
      </c>
      <c r="O2272" s="15">
        <f>IF(SUMPRODUCT(($A$2:$A2272=A2272)*($B$2:$B2272=B2272)*($F$2:$F2272=F2272))&gt;1,0,1)</f>
        <v>0</v>
      </c>
      <c r="P2272" s="15">
        <f>IF(SUMPRODUCT(($A$2:$A2272=A2272)*($B$2:$B2272=B2272)*($D$2:$D2272=D2272))&gt;1,0,1)</f>
        <v>0</v>
      </c>
    </row>
    <row r="2273" spans="1:16" x14ac:dyDescent="0.35">
      <c r="A2273" t="s">
        <v>18</v>
      </c>
      <c r="B2273">
        <v>2019</v>
      </c>
      <c r="C2273" t="s">
        <v>61</v>
      </c>
      <c r="D2273" s="6">
        <v>4.7</v>
      </c>
      <c r="E2273" s="6">
        <v>4</v>
      </c>
      <c r="F2273" s="1" t="s">
        <v>12</v>
      </c>
      <c r="G2273">
        <v>6</v>
      </c>
      <c r="H2273">
        <v>200</v>
      </c>
      <c r="I2273">
        <v>100</v>
      </c>
      <c r="J2273">
        <f>Table2[[#This Row],[Hits]]/Table2[[#This Row],[Points]]*100</f>
        <v>3</v>
      </c>
      <c r="K2273">
        <f>VLOOKUP(Table2[[#This Row],[Site]],'Site Info'!$A$1:$C$11,2, FALSE)</f>
        <v>15</v>
      </c>
      <c r="L2273">
        <f>VLOOKUP(Table2[[#This Row],[Site]],'Site Info'!$A$1:$C$11,3, FALSE)</f>
        <v>12</v>
      </c>
      <c r="M2273" t="str">
        <f>VLOOKUP(Table2[[#This Row],[Species]],'Species Table'!$A$1:$D$68,3, FALSE)</f>
        <v>Perennial</v>
      </c>
      <c r="O2273" s="15">
        <f>IF(SUMPRODUCT(($A$2:$A2273=A2273)*($B$2:$B2273=B2273)*($F$2:$F2273=F2273))&gt;1,0,1)</f>
        <v>0</v>
      </c>
      <c r="P2273" s="15">
        <f>IF(SUMPRODUCT(($A$2:$A2273=A2273)*($B$2:$B2273=B2273)*($D$2:$D2273=D2273))&gt;1,0,1)</f>
        <v>0</v>
      </c>
    </row>
    <row r="2274" spans="1:16" hidden="1" x14ac:dyDescent="0.35">
      <c r="A2274" t="s">
        <v>18</v>
      </c>
      <c r="B2274">
        <v>2019</v>
      </c>
      <c r="C2274" t="s">
        <v>61</v>
      </c>
      <c r="D2274" s="6">
        <v>4.7</v>
      </c>
      <c r="E2274" s="6">
        <v>4</v>
      </c>
      <c r="F2274" s="1" t="s">
        <v>290</v>
      </c>
      <c r="G2274">
        <v>1</v>
      </c>
      <c r="H2274">
        <v>200</v>
      </c>
      <c r="I2274">
        <v>100</v>
      </c>
      <c r="J2274">
        <f>Table2[[#This Row],[Hits]]/Table2[[#This Row],[Points]]*100</f>
        <v>0.5</v>
      </c>
      <c r="K2274">
        <f>VLOOKUP(Table2[[#This Row],[Site]],'Site Info'!$A$1:$C$11,2, FALSE)</f>
        <v>15</v>
      </c>
      <c r="L2274">
        <f>VLOOKUP(Table2[[#This Row],[Site]],'Site Info'!$A$1:$C$11,3, FALSE)</f>
        <v>12</v>
      </c>
      <c r="M2274" t="e">
        <f>VLOOKUP(Table2[[#This Row],[Species]],'Species Table'!$A$1:$D$68,3, FALSE)</f>
        <v>#N/A</v>
      </c>
      <c r="O2274" s="15">
        <f>IF(SUMPRODUCT(($A$2:$A2274=A2274)*($B$2:$B2274=B2274)*($F$2:$F2274=F2274))&gt;1,0,1)</f>
        <v>1</v>
      </c>
      <c r="P2274" s="15">
        <f>IF(SUMPRODUCT(($A$2:$A2274=A2274)*($B$2:$B2274=B2274)*($D$2:$D2274=D2274))&gt;1,0,1)</f>
        <v>0</v>
      </c>
    </row>
    <row r="2275" spans="1:16" x14ac:dyDescent="0.35">
      <c r="A2275" t="s">
        <v>18</v>
      </c>
      <c r="B2275">
        <v>2019</v>
      </c>
      <c r="C2275" t="s">
        <v>61</v>
      </c>
      <c r="D2275" s="6">
        <v>4.7</v>
      </c>
      <c r="E2275" s="6">
        <v>4</v>
      </c>
      <c r="F2275" s="1" t="s">
        <v>139</v>
      </c>
      <c r="G2275">
        <v>1</v>
      </c>
      <c r="H2275">
        <v>200</v>
      </c>
      <c r="I2275">
        <v>100</v>
      </c>
      <c r="J2275">
        <f>Table2[[#This Row],[Hits]]/Table2[[#This Row],[Points]]*100</f>
        <v>0.5</v>
      </c>
      <c r="K2275">
        <f>VLOOKUP(Table2[[#This Row],[Site]],'Site Info'!$A$1:$C$11,2, FALSE)</f>
        <v>15</v>
      </c>
      <c r="L2275">
        <f>VLOOKUP(Table2[[#This Row],[Site]],'Site Info'!$A$1:$C$11,3, FALSE)</f>
        <v>12</v>
      </c>
      <c r="M2275" t="str">
        <f>VLOOKUP(Table2[[#This Row],[Species]],'Species Table'!$A$1:$D$68,3, FALSE)</f>
        <v>Perennial</v>
      </c>
      <c r="O2275" s="15">
        <f>IF(SUMPRODUCT(($A$2:$A2275=A2275)*($B$2:$B2275=B2275)*($F$2:$F2275=F2275))&gt;1,0,1)</f>
        <v>1</v>
      </c>
      <c r="P2275" s="15">
        <f>IF(SUMPRODUCT(($A$2:$A2275=A2275)*($B$2:$B2275=B2275)*($D$2:$D2275=D2275))&gt;1,0,1)</f>
        <v>0</v>
      </c>
    </row>
    <row r="2276" spans="1:16" x14ac:dyDescent="0.35">
      <c r="A2276" t="s">
        <v>18</v>
      </c>
      <c r="B2276">
        <v>2019</v>
      </c>
      <c r="C2276" t="s">
        <v>62</v>
      </c>
      <c r="D2276" s="6">
        <v>5.0999999999999996</v>
      </c>
      <c r="E2276" s="6">
        <v>5</v>
      </c>
      <c r="F2276" s="1" t="s">
        <v>11</v>
      </c>
      <c r="G2276">
        <v>13</v>
      </c>
      <c r="H2276">
        <v>200</v>
      </c>
      <c r="I2276">
        <v>100</v>
      </c>
      <c r="J2276">
        <f>Table2[[#This Row],[Hits]]/Table2[[#This Row],[Points]]*100</f>
        <v>6.5</v>
      </c>
      <c r="K2276">
        <f>VLOOKUP(Table2[[#This Row],[Site]],'Site Info'!$A$1:$C$11,2, FALSE)</f>
        <v>15</v>
      </c>
      <c r="L2276">
        <f>VLOOKUP(Table2[[#This Row],[Site]],'Site Info'!$A$1:$C$11,3, FALSE)</f>
        <v>12</v>
      </c>
      <c r="M2276" t="str">
        <f>VLOOKUP(Table2[[#This Row],[Species]],'Species Table'!$A$1:$D$68,3, FALSE)</f>
        <v>Perennial</v>
      </c>
      <c r="O2276" s="15">
        <f>IF(SUMPRODUCT(($A$2:$A2276=A2276)*($B$2:$B2276=B2276)*($F$2:$F2276=F2276))&gt;1,0,1)</f>
        <v>0</v>
      </c>
      <c r="P2276" s="15">
        <f>IF(SUMPRODUCT(($A$2:$A2276=A2276)*($B$2:$B2276=B2276)*($D$2:$D2276=D2276))&gt;1,0,1)</f>
        <v>1</v>
      </c>
    </row>
    <row r="2277" spans="1:16" x14ac:dyDescent="0.35">
      <c r="A2277" t="s">
        <v>18</v>
      </c>
      <c r="B2277">
        <v>2019</v>
      </c>
      <c r="C2277" t="s">
        <v>62</v>
      </c>
      <c r="D2277" s="6">
        <v>5.0999999999999996</v>
      </c>
      <c r="E2277" s="6">
        <v>5</v>
      </c>
      <c r="F2277" s="1" t="s">
        <v>12</v>
      </c>
      <c r="G2277">
        <v>20</v>
      </c>
      <c r="H2277">
        <v>200</v>
      </c>
      <c r="I2277">
        <v>100</v>
      </c>
      <c r="J2277">
        <f>Table2[[#This Row],[Hits]]/Table2[[#This Row],[Points]]*100</f>
        <v>10</v>
      </c>
      <c r="K2277">
        <f>VLOOKUP(Table2[[#This Row],[Site]],'Site Info'!$A$1:$C$11,2, FALSE)</f>
        <v>15</v>
      </c>
      <c r="L2277">
        <f>VLOOKUP(Table2[[#This Row],[Site]],'Site Info'!$A$1:$C$11,3, FALSE)</f>
        <v>12</v>
      </c>
      <c r="M2277" t="str">
        <f>VLOOKUP(Table2[[#This Row],[Species]],'Species Table'!$A$1:$D$68,3, FALSE)</f>
        <v>Perennial</v>
      </c>
      <c r="O2277" s="15">
        <f>IF(SUMPRODUCT(($A$2:$A2277=A2277)*($B$2:$B2277=B2277)*($F$2:$F2277=F2277))&gt;1,0,1)</f>
        <v>0</v>
      </c>
      <c r="P2277" s="15">
        <f>IF(SUMPRODUCT(($A$2:$A2277=A2277)*($B$2:$B2277=B2277)*($D$2:$D2277=D2277))&gt;1,0,1)</f>
        <v>0</v>
      </c>
    </row>
    <row r="2278" spans="1:16" hidden="1" x14ac:dyDescent="0.35">
      <c r="A2278" t="s">
        <v>18</v>
      </c>
      <c r="B2278">
        <v>2019</v>
      </c>
      <c r="C2278" t="s">
        <v>62</v>
      </c>
      <c r="D2278" s="6">
        <v>5.0999999999999996</v>
      </c>
      <c r="E2278" s="6">
        <v>5</v>
      </c>
      <c r="F2278" s="1" t="s">
        <v>10</v>
      </c>
      <c r="G2278">
        <v>2</v>
      </c>
      <c r="H2278">
        <v>200</v>
      </c>
      <c r="I2278">
        <v>100</v>
      </c>
      <c r="J2278">
        <f>Table2[[#This Row],[Hits]]/Table2[[#This Row],[Points]]*100</f>
        <v>1</v>
      </c>
      <c r="K2278">
        <f>VLOOKUP(Table2[[#This Row],[Site]],'Site Info'!$A$1:$C$11,2, FALSE)</f>
        <v>15</v>
      </c>
      <c r="L2278">
        <f>VLOOKUP(Table2[[#This Row],[Site]],'Site Info'!$A$1:$C$11,3, FALSE)</f>
        <v>12</v>
      </c>
      <c r="M2278" t="str">
        <f>VLOOKUP(Table2[[#This Row],[Species]],'Species Table'!$A$1:$D$68,3, FALSE)</f>
        <v>Annual</v>
      </c>
      <c r="O2278" s="15">
        <f>IF(SUMPRODUCT(($A$2:$A2278=A2278)*($B$2:$B2278=B2278)*($F$2:$F2278=F2278))&gt;1,0,1)</f>
        <v>0</v>
      </c>
      <c r="P2278" s="15">
        <f>IF(SUMPRODUCT(($A$2:$A2278=A2278)*($B$2:$B2278=B2278)*($D$2:$D2278=D2278))&gt;1,0,1)</f>
        <v>0</v>
      </c>
    </row>
    <row r="2279" spans="1:16" x14ac:dyDescent="0.35">
      <c r="A2279" t="s">
        <v>18</v>
      </c>
      <c r="B2279">
        <v>2019</v>
      </c>
      <c r="C2279" t="s">
        <v>63</v>
      </c>
      <c r="D2279" s="6">
        <v>5.2</v>
      </c>
      <c r="E2279" s="6">
        <v>5</v>
      </c>
      <c r="F2279" s="1" t="s">
        <v>12</v>
      </c>
      <c r="G2279">
        <v>1</v>
      </c>
      <c r="H2279">
        <v>200</v>
      </c>
      <c r="I2279">
        <v>100</v>
      </c>
      <c r="J2279">
        <f>Table2[[#This Row],[Hits]]/Table2[[#This Row],[Points]]*100</f>
        <v>0.5</v>
      </c>
      <c r="K2279">
        <f>VLOOKUP(Table2[[#This Row],[Site]],'Site Info'!$A$1:$C$11,2, FALSE)</f>
        <v>15</v>
      </c>
      <c r="L2279">
        <f>VLOOKUP(Table2[[#This Row],[Site]],'Site Info'!$A$1:$C$11,3, FALSE)</f>
        <v>12</v>
      </c>
      <c r="M2279" t="str">
        <f>VLOOKUP(Table2[[#This Row],[Species]],'Species Table'!$A$1:$D$68,3, FALSE)</f>
        <v>Perennial</v>
      </c>
      <c r="O2279" s="15">
        <f>IF(SUMPRODUCT(($A$2:$A2279=A2279)*($B$2:$B2279=B2279)*($F$2:$F2279=F2279))&gt;1,0,1)</f>
        <v>0</v>
      </c>
      <c r="P2279" s="15">
        <f>IF(SUMPRODUCT(($A$2:$A2279=A2279)*($B$2:$B2279=B2279)*($D$2:$D2279=D2279))&gt;1,0,1)</f>
        <v>1</v>
      </c>
    </row>
    <row r="2280" spans="1:16" x14ac:dyDescent="0.35">
      <c r="A2280" t="s">
        <v>18</v>
      </c>
      <c r="B2280">
        <v>2019</v>
      </c>
      <c r="C2280" t="s">
        <v>63</v>
      </c>
      <c r="D2280" s="6">
        <v>5.2</v>
      </c>
      <c r="E2280" s="6">
        <v>5</v>
      </c>
      <c r="F2280" s="1" t="s">
        <v>11</v>
      </c>
      <c r="G2280">
        <v>19</v>
      </c>
      <c r="H2280">
        <v>200</v>
      </c>
      <c r="I2280">
        <v>100</v>
      </c>
      <c r="J2280">
        <f>Table2[[#This Row],[Hits]]/Table2[[#This Row],[Points]]*100</f>
        <v>9.5</v>
      </c>
      <c r="K2280">
        <f>VLOOKUP(Table2[[#This Row],[Site]],'Site Info'!$A$1:$C$11,2, FALSE)</f>
        <v>15</v>
      </c>
      <c r="L2280">
        <f>VLOOKUP(Table2[[#This Row],[Site]],'Site Info'!$A$1:$C$11,3, FALSE)</f>
        <v>12</v>
      </c>
      <c r="M2280" t="str">
        <f>VLOOKUP(Table2[[#This Row],[Species]],'Species Table'!$A$1:$D$68,3, FALSE)</f>
        <v>Perennial</v>
      </c>
      <c r="O2280" s="15">
        <f>IF(SUMPRODUCT(($A$2:$A2280=A2280)*($B$2:$B2280=B2280)*($F$2:$F2280=F2280))&gt;1,0,1)</f>
        <v>0</v>
      </c>
      <c r="P2280" s="15">
        <f>IF(SUMPRODUCT(($A$2:$A2280=A2280)*($B$2:$B2280=B2280)*($D$2:$D2280=D2280))&gt;1,0,1)</f>
        <v>0</v>
      </c>
    </row>
    <row r="2281" spans="1:16" hidden="1" x14ac:dyDescent="0.35">
      <c r="A2281" t="s">
        <v>18</v>
      </c>
      <c r="B2281">
        <v>2019</v>
      </c>
      <c r="C2281" t="s">
        <v>63</v>
      </c>
      <c r="D2281" s="6">
        <v>5.2</v>
      </c>
      <c r="E2281" s="6">
        <v>5</v>
      </c>
      <c r="F2281" s="1" t="s">
        <v>10</v>
      </c>
      <c r="G2281">
        <v>9</v>
      </c>
      <c r="H2281">
        <v>200</v>
      </c>
      <c r="I2281">
        <v>100</v>
      </c>
      <c r="J2281">
        <f>Table2[[#This Row],[Hits]]/Table2[[#This Row],[Points]]*100</f>
        <v>4.5</v>
      </c>
      <c r="K2281">
        <f>VLOOKUP(Table2[[#This Row],[Site]],'Site Info'!$A$1:$C$11,2, FALSE)</f>
        <v>15</v>
      </c>
      <c r="L2281">
        <f>VLOOKUP(Table2[[#This Row],[Site]],'Site Info'!$A$1:$C$11,3, FALSE)</f>
        <v>12</v>
      </c>
      <c r="M2281" t="str">
        <f>VLOOKUP(Table2[[#This Row],[Species]],'Species Table'!$A$1:$D$68,3, FALSE)</f>
        <v>Annual</v>
      </c>
      <c r="O2281" s="15">
        <f>IF(SUMPRODUCT(($A$2:$A2281=A2281)*($B$2:$B2281=B2281)*($F$2:$F2281=F2281))&gt;1,0,1)</f>
        <v>0</v>
      </c>
      <c r="P2281" s="15">
        <f>IF(SUMPRODUCT(($A$2:$A2281=A2281)*($B$2:$B2281=B2281)*($D$2:$D2281=D2281))&gt;1,0,1)</f>
        <v>0</v>
      </c>
    </row>
    <row r="2282" spans="1:16" x14ac:dyDescent="0.35">
      <c r="A2282" t="s">
        <v>18</v>
      </c>
      <c r="B2282">
        <v>2019</v>
      </c>
      <c r="C2282" t="s">
        <v>63</v>
      </c>
      <c r="D2282" s="6">
        <v>5.2</v>
      </c>
      <c r="E2282" s="6">
        <v>5</v>
      </c>
      <c r="F2282" s="1" t="s">
        <v>139</v>
      </c>
      <c r="G2282">
        <v>1</v>
      </c>
      <c r="H2282">
        <v>200</v>
      </c>
      <c r="I2282">
        <v>100</v>
      </c>
      <c r="J2282">
        <f>Table2[[#This Row],[Hits]]/Table2[[#This Row],[Points]]*100</f>
        <v>0.5</v>
      </c>
      <c r="K2282">
        <f>VLOOKUP(Table2[[#This Row],[Site]],'Site Info'!$A$1:$C$11,2, FALSE)</f>
        <v>15</v>
      </c>
      <c r="L2282">
        <f>VLOOKUP(Table2[[#This Row],[Site]],'Site Info'!$A$1:$C$11,3, FALSE)</f>
        <v>12</v>
      </c>
      <c r="M2282" t="str">
        <f>VLOOKUP(Table2[[#This Row],[Species]],'Species Table'!$A$1:$D$68,3, FALSE)</f>
        <v>Perennial</v>
      </c>
      <c r="O2282" s="15">
        <f>IF(SUMPRODUCT(($A$2:$A2282=A2282)*($B$2:$B2282=B2282)*($F$2:$F2282=F2282))&gt;1,0,1)</f>
        <v>0</v>
      </c>
      <c r="P2282" s="15">
        <f>IF(SUMPRODUCT(($A$2:$A2282=A2282)*($B$2:$B2282=B2282)*($D$2:$D2282=D2282))&gt;1,0,1)</f>
        <v>0</v>
      </c>
    </row>
    <row r="2283" spans="1:16" hidden="1" x14ac:dyDescent="0.35">
      <c r="A2283" t="s">
        <v>18</v>
      </c>
      <c r="B2283">
        <v>2019</v>
      </c>
      <c r="C2283" t="s">
        <v>63</v>
      </c>
      <c r="D2283" s="6">
        <v>5.2</v>
      </c>
      <c r="E2283" s="6">
        <v>5</v>
      </c>
      <c r="F2283" s="1" t="s">
        <v>304</v>
      </c>
      <c r="G2283">
        <v>10</v>
      </c>
      <c r="H2283">
        <v>200</v>
      </c>
      <c r="I2283">
        <v>100</v>
      </c>
      <c r="J2283">
        <f>Table2[[#This Row],[Hits]]/Table2[[#This Row],[Points]]*100</f>
        <v>5</v>
      </c>
      <c r="K2283">
        <f>VLOOKUP(Table2[[#This Row],[Site]],'Site Info'!$A$1:$C$11,2, FALSE)</f>
        <v>15</v>
      </c>
      <c r="L2283">
        <f>VLOOKUP(Table2[[#This Row],[Site]],'Site Info'!$A$1:$C$11,3, FALSE)</f>
        <v>12</v>
      </c>
      <c r="M2283" t="e">
        <f>VLOOKUP(Table2[[#This Row],[Species]],'Species Table'!$A$1:$D$68,3, FALSE)</f>
        <v>#N/A</v>
      </c>
      <c r="O2283" s="15">
        <f>IF(SUMPRODUCT(($A$2:$A2283=A2283)*($B$2:$B2283=B2283)*($F$2:$F2283=F2283))&gt;1,0,1)</f>
        <v>0</v>
      </c>
      <c r="P2283" s="15">
        <f>IF(SUMPRODUCT(($A$2:$A2283=A2283)*($B$2:$B2283=B2283)*($D$2:$D2283=D2283))&gt;1,0,1)</f>
        <v>0</v>
      </c>
    </row>
    <row r="2284" spans="1:16" x14ac:dyDescent="0.35">
      <c r="A2284" t="s">
        <v>18</v>
      </c>
      <c r="B2284">
        <v>2019</v>
      </c>
      <c r="C2284" t="s">
        <v>64</v>
      </c>
      <c r="D2284" s="6">
        <v>5.3</v>
      </c>
      <c r="E2284" s="6">
        <v>5</v>
      </c>
      <c r="F2284" s="1" t="s">
        <v>11</v>
      </c>
      <c r="G2284">
        <v>26</v>
      </c>
      <c r="H2284">
        <v>200</v>
      </c>
      <c r="I2284">
        <v>100</v>
      </c>
      <c r="J2284">
        <f>Table2[[#This Row],[Hits]]/Table2[[#This Row],[Points]]*100</f>
        <v>13</v>
      </c>
      <c r="K2284">
        <f>VLOOKUP(Table2[[#This Row],[Site]],'Site Info'!$A$1:$C$11,2, FALSE)</f>
        <v>15</v>
      </c>
      <c r="L2284">
        <f>VLOOKUP(Table2[[#This Row],[Site]],'Site Info'!$A$1:$C$11,3, FALSE)</f>
        <v>12</v>
      </c>
      <c r="M2284" t="str">
        <f>VLOOKUP(Table2[[#This Row],[Species]],'Species Table'!$A$1:$D$68,3, FALSE)</f>
        <v>Perennial</v>
      </c>
      <c r="O2284" s="15">
        <f>IF(SUMPRODUCT(($A$2:$A2284=A2284)*($B$2:$B2284=B2284)*($F$2:$F2284=F2284))&gt;1,0,1)</f>
        <v>0</v>
      </c>
      <c r="P2284" s="15">
        <f>IF(SUMPRODUCT(($A$2:$A2284=A2284)*($B$2:$B2284=B2284)*($D$2:$D2284=D2284))&gt;1,0,1)</f>
        <v>1</v>
      </c>
    </row>
    <row r="2285" spans="1:16" hidden="1" x14ac:dyDescent="0.35">
      <c r="A2285" t="s">
        <v>18</v>
      </c>
      <c r="B2285">
        <v>2019</v>
      </c>
      <c r="C2285" t="s">
        <v>64</v>
      </c>
      <c r="D2285" s="6">
        <v>5.3</v>
      </c>
      <c r="E2285" s="6">
        <v>5</v>
      </c>
      <c r="F2285" s="1" t="s">
        <v>10</v>
      </c>
      <c r="G2285">
        <v>19</v>
      </c>
      <c r="H2285">
        <v>200</v>
      </c>
      <c r="I2285">
        <v>100</v>
      </c>
      <c r="J2285">
        <f>Table2[[#This Row],[Hits]]/Table2[[#This Row],[Points]]*100</f>
        <v>9.5</v>
      </c>
      <c r="K2285">
        <f>VLOOKUP(Table2[[#This Row],[Site]],'Site Info'!$A$1:$C$11,2, FALSE)</f>
        <v>15</v>
      </c>
      <c r="L2285">
        <f>VLOOKUP(Table2[[#This Row],[Site]],'Site Info'!$A$1:$C$11,3, FALSE)</f>
        <v>12</v>
      </c>
      <c r="M2285" t="str">
        <f>VLOOKUP(Table2[[#This Row],[Species]],'Species Table'!$A$1:$D$68,3, FALSE)</f>
        <v>Annual</v>
      </c>
      <c r="O2285" s="15">
        <f>IF(SUMPRODUCT(($A$2:$A2285=A2285)*($B$2:$B2285=B2285)*($F$2:$F2285=F2285))&gt;1,0,1)</f>
        <v>0</v>
      </c>
      <c r="P2285" s="15">
        <f>IF(SUMPRODUCT(($A$2:$A2285=A2285)*($B$2:$B2285=B2285)*($D$2:$D2285=D2285))&gt;1,0,1)</f>
        <v>0</v>
      </c>
    </row>
    <row r="2286" spans="1:16" x14ac:dyDescent="0.35">
      <c r="A2286" t="s">
        <v>18</v>
      </c>
      <c r="B2286">
        <v>2019</v>
      </c>
      <c r="C2286" t="s">
        <v>86</v>
      </c>
      <c r="D2286" s="6">
        <v>5.4</v>
      </c>
      <c r="E2286" s="6">
        <v>5</v>
      </c>
      <c r="F2286" s="1" t="s">
        <v>11</v>
      </c>
      <c r="G2286">
        <v>23</v>
      </c>
      <c r="H2286">
        <v>200</v>
      </c>
      <c r="I2286">
        <v>100</v>
      </c>
      <c r="J2286">
        <f>Table2[[#This Row],[Hits]]/Table2[[#This Row],[Points]]*100</f>
        <v>11.5</v>
      </c>
      <c r="K2286">
        <f>VLOOKUP(Table2[[#This Row],[Site]],'Site Info'!$A$1:$C$11,2, FALSE)</f>
        <v>15</v>
      </c>
      <c r="L2286">
        <f>VLOOKUP(Table2[[#This Row],[Site]],'Site Info'!$A$1:$C$11,3, FALSE)</f>
        <v>12</v>
      </c>
      <c r="M2286" t="str">
        <f>VLOOKUP(Table2[[#This Row],[Species]],'Species Table'!$A$1:$D$68,3, FALSE)</f>
        <v>Perennial</v>
      </c>
      <c r="O2286" s="15">
        <f>IF(SUMPRODUCT(($A$2:$A2286=A2286)*($B$2:$B2286=B2286)*($F$2:$F2286=F2286))&gt;1,0,1)</f>
        <v>0</v>
      </c>
      <c r="P2286" s="15">
        <f>IF(SUMPRODUCT(($A$2:$A2286=A2286)*($B$2:$B2286=B2286)*($D$2:$D2286=D2286))&gt;1,0,1)</f>
        <v>1</v>
      </c>
    </row>
    <row r="2287" spans="1:16" hidden="1" x14ac:dyDescent="0.35">
      <c r="A2287" t="s">
        <v>18</v>
      </c>
      <c r="B2287">
        <v>2019</v>
      </c>
      <c r="C2287" t="s">
        <v>86</v>
      </c>
      <c r="D2287" s="6">
        <v>5.4</v>
      </c>
      <c r="E2287" s="6">
        <v>5</v>
      </c>
      <c r="F2287" s="1" t="s">
        <v>10</v>
      </c>
      <c r="G2287">
        <v>14</v>
      </c>
      <c r="H2287">
        <v>200</v>
      </c>
      <c r="I2287">
        <v>100</v>
      </c>
      <c r="J2287">
        <f>Table2[[#This Row],[Hits]]/Table2[[#This Row],[Points]]*100</f>
        <v>7.0000000000000009</v>
      </c>
      <c r="K2287">
        <f>VLOOKUP(Table2[[#This Row],[Site]],'Site Info'!$A$1:$C$11,2, FALSE)</f>
        <v>15</v>
      </c>
      <c r="L2287">
        <f>VLOOKUP(Table2[[#This Row],[Site]],'Site Info'!$A$1:$C$11,3, FALSE)</f>
        <v>12</v>
      </c>
      <c r="M2287" t="str">
        <f>VLOOKUP(Table2[[#This Row],[Species]],'Species Table'!$A$1:$D$68,3, FALSE)</f>
        <v>Annual</v>
      </c>
      <c r="O2287" s="15">
        <f>IF(SUMPRODUCT(($A$2:$A2287=A2287)*($B$2:$B2287=B2287)*($F$2:$F2287=F2287))&gt;1,0,1)</f>
        <v>0</v>
      </c>
      <c r="P2287" s="15">
        <f>IF(SUMPRODUCT(($A$2:$A2287=A2287)*($B$2:$B2287=B2287)*($D$2:$D2287=D2287))&gt;1,0,1)</f>
        <v>0</v>
      </c>
    </row>
    <row r="2288" spans="1:16" x14ac:dyDescent="0.35">
      <c r="A2288" t="s">
        <v>18</v>
      </c>
      <c r="B2288">
        <v>2019</v>
      </c>
      <c r="C2288" t="s">
        <v>87</v>
      </c>
      <c r="D2288" s="6">
        <v>5.6</v>
      </c>
      <c r="E2288" s="6">
        <v>5</v>
      </c>
      <c r="F2288" s="1" t="s">
        <v>11</v>
      </c>
      <c r="G2288">
        <v>48</v>
      </c>
      <c r="H2288">
        <v>200</v>
      </c>
      <c r="I2288">
        <v>100</v>
      </c>
      <c r="J2288">
        <f>Table2[[#This Row],[Hits]]/Table2[[#This Row],[Points]]*100</f>
        <v>24</v>
      </c>
      <c r="K2288">
        <f>VLOOKUP(Table2[[#This Row],[Site]],'Site Info'!$A$1:$C$11,2, FALSE)</f>
        <v>15</v>
      </c>
      <c r="L2288">
        <f>VLOOKUP(Table2[[#This Row],[Site]],'Site Info'!$A$1:$C$11,3, FALSE)</f>
        <v>12</v>
      </c>
      <c r="M2288" t="str">
        <f>VLOOKUP(Table2[[#This Row],[Species]],'Species Table'!$A$1:$D$68,3, FALSE)</f>
        <v>Perennial</v>
      </c>
      <c r="O2288" s="15">
        <f>IF(SUMPRODUCT(($A$2:$A2288=A2288)*($B$2:$B2288=B2288)*($F$2:$F2288=F2288))&gt;1,0,1)</f>
        <v>0</v>
      </c>
      <c r="P2288" s="15">
        <f>IF(SUMPRODUCT(($A$2:$A2288=A2288)*($B$2:$B2288=B2288)*($D$2:$D2288=D2288))&gt;1,0,1)</f>
        <v>1</v>
      </c>
    </row>
    <row r="2289" spans="1:16" hidden="1" x14ac:dyDescent="0.35">
      <c r="A2289" t="s">
        <v>18</v>
      </c>
      <c r="B2289">
        <v>2019</v>
      </c>
      <c r="C2289" t="s">
        <v>87</v>
      </c>
      <c r="D2289" s="6">
        <v>5.6</v>
      </c>
      <c r="E2289" s="6">
        <v>5</v>
      </c>
      <c r="F2289" s="1" t="s">
        <v>10</v>
      </c>
      <c r="G2289">
        <v>1</v>
      </c>
      <c r="H2289">
        <v>200</v>
      </c>
      <c r="I2289">
        <v>100</v>
      </c>
      <c r="J2289">
        <f>Table2[[#This Row],[Hits]]/Table2[[#This Row],[Points]]*100</f>
        <v>0.5</v>
      </c>
      <c r="K2289">
        <f>VLOOKUP(Table2[[#This Row],[Site]],'Site Info'!$A$1:$C$11,2, FALSE)</f>
        <v>15</v>
      </c>
      <c r="L2289">
        <f>VLOOKUP(Table2[[#This Row],[Site]],'Site Info'!$A$1:$C$11,3, FALSE)</f>
        <v>12</v>
      </c>
      <c r="M2289" t="str">
        <f>VLOOKUP(Table2[[#This Row],[Species]],'Species Table'!$A$1:$D$68,3, FALSE)</f>
        <v>Annual</v>
      </c>
      <c r="O2289" s="15">
        <f>IF(SUMPRODUCT(($A$2:$A2289=A2289)*($B$2:$B2289=B2289)*($F$2:$F2289=F2289))&gt;1,0,1)</f>
        <v>0</v>
      </c>
      <c r="P2289" s="15">
        <f>IF(SUMPRODUCT(($A$2:$A2289=A2289)*($B$2:$B2289=B2289)*($D$2:$D2289=D2289))&gt;1,0,1)</f>
        <v>0</v>
      </c>
    </row>
    <row r="2290" spans="1:16" x14ac:dyDescent="0.35">
      <c r="A2290" t="s">
        <v>18</v>
      </c>
      <c r="B2290">
        <v>2019</v>
      </c>
      <c r="C2290" t="s">
        <v>65</v>
      </c>
      <c r="D2290" s="6">
        <v>5.5</v>
      </c>
      <c r="E2290" s="6">
        <v>5</v>
      </c>
      <c r="F2290" s="1" t="s">
        <v>11</v>
      </c>
      <c r="G2290">
        <v>19</v>
      </c>
      <c r="H2290">
        <v>200</v>
      </c>
      <c r="I2290">
        <v>100</v>
      </c>
      <c r="J2290">
        <f>Table2[[#This Row],[Hits]]/Table2[[#This Row],[Points]]*100</f>
        <v>9.5</v>
      </c>
      <c r="K2290">
        <f>VLOOKUP(Table2[[#This Row],[Site]],'Site Info'!$A$1:$C$11,2, FALSE)</f>
        <v>15</v>
      </c>
      <c r="L2290">
        <f>VLOOKUP(Table2[[#This Row],[Site]],'Site Info'!$A$1:$C$11,3, FALSE)</f>
        <v>12</v>
      </c>
      <c r="M2290" t="str">
        <f>VLOOKUP(Table2[[#This Row],[Species]],'Species Table'!$A$1:$D$68,3, FALSE)</f>
        <v>Perennial</v>
      </c>
      <c r="O2290" s="15">
        <f>IF(SUMPRODUCT(($A$2:$A2290=A2290)*($B$2:$B2290=B2290)*($F$2:$F2290=F2290))&gt;1,0,1)</f>
        <v>0</v>
      </c>
      <c r="P2290" s="15">
        <f>IF(SUMPRODUCT(($A$2:$A2290=A2290)*($B$2:$B2290=B2290)*($D$2:$D2290=D2290))&gt;1,0,1)</f>
        <v>1</v>
      </c>
    </row>
    <row r="2291" spans="1:16" hidden="1" x14ac:dyDescent="0.35">
      <c r="A2291" t="s">
        <v>18</v>
      </c>
      <c r="B2291">
        <v>2019</v>
      </c>
      <c r="C2291" t="s">
        <v>65</v>
      </c>
      <c r="D2291" s="6">
        <v>5.5</v>
      </c>
      <c r="E2291" s="6">
        <v>5</v>
      </c>
      <c r="F2291" s="1" t="s">
        <v>10</v>
      </c>
      <c r="G2291">
        <v>6</v>
      </c>
      <c r="H2291">
        <v>200</v>
      </c>
      <c r="I2291">
        <v>100</v>
      </c>
      <c r="J2291">
        <f>Table2[[#This Row],[Hits]]/Table2[[#This Row],[Points]]*100</f>
        <v>3</v>
      </c>
      <c r="K2291">
        <f>VLOOKUP(Table2[[#This Row],[Site]],'Site Info'!$A$1:$C$11,2, FALSE)</f>
        <v>15</v>
      </c>
      <c r="L2291">
        <f>VLOOKUP(Table2[[#This Row],[Site]],'Site Info'!$A$1:$C$11,3, FALSE)</f>
        <v>12</v>
      </c>
      <c r="M2291" t="str">
        <f>VLOOKUP(Table2[[#This Row],[Species]],'Species Table'!$A$1:$D$68,3, FALSE)</f>
        <v>Annual</v>
      </c>
      <c r="O2291" s="15">
        <f>IF(SUMPRODUCT(($A$2:$A2291=A2291)*($B$2:$B2291=B2291)*($F$2:$F2291=F2291))&gt;1,0,1)</f>
        <v>0</v>
      </c>
      <c r="P2291" s="15">
        <f>IF(SUMPRODUCT(($A$2:$A2291=A2291)*($B$2:$B2291=B2291)*($D$2:$D2291=D2291))&gt;1,0,1)</f>
        <v>0</v>
      </c>
    </row>
    <row r="2292" spans="1:16" x14ac:dyDescent="0.35">
      <c r="A2292" t="s">
        <v>18</v>
      </c>
      <c r="B2292">
        <v>2019</v>
      </c>
      <c r="C2292" t="s">
        <v>50</v>
      </c>
      <c r="D2292" s="6">
        <v>3.1</v>
      </c>
      <c r="E2292" s="6">
        <v>3</v>
      </c>
      <c r="F2292" s="1" t="s">
        <v>11</v>
      </c>
      <c r="G2292">
        <v>23</v>
      </c>
      <c r="H2292">
        <v>200</v>
      </c>
      <c r="I2292">
        <v>100</v>
      </c>
      <c r="J2292">
        <f>Table2[[#This Row],[Hits]]/Table2[[#This Row],[Points]]*100</f>
        <v>11.5</v>
      </c>
      <c r="K2292">
        <f>VLOOKUP(Table2[[#This Row],[Site]],'Site Info'!$A$1:$C$11,2, FALSE)</f>
        <v>15</v>
      </c>
      <c r="L2292">
        <f>VLOOKUP(Table2[[#This Row],[Site]],'Site Info'!$A$1:$C$11,3, FALSE)</f>
        <v>12</v>
      </c>
      <c r="M2292" t="str">
        <f>VLOOKUP(Table2[[#This Row],[Species]],'Species Table'!$A$1:$D$68,3, FALSE)</f>
        <v>Perennial</v>
      </c>
      <c r="O2292" s="15">
        <f>IF(SUMPRODUCT(($A$2:$A2292=A2292)*($B$2:$B2292=B2292)*($F$2:$F2292=F2292))&gt;1,0,1)</f>
        <v>0</v>
      </c>
      <c r="P2292" s="15">
        <f>IF(SUMPRODUCT(($A$2:$A2292=A2292)*($B$2:$B2292=B2292)*($D$2:$D2292=D2292))&gt;1,0,1)</f>
        <v>1</v>
      </c>
    </row>
    <row r="2293" spans="1:16" x14ac:dyDescent="0.35">
      <c r="A2293" t="s">
        <v>18</v>
      </c>
      <c r="B2293">
        <v>2019</v>
      </c>
      <c r="C2293" t="s">
        <v>51</v>
      </c>
      <c r="D2293" s="6">
        <v>3.3</v>
      </c>
      <c r="E2293" s="6">
        <v>3</v>
      </c>
      <c r="F2293" s="1" t="s">
        <v>11</v>
      </c>
      <c r="G2293">
        <v>15</v>
      </c>
      <c r="H2293">
        <v>200</v>
      </c>
      <c r="I2293">
        <v>100</v>
      </c>
      <c r="J2293">
        <f>Table2[[#This Row],[Hits]]/Table2[[#This Row],[Points]]*100</f>
        <v>7.5</v>
      </c>
      <c r="K2293">
        <f>VLOOKUP(Table2[[#This Row],[Site]],'Site Info'!$A$1:$C$11,2, FALSE)</f>
        <v>15</v>
      </c>
      <c r="L2293">
        <f>VLOOKUP(Table2[[#This Row],[Site]],'Site Info'!$A$1:$C$11,3, FALSE)</f>
        <v>12</v>
      </c>
      <c r="M2293" t="str">
        <f>VLOOKUP(Table2[[#This Row],[Species]],'Species Table'!$A$1:$D$68,3, FALSE)</f>
        <v>Perennial</v>
      </c>
      <c r="O2293" s="15">
        <f>IF(SUMPRODUCT(($A$2:$A2293=A2293)*($B$2:$B2293=B2293)*($F$2:$F2293=F2293))&gt;1,0,1)</f>
        <v>0</v>
      </c>
      <c r="P2293" s="15">
        <f>IF(SUMPRODUCT(($A$2:$A2293=A2293)*($B$2:$B2293=B2293)*($D$2:$D2293=D2293))&gt;1,0,1)</f>
        <v>1</v>
      </c>
    </row>
    <row r="2294" spans="1:16" hidden="1" x14ac:dyDescent="0.35">
      <c r="A2294" t="s">
        <v>18</v>
      </c>
      <c r="B2294">
        <v>2019</v>
      </c>
      <c r="C2294" t="s">
        <v>305</v>
      </c>
      <c r="D2294" s="6">
        <v>3.3</v>
      </c>
      <c r="E2294" s="6">
        <v>3</v>
      </c>
      <c r="F2294" s="1" t="s">
        <v>10</v>
      </c>
      <c r="G2294">
        <v>1</v>
      </c>
      <c r="H2294">
        <v>200</v>
      </c>
      <c r="I2294">
        <v>100</v>
      </c>
      <c r="J2294">
        <f>Table2[[#This Row],[Hits]]/Table2[[#This Row],[Points]]*100</f>
        <v>0.5</v>
      </c>
      <c r="K2294">
        <f>VLOOKUP(Table2[[#This Row],[Site]],'Site Info'!$A$1:$C$11,2, FALSE)</f>
        <v>15</v>
      </c>
      <c r="L2294">
        <f>VLOOKUP(Table2[[#This Row],[Site]],'Site Info'!$A$1:$C$11,3, FALSE)</f>
        <v>12</v>
      </c>
      <c r="M2294" t="str">
        <f>VLOOKUP(Table2[[#This Row],[Species]],'Species Table'!$A$1:$D$68,3, FALSE)</f>
        <v>Annual</v>
      </c>
      <c r="O2294" s="15">
        <f>IF(SUMPRODUCT(($A$2:$A2294=A2294)*($B$2:$B2294=B2294)*($F$2:$F2294=F2294))&gt;1,0,1)</f>
        <v>0</v>
      </c>
      <c r="P2294" s="15">
        <f>IF(SUMPRODUCT(($A$2:$A2294=A2294)*($B$2:$B2294=B2294)*($D$2:$D2294=D2294))&gt;1,0,1)</f>
        <v>0</v>
      </c>
    </row>
    <row r="2295" spans="1:16" hidden="1" x14ac:dyDescent="0.35">
      <c r="A2295" t="s">
        <v>18</v>
      </c>
      <c r="B2295">
        <v>2019</v>
      </c>
      <c r="C2295" t="s">
        <v>102</v>
      </c>
      <c r="D2295" s="6">
        <v>3.5</v>
      </c>
      <c r="E2295" s="6">
        <v>3</v>
      </c>
      <c r="F2295" s="1" t="s">
        <v>10</v>
      </c>
      <c r="G2295">
        <v>20</v>
      </c>
      <c r="H2295">
        <v>200</v>
      </c>
      <c r="I2295">
        <v>100</v>
      </c>
      <c r="J2295">
        <f>Table2[[#This Row],[Hits]]/Table2[[#This Row],[Points]]*100</f>
        <v>10</v>
      </c>
      <c r="K2295">
        <f>VLOOKUP(Table2[[#This Row],[Site]],'Site Info'!$A$1:$C$11,2, FALSE)</f>
        <v>15</v>
      </c>
      <c r="L2295">
        <f>VLOOKUP(Table2[[#This Row],[Site]],'Site Info'!$A$1:$C$11,3, FALSE)</f>
        <v>12</v>
      </c>
      <c r="M2295" t="str">
        <f>VLOOKUP(Table2[[#This Row],[Species]],'Species Table'!$A$1:$D$68,3, FALSE)</f>
        <v>Annual</v>
      </c>
      <c r="O2295" s="15">
        <f>IF(SUMPRODUCT(($A$2:$A2295=A2295)*($B$2:$B2295=B2295)*($F$2:$F2295=F2295))&gt;1,0,1)</f>
        <v>0</v>
      </c>
      <c r="P2295" s="15">
        <f>IF(SUMPRODUCT(($A$2:$A2295=A2295)*($B$2:$B2295=B2295)*($D$2:$D2295=D2295))&gt;1,0,1)</f>
        <v>1</v>
      </c>
    </row>
    <row r="2296" spans="1:16" x14ac:dyDescent="0.35">
      <c r="A2296" t="s">
        <v>18</v>
      </c>
      <c r="B2296">
        <v>2019</v>
      </c>
      <c r="C2296" t="s">
        <v>102</v>
      </c>
      <c r="D2296" s="6">
        <v>3.5</v>
      </c>
      <c r="E2296" s="6">
        <v>3</v>
      </c>
      <c r="F2296" s="1" t="s">
        <v>11</v>
      </c>
      <c r="G2296">
        <v>4</v>
      </c>
      <c r="H2296">
        <v>200</v>
      </c>
      <c r="I2296">
        <v>100</v>
      </c>
      <c r="J2296">
        <f>Table2[[#This Row],[Hits]]/Table2[[#This Row],[Points]]*100</f>
        <v>2</v>
      </c>
      <c r="K2296">
        <f>VLOOKUP(Table2[[#This Row],[Site]],'Site Info'!$A$1:$C$11,2, FALSE)</f>
        <v>15</v>
      </c>
      <c r="L2296">
        <f>VLOOKUP(Table2[[#This Row],[Site]],'Site Info'!$A$1:$C$11,3, FALSE)</f>
        <v>12</v>
      </c>
      <c r="M2296" t="str">
        <f>VLOOKUP(Table2[[#This Row],[Species]],'Species Table'!$A$1:$D$68,3, FALSE)</f>
        <v>Perennial</v>
      </c>
      <c r="O2296" s="15">
        <f>IF(SUMPRODUCT(($A$2:$A2296=A2296)*($B$2:$B2296=B2296)*($F$2:$F2296=F2296))&gt;1,0,1)</f>
        <v>0</v>
      </c>
      <c r="P2296" s="15">
        <f>IF(SUMPRODUCT(($A$2:$A2296=A2296)*($B$2:$B2296=B2296)*($D$2:$D2296=D2296))&gt;1,0,1)</f>
        <v>0</v>
      </c>
    </row>
    <row r="2297" spans="1:16" hidden="1" x14ac:dyDescent="0.35">
      <c r="A2297" t="s">
        <v>18</v>
      </c>
      <c r="B2297">
        <v>2019</v>
      </c>
      <c r="C2297" t="s">
        <v>54</v>
      </c>
      <c r="D2297" s="6">
        <v>3.7</v>
      </c>
      <c r="E2297" s="6">
        <v>3</v>
      </c>
      <c r="F2297" s="1" t="s">
        <v>10</v>
      </c>
      <c r="G2297">
        <v>15</v>
      </c>
      <c r="H2297">
        <v>200</v>
      </c>
      <c r="I2297">
        <v>100</v>
      </c>
      <c r="J2297">
        <f>Table2[[#This Row],[Hits]]/Table2[[#This Row],[Points]]*100</f>
        <v>7.5</v>
      </c>
      <c r="K2297">
        <f>VLOOKUP(Table2[[#This Row],[Site]],'Site Info'!$A$1:$C$11,2, FALSE)</f>
        <v>15</v>
      </c>
      <c r="L2297">
        <f>VLOOKUP(Table2[[#This Row],[Site]],'Site Info'!$A$1:$C$11,3, FALSE)</f>
        <v>12</v>
      </c>
      <c r="M2297" t="str">
        <f>VLOOKUP(Table2[[#This Row],[Species]],'Species Table'!$A$1:$D$68,3, FALSE)</f>
        <v>Annual</v>
      </c>
      <c r="O2297" s="15">
        <f>IF(SUMPRODUCT(($A$2:$A2297=A2297)*($B$2:$B2297=B2297)*($F$2:$F2297=F2297))&gt;1,0,1)</f>
        <v>0</v>
      </c>
      <c r="P2297" s="15">
        <f>IF(SUMPRODUCT(($A$2:$A2297=A2297)*($B$2:$B2297=B2297)*($D$2:$D2297=D2297))&gt;1,0,1)</f>
        <v>1</v>
      </c>
    </row>
    <row r="2298" spans="1:16" x14ac:dyDescent="0.35">
      <c r="A2298" t="s">
        <v>18</v>
      </c>
      <c r="B2298">
        <v>2019</v>
      </c>
      <c r="C2298" t="s">
        <v>54</v>
      </c>
      <c r="D2298" s="6">
        <v>3.7</v>
      </c>
      <c r="E2298" s="6">
        <v>3</v>
      </c>
      <c r="F2298" s="1" t="s">
        <v>11</v>
      </c>
      <c r="G2298">
        <v>46</v>
      </c>
      <c r="H2298">
        <v>200</v>
      </c>
      <c r="I2298">
        <v>100</v>
      </c>
      <c r="J2298">
        <f>Table2[[#This Row],[Hits]]/Table2[[#This Row],[Points]]*100</f>
        <v>23</v>
      </c>
      <c r="K2298">
        <f>VLOOKUP(Table2[[#This Row],[Site]],'Site Info'!$A$1:$C$11,2, FALSE)</f>
        <v>15</v>
      </c>
      <c r="L2298">
        <f>VLOOKUP(Table2[[#This Row],[Site]],'Site Info'!$A$1:$C$11,3, FALSE)</f>
        <v>12</v>
      </c>
      <c r="M2298" t="str">
        <f>VLOOKUP(Table2[[#This Row],[Species]],'Species Table'!$A$1:$D$68,3, FALSE)</f>
        <v>Perennial</v>
      </c>
      <c r="O2298" s="15">
        <f>IF(SUMPRODUCT(($A$2:$A2298=A2298)*($B$2:$B2298=B2298)*($F$2:$F2298=F2298))&gt;1,0,1)</f>
        <v>0</v>
      </c>
      <c r="P2298" s="15">
        <f>IF(SUMPRODUCT(($A$2:$A2298=A2298)*($B$2:$B2298=B2298)*($D$2:$D2298=D2298))&gt;1,0,1)</f>
        <v>0</v>
      </c>
    </row>
    <row r="2299" spans="1:16" x14ac:dyDescent="0.35">
      <c r="A2299" t="s">
        <v>18</v>
      </c>
      <c r="B2299">
        <v>2019</v>
      </c>
      <c r="C2299" t="s">
        <v>54</v>
      </c>
      <c r="D2299" s="6">
        <v>3.7</v>
      </c>
      <c r="E2299" s="6">
        <v>3</v>
      </c>
      <c r="F2299" s="1" t="s">
        <v>12</v>
      </c>
      <c r="G2299">
        <v>1</v>
      </c>
      <c r="H2299">
        <v>200</v>
      </c>
      <c r="I2299">
        <v>100</v>
      </c>
      <c r="J2299">
        <f>Table2[[#This Row],[Hits]]/Table2[[#This Row],[Points]]*100</f>
        <v>0.5</v>
      </c>
      <c r="K2299">
        <f>VLOOKUP(Table2[[#This Row],[Site]],'Site Info'!$A$1:$C$11,2, FALSE)</f>
        <v>15</v>
      </c>
      <c r="L2299">
        <f>VLOOKUP(Table2[[#This Row],[Site]],'Site Info'!$A$1:$C$11,3, FALSE)</f>
        <v>12</v>
      </c>
      <c r="M2299" t="str">
        <f>VLOOKUP(Table2[[#This Row],[Species]],'Species Table'!$A$1:$D$68,3, FALSE)</f>
        <v>Perennial</v>
      </c>
      <c r="O2299" s="15">
        <f>IF(SUMPRODUCT(($A$2:$A2299=A2299)*($B$2:$B2299=B2299)*($F$2:$F2299=F2299))&gt;1,0,1)</f>
        <v>0</v>
      </c>
      <c r="P2299" s="15">
        <f>IF(SUMPRODUCT(($A$2:$A2299=A2299)*($B$2:$B2299=B2299)*($D$2:$D2299=D2299))&gt;1,0,1)</f>
        <v>0</v>
      </c>
    </row>
    <row r="2300" spans="1:16" x14ac:dyDescent="0.35">
      <c r="A2300" t="s">
        <v>18</v>
      </c>
      <c r="B2300">
        <v>2019</v>
      </c>
      <c r="C2300" t="s">
        <v>54</v>
      </c>
      <c r="D2300" s="6">
        <v>3.7</v>
      </c>
      <c r="E2300" s="6">
        <v>3</v>
      </c>
      <c r="F2300" s="1" t="s">
        <v>31</v>
      </c>
      <c r="G2300">
        <v>6</v>
      </c>
      <c r="H2300">
        <v>200</v>
      </c>
      <c r="I2300">
        <v>100</v>
      </c>
      <c r="J2300">
        <f>Table2[[#This Row],[Hits]]/Table2[[#This Row],[Points]]*100</f>
        <v>3</v>
      </c>
      <c r="K2300">
        <f>VLOOKUP(Table2[[#This Row],[Site]],'Site Info'!$A$1:$C$11,2, FALSE)</f>
        <v>15</v>
      </c>
      <c r="L2300">
        <f>VLOOKUP(Table2[[#This Row],[Site]],'Site Info'!$A$1:$C$11,3, FALSE)</f>
        <v>12</v>
      </c>
      <c r="M2300" t="str">
        <f>VLOOKUP(Table2[[#This Row],[Species]],'Species Table'!$A$1:$D$68,3, FALSE)</f>
        <v>Perennial</v>
      </c>
      <c r="O2300" s="15">
        <f>IF(SUMPRODUCT(($A$2:$A2300=A2300)*($B$2:$B2300=B2300)*($F$2:$F2300=F2300))&gt;1,0,1)</f>
        <v>1</v>
      </c>
      <c r="P2300" s="15">
        <f>IF(SUMPRODUCT(($A$2:$A2300=A2300)*($B$2:$B2300=B2300)*($D$2:$D2300=D2300))&gt;1,0,1)</f>
        <v>0</v>
      </c>
    </row>
    <row r="2301" spans="1:16" x14ac:dyDescent="0.35">
      <c r="A2301" t="s">
        <v>18</v>
      </c>
      <c r="B2301">
        <v>2019</v>
      </c>
      <c r="C2301" t="s">
        <v>67</v>
      </c>
      <c r="D2301" s="6">
        <v>6.1</v>
      </c>
      <c r="E2301" s="6">
        <v>6</v>
      </c>
      <c r="F2301" s="1" t="s">
        <v>11</v>
      </c>
      <c r="G2301">
        <v>14</v>
      </c>
      <c r="H2301">
        <v>200</v>
      </c>
      <c r="I2301">
        <v>100</v>
      </c>
      <c r="J2301">
        <f>Table2[[#This Row],[Hits]]/Table2[[#This Row],[Points]]*100</f>
        <v>7.0000000000000009</v>
      </c>
      <c r="K2301">
        <f>VLOOKUP(Table2[[#This Row],[Site]],'Site Info'!$A$1:$C$11,2, FALSE)</f>
        <v>15</v>
      </c>
      <c r="L2301">
        <f>VLOOKUP(Table2[[#This Row],[Site]],'Site Info'!$A$1:$C$11,3, FALSE)</f>
        <v>12</v>
      </c>
      <c r="M2301" t="str">
        <f>VLOOKUP(Table2[[#This Row],[Species]],'Species Table'!$A$1:$D$68,3, FALSE)</f>
        <v>Perennial</v>
      </c>
      <c r="O2301" s="15">
        <f>IF(SUMPRODUCT(($A$2:$A2301=A2301)*($B$2:$B2301=B2301)*($F$2:$F2301=F2301))&gt;1,0,1)</f>
        <v>0</v>
      </c>
      <c r="P2301" s="15">
        <f>IF(SUMPRODUCT(($A$2:$A2301=A2301)*($B$2:$B2301=B2301)*($D$2:$D2301=D2301))&gt;1,0,1)</f>
        <v>1</v>
      </c>
    </row>
    <row r="2302" spans="1:16" hidden="1" x14ac:dyDescent="0.35">
      <c r="A2302" t="s">
        <v>18</v>
      </c>
      <c r="B2302">
        <v>2019</v>
      </c>
      <c r="C2302" t="s">
        <v>67</v>
      </c>
      <c r="D2302" s="6">
        <v>6.1</v>
      </c>
      <c r="E2302" s="6">
        <v>6</v>
      </c>
      <c r="F2302" s="1" t="s">
        <v>10</v>
      </c>
      <c r="G2302">
        <v>19</v>
      </c>
      <c r="H2302">
        <v>200</v>
      </c>
      <c r="I2302">
        <v>100</v>
      </c>
      <c r="J2302">
        <f>Table2[[#This Row],[Hits]]/Table2[[#This Row],[Points]]*100</f>
        <v>9.5</v>
      </c>
      <c r="K2302">
        <f>VLOOKUP(Table2[[#This Row],[Site]],'Site Info'!$A$1:$C$11,2, FALSE)</f>
        <v>15</v>
      </c>
      <c r="L2302">
        <f>VLOOKUP(Table2[[#This Row],[Site]],'Site Info'!$A$1:$C$11,3, FALSE)</f>
        <v>12</v>
      </c>
      <c r="M2302" t="str">
        <f>VLOOKUP(Table2[[#This Row],[Species]],'Species Table'!$A$1:$D$68,3, FALSE)</f>
        <v>Annual</v>
      </c>
      <c r="O2302" s="15">
        <f>IF(SUMPRODUCT(($A$2:$A2302=A2302)*($B$2:$B2302=B2302)*($F$2:$F2302=F2302))&gt;1,0,1)</f>
        <v>0</v>
      </c>
      <c r="P2302" s="15">
        <f>IF(SUMPRODUCT(($A$2:$A2302=A2302)*($B$2:$B2302=B2302)*($D$2:$D2302=D2302))&gt;1,0,1)</f>
        <v>0</v>
      </c>
    </row>
    <row r="2303" spans="1:16" x14ac:dyDescent="0.35">
      <c r="A2303" t="s">
        <v>18</v>
      </c>
      <c r="B2303">
        <v>2019</v>
      </c>
      <c r="C2303" t="s">
        <v>88</v>
      </c>
      <c r="D2303" s="6">
        <v>6.2</v>
      </c>
      <c r="E2303" s="6">
        <v>6</v>
      </c>
      <c r="F2303" s="1" t="s">
        <v>11</v>
      </c>
      <c r="G2303">
        <v>42</v>
      </c>
      <c r="H2303">
        <v>200</v>
      </c>
      <c r="I2303">
        <v>100</v>
      </c>
      <c r="J2303">
        <f>Table2[[#This Row],[Hits]]/Table2[[#This Row],[Points]]*100</f>
        <v>21</v>
      </c>
      <c r="K2303">
        <f>VLOOKUP(Table2[[#This Row],[Site]],'Site Info'!$A$1:$C$11,2, FALSE)</f>
        <v>15</v>
      </c>
      <c r="L2303">
        <f>VLOOKUP(Table2[[#This Row],[Site]],'Site Info'!$A$1:$C$11,3, FALSE)</f>
        <v>12</v>
      </c>
      <c r="M2303" t="str">
        <f>VLOOKUP(Table2[[#This Row],[Species]],'Species Table'!$A$1:$D$68,3, FALSE)</f>
        <v>Perennial</v>
      </c>
      <c r="O2303" s="15">
        <f>IF(SUMPRODUCT(($A$2:$A2303=A2303)*($B$2:$B2303=B2303)*($F$2:$F2303=F2303))&gt;1,0,1)</f>
        <v>0</v>
      </c>
      <c r="P2303" s="15">
        <f>IF(SUMPRODUCT(($A$2:$A2303=A2303)*($B$2:$B2303=B2303)*($D$2:$D2303=D2303))&gt;1,0,1)</f>
        <v>1</v>
      </c>
    </row>
    <row r="2304" spans="1:16" hidden="1" x14ac:dyDescent="0.35">
      <c r="A2304" t="s">
        <v>18</v>
      </c>
      <c r="B2304">
        <v>2019</v>
      </c>
      <c r="C2304" t="s">
        <v>88</v>
      </c>
      <c r="D2304" s="6">
        <v>6.2</v>
      </c>
      <c r="E2304" s="6">
        <v>6</v>
      </c>
      <c r="F2304" s="1" t="s">
        <v>10</v>
      </c>
      <c r="G2304">
        <v>6</v>
      </c>
      <c r="H2304">
        <v>200</v>
      </c>
      <c r="I2304">
        <v>100</v>
      </c>
      <c r="J2304">
        <f>Table2[[#This Row],[Hits]]/Table2[[#This Row],[Points]]*100</f>
        <v>3</v>
      </c>
      <c r="K2304">
        <f>VLOOKUP(Table2[[#This Row],[Site]],'Site Info'!$A$1:$C$11,2, FALSE)</f>
        <v>15</v>
      </c>
      <c r="L2304">
        <f>VLOOKUP(Table2[[#This Row],[Site]],'Site Info'!$A$1:$C$11,3, FALSE)</f>
        <v>12</v>
      </c>
      <c r="M2304" t="str">
        <f>VLOOKUP(Table2[[#This Row],[Species]],'Species Table'!$A$1:$D$68,3, FALSE)</f>
        <v>Annual</v>
      </c>
      <c r="O2304" s="15">
        <f>IF(SUMPRODUCT(($A$2:$A2304=A2304)*($B$2:$B2304=B2304)*($F$2:$F2304=F2304))&gt;1,0,1)</f>
        <v>0</v>
      </c>
      <c r="P2304" s="15">
        <f>IF(SUMPRODUCT(($A$2:$A2304=A2304)*($B$2:$B2304=B2304)*($D$2:$D2304=D2304))&gt;1,0,1)</f>
        <v>0</v>
      </c>
    </row>
    <row r="2305" spans="1:16" x14ac:dyDescent="0.35">
      <c r="A2305" t="s">
        <v>18</v>
      </c>
      <c r="B2305">
        <v>2019</v>
      </c>
      <c r="C2305" t="s">
        <v>68</v>
      </c>
      <c r="D2305" s="6">
        <v>6.3</v>
      </c>
      <c r="E2305" s="6">
        <v>6</v>
      </c>
      <c r="F2305" s="1" t="s">
        <v>11</v>
      </c>
      <c r="G2305">
        <v>32</v>
      </c>
      <c r="H2305">
        <v>200</v>
      </c>
      <c r="I2305">
        <v>100</v>
      </c>
      <c r="J2305">
        <f>Table2[[#This Row],[Hits]]/Table2[[#This Row],[Points]]*100</f>
        <v>16</v>
      </c>
      <c r="K2305">
        <f>VLOOKUP(Table2[[#This Row],[Site]],'Site Info'!$A$1:$C$11,2, FALSE)</f>
        <v>15</v>
      </c>
      <c r="L2305">
        <f>VLOOKUP(Table2[[#This Row],[Site]],'Site Info'!$A$1:$C$11,3, FALSE)</f>
        <v>12</v>
      </c>
      <c r="M2305" t="str">
        <f>VLOOKUP(Table2[[#This Row],[Species]],'Species Table'!$A$1:$D$68,3, FALSE)</f>
        <v>Perennial</v>
      </c>
      <c r="O2305" s="15">
        <f>IF(SUMPRODUCT(($A$2:$A2305=A2305)*($B$2:$B2305=B2305)*($F$2:$F2305=F2305))&gt;1,0,1)</f>
        <v>0</v>
      </c>
      <c r="P2305" s="15">
        <f>IF(SUMPRODUCT(($A$2:$A2305=A2305)*($B$2:$B2305=B2305)*($D$2:$D2305=D2305))&gt;1,0,1)</f>
        <v>1</v>
      </c>
    </row>
    <row r="2306" spans="1:16" hidden="1" x14ac:dyDescent="0.35">
      <c r="A2306" t="s">
        <v>18</v>
      </c>
      <c r="B2306">
        <v>2019</v>
      </c>
      <c r="C2306" t="s">
        <v>68</v>
      </c>
      <c r="D2306" s="6">
        <v>6.3</v>
      </c>
      <c r="E2306" s="6">
        <v>6</v>
      </c>
      <c r="F2306" s="1" t="s">
        <v>10</v>
      </c>
      <c r="G2306">
        <v>11</v>
      </c>
      <c r="H2306">
        <v>200</v>
      </c>
      <c r="I2306">
        <v>100</v>
      </c>
      <c r="J2306">
        <f>Table2[[#This Row],[Hits]]/Table2[[#This Row],[Points]]*100</f>
        <v>5.5</v>
      </c>
      <c r="K2306">
        <f>VLOOKUP(Table2[[#This Row],[Site]],'Site Info'!$A$1:$C$11,2, FALSE)</f>
        <v>15</v>
      </c>
      <c r="L2306">
        <f>VLOOKUP(Table2[[#This Row],[Site]],'Site Info'!$A$1:$C$11,3, FALSE)</f>
        <v>12</v>
      </c>
      <c r="M2306" t="str">
        <f>VLOOKUP(Table2[[#This Row],[Species]],'Species Table'!$A$1:$D$68,3, FALSE)</f>
        <v>Annual</v>
      </c>
      <c r="O2306" s="15">
        <f>IF(SUMPRODUCT(($A$2:$A2306=A2306)*($B$2:$B2306=B2306)*($F$2:$F2306=F2306))&gt;1,0,1)</f>
        <v>0</v>
      </c>
      <c r="P2306" s="15">
        <f>IF(SUMPRODUCT(($A$2:$A2306=A2306)*($B$2:$B2306=B2306)*($D$2:$D2306=D2306))&gt;1,0,1)</f>
        <v>0</v>
      </c>
    </row>
    <row r="2307" spans="1:16" hidden="1" x14ac:dyDescent="0.35">
      <c r="A2307" t="s">
        <v>18</v>
      </c>
      <c r="B2307">
        <v>2019</v>
      </c>
      <c r="C2307" t="s">
        <v>89</v>
      </c>
      <c r="D2307" s="6">
        <v>6.4</v>
      </c>
      <c r="E2307" s="6">
        <v>6</v>
      </c>
      <c r="F2307" s="1" t="s">
        <v>10</v>
      </c>
      <c r="G2307">
        <v>8</v>
      </c>
      <c r="H2307">
        <v>200</v>
      </c>
      <c r="I2307">
        <v>100</v>
      </c>
      <c r="J2307">
        <f>Table2[[#This Row],[Hits]]/Table2[[#This Row],[Points]]*100</f>
        <v>4</v>
      </c>
      <c r="K2307">
        <f>VLOOKUP(Table2[[#This Row],[Site]],'Site Info'!$A$1:$C$11,2, FALSE)</f>
        <v>15</v>
      </c>
      <c r="L2307">
        <f>VLOOKUP(Table2[[#This Row],[Site]],'Site Info'!$A$1:$C$11,3, FALSE)</f>
        <v>12</v>
      </c>
      <c r="M2307" t="str">
        <f>VLOOKUP(Table2[[#This Row],[Species]],'Species Table'!$A$1:$D$68,3, FALSE)</f>
        <v>Annual</v>
      </c>
      <c r="O2307" s="15">
        <f>IF(SUMPRODUCT(($A$2:$A2307=A2307)*($B$2:$B2307=B2307)*($F$2:$F2307=F2307))&gt;1,0,1)</f>
        <v>0</v>
      </c>
      <c r="P2307" s="15">
        <f>IF(SUMPRODUCT(($A$2:$A2307=A2307)*($B$2:$B2307=B2307)*($D$2:$D2307=D2307))&gt;1,0,1)</f>
        <v>1</v>
      </c>
    </row>
    <row r="2308" spans="1:16" x14ac:dyDescent="0.35">
      <c r="A2308" t="s">
        <v>18</v>
      </c>
      <c r="B2308">
        <v>2019</v>
      </c>
      <c r="C2308" t="s">
        <v>89</v>
      </c>
      <c r="D2308" s="6">
        <v>6.4</v>
      </c>
      <c r="E2308" s="6">
        <v>6</v>
      </c>
      <c r="F2308" s="1" t="s">
        <v>11</v>
      </c>
      <c r="G2308">
        <v>19</v>
      </c>
      <c r="H2308">
        <v>200</v>
      </c>
      <c r="I2308">
        <v>100</v>
      </c>
      <c r="J2308">
        <f>Table2[[#This Row],[Hits]]/Table2[[#This Row],[Points]]*100</f>
        <v>9.5</v>
      </c>
      <c r="K2308">
        <f>VLOOKUP(Table2[[#This Row],[Site]],'Site Info'!$A$1:$C$11,2, FALSE)</f>
        <v>15</v>
      </c>
      <c r="L2308">
        <f>VLOOKUP(Table2[[#This Row],[Site]],'Site Info'!$A$1:$C$11,3, FALSE)</f>
        <v>12</v>
      </c>
      <c r="M2308" t="str">
        <f>VLOOKUP(Table2[[#This Row],[Species]],'Species Table'!$A$1:$D$68,3, FALSE)</f>
        <v>Perennial</v>
      </c>
      <c r="O2308" s="15">
        <f>IF(SUMPRODUCT(($A$2:$A2308=A2308)*($B$2:$B2308=B2308)*($F$2:$F2308=F2308))&gt;1,0,1)</f>
        <v>0</v>
      </c>
      <c r="P2308" s="15">
        <f>IF(SUMPRODUCT(($A$2:$A2308=A2308)*($B$2:$B2308=B2308)*($D$2:$D2308=D2308))&gt;1,0,1)</f>
        <v>0</v>
      </c>
    </row>
    <row r="2309" spans="1:16" x14ac:dyDescent="0.35">
      <c r="A2309" t="s">
        <v>18</v>
      </c>
      <c r="B2309">
        <v>2019</v>
      </c>
      <c r="C2309" t="s">
        <v>126</v>
      </c>
      <c r="D2309" s="6">
        <v>6.5</v>
      </c>
      <c r="E2309" s="6">
        <v>6</v>
      </c>
      <c r="F2309" s="1" t="s">
        <v>11</v>
      </c>
      <c r="G2309">
        <v>6</v>
      </c>
      <c r="H2309">
        <v>200</v>
      </c>
      <c r="I2309">
        <v>100</v>
      </c>
      <c r="J2309">
        <f>Table2[[#This Row],[Hits]]/Table2[[#This Row],[Points]]*100</f>
        <v>3</v>
      </c>
      <c r="K2309">
        <f>VLOOKUP(Table2[[#This Row],[Site]],'Site Info'!$A$1:$C$11,2, FALSE)</f>
        <v>15</v>
      </c>
      <c r="L2309">
        <f>VLOOKUP(Table2[[#This Row],[Site]],'Site Info'!$A$1:$C$11,3, FALSE)</f>
        <v>12</v>
      </c>
      <c r="M2309" t="str">
        <f>VLOOKUP(Table2[[#This Row],[Species]],'Species Table'!$A$1:$D$68,3, FALSE)</f>
        <v>Perennial</v>
      </c>
      <c r="O2309" s="15">
        <f>IF(SUMPRODUCT(($A$2:$A2309=A2309)*($B$2:$B2309=B2309)*($F$2:$F2309=F2309))&gt;1,0,1)</f>
        <v>0</v>
      </c>
      <c r="P2309" s="15">
        <f>IF(SUMPRODUCT(($A$2:$A2309=A2309)*($B$2:$B2309=B2309)*($D$2:$D2309=D2309))&gt;1,0,1)</f>
        <v>1</v>
      </c>
    </row>
    <row r="2310" spans="1:16" hidden="1" x14ac:dyDescent="0.35">
      <c r="A2310" t="s">
        <v>18</v>
      </c>
      <c r="B2310">
        <v>2019</v>
      </c>
      <c r="C2310" t="s">
        <v>71</v>
      </c>
      <c r="D2310" s="6">
        <v>7.1</v>
      </c>
      <c r="E2310" s="6">
        <v>7</v>
      </c>
      <c r="F2310" s="1" t="s">
        <v>10</v>
      </c>
      <c r="G2310">
        <v>15</v>
      </c>
      <c r="H2310">
        <v>200</v>
      </c>
      <c r="I2310">
        <v>100</v>
      </c>
      <c r="J2310">
        <f>Table2[[#This Row],[Hits]]/Table2[[#This Row],[Points]]*100</f>
        <v>7.5</v>
      </c>
      <c r="K2310">
        <f>VLOOKUP(Table2[[#This Row],[Site]],'Site Info'!$A$1:$C$11,2, FALSE)</f>
        <v>15</v>
      </c>
      <c r="L2310">
        <f>VLOOKUP(Table2[[#This Row],[Site]],'Site Info'!$A$1:$C$11,3, FALSE)</f>
        <v>12</v>
      </c>
      <c r="M2310" t="str">
        <f>VLOOKUP(Table2[[#This Row],[Species]],'Species Table'!$A$1:$D$68,3, FALSE)</f>
        <v>Annual</v>
      </c>
      <c r="O2310" s="15">
        <f>IF(SUMPRODUCT(($A$2:$A2310=A2310)*($B$2:$B2310=B2310)*($F$2:$F2310=F2310))&gt;1,0,1)</f>
        <v>0</v>
      </c>
      <c r="P2310" s="15">
        <f>IF(SUMPRODUCT(($A$2:$A2310=A2310)*($B$2:$B2310=B2310)*($D$2:$D2310=D2310))&gt;1,0,1)</f>
        <v>1</v>
      </c>
    </row>
    <row r="2311" spans="1:16" x14ac:dyDescent="0.35">
      <c r="A2311" t="s">
        <v>18</v>
      </c>
      <c r="B2311">
        <v>2019</v>
      </c>
      <c r="C2311" t="s">
        <v>71</v>
      </c>
      <c r="D2311" s="6">
        <v>7.1</v>
      </c>
      <c r="E2311" s="6">
        <v>7</v>
      </c>
      <c r="F2311" s="1" t="s">
        <v>11</v>
      </c>
      <c r="G2311">
        <v>2</v>
      </c>
      <c r="H2311">
        <v>200</v>
      </c>
      <c r="I2311">
        <v>100</v>
      </c>
      <c r="J2311">
        <f>Table2[[#This Row],[Hits]]/Table2[[#This Row],[Points]]*100</f>
        <v>1</v>
      </c>
      <c r="K2311">
        <f>VLOOKUP(Table2[[#This Row],[Site]],'Site Info'!$A$1:$C$11,2, FALSE)</f>
        <v>15</v>
      </c>
      <c r="L2311">
        <f>VLOOKUP(Table2[[#This Row],[Site]],'Site Info'!$A$1:$C$11,3, FALSE)</f>
        <v>12</v>
      </c>
      <c r="M2311" t="str">
        <f>VLOOKUP(Table2[[#This Row],[Species]],'Species Table'!$A$1:$D$68,3, FALSE)</f>
        <v>Perennial</v>
      </c>
      <c r="O2311" s="15">
        <f>IF(SUMPRODUCT(($A$2:$A2311=A2311)*($B$2:$B2311=B2311)*($F$2:$F2311=F2311))&gt;1,0,1)</f>
        <v>0</v>
      </c>
      <c r="P2311" s="15">
        <f>IF(SUMPRODUCT(($A$2:$A2311=A2311)*($B$2:$B2311=B2311)*($D$2:$D2311=D2311))&gt;1,0,1)</f>
        <v>0</v>
      </c>
    </row>
    <row r="2312" spans="1:16" x14ac:dyDescent="0.35">
      <c r="A2312" t="s">
        <v>18</v>
      </c>
      <c r="B2312">
        <v>2019</v>
      </c>
      <c r="C2312" t="s">
        <v>71</v>
      </c>
      <c r="D2312" s="6">
        <v>7.1</v>
      </c>
      <c r="E2312" s="6">
        <v>7</v>
      </c>
      <c r="F2312" s="1" t="s">
        <v>12</v>
      </c>
      <c r="G2312">
        <v>3</v>
      </c>
      <c r="H2312">
        <v>200</v>
      </c>
      <c r="I2312">
        <v>100</v>
      </c>
      <c r="J2312">
        <f>Table2[[#This Row],[Hits]]/Table2[[#This Row],[Points]]*100</f>
        <v>1.5</v>
      </c>
      <c r="K2312">
        <f>VLOOKUP(Table2[[#This Row],[Site]],'Site Info'!$A$1:$C$11,2, FALSE)</f>
        <v>15</v>
      </c>
      <c r="L2312">
        <f>VLOOKUP(Table2[[#This Row],[Site]],'Site Info'!$A$1:$C$11,3, FALSE)</f>
        <v>12</v>
      </c>
      <c r="M2312" t="str">
        <f>VLOOKUP(Table2[[#This Row],[Species]],'Species Table'!$A$1:$D$68,3, FALSE)</f>
        <v>Perennial</v>
      </c>
      <c r="O2312" s="15">
        <f>IF(SUMPRODUCT(($A$2:$A2312=A2312)*($B$2:$B2312=B2312)*($F$2:$F2312=F2312))&gt;1,0,1)</f>
        <v>0</v>
      </c>
      <c r="P2312" s="15">
        <f>IF(SUMPRODUCT(($A$2:$A2312=A2312)*($B$2:$B2312=B2312)*($D$2:$D2312=D2312))&gt;1,0,1)</f>
        <v>0</v>
      </c>
    </row>
    <row r="2313" spans="1:16" x14ac:dyDescent="0.35">
      <c r="A2313" t="s">
        <v>18</v>
      </c>
      <c r="B2313">
        <v>2019</v>
      </c>
      <c r="C2313" t="s">
        <v>72</v>
      </c>
      <c r="D2313" s="6">
        <v>7.2</v>
      </c>
      <c r="E2313" s="6">
        <v>7</v>
      </c>
      <c r="F2313" s="1" t="s">
        <v>11</v>
      </c>
      <c r="G2313">
        <v>16</v>
      </c>
      <c r="H2313">
        <v>200</v>
      </c>
      <c r="I2313">
        <v>100</v>
      </c>
      <c r="J2313">
        <f>Table2[[#This Row],[Hits]]/Table2[[#This Row],[Points]]*100</f>
        <v>8</v>
      </c>
      <c r="K2313">
        <f>VLOOKUP(Table2[[#This Row],[Site]],'Site Info'!$A$1:$C$11,2, FALSE)</f>
        <v>15</v>
      </c>
      <c r="L2313">
        <f>VLOOKUP(Table2[[#This Row],[Site]],'Site Info'!$A$1:$C$11,3, FALSE)</f>
        <v>12</v>
      </c>
      <c r="M2313" t="str">
        <f>VLOOKUP(Table2[[#This Row],[Species]],'Species Table'!$A$1:$D$68,3, FALSE)</f>
        <v>Perennial</v>
      </c>
      <c r="O2313" s="15">
        <f>IF(SUMPRODUCT(($A$2:$A2313=A2313)*($B$2:$B2313=B2313)*($F$2:$F2313=F2313))&gt;1,0,1)</f>
        <v>0</v>
      </c>
      <c r="P2313" s="15">
        <f>IF(SUMPRODUCT(($A$2:$A2313=A2313)*($B$2:$B2313=B2313)*($D$2:$D2313=D2313))&gt;1,0,1)</f>
        <v>1</v>
      </c>
    </row>
    <row r="2314" spans="1:16" hidden="1" x14ac:dyDescent="0.35">
      <c r="A2314" t="s">
        <v>18</v>
      </c>
      <c r="B2314">
        <v>2019</v>
      </c>
      <c r="C2314" t="s">
        <v>72</v>
      </c>
      <c r="D2314" s="6">
        <v>7.2</v>
      </c>
      <c r="E2314" s="6">
        <v>7</v>
      </c>
      <c r="F2314" s="1" t="s">
        <v>10</v>
      </c>
      <c r="G2314">
        <v>3</v>
      </c>
      <c r="H2314">
        <v>200</v>
      </c>
      <c r="I2314">
        <v>100</v>
      </c>
      <c r="J2314">
        <f>Table2[[#This Row],[Hits]]/Table2[[#This Row],[Points]]*100</f>
        <v>1.5</v>
      </c>
      <c r="K2314">
        <f>VLOOKUP(Table2[[#This Row],[Site]],'Site Info'!$A$1:$C$11,2, FALSE)</f>
        <v>15</v>
      </c>
      <c r="L2314">
        <f>VLOOKUP(Table2[[#This Row],[Site]],'Site Info'!$A$1:$C$11,3, FALSE)</f>
        <v>12</v>
      </c>
      <c r="M2314" t="str">
        <f>VLOOKUP(Table2[[#This Row],[Species]],'Species Table'!$A$1:$D$68,3, FALSE)</f>
        <v>Annual</v>
      </c>
      <c r="O2314" s="15">
        <f>IF(SUMPRODUCT(($A$2:$A2314=A2314)*($B$2:$B2314=B2314)*($F$2:$F2314=F2314))&gt;1,0,1)</f>
        <v>0</v>
      </c>
      <c r="P2314" s="15">
        <f>IF(SUMPRODUCT(($A$2:$A2314=A2314)*($B$2:$B2314=B2314)*($D$2:$D2314=D2314))&gt;1,0,1)</f>
        <v>0</v>
      </c>
    </row>
    <row r="2315" spans="1:16" x14ac:dyDescent="0.35">
      <c r="A2315" t="s">
        <v>18</v>
      </c>
      <c r="B2315">
        <v>2019</v>
      </c>
      <c r="C2315" t="s">
        <v>73</v>
      </c>
      <c r="D2315" s="6">
        <v>7.3</v>
      </c>
      <c r="E2315" s="6">
        <v>7</v>
      </c>
      <c r="F2315" s="1" t="s">
        <v>11</v>
      </c>
      <c r="G2315">
        <v>45</v>
      </c>
      <c r="H2315">
        <v>200</v>
      </c>
      <c r="I2315">
        <v>100</v>
      </c>
      <c r="J2315">
        <f>Table2[[#This Row],[Hits]]/Table2[[#This Row],[Points]]*100</f>
        <v>22.5</v>
      </c>
      <c r="K2315">
        <f>VLOOKUP(Table2[[#This Row],[Site]],'Site Info'!$A$1:$C$11,2, FALSE)</f>
        <v>15</v>
      </c>
      <c r="L2315">
        <f>VLOOKUP(Table2[[#This Row],[Site]],'Site Info'!$A$1:$C$11,3, FALSE)</f>
        <v>12</v>
      </c>
      <c r="M2315" t="str">
        <f>VLOOKUP(Table2[[#This Row],[Species]],'Species Table'!$A$1:$D$68,3, FALSE)</f>
        <v>Perennial</v>
      </c>
      <c r="O2315" s="15">
        <f>IF(SUMPRODUCT(($A$2:$A2315=A2315)*($B$2:$B2315=B2315)*($F$2:$F2315=F2315))&gt;1,0,1)</f>
        <v>0</v>
      </c>
      <c r="P2315" s="15">
        <f>IF(SUMPRODUCT(($A$2:$A2315=A2315)*($B$2:$B2315=B2315)*($D$2:$D2315=D2315))&gt;1,0,1)</f>
        <v>1</v>
      </c>
    </row>
    <row r="2316" spans="1:16" x14ac:dyDescent="0.35">
      <c r="A2316" t="s">
        <v>18</v>
      </c>
      <c r="B2316">
        <v>2019</v>
      </c>
      <c r="C2316" t="s">
        <v>130</v>
      </c>
      <c r="D2316" s="6">
        <v>7.4</v>
      </c>
      <c r="E2316" s="6">
        <v>7</v>
      </c>
      <c r="F2316" s="1" t="s">
        <v>11</v>
      </c>
      <c r="G2316">
        <v>70</v>
      </c>
      <c r="H2316">
        <v>200</v>
      </c>
      <c r="I2316">
        <v>100</v>
      </c>
      <c r="J2316">
        <f>Table2[[#This Row],[Hits]]/Table2[[#This Row],[Points]]*100</f>
        <v>35</v>
      </c>
      <c r="K2316">
        <f>VLOOKUP(Table2[[#This Row],[Site]],'Site Info'!$A$1:$C$11,2, FALSE)</f>
        <v>15</v>
      </c>
      <c r="L2316">
        <f>VLOOKUP(Table2[[#This Row],[Site]],'Site Info'!$A$1:$C$11,3, FALSE)</f>
        <v>12</v>
      </c>
      <c r="M2316" t="str">
        <f>VLOOKUP(Table2[[#This Row],[Species]],'Species Table'!$A$1:$D$68,3, FALSE)</f>
        <v>Perennial</v>
      </c>
      <c r="O2316" s="15">
        <f>IF(SUMPRODUCT(($A$2:$A2316=A2316)*($B$2:$B2316=B2316)*($F$2:$F2316=F2316))&gt;1,0,1)</f>
        <v>0</v>
      </c>
      <c r="P2316" s="15">
        <f>IF(SUMPRODUCT(($A$2:$A2316=A2316)*($B$2:$B2316=B2316)*($D$2:$D2316=D2316))&gt;1,0,1)</f>
        <v>1</v>
      </c>
    </row>
    <row r="2317" spans="1:16" hidden="1" x14ac:dyDescent="0.35">
      <c r="A2317" t="s">
        <v>18</v>
      </c>
      <c r="B2317">
        <v>2019</v>
      </c>
      <c r="C2317" t="s">
        <v>130</v>
      </c>
      <c r="D2317" s="6">
        <v>7.4</v>
      </c>
      <c r="E2317" s="6">
        <v>7</v>
      </c>
      <c r="F2317" s="1" t="s">
        <v>10</v>
      </c>
      <c r="G2317">
        <v>6</v>
      </c>
      <c r="H2317">
        <v>200</v>
      </c>
      <c r="I2317">
        <v>100</v>
      </c>
      <c r="J2317">
        <f>Table2[[#This Row],[Hits]]/Table2[[#This Row],[Points]]*100</f>
        <v>3</v>
      </c>
      <c r="K2317">
        <f>VLOOKUP(Table2[[#This Row],[Site]],'Site Info'!$A$1:$C$11,2, FALSE)</f>
        <v>15</v>
      </c>
      <c r="L2317">
        <f>VLOOKUP(Table2[[#This Row],[Site]],'Site Info'!$A$1:$C$11,3, FALSE)</f>
        <v>12</v>
      </c>
      <c r="M2317" t="str">
        <f>VLOOKUP(Table2[[#This Row],[Species]],'Species Table'!$A$1:$D$68,3, FALSE)</f>
        <v>Annual</v>
      </c>
      <c r="O2317" s="15">
        <f>IF(SUMPRODUCT(($A$2:$A2317=A2317)*($B$2:$B2317=B2317)*($F$2:$F2317=F2317))&gt;1,0,1)</f>
        <v>0</v>
      </c>
      <c r="P2317" s="15">
        <f>IF(SUMPRODUCT(($A$2:$A2317=A2317)*($B$2:$B2317=B2317)*($D$2:$D2317=D2317))&gt;1,0,1)</f>
        <v>0</v>
      </c>
    </row>
    <row r="2318" spans="1:16" x14ac:dyDescent="0.35">
      <c r="A2318" t="s">
        <v>18</v>
      </c>
      <c r="B2318">
        <v>2019</v>
      </c>
      <c r="C2318" t="s">
        <v>51</v>
      </c>
      <c r="D2318" s="6">
        <v>3.2</v>
      </c>
      <c r="E2318" s="6">
        <v>3</v>
      </c>
      <c r="F2318" s="1" t="s">
        <v>11</v>
      </c>
      <c r="G2318">
        <v>35</v>
      </c>
      <c r="H2318">
        <v>200</v>
      </c>
      <c r="I2318">
        <v>100</v>
      </c>
      <c r="J2318">
        <f>Table2[[#This Row],[Hits]]/Table2[[#This Row],[Points]]*100</f>
        <v>17.5</v>
      </c>
      <c r="K2318">
        <f>VLOOKUP(Table2[[#This Row],[Site]],'Site Info'!$A$1:$C$11,2, FALSE)</f>
        <v>15</v>
      </c>
      <c r="L2318">
        <f>VLOOKUP(Table2[[#This Row],[Site]],'Site Info'!$A$1:$C$11,3, FALSE)</f>
        <v>12</v>
      </c>
      <c r="M2318" t="str">
        <f>VLOOKUP(Table2[[#This Row],[Species]],'Species Table'!$A$1:$D$68,3, FALSE)</f>
        <v>Perennial</v>
      </c>
      <c r="O2318" s="15">
        <f>IF(SUMPRODUCT(($A$2:$A2318=A2318)*($B$2:$B2318=B2318)*($F$2:$F2318=F2318))&gt;1,0,1)</f>
        <v>0</v>
      </c>
      <c r="P2318" s="15">
        <f>IF(SUMPRODUCT(($A$2:$A2318=A2318)*($B$2:$B2318=B2318)*($D$2:$D2318=D2318))&gt;1,0,1)</f>
        <v>1</v>
      </c>
    </row>
    <row r="2319" spans="1:16" x14ac:dyDescent="0.35">
      <c r="A2319" t="s">
        <v>18</v>
      </c>
      <c r="B2319">
        <v>2019</v>
      </c>
      <c r="C2319" t="s">
        <v>101</v>
      </c>
      <c r="D2319" s="6">
        <v>3.4</v>
      </c>
      <c r="E2319" s="6">
        <v>3</v>
      </c>
      <c r="F2319" s="1" t="s">
        <v>11</v>
      </c>
      <c r="G2319">
        <v>36</v>
      </c>
      <c r="H2319">
        <v>200</v>
      </c>
      <c r="I2319">
        <v>100</v>
      </c>
      <c r="J2319">
        <f>Table2[[#This Row],[Hits]]/Table2[[#This Row],[Points]]*100</f>
        <v>18</v>
      </c>
      <c r="K2319">
        <f>VLOOKUP(Table2[[#This Row],[Site]],'Site Info'!$A$1:$C$11,2, FALSE)</f>
        <v>15</v>
      </c>
      <c r="L2319">
        <f>VLOOKUP(Table2[[#This Row],[Site]],'Site Info'!$A$1:$C$11,3, FALSE)</f>
        <v>12</v>
      </c>
      <c r="M2319" t="str">
        <f>VLOOKUP(Table2[[#This Row],[Species]],'Species Table'!$A$1:$D$68,3, FALSE)</f>
        <v>Perennial</v>
      </c>
      <c r="O2319" s="15">
        <f>IF(SUMPRODUCT(($A$2:$A2319=A2319)*($B$2:$B2319=B2319)*($F$2:$F2319=F2319))&gt;1,0,1)</f>
        <v>0</v>
      </c>
      <c r="P2319" s="15">
        <f>IF(SUMPRODUCT(($A$2:$A2319=A2319)*($B$2:$B2319=B2319)*($D$2:$D2319=D2319))&gt;1,0,1)</f>
        <v>1</v>
      </c>
    </row>
    <row r="2320" spans="1:16" hidden="1" x14ac:dyDescent="0.35">
      <c r="A2320" t="s">
        <v>18</v>
      </c>
      <c r="B2320">
        <v>2019</v>
      </c>
      <c r="C2320" t="s">
        <v>53</v>
      </c>
      <c r="D2320" s="6">
        <v>3.6</v>
      </c>
      <c r="E2320" s="6">
        <v>3</v>
      </c>
      <c r="F2320" s="1" t="s">
        <v>10</v>
      </c>
      <c r="G2320">
        <v>19</v>
      </c>
      <c r="H2320">
        <v>200</v>
      </c>
      <c r="I2320">
        <v>100</v>
      </c>
      <c r="J2320">
        <f>Table2[[#This Row],[Hits]]/Table2[[#This Row],[Points]]*100</f>
        <v>9.5</v>
      </c>
      <c r="K2320">
        <f>VLOOKUP(Table2[[#This Row],[Site]],'Site Info'!$A$1:$C$11,2, FALSE)</f>
        <v>15</v>
      </c>
      <c r="L2320">
        <f>VLOOKUP(Table2[[#This Row],[Site]],'Site Info'!$A$1:$C$11,3, FALSE)</f>
        <v>12</v>
      </c>
      <c r="M2320" t="str">
        <f>VLOOKUP(Table2[[#This Row],[Species]],'Species Table'!$A$1:$D$68,3, FALSE)</f>
        <v>Annual</v>
      </c>
      <c r="O2320" s="15">
        <f>IF(SUMPRODUCT(($A$2:$A2320=A2320)*($B$2:$B2320=B2320)*($F$2:$F2320=F2320))&gt;1,0,1)</f>
        <v>0</v>
      </c>
      <c r="P2320" s="15">
        <f>IF(SUMPRODUCT(($A$2:$A2320=A2320)*($B$2:$B2320=B2320)*($D$2:$D2320=D2320))&gt;1,0,1)</f>
        <v>1</v>
      </c>
    </row>
    <row r="2321" spans="1:16" x14ac:dyDescent="0.35">
      <c r="A2321" t="s">
        <v>18</v>
      </c>
      <c r="B2321">
        <v>2019</v>
      </c>
      <c r="C2321" t="s">
        <v>53</v>
      </c>
      <c r="D2321" s="6">
        <v>3.6</v>
      </c>
      <c r="E2321" s="6">
        <v>3</v>
      </c>
      <c r="F2321" s="1" t="s">
        <v>11</v>
      </c>
      <c r="G2321">
        <v>5</v>
      </c>
      <c r="H2321">
        <v>200</v>
      </c>
      <c r="I2321">
        <v>100</v>
      </c>
      <c r="J2321">
        <f>Table2[[#This Row],[Hits]]/Table2[[#This Row],[Points]]*100</f>
        <v>2.5</v>
      </c>
      <c r="K2321">
        <f>VLOOKUP(Table2[[#This Row],[Site]],'Site Info'!$A$1:$C$11,2, FALSE)</f>
        <v>15</v>
      </c>
      <c r="L2321">
        <f>VLOOKUP(Table2[[#This Row],[Site]],'Site Info'!$A$1:$C$11,3, FALSE)</f>
        <v>12</v>
      </c>
      <c r="M2321" t="str">
        <f>VLOOKUP(Table2[[#This Row],[Species]],'Species Table'!$A$1:$D$68,3, FALSE)</f>
        <v>Perennial</v>
      </c>
      <c r="O2321" s="15">
        <f>IF(SUMPRODUCT(($A$2:$A2321=A2321)*($B$2:$B2321=B2321)*($F$2:$F2321=F2321))&gt;1,0,1)</f>
        <v>0</v>
      </c>
      <c r="P2321" s="15">
        <f>IF(SUMPRODUCT(($A$2:$A2321=A2321)*($B$2:$B2321=B2321)*($D$2:$D2321=D2321))&gt;1,0,1)</f>
        <v>0</v>
      </c>
    </row>
  </sheetData>
  <sortState xmlns:xlrd2="http://schemas.microsoft.com/office/spreadsheetml/2017/richdata2" ref="A1355:I1371">
    <sortCondition ref="D1355:D1371"/>
    <sortCondition ref="F1355:F1371"/>
  </sortState>
  <dataConsolidate/>
  <pageMargins left="0.7" right="0.7" top="0.75" bottom="0.75" header="0.3" footer="0.3"/>
  <drawing r:id="rId1"/>
  <tableParts count="1">
    <tablePart r:id="rId2"/>
  </tableParts>
  <extLst>
    <ext xmlns:x15="http://schemas.microsoft.com/office/spreadsheetml/2010/11/main" uri="{3A4CF648-6AED-40f4-86FF-DC5316D8AED3}">
      <x14:slicerList xmlns:x14="http://schemas.microsoft.com/office/spreadsheetml/2009/9/main">
        <x14:slicer r:id="rId3"/>
      </x14:slicerList>
    </ext>
  </extLst>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D65153D-8F1D-4C97-89AF-B6F3351E0AD0}">
  <dimension ref="A1:P103"/>
  <sheetViews>
    <sheetView workbookViewId="0">
      <selection activeCell="J5" sqref="J5"/>
    </sheetView>
  </sheetViews>
  <sheetFormatPr defaultRowHeight="14.5" x14ac:dyDescent="0.35"/>
  <cols>
    <col min="1" max="1" width="8" bestFit="1" customWidth="1"/>
    <col min="2" max="2" width="4.90625" bestFit="1" customWidth="1"/>
    <col min="3" max="3" width="14.90625" bestFit="1" customWidth="1"/>
    <col min="4" max="4" width="8" bestFit="1" customWidth="1"/>
    <col min="5" max="5" width="4.26953125" bestFit="1" customWidth="1"/>
    <col min="6" max="6" width="7.453125" bestFit="1" customWidth="1"/>
    <col min="7" max="7" width="4.08984375" bestFit="1" customWidth="1"/>
    <col min="8" max="8" width="6" bestFit="1" customWidth="1"/>
    <col min="9" max="9" width="9.90625" bestFit="1" customWidth="1"/>
    <col min="10" max="10" width="12" bestFit="1" customWidth="1"/>
    <col min="11" max="11" width="11.453125" bestFit="1" customWidth="1"/>
    <col min="12" max="12" width="17.54296875" bestFit="1" customWidth="1"/>
    <col min="13" max="13" width="8.6328125" bestFit="1" customWidth="1"/>
    <col min="14" max="14" width="9.08984375" bestFit="1" customWidth="1"/>
    <col min="15" max="15" width="10.36328125" bestFit="1" customWidth="1"/>
    <col min="16" max="16" width="11.1796875" bestFit="1" customWidth="1"/>
  </cols>
  <sheetData>
    <row r="1" spans="1:16" x14ac:dyDescent="0.35">
      <c r="A1" t="s">
        <v>7</v>
      </c>
      <c r="B1" t="s">
        <v>17</v>
      </c>
      <c r="C1" t="s">
        <v>36</v>
      </c>
      <c r="D1" t="s">
        <v>0</v>
      </c>
      <c r="E1" t="s">
        <v>222</v>
      </c>
      <c r="F1" t="s">
        <v>1</v>
      </c>
      <c r="G1" t="s">
        <v>8</v>
      </c>
      <c r="H1" t="s">
        <v>28</v>
      </c>
      <c r="I1" t="s">
        <v>16</v>
      </c>
      <c r="J1" t="s">
        <v>223</v>
      </c>
      <c r="K1" t="s">
        <v>270</v>
      </c>
      <c r="L1" t="s">
        <v>271</v>
      </c>
      <c r="M1" t="s">
        <v>261</v>
      </c>
      <c r="N1" t="s">
        <v>26</v>
      </c>
      <c r="O1" t="s">
        <v>272</v>
      </c>
      <c r="P1" t="s">
        <v>273</v>
      </c>
    </row>
    <row r="2" spans="1:16" x14ac:dyDescent="0.35">
      <c r="A2" t="s">
        <v>24</v>
      </c>
      <c r="B2">
        <v>1999</v>
      </c>
      <c r="D2">
        <v>1.1000000000000001</v>
      </c>
      <c r="E2">
        <v>1</v>
      </c>
      <c r="F2" t="s">
        <v>32</v>
      </c>
      <c r="G2">
        <v>7</v>
      </c>
      <c r="H2">
        <v>144</v>
      </c>
      <c r="J2">
        <v>4.8611111111111116</v>
      </c>
      <c r="K2">
        <v>34</v>
      </c>
      <c r="L2">
        <v>6</v>
      </c>
      <c r="M2" t="s">
        <v>227</v>
      </c>
      <c r="O2">
        <v>1</v>
      </c>
      <c r="P2">
        <v>0</v>
      </c>
    </row>
    <row r="3" spans="1:16" x14ac:dyDescent="0.35">
      <c r="A3" t="s">
        <v>24</v>
      </c>
      <c r="B3">
        <v>1999</v>
      </c>
      <c r="D3">
        <v>1.1000000000000001</v>
      </c>
      <c r="E3">
        <v>1</v>
      </c>
      <c r="F3" t="s">
        <v>23</v>
      </c>
      <c r="G3">
        <v>2</v>
      </c>
      <c r="H3">
        <v>144</v>
      </c>
      <c r="J3">
        <v>1.3888888888888888</v>
      </c>
      <c r="K3">
        <v>34</v>
      </c>
      <c r="L3">
        <v>6</v>
      </c>
      <c r="M3" t="s">
        <v>227</v>
      </c>
      <c r="O3">
        <v>1</v>
      </c>
      <c r="P3">
        <v>0</v>
      </c>
    </row>
    <row r="4" spans="1:16" x14ac:dyDescent="0.35">
      <c r="A4" t="s">
        <v>24</v>
      </c>
      <c r="B4">
        <v>1999</v>
      </c>
      <c r="D4">
        <v>1.1000000000000001</v>
      </c>
      <c r="E4">
        <v>1</v>
      </c>
      <c r="F4" t="s">
        <v>3</v>
      </c>
      <c r="G4">
        <v>1</v>
      </c>
      <c r="H4">
        <v>144</v>
      </c>
      <c r="J4">
        <v>0.69444444444444442</v>
      </c>
      <c r="K4">
        <v>34</v>
      </c>
      <c r="L4">
        <v>6</v>
      </c>
      <c r="M4" t="s">
        <v>227</v>
      </c>
      <c r="O4">
        <v>1</v>
      </c>
      <c r="P4">
        <v>0</v>
      </c>
    </row>
    <row r="5" spans="1:16" x14ac:dyDescent="0.35">
      <c r="A5" t="s">
        <v>24</v>
      </c>
      <c r="B5">
        <v>1999</v>
      </c>
      <c r="D5">
        <v>2.1</v>
      </c>
      <c r="E5">
        <v>2</v>
      </c>
      <c r="F5" t="s">
        <v>2</v>
      </c>
      <c r="G5">
        <v>2</v>
      </c>
      <c r="H5">
        <v>130</v>
      </c>
      <c r="J5">
        <v>1.5384615384615385</v>
      </c>
      <c r="K5">
        <v>34</v>
      </c>
      <c r="L5">
        <v>6</v>
      </c>
      <c r="M5" t="s">
        <v>227</v>
      </c>
      <c r="O5">
        <v>1</v>
      </c>
      <c r="P5">
        <v>0</v>
      </c>
    </row>
    <row r="6" spans="1:16" x14ac:dyDescent="0.35">
      <c r="A6" t="s">
        <v>24</v>
      </c>
      <c r="B6">
        <v>1999</v>
      </c>
      <c r="D6">
        <v>2.2000000000000002</v>
      </c>
      <c r="E6">
        <v>2</v>
      </c>
      <c r="F6" t="s">
        <v>2</v>
      </c>
      <c r="G6">
        <v>3</v>
      </c>
      <c r="H6">
        <v>66</v>
      </c>
      <c r="J6">
        <v>4.5454545454545459</v>
      </c>
      <c r="K6">
        <v>34</v>
      </c>
      <c r="L6">
        <v>6</v>
      </c>
      <c r="M6" t="s">
        <v>227</v>
      </c>
      <c r="O6">
        <v>0</v>
      </c>
      <c r="P6">
        <v>0</v>
      </c>
    </row>
    <row r="7" spans="1:16" x14ac:dyDescent="0.35">
      <c r="A7" t="s">
        <v>24</v>
      </c>
      <c r="B7">
        <v>1999</v>
      </c>
      <c r="D7">
        <v>2.2000000000000002</v>
      </c>
      <c r="E7">
        <v>2</v>
      </c>
      <c r="F7" t="s">
        <v>32</v>
      </c>
      <c r="G7">
        <v>2</v>
      </c>
      <c r="H7">
        <v>66</v>
      </c>
      <c r="J7">
        <v>3.0303030303030303</v>
      </c>
      <c r="K7">
        <v>34</v>
      </c>
      <c r="L7">
        <v>6</v>
      </c>
      <c r="M7" t="s">
        <v>227</v>
      </c>
      <c r="O7">
        <v>0</v>
      </c>
      <c r="P7">
        <v>0</v>
      </c>
    </row>
    <row r="8" spans="1:16" x14ac:dyDescent="0.35">
      <c r="A8" t="s">
        <v>24</v>
      </c>
      <c r="B8">
        <v>1999</v>
      </c>
      <c r="D8">
        <v>3.1</v>
      </c>
      <c r="E8">
        <v>3</v>
      </c>
      <c r="F8" t="s">
        <v>2</v>
      </c>
      <c r="G8">
        <v>1</v>
      </c>
      <c r="H8">
        <v>83</v>
      </c>
      <c r="J8">
        <v>1.2048192771084338</v>
      </c>
      <c r="K8">
        <v>34</v>
      </c>
      <c r="L8">
        <v>6</v>
      </c>
      <c r="M8" t="s">
        <v>227</v>
      </c>
      <c r="O8">
        <v>0</v>
      </c>
      <c r="P8">
        <v>0</v>
      </c>
    </row>
    <row r="9" spans="1:16" x14ac:dyDescent="0.35">
      <c r="A9" t="s">
        <v>24</v>
      </c>
      <c r="B9">
        <v>1999</v>
      </c>
      <c r="D9">
        <v>3.2</v>
      </c>
      <c r="E9">
        <v>3</v>
      </c>
      <c r="F9" t="s">
        <v>32</v>
      </c>
      <c r="G9">
        <v>6</v>
      </c>
      <c r="H9">
        <v>35</v>
      </c>
      <c r="J9">
        <v>17.142857142857142</v>
      </c>
      <c r="K9">
        <v>34</v>
      </c>
      <c r="L9">
        <v>6</v>
      </c>
      <c r="M9" t="s">
        <v>227</v>
      </c>
      <c r="O9">
        <v>0</v>
      </c>
      <c r="P9">
        <v>1</v>
      </c>
    </row>
    <row r="10" spans="1:16" x14ac:dyDescent="0.35">
      <c r="A10" t="s">
        <v>24</v>
      </c>
      <c r="B10">
        <v>1999</v>
      </c>
      <c r="D10">
        <v>3.2</v>
      </c>
      <c r="E10">
        <v>3</v>
      </c>
      <c r="F10" t="s">
        <v>23</v>
      </c>
      <c r="G10">
        <v>2</v>
      </c>
      <c r="H10">
        <v>35</v>
      </c>
      <c r="J10">
        <v>5.7142857142857144</v>
      </c>
      <c r="K10">
        <v>34</v>
      </c>
      <c r="L10">
        <v>6</v>
      </c>
      <c r="M10" t="s">
        <v>227</v>
      </c>
      <c r="O10">
        <v>0</v>
      </c>
      <c r="P10">
        <v>0</v>
      </c>
    </row>
    <row r="11" spans="1:16" x14ac:dyDescent="0.35">
      <c r="A11" t="s">
        <v>24</v>
      </c>
      <c r="B11">
        <v>1999</v>
      </c>
      <c r="D11">
        <v>4.0999999999999996</v>
      </c>
      <c r="E11">
        <v>4</v>
      </c>
      <c r="F11" t="s">
        <v>12</v>
      </c>
      <c r="G11">
        <v>3</v>
      </c>
      <c r="H11">
        <v>114</v>
      </c>
      <c r="J11">
        <v>2.6315789473684208</v>
      </c>
      <c r="K11">
        <v>34</v>
      </c>
      <c r="L11">
        <v>6</v>
      </c>
      <c r="M11" t="s">
        <v>227</v>
      </c>
      <c r="O11">
        <v>1</v>
      </c>
      <c r="P11">
        <v>1</v>
      </c>
    </row>
    <row r="12" spans="1:16" x14ac:dyDescent="0.35">
      <c r="A12" t="s">
        <v>24</v>
      </c>
      <c r="B12">
        <v>1999</v>
      </c>
      <c r="D12">
        <v>4.0999999999999996</v>
      </c>
      <c r="E12">
        <v>4</v>
      </c>
      <c r="F12" t="s">
        <v>23</v>
      </c>
      <c r="G12">
        <v>1</v>
      </c>
      <c r="H12">
        <v>114</v>
      </c>
      <c r="J12">
        <v>0.8771929824561403</v>
      </c>
      <c r="K12">
        <v>34</v>
      </c>
      <c r="L12">
        <v>6</v>
      </c>
      <c r="M12" t="s">
        <v>227</v>
      </c>
      <c r="O12">
        <v>0</v>
      </c>
      <c r="P12">
        <v>0</v>
      </c>
    </row>
    <row r="13" spans="1:16" x14ac:dyDescent="0.35">
      <c r="A13" t="s">
        <v>24</v>
      </c>
      <c r="B13">
        <v>1999</v>
      </c>
      <c r="D13">
        <v>4.0999999999999996</v>
      </c>
      <c r="E13">
        <v>4</v>
      </c>
      <c r="F13" t="s">
        <v>32</v>
      </c>
      <c r="G13">
        <v>1</v>
      </c>
      <c r="H13">
        <v>114</v>
      </c>
      <c r="J13">
        <v>0.8771929824561403</v>
      </c>
      <c r="K13">
        <v>34</v>
      </c>
      <c r="L13">
        <v>6</v>
      </c>
      <c r="M13" t="s">
        <v>227</v>
      </c>
      <c r="O13">
        <v>0</v>
      </c>
      <c r="P13">
        <v>0</v>
      </c>
    </row>
    <row r="14" spans="1:16" x14ac:dyDescent="0.35">
      <c r="A14" t="s">
        <v>24</v>
      </c>
      <c r="B14">
        <v>1999</v>
      </c>
      <c r="D14">
        <v>5.0999999999999996</v>
      </c>
      <c r="E14">
        <v>5</v>
      </c>
      <c r="F14" t="s">
        <v>14</v>
      </c>
      <c r="G14">
        <v>3</v>
      </c>
      <c r="H14">
        <v>164</v>
      </c>
      <c r="J14">
        <v>1.8292682926829267</v>
      </c>
      <c r="K14">
        <v>34</v>
      </c>
      <c r="L14">
        <v>6</v>
      </c>
      <c r="M14" t="s">
        <v>227</v>
      </c>
      <c r="O14">
        <v>1</v>
      </c>
      <c r="P14">
        <v>1</v>
      </c>
    </row>
    <row r="15" spans="1:16" x14ac:dyDescent="0.35">
      <c r="A15" t="s">
        <v>24</v>
      </c>
      <c r="B15">
        <v>1999</v>
      </c>
      <c r="D15">
        <v>5.0999999999999996</v>
      </c>
      <c r="E15">
        <v>5</v>
      </c>
      <c r="F15" t="s">
        <v>3</v>
      </c>
      <c r="G15">
        <v>2</v>
      </c>
      <c r="H15">
        <v>164</v>
      </c>
      <c r="J15">
        <v>1.2195121951219512</v>
      </c>
      <c r="K15">
        <v>34</v>
      </c>
      <c r="L15">
        <v>6</v>
      </c>
      <c r="M15" t="s">
        <v>227</v>
      </c>
      <c r="O15">
        <v>0</v>
      </c>
      <c r="P15">
        <v>0</v>
      </c>
    </row>
    <row r="16" spans="1:16" x14ac:dyDescent="0.35">
      <c r="A16" t="s">
        <v>24</v>
      </c>
      <c r="B16">
        <v>1999</v>
      </c>
      <c r="D16">
        <v>5.0999999999999996</v>
      </c>
      <c r="E16">
        <v>5</v>
      </c>
      <c r="F16" t="s">
        <v>32</v>
      </c>
      <c r="G16">
        <v>2</v>
      </c>
      <c r="H16">
        <v>164</v>
      </c>
      <c r="J16">
        <v>1.2195121951219512</v>
      </c>
      <c r="K16">
        <v>34</v>
      </c>
      <c r="L16">
        <v>6</v>
      </c>
      <c r="M16" t="s">
        <v>227</v>
      </c>
      <c r="O16">
        <v>0</v>
      </c>
      <c r="P16">
        <v>0</v>
      </c>
    </row>
    <row r="17" spans="1:16" x14ac:dyDescent="0.35">
      <c r="A17" t="s">
        <v>24</v>
      </c>
      <c r="B17">
        <v>1999</v>
      </c>
      <c r="D17">
        <v>5.0999999999999996</v>
      </c>
      <c r="E17">
        <v>5</v>
      </c>
      <c r="F17" t="s">
        <v>23</v>
      </c>
      <c r="G17">
        <v>1</v>
      </c>
      <c r="H17">
        <v>164</v>
      </c>
      <c r="J17">
        <v>0.6097560975609756</v>
      </c>
      <c r="K17">
        <v>34</v>
      </c>
      <c r="L17">
        <v>6</v>
      </c>
      <c r="M17" t="s">
        <v>227</v>
      </c>
      <c r="O17">
        <v>0</v>
      </c>
      <c r="P17">
        <v>0</v>
      </c>
    </row>
    <row r="18" spans="1:16" x14ac:dyDescent="0.35">
      <c r="A18" t="s">
        <v>24</v>
      </c>
      <c r="B18">
        <v>1999</v>
      </c>
      <c r="D18">
        <v>5.0999999999999996</v>
      </c>
      <c r="E18">
        <v>5</v>
      </c>
      <c r="F18" t="s">
        <v>2</v>
      </c>
      <c r="G18">
        <v>1</v>
      </c>
      <c r="H18">
        <v>164</v>
      </c>
      <c r="J18">
        <v>0.6097560975609756</v>
      </c>
      <c r="K18">
        <v>34</v>
      </c>
      <c r="L18">
        <v>6</v>
      </c>
      <c r="M18" t="s">
        <v>227</v>
      </c>
      <c r="O18">
        <v>0</v>
      </c>
      <c r="P18">
        <v>0</v>
      </c>
    </row>
    <row r="19" spans="1:16" x14ac:dyDescent="0.35">
      <c r="A19" t="s">
        <v>24</v>
      </c>
      <c r="B19">
        <v>1999</v>
      </c>
      <c r="D19">
        <v>6.1</v>
      </c>
      <c r="E19">
        <v>6</v>
      </c>
      <c r="F19" t="s">
        <v>31</v>
      </c>
      <c r="G19">
        <v>4</v>
      </c>
      <c r="H19">
        <v>197</v>
      </c>
      <c r="J19">
        <v>2.030456852791878</v>
      </c>
      <c r="K19">
        <v>34</v>
      </c>
      <c r="L19">
        <v>6</v>
      </c>
      <c r="M19" t="s">
        <v>227</v>
      </c>
      <c r="O19">
        <v>1</v>
      </c>
      <c r="P19">
        <v>1</v>
      </c>
    </row>
    <row r="20" spans="1:16" x14ac:dyDescent="0.35">
      <c r="A20" t="s">
        <v>24</v>
      </c>
      <c r="B20">
        <v>1999</v>
      </c>
      <c r="D20">
        <v>6.1</v>
      </c>
      <c r="E20">
        <v>6</v>
      </c>
      <c r="F20" t="s">
        <v>32</v>
      </c>
      <c r="G20">
        <v>2</v>
      </c>
      <c r="H20">
        <v>197</v>
      </c>
      <c r="J20">
        <v>1.015228426395939</v>
      </c>
      <c r="K20">
        <v>34</v>
      </c>
      <c r="L20">
        <v>6</v>
      </c>
      <c r="M20" t="s">
        <v>227</v>
      </c>
      <c r="O20">
        <v>0</v>
      </c>
      <c r="P20">
        <v>0</v>
      </c>
    </row>
    <row r="21" spans="1:16" x14ac:dyDescent="0.35">
      <c r="A21" t="s">
        <v>24</v>
      </c>
      <c r="B21">
        <v>1999</v>
      </c>
      <c r="D21">
        <v>6.1</v>
      </c>
      <c r="E21">
        <v>6</v>
      </c>
      <c r="F21" t="s">
        <v>3</v>
      </c>
      <c r="G21">
        <v>1</v>
      </c>
      <c r="H21">
        <v>197</v>
      </c>
      <c r="J21">
        <v>0.50761421319796951</v>
      </c>
      <c r="K21">
        <v>34</v>
      </c>
      <c r="L21">
        <v>6</v>
      </c>
      <c r="M21" t="s">
        <v>227</v>
      </c>
      <c r="O21">
        <v>0</v>
      </c>
      <c r="P21">
        <v>0</v>
      </c>
    </row>
    <row r="22" spans="1:16" x14ac:dyDescent="0.35">
      <c r="A22" t="s">
        <v>24</v>
      </c>
      <c r="B22">
        <v>1999</v>
      </c>
      <c r="D22">
        <v>6.1</v>
      </c>
      <c r="E22">
        <v>6</v>
      </c>
      <c r="F22" t="s">
        <v>23</v>
      </c>
      <c r="G22">
        <v>1</v>
      </c>
      <c r="H22">
        <v>197</v>
      </c>
      <c r="J22">
        <v>0.50761421319796951</v>
      </c>
      <c r="K22">
        <v>34</v>
      </c>
      <c r="L22">
        <v>6</v>
      </c>
      <c r="M22" t="s">
        <v>227</v>
      </c>
      <c r="O22">
        <v>0</v>
      </c>
      <c r="P22">
        <v>0</v>
      </c>
    </row>
    <row r="23" spans="1:16" x14ac:dyDescent="0.35">
      <c r="A23" t="s">
        <v>24</v>
      </c>
      <c r="B23">
        <v>1999</v>
      </c>
      <c r="D23">
        <v>7.1</v>
      </c>
      <c r="E23">
        <v>7</v>
      </c>
      <c r="F23" t="s">
        <v>14</v>
      </c>
      <c r="G23">
        <v>7</v>
      </c>
      <c r="H23">
        <v>117</v>
      </c>
      <c r="J23">
        <v>5.982905982905983</v>
      </c>
      <c r="K23">
        <v>34</v>
      </c>
      <c r="L23">
        <v>6</v>
      </c>
      <c r="M23" t="s">
        <v>227</v>
      </c>
      <c r="O23">
        <v>0</v>
      </c>
      <c r="P23">
        <v>1</v>
      </c>
    </row>
    <row r="24" spans="1:16" x14ac:dyDescent="0.35">
      <c r="A24" t="s">
        <v>24</v>
      </c>
      <c r="B24">
        <v>1999</v>
      </c>
      <c r="D24">
        <v>7.1</v>
      </c>
      <c r="E24">
        <v>7</v>
      </c>
      <c r="F24" t="s">
        <v>23</v>
      </c>
      <c r="G24">
        <v>1</v>
      </c>
      <c r="H24">
        <v>117</v>
      </c>
      <c r="J24">
        <v>0.85470085470085477</v>
      </c>
      <c r="K24">
        <v>34</v>
      </c>
      <c r="L24">
        <v>6</v>
      </c>
      <c r="M24" t="s">
        <v>227</v>
      </c>
      <c r="O24">
        <v>0</v>
      </c>
      <c r="P24">
        <v>0</v>
      </c>
    </row>
    <row r="25" spans="1:16" x14ac:dyDescent="0.35">
      <c r="A25" t="s">
        <v>24</v>
      </c>
      <c r="B25">
        <v>2002</v>
      </c>
      <c r="D25">
        <v>1.1000000000000001</v>
      </c>
      <c r="E25">
        <v>1</v>
      </c>
      <c r="F25" t="s">
        <v>32</v>
      </c>
      <c r="G25">
        <v>13</v>
      </c>
      <c r="H25">
        <v>144</v>
      </c>
      <c r="J25">
        <v>9.0277777777777768</v>
      </c>
      <c r="K25">
        <v>34</v>
      </c>
      <c r="L25">
        <v>6</v>
      </c>
      <c r="M25" t="s">
        <v>227</v>
      </c>
      <c r="O25">
        <v>1</v>
      </c>
      <c r="P25">
        <v>1</v>
      </c>
    </row>
    <row r="26" spans="1:16" x14ac:dyDescent="0.35">
      <c r="A26" t="s">
        <v>24</v>
      </c>
      <c r="B26">
        <v>2002</v>
      </c>
      <c r="D26">
        <v>1.1000000000000001</v>
      </c>
      <c r="E26">
        <v>1</v>
      </c>
      <c r="F26" t="s">
        <v>23</v>
      </c>
      <c r="G26">
        <v>3</v>
      </c>
      <c r="H26">
        <v>144</v>
      </c>
      <c r="J26">
        <v>2.083333333333333</v>
      </c>
      <c r="K26">
        <v>34</v>
      </c>
      <c r="L26">
        <v>6</v>
      </c>
      <c r="M26" t="s">
        <v>227</v>
      </c>
      <c r="O26">
        <v>1</v>
      </c>
      <c r="P26">
        <v>0</v>
      </c>
    </row>
    <row r="27" spans="1:16" x14ac:dyDescent="0.35">
      <c r="A27" t="s">
        <v>24</v>
      </c>
      <c r="B27">
        <v>2002</v>
      </c>
      <c r="D27">
        <v>2.1</v>
      </c>
      <c r="E27">
        <v>2</v>
      </c>
      <c r="F27" t="s">
        <v>32</v>
      </c>
      <c r="G27">
        <v>6</v>
      </c>
      <c r="H27">
        <v>130</v>
      </c>
      <c r="J27">
        <v>4.6153846153846159</v>
      </c>
      <c r="K27">
        <v>34</v>
      </c>
      <c r="L27">
        <v>6</v>
      </c>
      <c r="M27" t="s">
        <v>227</v>
      </c>
      <c r="O27">
        <v>0</v>
      </c>
      <c r="P27">
        <v>1</v>
      </c>
    </row>
    <row r="28" spans="1:16" x14ac:dyDescent="0.35">
      <c r="A28" t="s">
        <v>24</v>
      </c>
      <c r="B28">
        <v>2002</v>
      </c>
      <c r="D28">
        <v>2.1</v>
      </c>
      <c r="E28">
        <v>2</v>
      </c>
      <c r="F28" t="s">
        <v>13</v>
      </c>
      <c r="G28">
        <v>4</v>
      </c>
      <c r="H28">
        <v>130</v>
      </c>
      <c r="J28">
        <v>3.0769230769230771</v>
      </c>
      <c r="K28">
        <v>34</v>
      </c>
      <c r="L28">
        <v>6</v>
      </c>
      <c r="M28" t="s">
        <v>227</v>
      </c>
      <c r="O28">
        <v>1</v>
      </c>
      <c r="P28">
        <v>0</v>
      </c>
    </row>
    <row r="29" spans="1:16" x14ac:dyDescent="0.35">
      <c r="A29" t="s">
        <v>24</v>
      </c>
      <c r="B29">
        <v>2002</v>
      </c>
      <c r="D29">
        <v>2.1</v>
      </c>
      <c r="E29">
        <v>2</v>
      </c>
      <c r="F29" t="s">
        <v>2</v>
      </c>
      <c r="G29">
        <v>4</v>
      </c>
      <c r="H29">
        <v>130</v>
      </c>
      <c r="J29">
        <v>3.0769230769230771</v>
      </c>
      <c r="K29">
        <v>34</v>
      </c>
      <c r="L29">
        <v>6</v>
      </c>
      <c r="M29" t="s">
        <v>227</v>
      </c>
      <c r="O29">
        <v>1</v>
      </c>
      <c r="P29">
        <v>0</v>
      </c>
    </row>
    <row r="30" spans="1:16" x14ac:dyDescent="0.35">
      <c r="A30" t="s">
        <v>24</v>
      </c>
      <c r="B30">
        <v>2002</v>
      </c>
      <c r="D30">
        <v>2.2000000000000002</v>
      </c>
      <c r="E30">
        <v>2</v>
      </c>
      <c r="F30" t="s">
        <v>32</v>
      </c>
      <c r="G30">
        <v>8</v>
      </c>
      <c r="H30">
        <v>66</v>
      </c>
      <c r="J30">
        <v>12.121212121212121</v>
      </c>
      <c r="K30">
        <v>34</v>
      </c>
      <c r="L30">
        <v>6</v>
      </c>
      <c r="M30" t="s">
        <v>227</v>
      </c>
      <c r="O30">
        <v>0</v>
      </c>
      <c r="P30">
        <v>1</v>
      </c>
    </row>
    <row r="31" spans="1:16" x14ac:dyDescent="0.35">
      <c r="A31" t="s">
        <v>24</v>
      </c>
      <c r="B31">
        <v>2002</v>
      </c>
      <c r="D31">
        <v>2.2000000000000002</v>
      </c>
      <c r="E31">
        <v>2</v>
      </c>
      <c r="F31" t="s">
        <v>2</v>
      </c>
      <c r="G31">
        <v>3</v>
      </c>
      <c r="H31">
        <v>66</v>
      </c>
      <c r="J31">
        <v>4.5454545454545459</v>
      </c>
      <c r="K31">
        <v>34</v>
      </c>
      <c r="L31">
        <v>6</v>
      </c>
      <c r="M31" t="s">
        <v>227</v>
      </c>
      <c r="O31">
        <v>0</v>
      </c>
      <c r="P31">
        <v>0</v>
      </c>
    </row>
    <row r="32" spans="1:16" x14ac:dyDescent="0.35">
      <c r="A32" t="s">
        <v>24</v>
      </c>
      <c r="B32">
        <v>2002</v>
      </c>
      <c r="D32">
        <v>3.1</v>
      </c>
      <c r="E32">
        <v>3</v>
      </c>
      <c r="F32" t="s">
        <v>23</v>
      </c>
      <c r="G32">
        <v>7</v>
      </c>
      <c r="H32">
        <v>83</v>
      </c>
      <c r="J32">
        <v>8.4337349397590362</v>
      </c>
      <c r="K32">
        <v>34</v>
      </c>
      <c r="L32">
        <v>6</v>
      </c>
      <c r="M32" t="s">
        <v>227</v>
      </c>
      <c r="O32">
        <v>0</v>
      </c>
      <c r="P32">
        <v>1</v>
      </c>
    </row>
    <row r="33" spans="1:16" x14ac:dyDescent="0.35">
      <c r="A33" t="s">
        <v>24</v>
      </c>
      <c r="B33">
        <v>2002</v>
      </c>
      <c r="D33">
        <v>3.1</v>
      </c>
      <c r="E33">
        <v>3</v>
      </c>
      <c r="F33" t="s">
        <v>32</v>
      </c>
      <c r="G33">
        <v>7</v>
      </c>
      <c r="H33">
        <v>83</v>
      </c>
      <c r="J33">
        <v>8.4337349397590362</v>
      </c>
      <c r="K33">
        <v>34</v>
      </c>
      <c r="L33">
        <v>6</v>
      </c>
      <c r="M33" t="s">
        <v>227</v>
      </c>
      <c r="O33">
        <v>0</v>
      </c>
      <c r="P33">
        <v>0</v>
      </c>
    </row>
    <row r="34" spans="1:16" x14ac:dyDescent="0.35">
      <c r="A34" t="s">
        <v>24</v>
      </c>
      <c r="B34">
        <v>2002</v>
      </c>
      <c r="D34">
        <v>3.1</v>
      </c>
      <c r="E34">
        <v>3</v>
      </c>
      <c r="F34" t="s">
        <v>2</v>
      </c>
      <c r="G34">
        <v>3</v>
      </c>
      <c r="H34">
        <v>83</v>
      </c>
      <c r="J34">
        <v>3.6144578313253009</v>
      </c>
      <c r="K34">
        <v>34</v>
      </c>
      <c r="L34">
        <v>6</v>
      </c>
      <c r="M34" t="s">
        <v>227</v>
      </c>
      <c r="O34">
        <v>0</v>
      </c>
      <c r="P34">
        <v>0</v>
      </c>
    </row>
    <row r="35" spans="1:16" x14ac:dyDescent="0.35">
      <c r="A35" t="s">
        <v>24</v>
      </c>
      <c r="B35">
        <v>2002</v>
      </c>
      <c r="D35">
        <v>3.2</v>
      </c>
      <c r="E35">
        <v>3</v>
      </c>
      <c r="F35" t="s">
        <v>23</v>
      </c>
      <c r="G35">
        <v>7</v>
      </c>
      <c r="H35">
        <v>35</v>
      </c>
      <c r="J35">
        <v>20</v>
      </c>
      <c r="K35">
        <v>34</v>
      </c>
      <c r="L35">
        <v>6</v>
      </c>
      <c r="M35" t="s">
        <v>227</v>
      </c>
      <c r="O35">
        <v>0</v>
      </c>
      <c r="P35">
        <v>1</v>
      </c>
    </row>
    <row r="36" spans="1:16" x14ac:dyDescent="0.35">
      <c r="A36" t="s">
        <v>24</v>
      </c>
      <c r="B36">
        <v>2002</v>
      </c>
      <c r="D36">
        <v>3.2</v>
      </c>
      <c r="E36">
        <v>3</v>
      </c>
      <c r="F36" t="s">
        <v>32</v>
      </c>
      <c r="G36">
        <v>4</v>
      </c>
      <c r="H36">
        <v>35</v>
      </c>
      <c r="J36">
        <v>11.428571428571429</v>
      </c>
      <c r="K36">
        <v>34</v>
      </c>
      <c r="L36">
        <v>6</v>
      </c>
      <c r="M36" t="s">
        <v>227</v>
      </c>
      <c r="O36">
        <v>0</v>
      </c>
      <c r="P36">
        <v>0</v>
      </c>
    </row>
    <row r="37" spans="1:16" x14ac:dyDescent="0.35">
      <c r="A37" t="s">
        <v>24</v>
      </c>
      <c r="B37">
        <v>2002</v>
      </c>
      <c r="D37">
        <v>4.0999999999999996</v>
      </c>
      <c r="E37">
        <v>4</v>
      </c>
      <c r="F37" t="s">
        <v>23</v>
      </c>
      <c r="G37">
        <v>5</v>
      </c>
      <c r="H37">
        <v>114</v>
      </c>
      <c r="J37">
        <v>4.3859649122807012</v>
      </c>
      <c r="K37">
        <v>34</v>
      </c>
      <c r="L37">
        <v>6</v>
      </c>
      <c r="M37" t="s">
        <v>227</v>
      </c>
      <c r="O37">
        <v>0</v>
      </c>
      <c r="P37">
        <v>1</v>
      </c>
    </row>
    <row r="38" spans="1:16" x14ac:dyDescent="0.35">
      <c r="A38" t="s">
        <v>24</v>
      </c>
      <c r="B38">
        <v>2002</v>
      </c>
      <c r="D38">
        <v>4.0999999999999996</v>
      </c>
      <c r="E38">
        <v>4</v>
      </c>
      <c r="F38" t="s">
        <v>32</v>
      </c>
      <c r="G38">
        <v>2</v>
      </c>
      <c r="H38">
        <v>114</v>
      </c>
      <c r="J38">
        <v>1.7543859649122806</v>
      </c>
      <c r="K38">
        <v>34</v>
      </c>
      <c r="L38">
        <v>6</v>
      </c>
      <c r="M38" t="s">
        <v>227</v>
      </c>
      <c r="O38">
        <v>0</v>
      </c>
      <c r="P38">
        <v>0</v>
      </c>
    </row>
    <row r="39" spans="1:16" x14ac:dyDescent="0.35">
      <c r="A39" t="s">
        <v>24</v>
      </c>
      <c r="B39">
        <v>2002</v>
      </c>
      <c r="D39">
        <v>5.0999999999999996</v>
      </c>
      <c r="E39">
        <v>5</v>
      </c>
      <c r="F39" t="s">
        <v>23</v>
      </c>
      <c r="G39">
        <v>13</v>
      </c>
      <c r="H39">
        <v>164</v>
      </c>
      <c r="J39">
        <v>7.9268292682926829</v>
      </c>
      <c r="K39">
        <v>34</v>
      </c>
      <c r="L39">
        <v>6</v>
      </c>
      <c r="M39" t="s">
        <v>227</v>
      </c>
      <c r="O39">
        <v>0</v>
      </c>
      <c r="P39">
        <v>1</v>
      </c>
    </row>
    <row r="40" spans="1:16" x14ac:dyDescent="0.35">
      <c r="A40" t="s">
        <v>24</v>
      </c>
      <c r="B40">
        <v>2002</v>
      </c>
      <c r="D40">
        <v>5.0999999999999996</v>
      </c>
      <c r="E40">
        <v>5</v>
      </c>
      <c r="F40" t="s">
        <v>3</v>
      </c>
      <c r="G40">
        <v>10</v>
      </c>
      <c r="H40">
        <v>164</v>
      </c>
      <c r="J40">
        <v>6.0975609756097562</v>
      </c>
      <c r="K40">
        <v>34</v>
      </c>
      <c r="L40">
        <v>6</v>
      </c>
      <c r="M40" t="s">
        <v>227</v>
      </c>
      <c r="O40">
        <v>1</v>
      </c>
      <c r="P40">
        <v>0</v>
      </c>
    </row>
    <row r="41" spans="1:16" x14ac:dyDescent="0.35">
      <c r="A41" t="s">
        <v>24</v>
      </c>
      <c r="B41">
        <v>2002</v>
      </c>
      <c r="D41">
        <v>5.0999999999999996</v>
      </c>
      <c r="E41">
        <v>5</v>
      </c>
      <c r="F41" t="s">
        <v>2</v>
      </c>
      <c r="G41">
        <v>8</v>
      </c>
      <c r="H41">
        <v>164</v>
      </c>
      <c r="J41">
        <v>4.8780487804878048</v>
      </c>
      <c r="K41">
        <v>34</v>
      </c>
      <c r="L41">
        <v>6</v>
      </c>
      <c r="M41" t="s">
        <v>227</v>
      </c>
      <c r="O41">
        <v>0</v>
      </c>
      <c r="P41">
        <v>0</v>
      </c>
    </row>
    <row r="42" spans="1:16" x14ac:dyDescent="0.35">
      <c r="A42" t="s">
        <v>24</v>
      </c>
      <c r="B42">
        <v>2002</v>
      </c>
      <c r="D42">
        <v>5.0999999999999996</v>
      </c>
      <c r="E42">
        <v>5</v>
      </c>
      <c r="F42" t="s">
        <v>32</v>
      </c>
      <c r="G42">
        <v>4</v>
      </c>
      <c r="H42">
        <v>164</v>
      </c>
      <c r="J42">
        <v>2.4390243902439024</v>
      </c>
      <c r="K42">
        <v>34</v>
      </c>
      <c r="L42">
        <v>6</v>
      </c>
      <c r="M42" t="s">
        <v>227</v>
      </c>
      <c r="O42">
        <v>0</v>
      </c>
      <c r="P42">
        <v>0</v>
      </c>
    </row>
    <row r="43" spans="1:16" x14ac:dyDescent="0.35">
      <c r="A43" t="s">
        <v>24</v>
      </c>
      <c r="B43">
        <v>2002</v>
      </c>
      <c r="D43">
        <v>6.1</v>
      </c>
      <c r="E43">
        <v>6</v>
      </c>
      <c r="F43" t="s">
        <v>3</v>
      </c>
      <c r="G43">
        <v>5</v>
      </c>
      <c r="H43">
        <v>197</v>
      </c>
      <c r="J43">
        <v>2.5380710659898478</v>
      </c>
      <c r="K43">
        <v>34</v>
      </c>
      <c r="L43">
        <v>6</v>
      </c>
      <c r="M43" t="s">
        <v>227</v>
      </c>
      <c r="O43">
        <v>0</v>
      </c>
      <c r="P43">
        <v>1</v>
      </c>
    </row>
    <row r="44" spans="1:16" x14ac:dyDescent="0.35">
      <c r="A44" t="s">
        <v>24</v>
      </c>
      <c r="B44">
        <v>2002</v>
      </c>
      <c r="D44">
        <v>6.1</v>
      </c>
      <c r="E44">
        <v>6</v>
      </c>
      <c r="F44" t="s">
        <v>23</v>
      </c>
      <c r="G44">
        <v>5</v>
      </c>
      <c r="H44">
        <v>197</v>
      </c>
      <c r="J44">
        <v>2.5380710659898478</v>
      </c>
      <c r="K44">
        <v>34</v>
      </c>
      <c r="L44">
        <v>6</v>
      </c>
      <c r="M44" t="s">
        <v>227</v>
      </c>
      <c r="O44">
        <v>0</v>
      </c>
      <c r="P44">
        <v>0</v>
      </c>
    </row>
    <row r="45" spans="1:16" x14ac:dyDescent="0.35">
      <c r="A45" t="s">
        <v>24</v>
      </c>
      <c r="B45">
        <v>2002</v>
      </c>
      <c r="D45">
        <v>6.1</v>
      </c>
      <c r="E45">
        <v>6</v>
      </c>
      <c r="F45" t="s">
        <v>32</v>
      </c>
      <c r="G45">
        <v>1</v>
      </c>
      <c r="H45">
        <v>197</v>
      </c>
      <c r="J45">
        <v>0.50761421319796951</v>
      </c>
      <c r="K45">
        <v>34</v>
      </c>
      <c r="L45">
        <v>6</v>
      </c>
      <c r="M45" t="s">
        <v>227</v>
      </c>
      <c r="O45">
        <v>0</v>
      </c>
      <c r="P45">
        <v>0</v>
      </c>
    </row>
    <row r="46" spans="1:16" x14ac:dyDescent="0.35">
      <c r="A46" t="s">
        <v>24</v>
      </c>
      <c r="B46">
        <v>2002</v>
      </c>
      <c r="D46">
        <v>7.1</v>
      </c>
      <c r="E46">
        <v>7</v>
      </c>
      <c r="F46" t="s">
        <v>14</v>
      </c>
      <c r="G46">
        <v>5</v>
      </c>
      <c r="H46">
        <v>117</v>
      </c>
      <c r="J46">
        <v>4.2735042735042734</v>
      </c>
      <c r="K46">
        <v>34</v>
      </c>
      <c r="L46">
        <v>6</v>
      </c>
      <c r="M46" t="s">
        <v>227</v>
      </c>
      <c r="O46">
        <v>1</v>
      </c>
      <c r="P46">
        <v>1</v>
      </c>
    </row>
    <row r="47" spans="1:16" x14ac:dyDescent="0.35">
      <c r="A47" t="s">
        <v>24</v>
      </c>
      <c r="B47">
        <v>2002</v>
      </c>
      <c r="D47">
        <v>7.1</v>
      </c>
      <c r="E47">
        <v>7</v>
      </c>
      <c r="F47" t="s">
        <v>23</v>
      </c>
      <c r="G47">
        <v>1</v>
      </c>
      <c r="H47">
        <v>117</v>
      </c>
      <c r="J47">
        <v>0.85470085470085477</v>
      </c>
      <c r="K47">
        <v>34</v>
      </c>
      <c r="L47">
        <v>6</v>
      </c>
      <c r="M47" t="s">
        <v>227</v>
      </c>
      <c r="O47">
        <v>0</v>
      </c>
      <c r="P47">
        <v>0</v>
      </c>
    </row>
    <row r="48" spans="1:16" x14ac:dyDescent="0.35">
      <c r="A48" t="s">
        <v>24</v>
      </c>
      <c r="B48">
        <v>2005</v>
      </c>
      <c r="D48">
        <v>1.1000000000000001</v>
      </c>
      <c r="E48">
        <v>1</v>
      </c>
      <c r="F48" t="s">
        <v>3</v>
      </c>
      <c r="G48">
        <v>2</v>
      </c>
      <c r="H48">
        <v>144</v>
      </c>
      <c r="J48">
        <v>1.3888888888888888</v>
      </c>
      <c r="K48">
        <v>34</v>
      </c>
      <c r="L48">
        <v>6</v>
      </c>
      <c r="M48" t="s">
        <v>227</v>
      </c>
      <c r="O48">
        <v>1</v>
      </c>
      <c r="P48">
        <v>0</v>
      </c>
    </row>
    <row r="49" spans="1:16" x14ac:dyDescent="0.35">
      <c r="A49" t="s">
        <v>24</v>
      </c>
      <c r="B49">
        <v>2005</v>
      </c>
      <c r="D49">
        <v>1.1000000000000001</v>
      </c>
      <c r="E49">
        <v>1</v>
      </c>
      <c r="F49" t="s">
        <v>23</v>
      </c>
      <c r="G49">
        <v>1</v>
      </c>
      <c r="H49">
        <v>144</v>
      </c>
      <c r="J49">
        <v>0.69444444444444442</v>
      </c>
      <c r="K49">
        <v>34</v>
      </c>
      <c r="L49">
        <v>6</v>
      </c>
      <c r="M49" t="s">
        <v>227</v>
      </c>
      <c r="O49">
        <v>1</v>
      </c>
      <c r="P49">
        <v>0</v>
      </c>
    </row>
    <row r="50" spans="1:16" x14ac:dyDescent="0.35">
      <c r="A50" t="s">
        <v>24</v>
      </c>
      <c r="B50">
        <v>2005</v>
      </c>
      <c r="D50">
        <v>2.1</v>
      </c>
      <c r="E50">
        <v>2</v>
      </c>
      <c r="F50" t="s">
        <v>3</v>
      </c>
      <c r="G50">
        <v>6</v>
      </c>
      <c r="H50">
        <v>130</v>
      </c>
      <c r="J50">
        <v>4.6153846153846159</v>
      </c>
      <c r="K50">
        <v>34</v>
      </c>
      <c r="L50">
        <v>6</v>
      </c>
      <c r="M50" t="s">
        <v>227</v>
      </c>
      <c r="O50">
        <v>0</v>
      </c>
      <c r="P50">
        <v>0</v>
      </c>
    </row>
    <row r="51" spans="1:16" x14ac:dyDescent="0.35">
      <c r="A51" t="s">
        <v>24</v>
      </c>
      <c r="B51">
        <v>2005</v>
      </c>
      <c r="D51">
        <v>2.1</v>
      </c>
      <c r="E51">
        <v>2</v>
      </c>
      <c r="F51" t="s">
        <v>2</v>
      </c>
      <c r="G51">
        <v>2</v>
      </c>
      <c r="H51">
        <v>130</v>
      </c>
      <c r="J51">
        <v>1.5384615384615385</v>
      </c>
      <c r="K51">
        <v>34</v>
      </c>
      <c r="L51">
        <v>6</v>
      </c>
      <c r="M51" t="s">
        <v>227</v>
      </c>
      <c r="O51">
        <v>1</v>
      </c>
      <c r="P51">
        <v>0</v>
      </c>
    </row>
    <row r="52" spans="1:16" x14ac:dyDescent="0.35">
      <c r="A52" t="s">
        <v>24</v>
      </c>
      <c r="B52">
        <v>2005</v>
      </c>
      <c r="D52">
        <v>2.1</v>
      </c>
      <c r="E52">
        <v>2</v>
      </c>
      <c r="F52" t="s">
        <v>23</v>
      </c>
      <c r="G52">
        <v>1</v>
      </c>
      <c r="H52">
        <v>130</v>
      </c>
      <c r="J52">
        <v>0.76923076923076927</v>
      </c>
      <c r="K52">
        <v>34</v>
      </c>
      <c r="L52">
        <v>6</v>
      </c>
      <c r="M52" t="s">
        <v>227</v>
      </c>
      <c r="O52">
        <v>0</v>
      </c>
      <c r="P52">
        <v>0</v>
      </c>
    </row>
    <row r="53" spans="1:16" x14ac:dyDescent="0.35">
      <c r="A53" t="s">
        <v>24</v>
      </c>
      <c r="B53">
        <v>2005</v>
      </c>
      <c r="D53">
        <v>2.2000000000000002</v>
      </c>
      <c r="E53">
        <v>2</v>
      </c>
      <c r="F53" t="s">
        <v>2</v>
      </c>
      <c r="G53">
        <v>2</v>
      </c>
      <c r="H53">
        <v>66</v>
      </c>
      <c r="J53">
        <v>3.0303030303030303</v>
      </c>
      <c r="K53">
        <v>34</v>
      </c>
      <c r="L53">
        <v>6</v>
      </c>
      <c r="M53" t="s">
        <v>227</v>
      </c>
      <c r="O53">
        <v>0</v>
      </c>
      <c r="P53">
        <v>0</v>
      </c>
    </row>
    <row r="54" spans="1:16" x14ac:dyDescent="0.35">
      <c r="A54" t="s">
        <v>24</v>
      </c>
      <c r="B54">
        <v>2005</v>
      </c>
      <c r="D54">
        <v>2.2000000000000002</v>
      </c>
      <c r="E54">
        <v>2</v>
      </c>
      <c r="F54" t="s">
        <v>3</v>
      </c>
      <c r="G54">
        <v>1</v>
      </c>
      <c r="H54">
        <v>66</v>
      </c>
      <c r="J54">
        <v>1.5151515151515151</v>
      </c>
      <c r="K54">
        <v>34</v>
      </c>
      <c r="L54">
        <v>6</v>
      </c>
      <c r="M54" t="s">
        <v>227</v>
      </c>
      <c r="O54">
        <v>0</v>
      </c>
      <c r="P54">
        <v>0</v>
      </c>
    </row>
    <row r="55" spans="1:16" x14ac:dyDescent="0.35">
      <c r="A55" t="s">
        <v>24</v>
      </c>
      <c r="B55">
        <v>2005</v>
      </c>
      <c r="D55">
        <v>3.1</v>
      </c>
      <c r="E55">
        <v>3</v>
      </c>
      <c r="F55" t="s">
        <v>3</v>
      </c>
      <c r="G55">
        <v>3</v>
      </c>
      <c r="H55">
        <v>83</v>
      </c>
      <c r="J55">
        <v>3.6144578313253009</v>
      </c>
      <c r="K55">
        <v>34</v>
      </c>
      <c r="L55">
        <v>6</v>
      </c>
      <c r="M55" t="s">
        <v>227</v>
      </c>
      <c r="O55">
        <v>0</v>
      </c>
      <c r="P55">
        <v>1</v>
      </c>
    </row>
    <row r="56" spans="1:16" x14ac:dyDescent="0.35">
      <c r="A56" t="s">
        <v>24</v>
      </c>
      <c r="B56">
        <v>2005</v>
      </c>
      <c r="D56">
        <v>3.2</v>
      </c>
      <c r="E56">
        <v>3</v>
      </c>
      <c r="F56" t="s">
        <v>3</v>
      </c>
      <c r="G56">
        <v>5</v>
      </c>
      <c r="H56">
        <v>35</v>
      </c>
      <c r="J56">
        <v>14.285714285714285</v>
      </c>
      <c r="K56">
        <v>34</v>
      </c>
      <c r="L56">
        <v>6</v>
      </c>
      <c r="M56" t="s">
        <v>227</v>
      </c>
      <c r="O56">
        <v>0</v>
      </c>
      <c r="P56">
        <v>1</v>
      </c>
    </row>
    <row r="57" spans="1:16" x14ac:dyDescent="0.35">
      <c r="A57" t="s">
        <v>24</v>
      </c>
      <c r="B57">
        <v>2005</v>
      </c>
      <c r="D57">
        <v>4.0999999999999996</v>
      </c>
      <c r="E57">
        <v>4</v>
      </c>
      <c r="F57" t="s">
        <v>12</v>
      </c>
      <c r="G57">
        <v>2</v>
      </c>
      <c r="H57">
        <v>114</v>
      </c>
      <c r="J57">
        <v>1.7543859649122806</v>
      </c>
      <c r="K57">
        <v>34</v>
      </c>
      <c r="L57">
        <v>6</v>
      </c>
      <c r="M57" t="s">
        <v>227</v>
      </c>
      <c r="O57">
        <v>1</v>
      </c>
      <c r="P57">
        <v>0</v>
      </c>
    </row>
    <row r="58" spans="1:16" x14ac:dyDescent="0.35">
      <c r="A58" t="s">
        <v>24</v>
      </c>
      <c r="B58">
        <v>2005</v>
      </c>
      <c r="D58">
        <v>4.0999999999999996</v>
      </c>
      <c r="E58">
        <v>4</v>
      </c>
      <c r="F58" t="s">
        <v>23</v>
      </c>
      <c r="G58">
        <v>2</v>
      </c>
      <c r="H58">
        <v>114</v>
      </c>
      <c r="J58">
        <v>1.7543859649122806</v>
      </c>
      <c r="K58">
        <v>34</v>
      </c>
      <c r="L58">
        <v>6</v>
      </c>
      <c r="M58" t="s">
        <v>227</v>
      </c>
      <c r="O58">
        <v>0</v>
      </c>
      <c r="P58">
        <v>0</v>
      </c>
    </row>
    <row r="59" spans="1:16" x14ac:dyDescent="0.35">
      <c r="A59" t="s">
        <v>24</v>
      </c>
      <c r="B59">
        <v>2005</v>
      </c>
      <c r="D59">
        <v>5.0999999999999996</v>
      </c>
      <c r="E59">
        <v>5</v>
      </c>
      <c r="F59" t="s">
        <v>3</v>
      </c>
      <c r="G59">
        <v>14</v>
      </c>
      <c r="H59">
        <v>164</v>
      </c>
      <c r="J59">
        <v>8.536585365853659</v>
      </c>
      <c r="K59">
        <v>34</v>
      </c>
      <c r="L59">
        <v>6</v>
      </c>
      <c r="M59" t="s">
        <v>227</v>
      </c>
      <c r="O59">
        <v>0</v>
      </c>
      <c r="P59">
        <v>1</v>
      </c>
    </row>
    <row r="60" spans="1:16" x14ac:dyDescent="0.35">
      <c r="A60" t="s">
        <v>24</v>
      </c>
      <c r="B60">
        <v>2005</v>
      </c>
      <c r="D60">
        <v>5.0999999999999996</v>
      </c>
      <c r="E60">
        <v>5</v>
      </c>
      <c r="F60" t="s">
        <v>14</v>
      </c>
      <c r="G60">
        <v>8</v>
      </c>
      <c r="H60">
        <v>164</v>
      </c>
      <c r="J60">
        <v>4.8780487804878048</v>
      </c>
      <c r="K60">
        <v>34</v>
      </c>
      <c r="L60">
        <v>6</v>
      </c>
      <c r="M60" t="s">
        <v>227</v>
      </c>
      <c r="O60">
        <v>1</v>
      </c>
      <c r="P60">
        <v>0</v>
      </c>
    </row>
    <row r="61" spans="1:16" x14ac:dyDescent="0.35">
      <c r="A61" t="s">
        <v>24</v>
      </c>
      <c r="B61">
        <v>2005</v>
      </c>
      <c r="D61">
        <v>5.0999999999999996</v>
      </c>
      <c r="E61">
        <v>5</v>
      </c>
      <c r="F61" t="s">
        <v>23</v>
      </c>
      <c r="G61">
        <v>3</v>
      </c>
      <c r="H61">
        <v>164</v>
      </c>
      <c r="J61">
        <v>1.8292682926829267</v>
      </c>
      <c r="K61">
        <v>34</v>
      </c>
      <c r="L61">
        <v>6</v>
      </c>
      <c r="M61" t="s">
        <v>227</v>
      </c>
      <c r="O61">
        <v>0</v>
      </c>
      <c r="P61">
        <v>0</v>
      </c>
    </row>
    <row r="62" spans="1:16" x14ac:dyDescent="0.35">
      <c r="A62" t="s">
        <v>24</v>
      </c>
      <c r="B62">
        <v>2005</v>
      </c>
      <c r="D62">
        <v>5.0999999999999996</v>
      </c>
      <c r="E62">
        <v>5</v>
      </c>
      <c r="F62" t="s">
        <v>31</v>
      </c>
      <c r="G62">
        <v>1</v>
      </c>
      <c r="H62">
        <v>164</v>
      </c>
      <c r="J62">
        <v>0.6097560975609756</v>
      </c>
      <c r="K62">
        <v>34</v>
      </c>
      <c r="L62">
        <v>6</v>
      </c>
      <c r="M62" t="s">
        <v>227</v>
      </c>
      <c r="O62">
        <v>1</v>
      </c>
      <c r="P62">
        <v>0</v>
      </c>
    </row>
    <row r="63" spans="1:16" x14ac:dyDescent="0.35">
      <c r="A63" t="s">
        <v>24</v>
      </c>
      <c r="B63">
        <v>2005</v>
      </c>
      <c r="D63">
        <v>5.0999999999999996</v>
      </c>
      <c r="E63">
        <v>5</v>
      </c>
      <c r="F63" t="s">
        <v>107</v>
      </c>
      <c r="G63">
        <v>1</v>
      </c>
      <c r="H63">
        <v>164</v>
      </c>
      <c r="J63">
        <v>0.6097560975609756</v>
      </c>
      <c r="K63">
        <v>34</v>
      </c>
      <c r="L63">
        <v>6</v>
      </c>
      <c r="M63" t="s">
        <v>227</v>
      </c>
      <c r="O63">
        <v>1</v>
      </c>
      <c r="P63">
        <v>0</v>
      </c>
    </row>
    <row r="64" spans="1:16" x14ac:dyDescent="0.35">
      <c r="A64" t="s">
        <v>24</v>
      </c>
      <c r="B64">
        <v>2005</v>
      </c>
      <c r="D64">
        <v>5.0999999999999996</v>
      </c>
      <c r="E64">
        <v>5</v>
      </c>
      <c r="F64" t="s">
        <v>2</v>
      </c>
      <c r="G64">
        <v>1</v>
      </c>
      <c r="H64">
        <v>164</v>
      </c>
      <c r="J64">
        <v>0.6097560975609756</v>
      </c>
      <c r="K64">
        <v>34</v>
      </c>
      <c r="L64">
        <v>6</v>
      </c>
      <c r="M64" t="s">
        <v>227</v>
      </c>
      <c r="O64">
        <v>0</v>
      </c>
      <c r="P64">
        <v>0</v>
      </c>
    </row>
    <row r="65" spans="1:16" x14ac:dyDescent="0.35">
      <c r="A65" t="s">
        <v>24</v>
      </c>
      <c r="B65">
        <v>2005</v>
      </c>
      <c r="D65">
        <v>6.1</v>
      </c>
      <c r="E65">
        <v>6</v>
      </c>
      <c r="F65" t="s">
        <v>3</v>
      </c>
      <c r="G65">
        <v>20</v>
      </c>
      <c r="H65">
        <v>197</v>
      </c>
      <c r="J65">
        <v>10.152284263959391</v>
      </c>
      <c r="K65">
        <v>34</v>
      </c>
      <c r="L65">
        <v>6</v>
      </c>
      <c r="M65" t="s">
        <v>227</v>
      </c>
      <c r="O65">
        <v>0</v>
      </c>
      <c r="P65">
        <v>1</v>
      </c>
    </row>
    <row r="66" spans="1:16" x14ac:dyDescent="0.35">
      <c r="A66" t="s">
        <v>24</v>
      </c>
      <c r="B66">
        <v>2005</v>
      </c>
      <c r="D66">
        <v>6.1</v>
      </c>
      <c r="E66">
        <v>6</v>
      </c>
      <c r="F66" t="s">
        <v>31</v>
      </c>
      <c r="G66">
        <v>2</v>
      </c>
      <c r="H66">
        <v>197</v>
      </c>
      <c r="J66">
        <v>1.015228426395939</v>
      </c>
      <c r="K66">
        <v>34</v>
      </c>
      <c r="L66">
        <v>6</v>
      </c>
      <c r="M66" t="s">
        <v>227</v>
      </c>
      <c r="O66">
        <v>0</v>
      </c>
      <c r="P66">
        <v>0</v>
      </c>
    </row>
    <row r="67" spans="1:16" x14ac:dyDescent="0.35">
      <c r="A67" t="s">
        <v>24</v>
      </c>
      <c r="B67">
        <v>2005</v>
      </c>
      <c r="D67">
        <v>6.1</v>
      </c>
      <c r="E67">
        <v>6</v>
      </c>
      <c r="F67" t="s">
        <v>23</v>
      </c>
      <c r="G67">
        <v>2</v>
      </c>
      <c r="H67">
        <v>197</v>
      </c>
      <c r="J67">
        <v>1.015228426395939</v>
      </c>
      <c r="K67">
        <v>34</v>
      </c>
      <c r="L67">
        <v>6</v>
      </c>
      <c r="M67" t="s">
        <v>227</v>
      </c>
      <c r="O67">
        <v>0</v>
      </c>
      <c r="P67">
        <v>0</v>
      </c>
    </row>
    <row r="68" spans="1:16" x14ac:dyDescent="0.35">
      <c r="A68" t="s">
        <v>24</v>
      </c>
      <c r="B68">
        <v>2005</v>
      </c>
      <c r="D68">
        <v>7.1</v>
      </c>
      <c r="E68">
        <v>7</v>
      </c>
      <c r="F68" t="s">
        <v>14</v>
      </c>
      <c r="G68">
        <v>4</v>
      </c>
      <c r="H68">
        <v>117</v>
      </c>
      <c r="J68">
        <v>3.4188034188034191</v>
      </c>
      <c r="K68">
        <v>34</v>
      </c>
      <c r="L68">
        <v>6</v>
      </c>
      <c r="M68" t="s">
        <v>227</v>
      </c>
      <c r="O68">
        <v>0</v>
      </c>
      <c r="P68">
        <v>1</v>
      </c>
    </row>
    <row r="69" spans="1:16" x14ac:dyDescent="0.35">
      <c r="A69" t="s">
        <v>24</v>
      </c>
      <c r="B69">
        <v>2005</v>
      </c>
      <c r="D69">
        <v>7.1</v>
      </c>
      <c r="E69">
        <v>7</v>
      </c>
      <c r="F69" t="s">
        <v>3</v>
      </c>
      <c r="G69">
        <v>3</v>
      </c>
      <c r="H69">
        <v>117</v>
      </c>
      <c r="J69">
        <v>2.5641025641025639</v>
      </c>
      <c r="K69">
        <v>34</v>
      </c>
      <c r="L69">
        <v>6</v>
      </c>
      <c r="M69" t="s">
        <v>227</v>
      </c>
      <c r="O69">
        <v>0</v>
      </c>
      <c r="P69">
        <v>0</v>
      </c>
    </row>
    <row r="70" spans="1:16" x14ac:dyDescent="0.35">
      <c r="A70" t="s">
        <v>24</v>
      </c>
      <c r="B70">
        <v>2005</v>
      </c>
      <c r="D70">
        <v>7.1</v>
      </c>
      <c r="E70">
        <v>7</v>
      </c>
      <c r="F70" t="s">
        <v>2</v>
      </c>
      <c r="G70">
        <v>1</v>
      </c>
      <c r="H70">
        <v>117</v>
      </c>
      <c r="J70">
        <v>0.85470085470085477</v>
      </c>
      <c r="K70">
        <v>34</v>
      </c>
      <c r="L70">
        <v>6</v>
      </c>
      <c r="M70" t="s">
        <v>227</v>
      </c>
      <c r="O70">
        <v>0</v>
      </c>
      <c r="P70">
        <v>0</v>
      </c>
    </row>
    <row r="71" spans="1:16" x14ac:dyDescent="0.35">
      <c r="A71" t="s">
        <v>24</v>
      </c>
      <c r="B71">
        <v>2010</v>
      </c>
      <c r="C71" t="s">
        <v>82</v>
      </c>
      <c r="D71">
        <v>1.1000000000000001</v>
      </c>
      <c r="E71">
        <v>1</v>
      </c>
      <c r="F71" t="s">
        <v>3</v>
      </c>
      <c r="G71">
        <v>31</v>
      </c>
      <c r="H71">
        <v>142</v>
      </c>
      <c r="I71">
        <v>71</v>
      </c>
      <c r="J71">
        <v>21.830985915492956</v>
      </c>
      <c r="K71">
        <v>34</v>
      </c>
      <c r="L71">
        <v>6</v>
      </c>
      <c r="M71" t="s">
        <v>227</v>
      </c>
      <c r="O71">
        <v>1</v>
      </c>
      <c r="P71">
        <v>1</v>
      </c>
    </row>
    <row r="72" spans="1:16" x14ac:dyDescent="0.35">
      <c r="A72" t="s">
        <v>24</v>
      </c>
      <c r="B72">
        <v>2010</v>
      </c>
      <c r="C72" t="s">
        <v>82</v>
      </c>
      <c r="D72">
        <v>1.1000000000000001</v>
      </c>
      <c r="E72">
        <v>1</v>
      </c>
      <c r="F72" t="s">
        <v>23</v>
      </c>
      <c r="G72">
        <v>2</v>
      </c>
      <c r="H72">
        <v>142</v>
      </c>
      <c r="I72">
        <v>71</v>
      </c>
      <c r="J72">
        <v>1.4084507042253522</v>
      </c>
      <c r="K72">
        <v>34</v>
      </c>
      <c r="L72">
        <v>6</v>
      </c>
      <c r="M72" t="s">
        <v>227</v>
      </c>
      <c r="O72">
        <v>1</v>
      </c>
      <c r="P72">
        <v>0</v>
      </c>
    </row>
    <row r="73" spans="1:16" x14ac:dyDescent="0.35">
      <c r="A73" t="s">
        <v>24</v>
      </c>
      <c r="B73">
        <v>2010</v>
      </c>
      <c r="C73" t="s">
        <v>82</v>
      </c>
      <c r="D73">
        <v>1.1000000000000001</v>
      </c>
      <c r="E73">
        <v>1</v>
      </c>
      <c r="F73" t="s">
        <v>134</v>
      </c>
      <c r="G73">
        <v>1</v>
      </c>
      <c r="H73">
        <v>142</v>
      </c>
      <c r="I73">
        <v>71</v>
      </c>
      <c r="J73">
        <v>0.70422535211267612</v>
      </c>
      <c r="K73">
        <v>34</v>
      </c>
      <c r="L73">
        <v>6</v>
      </c>
      <c r="M73" t="s">
        <v>227</v>
      </c>
      <c r="O73">
        <v>1</v>
      </c>
      <c r="P73">
        <v>0</v>
      </c>
    </row>
    <row r="74" spans="1:16" x14ac:dyDescent="0.35">
      <c r="A74" t="s">
        <v>24</v>
      </c>
      <c r="B74">
        <v>2010</v>
      </c>
      <c r="C74" t="s">
        <v>82</v>
      </c>
      <c r="D74">
        <v>1.1000000000000001</v>
      </c>
      <c r="E74">
        <v>1</v>
      </c>
      <c r="F74" t="s">
        <v>2</v>
      </c>
      <c r="G74">
        <v>1</v>
      </c>
      <c r="H74">
        <v>142</v>
      </c>
      <c r="I74">
        <v>71</v>
      </c>
      <c r="J74">
        <v>0.70422535211267612</v>
      </c>
      <c r="K74">
        <v>34</v>
      </c>
      <c r="L74">
        <v>6</v>
      </c>
      <c r="M74" t="s">
        <v>227</v>
      </c>
      <c r="O74">
        <v>1</v>
      </c>
      <c r="P74">
        <v>0</v>
      </c>
    </row>
    <row r="75" spans="1:16" x14ac:dyDescent="0.35">
      <c r="A75" t="s">
        <v>24</v>
      </c>
      <c r="B75">
        <v>2010</v>
      </c>
      <c r="C75" t="s">
        <v>43</v>
      </c>
      <c r="D75">
        <v>2.1</v>
      </c>
      <c r="E75">
        <v>2</v>
      </c>
      <c r="F75" t="s">
        <v>3</v>
      </c>
      <c r="G75">
        <v>34</v>
      </c>
      <c r="H75">
        <v>130</v>
      </c>
      <c r="I75">
        <v>65</v>
      </c>
      <c r="J75">
        <v>26.153846153846157</v>
      </c>
      <c r="K75">
        <v>34</v>
      </c>
      <c r="L75">
        <v>6</v>
      </c>
      <c r="M75" t="s">
        <v>227</v>
      </c>
      <c r="O75">
        <v>0</v>
      </c>
      <c r="P75">
        <v>1</v>
      </c>
    </row>
    <row r="76" spans="1:16" x14ac:dyDescent="0.35">
      <c r="A76" t="s">
        <v>24</v>
      </c>
      <c r="B76">
        <v>2010</v>
      </c>
      <c r="C76" t="s">
        <v>43</v>
      </c>
      <c r="D76">
        <v>2.1</v>
      </c>
      <c r="E76">
        <v>2</v>
      </c>
      <c r="F76" t="s">
        <v>13</v>
      </c>
      <c r="G76">
        <v>5</v>
      </c>
      <c r="H76">
        <v>130</v>
      </c>
      <c r="I76">
        <v>65</v>
      </c>
      <c r="J76">
        <v>3.8461538461538463</v>
      </c>
      <c r="K76">
        <v>34</v>
      </c>
      <c r="L76">
        <v>6</v>
      </c>
      <c r="M76" t="s">
        <v>227</v>
      </c>
      <c r="O76">
        <v>1</v>
      </c>
      <c r="P76">
        <v>0</v>
      </c>
    </row>
    <row r="77" spans="1:16" x14ac:dyDescent="0.35">
      <c r="A77" t="s">
        <v>24</v>
      </c>
      <c r="B77">
        <v>2010</v>
      </c>
      <c r="C77" t="s">
        <v>43</v>
      </c>
      <c r="D77">
        <v>2.1</v>
      </c>
      <c r="E77">
        <v>2</v>
      </c>
      <c r="F77" t="s">
        <v>2</v>
      </c>
      <c r="G77">
        <v>1</v>
      </c>
      <c r="H77">
        <v>130</v>
      </c>
      <c r="I77">
        <v>65</v>
      </c>
      <c r="J77">
        <v>0.76923076923076927</v>
      </c>
      <c r="K77">
        <v>34</v>
      </c>
      <c r="L77">
        <v>6</v>
      </c>
      <c r="M77" t="s">
        <v>227</v>
      </c>
      <c r="O77">
        <v>0</v>
      </c>
      <c r="P77">
        <v>0</v>
      </c>
    </row>
    <row r="78" spans="1:16" x14ac:dyDescent="0.35">
      <c r="A78" t="s">
        <v>24</v>
      </c>
      <c r="B78">
        <v>2010</v>
      </c>
      <c r="C78" t="s">
        <v>110</v>
      </c>
      <c r="D78">
        <v>2.2000000000000002</v>
      </c>
      <c r="E78">
        <v>2</v>
      </c>
      <c r="F78" t="s">
        <v>3</v>
      </c>
      <c r="G78">
        <v>33</v>
      </c>
      <c r="H78">
        <v>66</v>
      </c>
      <c r="I78">
        <v>33</v>
      </c>
      <c r="J78">
        <v>50</v>
      </c>
      <c r="K78">
        <v>34</v>
      </c>
      <c r="L78">
        <v>6</v>
      </c>
      <c r="M78" t="s">
        <v>227</v>
      </c>
      <c r="O78">
        <v>0</v>
      </c>
      <c r="P78">
        <v>1</v>
      </c>
    </row>
    <row r="79" spans="1:16" x14ac:dyDescent="0.35">
      <c r="A79" t="s">
        <v>24</v>
      </c>
      <c r="B79">
        <v>2010</v>
      </c>
      <c r="C79" t="s">
        <v>110</v>
      </c>
      <c r="D79">
        <v>2.2000000000000002</v>
      </c>
      <c r="E79">
        <v>2</v>
      </c>
      <c r="F79" t="s">
        <v>32</v>
      </c>
      <c r="G79">
        <v>3</v>
      </c>
      <c r="H79">
        <v>66</v>
      </c>
      <c r="I79">
        <v>33</v>
      </c>
      <c r="J79">
        <v>4.5454545454545459</v>
      </c>
      <c r="K79">
        <v>34</v>
      </c>
      <c r="L79">
        <v>6</v>
      </c>
      <c r="M79" t="s">
        <v>227</v>
      </c>
      <c r="O79">
        <v>1</v>
      </c>
      <c r="P79">
        <v>0</v>
      </c>
    </row>
    <row r="80" spans="1:16" x14ac:dyDescent="0.35">
      <c r="A80" t="s">
        <v>24</v>
      </c>
      <c r="B80">
        <v>2010</v>
      </c>
      <c r="C80" t="s">
        <v>110</v>
      </c>
      <c r="D80">
        <v>2.2000000000000002</v>
      </c>
      <c r="E80">
        <v>2</v>
      </c>
      <c r="F80" t="s">
        <v>2</v>
      </c>
      <c r="G80">
        <v>3</v>
      </c>
      <c r="H80">
        <v>66</v>
      </c>
      <c r="I80">
        <v>33</v>
      </c>
      <c r="J80">
        <v>4.5454545454545459</v>
      </c>
      <c r="K80">
        <v>34</v>
      </c>
      <c r="L80">
        <v>6</v>
      </c>
      <c r="M80" t="s">
        <v>227</v>
      </c>
      <c r="O80">
        <v>0</v>
      </c>
      <c r="P80">
        <v>0</v>
      </c>
    </row>
    <row r="81" spans="1:16" x14ac:dyDescent="0.35">
      <c r="A81" t="s">
        <v>24</v>
      </c>
      <c r="B81">
        <v>2010</v>
      </c>
      <c r="C81" t="s">
        <v>110</v>
      </c>
      <c r="D81">
        <v>2.2000000000000002</v>
      </c>
      <c r="E81">
        <v>2</v>
      </c>
      <c r="F81" t="s">
        <v>11</v>
      </c>
      <c r="G81">
        <v>2</v>
      </c>
      <c r="H81">
        <v>66</v>
      </c>
      <c r="I81">
        <v>33</v>
      </c>
      <c r="J81">
        <v>3.0303030303030303</v>
      </c>
      <c r="K81">
        <v>34</v>
      </c>
      <c r="L81">
        <v>6</v>
      </c>
      <c r="M81" t="s">
        <v>227</v>
      </c>
      <c r="O81">
        <v>1</v>
      </c>
      <c r="P81">
        <v>0</v>
      </c>
    </row>
    <row r="82" spans="1:16" x14ac:dyDescent="0.35">
      <c r="A82" t="s">
        <v>24</v>
      </c>
      <c r="B82">
        <v>2010</v>
      </c>
      <c r="C82" t="s">
        <v>50</v>
      </c>
      <c r="D82">
        <v>3.1</v>
      </c>
      <c r="E82">
        <v>3</v>
      </c>
      <c r="F82" t="s">
        <v>3</v>
      </c>
      <c r="G82">
        <v>28</v>
      </c>
      <c r="H82">
        <v>83</v>
      </c>
      <c r="I82">
        <v>41.5</v>
      </c>
      <c r="J82">
        <v>33.734939759036145</v>
      </c>
      <c r="K82">
        <v>34</v>
      </c>
      <c r="L82">
        <v>6</v>
      </c>
      <c r="M82" t="s">
        <v>227</v>
      </c>
      <c r="O82">
        <v>0</v>
      </c>
      <c r="P82">
        <v>1</v>
      </c>
    </row>
    <row r="83" spans="1:16" x14ac:dyDescent="0.35">
      <c r="A83" t="s">
        <v>24</v>
      </c>
      <c r="B83">
        <v>2010</v>
      </c>
      <c r="C83" t="s">
        <v>50</v>
      </c>
      <c r="D83">
        <v>3.1</v>
      </c>
      <c r="E83">
        <v>3</v>
      </c>
      <c r="F83" t="s">
        <v>32</v>
      </c>
      <c r="G83">
        <v>1</v>
      </c>
      <c r="H83">
        <v>83</v>
      </c>
      <c r="I83">
        <v>41.5</v>
      </c>
      <c r="J83">
        <v>1.2048192771084338</v>
      </c>
      <c r="K83">
        <v>34</v>
      </c>
      <c r="L83">
        <v>6</v>
      </c>
      <c r="M83" t="s">
        <v>227</v>
      </c>
      <c r="O83">
        <v>0</v>
      </c>
      <c r="P83">
        <v>0</v>
      </c>
    </row>
    <row r="84" spans="1:16" x14ac:dyDescent="0.35">
      <c r="A84" t="s">
        <v>24</v>
      </c>
      <c r="B84">
        <v>2010</v>
      </c>
      <c r="C84" t="s">
        <v>50</v>
      </c>
      <c r="D84">
        <v>3.1</v>
      </c>
      <c r="E84">
        <v>3</v>
      </c>
      <c r="F84" t="s">
        <v>2</v>
      </c>
      <c r="G84">
        <v>1</v>
      </c>
      <c r="H84">
        <v>83</v>
      </c>
      <c r="I84">
        <v>41.5</v>
      </c>
      <c r="J84">
        <v>1.2048192771084338</v>
      </c>
      <c r="K84">
        <v>34</v>
      </c>
      <c r="L84">
        <v>6</v>
      </c>
      <c r="M84" t="s">
        <v>227</v>
      </c>
      <c r="O84">
        <v>0</v>
      </c>
      <c r="P84">
        <v>0</v>
      </c>
    </row>
    <row r="85" spans="1:16" x14ac:dyDescent="0.35">
      <c r="A85" t="s">
        <v>24</v>
      </c>
      <c r="B85">
        <v>2010</v>
      </c>
      <c r="C85" t="s">
        <v>112</v>
      </c>
      <c r="D85">
        <v>3.2</v>
      </c>
      <c r="E85">
        <v>3</v>
      </c>
      <c r="F85" t="s">
        <v>3</v>
      </c>
      <c r="G85">
        <v>26</v>
      </c>
      <c r="H85">
        <v>36</v>
      </c>
      <c r="I85">
        <v>18</v>
      </c>
      <c r="J85">
        <v>72.222222222222214</v>
      </c>
      <c r="K85">
        <v>34</v>
      </c>
      <c r="L85">
        <v>6</v>
      </c>
      <c r="M85" t="s">
        <v>227</v>
      </c>
      <c r="O85">
        <v>0</v>
      </c>
      <c r="P85">
        <v>1</v>
      </c>
    </row>
    <row r="86" spans="1:16" x14ac:dyDescent="0.35">
      <c r="A86" t="s">
        <v>24</v>
      </c>
      <c r="B86">
        <v>2010</v>
      </c>
      <c r="C86" t="s">
        <v>112</v>
      </c>
      <c r="D86">
        <v>3.2</v>
      </c>
      <c r="E86">
        <v>3</v>
      </c>
      <c r="F86" t="s">
        <v>23</v>
      </c>
      <c r="G86">
        <v>1</v>
      </c>
      <c r="H86">
        <v>36</v>
      </c>
      <c r="I86">
        <v>18</v>
      </c>
      <c r="J86">
        <v>2.7777777777777777</v>
      </c>
      <c r="K86">
        <v>34</v>
      </c>
      <c r="L86">
        <v>6</v>
      </c>
      <c r="M86" t="s">
        <v>227</v>
      </c>
      <c r="O86">
        <v>0</v>
      </c>
      <c r="P86">
        <v>0</v>
      </c>
    </row>
    <row r="87" spans="1:16" x14ac:dyDescent="0.35">
      <c r="A87" t="s">
        <v>24</v>
      </c>
      <c r="B87">
        <v>2010</v>
      </c>
      <c r="C87" t="s">
        <v>113</v>
      </c>
      <c r="D87">
        <v>4.0999999999999996</v>
      </c>
      <c r="E87">
        <v>4</v>
      </c>
      <c r="F87" t="s">
        <v>3</v>
      </c>
      <c r="G87">
        <v>24</v>
      </c>
      <c r="H87">
        <v>115</v>
      </c>
      <c r="I87">
        <v>57.5</v>
      </c>
      <c r="J87">
        <v>20.869565217391305</v>
      </c>
      <c r="K87">
        <v>34</v>
      </c>
      <c r="L87">
        <v>6</v>
      </c>
      <c r="M87" t="s">
        <v>227</v>
      </c>
      <c r="O87">
        <v>0</v>
      </c>
      <c r="P87">
        <v>1</v>
      </c>
    </row>
    <row r="88" spans="1:16" x14ac:dyDescent="0.35">
      <c r="A88" t="s">
        <v>24</v>
      </c>
      <c r="B88">
        <v>2010</v>
      </c>
      <c r="C88" t="s">
        <v>113</v>
      </c>
      <c r="D88">
        <v>4.0999999999999996</v>
      </c>
      <c r="E88">
        <v>4</v>
      </c>
      <c r="F88" t="s">
        <v>23</v>
      </c>
      <c r="G88">
        <v>6</v>
      </c>
      <c r="H88">
        <v>115</v>
      </c>
      <c r="I88">
        <v>57.5</v>
      </c>
      <c r="J88">
        <v>5.2173913043478262</v>
      </c>
      <c r="K88">
        <v>34</v>
      </c>
      <c r="L88">
        <v>6</v>
      </c>
      <c r="M88" t="s">
        <v>227</v>
      </c>
      <c r="O88">
        <v>0</v>
      </c>
      <c r="P88">
        <v>0</v>
      </c>
    </row>
    <row r="89" spans="1:16" x14ac:dyDescent="0.35">
      <c r="A89" t="s">
        <v>24</v>
      </c>
      <c r="B89">
        <v>2010</v>
      </c>
      <c r="C89" t="s">
        <v>113</v>
      </c>
      <c r="D89">
        <v>4.0999999999999996</v>
      </c>
      <c r="E89">
        <v>4</v>
      </c>
      <c r="F89" t="s">
        <v>32</v>
      </c>
      <c r="G89">
        <v>2</v>
      </c>
      <c r="H89">
        <v>115</v>
      </c>
      <c r="I89">
        <v>57.5</v>
      </c>
      <c r="J89">
        <v>1.7391304347826086</v>
      </c>
      <c r="K89">
        <v>34</v>
      </c>
      <c r="L89">
        <v>6</v>
      </c>
      <c r="M89" t="s">
        <v>227</v>
      </c>
      <c r="O89">
        <v>0</v>
      </c>
      <c r="P89">
        <v>0</v>
      </c>
    </row>
    <row r="90" spans="1:16" x14ac:dyDescent="0.35">
      <c r="A90" t="s">
        <v>24</v>
      </c>
      <c r="B90">
        <v>2010</v>
      </c>
      <c r="C90" t="s">
        <v>104</v>
      </c>
      <c r="D90">
        <v>5.0999999999999996</v>
      </c>
      <c r="E90">
        <v>5</v>
      </c>
      <c r="F90" t="s">
        <v>3</v>
      </c>
      <c r="G90">
        <v>22</v>
      </c>
      <c r="H90">
        <v>164</v>
      </c>
      <c r="I90">
        <v>82</v>
      </c>
      <c r="J90">
        <v>13.414634146341465</v>
      </c>
      <c r="K90">
        <v>34</v>
      </c>
      <c r="L90">
        <v>6</v>
      </c>
      <c r="M90" t="s">
        <v>227</v>
      </c>
      <c r="O90">
        <v>0</v>
      </c>
      <c r="P90">
        <v>1</v>
      </c>
    </row>
    <row r="91" spans="1:16" x14ac:dyDescent="0.35">
      <c r="A91" t="s">
        <v>24</v>
      </c>
      <c r="B91">
        <v>2010</v>
      </c>
      <c r="C91" t="s">
        <v>104</v>
      </c>
      <c r="D91">
        <v>5.0999999999999996</v>
      </c>
      <c r="E91">
        <v>5</v>
      </c>
      <c r="F91" t="s">
        <v>14</v>
      </c>
      <c r="G91">
        <v>10</v>
      </c>
      <c r="H91">
        <v>164</v>
      </c>
      <c r="I91">
        <v>82</v>
      </c>
      <c r="J91">
        <v>6.0975609756097562</v>
      </c>
      <c r="K91">
        <v>34</v>
      </c>
      <c r="L91">
        <v>6</v>
      </c>
      <c r="M91" t="s">
        <v>227</v>
      </c>
      <c r="O91">
        <v>1</v>
      </c>
      <c r="P91">
        <v>0</v>
      </c>
    </row>
    <row r="92" spans="1:16" x14ac:dyDescent="0.35">
      <c r="A92" t="s">
        <v>24</v>
      </c>
      <c r="B92">
        <v>2010</v>
      </c>
      <c r="C92" t="s">
        <v>104</v>
      </c>
      <c r="D92">
        <v>5.0999999999999996</v>
      </c>
      <c r="E92">
        <v>5</v>
      </c>
      <c r="F92" t="s">
        <v>23</v>
      </c>
      <c r="G92">
        <v>9</v>
      </c>
      <c r="H92">
        <v>164</v>
      </c>
      <c r="I92">
        <v>82</v>
      </c>
      <c r="J92">
        <v>5.4878048780487809</v>
      </c>
      <c r="K92">
        <v>34</v>
      </c>
      <c r="L92">
        <v>6</v>
      </c>
      <c r="M92" t="s">
        <v>227</v>
      </c>
      <c r="O92">
        <v>0</v>
      </c>
      <c r="P92">
        <v>0</v>
      </c>
    </row>
    <row r="93" spans="1:16" x14ac:dyDescent="0.35">
      <c r="A93" t="s">
        <v>24</v>
      </c>
      <c r="B93">
        <v>2010</v>
      </c>
      <c r="C93" t="s">
        <v>104</v>
      </c>
      <c r="D93">
        <v>5.0999999999999996</v>
      </c>
      <c r="E93">
        <v>5</v>
      </c>
      <c r="F93" t="s">
        <v>2</v>
      </c>
      <c r="G93">
        <v>6</v>
      </c>
      <c r="H93">
        <v>164</v>
      </c>
      <c r="I93">
        <v>82</v>
      </c>
      <c r="J93">
        <v>3.6585365853658534</v>
      </c>
      <c r="K93">
        <v>34</v>
      </c>
      <c r="L93">
        <v>6</v>
      </c>
      <c r="M93" t="s">
        <v>227</v>
      </c>
      <c r="O93">
        <v>0</v>
      </c>
      <c r="P93">
        <v>0</v>
      </c>
    </row>
    <row r="94" spans="1:16" x14ac:dyDescent="0.35">
      <c r="A94" t="s">
        <v>24</v>
      </c>
      <c r="B94">
        <v>2010</v>
      </c>
      <c r="C94" t="s">
        <v>104</v>
      </c>
      <c r="D94">
        <v>5.0999999999999996</v>
      </c>
      <c r="E94">
        <v>5</v>
      </c>
      <c r="F94" t="s">
        <v>31</v>
      </c>
      <c r="G94">
        <v>2</v>
      </c>
      <c r="H94">
        <v>164</v>
      </c>
      <c r="I94">
        <v>82</v>
      </c>
      <c r="J94">
        <v>1.2195121951219512</v>
      </c>
      <c r="K94">
        <v>34</v>
      </c>
      <c r="L94">
        <v>6</v>
      </c>
      <c r="M94" t="s">
        <v>227</v>
      </c>
      <c r="O94">
        <v>1</v>
      </c>
      <c r="P94">
        <v>0</v>
      </c>
    </row>
    <row r="95" spans="1:16" x14ac:dyDescent="0.35">
      <c r="A95" t="s">
        <v>24</v>
      </c>
      <c r="B95">
        <v>2010</v>
      </c>
      <c r="C95" t="s">
        <v>104</v>
      </c>
      <c r="D95">
        <v>5.0999999999999996</v>
      </c>
      <c r="E95">
        <v>5</v>
      </c>
      <c r="F95" t="s">
        <v>12</v>
      </c>
      <c r="G95">
        <v>1</v>
      </c>
      <c r="H95">
        <v>164</v>
      </c>
      <c r="I95">
        <v>82</v>
      </c>
      <c r="J95">
        <v>0.6097560975609756</v>
      </c>
      <c r="K95">
        <v>34</v>
      </c>
      <c r="L95">
        <v>6</v>
      </c>
      <c r="M95" t="s">
        <v>227</v>
      </c>
      <c r="O95">
        <v>1</v>
      </c>
      <c r="P95">
        <v>0</v>
      </c>
    </row>
    <row r="96" spans="1:16" x14ac:dyDescent="0.35">
      <c r="A96" t="s">
        <v>24</v>
      </c>
      <c r="B96">
        <v>2010</v>
      </c>
      <c r="C96" t="s">
        <v>96</v>
      </c>
      <c r="D96">
        <v>6.1</v>
      </c>
      <c r="E96">
        <v>6</v>
      </c>
      <c r="F96" t="s">
        <v>3</v>
      </c>
      <c r="G96">
        <v>37</v>
      </c>
      <c r="H96">
        <v>197</v>
      </c>
      <c r="I96">
        <v>98.5</v>
      </c>
      <c r="J96">
        <v>18.781725888324875</v>
      </c>
      <c r="K96">
        <v>34</v>
      </c>
      <c r="L96">
        <v>6</v>
      </c>
      <c r="M96" t="s">
        <v>227</v>
      </c>
      <c r="O96">
        <v>0</v>
      </c>
      <c r="P96">
        <v>1</v>
      </c>
    </row>
    <row r="97" spans="1:16" x14ac:dyDescent="0.35">
      <c r="A97" t="s">
        <v>24</v>
      </c>
      <c r="B97">
        <v>2010</v>
      </c>
      <c r="C97" t="s">
        <v>96</v>
      </c>
      <c r="D97">
        <v>6.1</v>
      </c>
      <c r="E97">
        <v>6</v>
      </c>
      <c r="F97" t="s">
        <v>31</v>
      </c>
      <c r="G97">
        <v>4</v>
      </c>
      <c r="H97">
        <v>197</v>
      </c>
      <c r="I97">
        <v>98.5</v>
      </c>
      <c r="J97">
        <v>2.030456852791878</v>
      </c>
      <c r="K97">
        <v>34</v>
      </c>
      <c r="L97">
        <v>6</v>
      </c>
      <c r="M97" t="s">
        <v>227</v>
      </c>
      <c r="O97">
        <v>0</v>
      </c>
      <c r="P97">
        <v>0</v>
      </c>
    </row>
    <row r="98" spans="1:16" x14ac:dyDescent="0.35">
      <c r="A98" t="s">
        <v>24</v>
      </c>
      <c r="B98">
        <v>2010</v>
      </c>
      <c r="C98" t="s">
        <v>96</v>
      </c>
      <c r="D98">
        <v>6.1</v>
      </c>
      <c r="E98">
        <v>6</v>
      </c>
      <c r="F98" t="s">
        <v>23</v>
      </c>
      <c r="G98">
        <v>3</v>
      </c>
      <c r="H98">
        <v>197</v>
      </c>
      <c r="I98">
        <v>98.5</v>
      </c>
      <c r="J98">
        <v>1.5228426395939088</v>
      </c>
      <c r="K98">
        <v>34</v>
      </c>
      <c r="L98">
        <v>6</v>
      </c>
      <c r="M98" t="s">
        <v>227</v>
      </c>
      <c r="O98">
        <v>0</v>
      </c>
      <c r="P98">
        <v>0</v>
      </c>
    </row>
    <row r="99" spans="1:16" x14ac:dyDescent="0.35">
      <c r="A99" t="s">
        <v>24</v>
      </c>
      <c r="B99">
        <v>2010</v>
      </c>
      <c r="C99" t="s">
        <v>96</v>
      </c>
      <c r="D99">
        <v>6.1</v>
      </c>
      <c r="E99">
        <v>6</v>
      </c>
      <c r="F99" t="s">
        <v>12</v>
      </c>
      <c r="G99">
        <v>1</v>
      </c>
      <c r="H99">
        <v>197</v>
      </c>
      <c r="I99">
        <v>98.5</v>
      </c>
      <c r="J99">
        <v>0.50761421319796951</v>
      </c>
      <c r="K99">
        <v>34</v>
      </c>
      <c r="L99">
        <v>6</v>
      </c>
      <c r="M99" t="s">
        <v>227</v>
      </c>
      <c r="O99">
        <v>0</v>
      </c>
      <c r="P99">
        <v>0</v>
      </c>
    </row>
    <row r="100" spans="1:16" x14ac:dyDescent="0.35">
      <c r="A100" t="s">
        <v>24</v>
      </c>
      <c r="B100">
        <v>2010</v>
      </c>
      <c r="C100" t="s">
        <v>96</v>
      </c>
      <c r="D100">
        <v>6.1</v>
      </c>
      <c r="E100">
        <v>6</v>
      </c>
      <c r="F100" t="s">
        <v>139</v>
      </c>
      <c r="G100">
        <v>1</v>
      </c>
      <c r="H100">
        <v>197</v>
      </c>
      <c r="I100">
        <v>98.5</v>
      </c>
      <c r="J100">
        <v>0.50761421319796951</v>
      </c>
      <c r="K100">
        <v>34</v>
      </c>
      <c r="L100">
        <v>6</v>
      </c>
      <c r="M100" t="s">
        <v>227</v>
      </c>
      <c r="O100">
        <v>1</v>
      </c>
      <c r="P100">
        <v>0</v>
      </c>
    </row>
    <row r="101" spans="1:16" x14ac:dyDescent="0.35">
      <c r="A101" t="s">
        <v>24</v>
      </c>
      <c r="B101">
        <v>2010</v>
      </c>
      <c r="C101" t="s">
        <v>137</v>
      </c>
      <c r="D101">
        <v>7.1</v>
      </c>
      <c r="E101">
        <v>7</v>
      </c>
      <c r="F101" t="s">
        <v>14</v>
      </c>
      <c r="G101">
        <v>12</v>
      </c>
      <c r="H101">
        <v>116</v>
      </c>
      <c r="I101">
        <v>58</v>
      </c>
      <c r="J101">
        <v>10.344827586206897</v>
      </c>
      <c r="K101">
        <v>34</v>
      </c>
      <c r="L101">
        <v>6</v>
      </c>
      <c r="M101" t="s">
        <v>227</v>
      </c>
      <c r="O101">
        <v>0</v>
      </c>
      <c r="P101">
        <v>1</v>
      </c>
    </row>
    <row r="102" spans="1:16" x14ac:dyDescent="0.35">
      <c r="A102" t="s">
        <v>24</v>
      </c>
      <c r="B102">
        <v>2010</v>
      </c>
      <c r="C102" t="s">
        <v>137</v>
      </c>
      <c r="D102">
        <v>7.1</v>
      </c>
      <c r="E102">
        <v>7</v>
      </c>
      <c r="F102" t="s">
        <v>3</v>
      </c>
      <c r="G102">
        <v>3</v>
      </c>
      <c r="H102">
        <v>116</v>
      </c>
      <c r="I102">
        <v>58</v>
      </c>
      <c r="J102">
        <v>2.5862068965517242</v>
      </c>
      <c r="K102">
        <v>34</v>
      </c>
      <c r="L102">
        <v>6</v>
      </c>
      <c r="M102" t="s">
        <v>227</v>
      </c>
      <c r="O102">
        <v>0</v>
      </c>
      <c r="P102">
        <v>0</v>
      </c>
    </row>
    <row r="103" spans="1:16" x14ac:dyDescent="0.35">
      <c r="A103" t="s">
        <v>24</v>
      </c>
      <c r="B103">
        <v>2010</v>
      </c>
      <c r="C103" t="s">
        <v>137</v>
      </c>
      <c r="D103">
        <v>7.1</v>
      </c>
      <c r="E103">
        <v>7</v>
      </c>
      <c r="F103" t="s">
        <v>23</v>
      </c>
      <c r="G103">
        <v>1</v>
      </c>
      <c r="H103">
        <v>116</v>
      </c>
      <c r="I103">
        <v>58</v>
      </c>
      <c r="J103">
        <v>0.86206896551724133</v>
      </c>
      <c r="K103">
        <v>34</v>
      </c>
      <c r="L103">
        <v>6</v>
      </c>
      <c r="M103" t="s">
        <v>227</v>
      </c>
      <c r="O103">
        <v>0</v>
      </c>
      <c r="P103">
        <v>0</v>
      </c>
    </row>
  </sheetData>
  <pageMargins left="0.7" right="0.7" top="0.75" bottom="0.75" header="0.3" footer="0.3"/>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Sheet17"/>
  <dimension ref="A1:C11"/>
  <sheetViews>
    <sheetView workbookViewId="0">
      <selection activeCell="F14" sqref="F14"/>
    </sheetView>
  </sheetViews>
  <sheetFormatPr defaultRowHeight="14.5" x14ac:dyDescent="0.35"/>
  <cols>
    <col min="1" max="1" width="9.453125" bestFit="1" customWidth="1"/>
    <col min="2" max="2" width="21.54296875" bestFit="1" customWidth="1"/>
    <col min="3" max="3" width="17.90625" bestFit="1" customWidth="1"/>
  </cols>
  <sheetData>
    <row r="1" spans="1:3" x14ac:dyDescent="0.35">
      <c r="A1" t="s">
        <v>7</v>
      </c>
      <c r="B1" t="s">
        <v>265</v>
      </c>
      <c r="C1" t="s">
        <v>266</v>
      </c>
    </row>
    <row r="2" spans="1:3" x14ac:dyDescent="0.35">
      <c r="A2" t="s">
        <v>9</v>
      </c>
      <c r="B2">
        <v>17.7</v>
      </c>
      <c r="C2">
        <v>10</v>
      </c>
    </row>
    <row r="3" spans="1:3" x14ac:dyDescent="0.35">
      <c r="A3" t="s">
        <v>161</v>
      </c>
      <c r="B3">
        <v>17.7</v>
      </c>
      <c r="C3">
        <v>10</v>
      </c>
    </row>
    <row r="4" spans="1:3" x14ac:dyDescent="0.35">
      <c r="A4" t="s">
        <v>18</v>
      </c>
      <c r="B4">
        <v>15</v>
      </c>
      <c r="C4">
        <v>12</v>
      </c>
    </row>
    <row r="5" spans="1:3" x14ac:dyDescent="0.35">
      <c r="A5" t="s">
        <v>24</v>
      </c>
      <c r="B5">
        <v>34</v>
      </c>
      <c r="C5">
        <v>6</v>
      </c>
    </row>
    <row r="6" spans="1:3" x14ac:dyDescent="0.35">
      <c r="A6" t="s">
        <v>19</v>
      </c>
      <c r="B6">
        <v>17</v>
      </c>
      <c r="C6">
        <v>4</v>
      </c>
    </row>
    <row r="7" spans="1:3" x14ac:dyDescent="0.35">
      <c r="A7" t="s">
        <v>35</v>
      </c>
      <c r="B7">
        <v>17</v>
      </c>
      <c r="C7">
        <v>4</v>
      </c>
    </row>
    <row r="8" spans="1:3" x14ac:dyDescent="0.35">
      <c r="A8" t="s">
        <v>99</v>
      </c>
      <c r="B8">
        <v>17</v>
      </c>
      <c r="C8">
        <v>4</v>
      </c>
    </row>
    <row r="9" spans="1:3" x14ac:dyDescent="0.35">
      <c r="A9" t="s">
        <v>105</v>
      </c>
      <c r="B9">
        <v>17</v>
      </c>
      <c r="C9">
        <v>4</v>
      </c>
    </row>
    <row r="10" spans="1:3" x14ac:dyDescent="0.35">
      <c r="A10" t="s">
        <v>138</v>
      </c>
      <c r="B10">
        <v>11.5</v>
      </c>
      <c r="C10">
        <v>11</v>
      </c>
    </row>
    <row r="11" spans="1:3" x14ac:dyDescent="0.35">
      <c r="A11" t="s">
        <v>21</v>
      </c>
      <c r="B11">
        <v>33</v>
      </c>
      <c r="C11">
        <v>3</v>
      </c>
    </row>
  </sheetData>
  <sortState xmlns:xlrd2="http://schemas.microsoft.com/office/spreadsheetml/2017/richdata2" ref="A2:C11">
    <sortCondition ref="A2:A11"/>
  </sortState>
  <pageMargins left="0.7" right="0.7" top="0.75" bottom="0.75" header="0.3" footer="0.3"/>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Sheet18"/>
  <dimension ref="A1:D68"/>
  <sheetViews>
    <sheetView workbookViewId="0">
      <selection activeCell="J15" sqref="J15"/>
    </sheetView>
  </sheetViews>
  <sheetFormatPr defaultColWidth="9.08984375" defaultRowHeight="14.5" x14ac:dyDescent="0.35"/>
  <cols>
    <col min="2" max="2" width="19.6328125" bestFit="1" customWidth="1"/>
    <col min="3" max="3" width="25.36328125" bestFit="1" customWidth="1"/>
    <col min="4" max="4" width="18" bestFit="1" customWidth="1"/>
  </cols>
  <sheetData>
    <row r="1" spans="1:4" x14ac:dyDescent="0.35">
      <c r="A1" t="s">
        <v>224</v>
      </c>
      <c r="B1" t="s">
        <v>257</v>
      </c>
      <c r="C1" t="s">
        <v>225</v>
      </c>
      <c r="D1" t="s">
        <v>258</v>
      </c>
    </row>
    <row r="2" spans="1:4" x14ac:dyDescent="0.35">
      <c r="A2" t="s">
        <v>237</v>
      </c>
      <c r="B2" t="s">
        <v>228</v>
      </c>
      <c r="C2" t="s">
        <v>240</v>
      </c>
      <c r="D2">
        <v>1</v>
      </c>
    </row>
    <row r="3" spans="1:4" x14ac:dyDescent="0.35">
      <c r="A3" t="s">
        <v>150</v>
      </c>
      <c r="B3" t="s">
        <v>232</v>
      </c>
      <c r="C3" t="s">
        <v>227</v>
      </c>
      <c r="D3">
        <v>2</v>
      </c>
    </row>
    <row r="4" spans="1:4" x14ac:dyDescent="0.35">
      <c r="A4" s="1" t="s">
        <v>214</v>
      </c>
      <c r="B4" t="s">
        <v>226</v>
      </c>
      <c r="C4" t="s">
        <v>227</v>
      </c>
      <c r="D4">
        <v>3</v>
      </c>
    </row>
    <row r="5" spans="1:4" x14ac:dyDescent="0.35">
      <c r="A5" t="s">
        <v>31</v>
      </c>
      <c r="B5" t="s">
        <v>234</v>
      </c>
      <c r="C5" t="s">
        <v>227</v>
      </c>
      <c r="D5">
        <v>3</v>
      </c>
    </row>
    <row r="6" spans="1:4" x14ac:dyDescent="0.35">
      <c r="A6" s="1" t="s">
        <v>175</v>
      </c>
      <c r="B6" t="s">
        <v>228</v>
      </c>
      <c r="C6" t="s">
        <v>227</v>
      </c>
      <c r="D6">
        <v>1</v>
      </c>
    </row>
    <row r="7" spans="1:4" x14ac:dyDescent="0.35">
      <c r="A7" t="s">
        <v>12</v>
      </c>
      <c r="B7" t="s">
        <v>231</v>
      </c>
      <c r="C7" t="s">
        <v>227</v>
      </c>
      <c r="D7">
        <v>3</v>
      </c>
    </row>
    <row r="8" spans="1:4" x14ac:dyDescent="0.35">
      <c r="A8" t="s">
        <v>5</v>
      </c>
      <c r="B8" t="s">
        <v>226</v>
      </c>
      <c r="C8" t="s">
        <v>227</v>
      </c>
      <c r="D8">
        <v>3</v>
      </c>
    </row>
    <row r="9" spans="1:4" x14ac:dyDescent="0.35">
      <c r="A9" t="s">
        <v>6</v>
      </c>
      <c r="B9" t="s">
        <v>231</v>
      </c>
      <c r="C9" t="s">
        <v>227</v>
      </c>
      <c r="D9">
        <v>3</v>
      </c>
    </row>
    <row r="10" spans="1:4" x14ac:dyDescent="0.35">
      <c r="A10" t="s">
        <v>30</v>
      </c>
      <c r="B10" t="s">
        <v>231</v>
      </c>
      <c r="C10" t="s">
        <v>227</v>
      </c>
      <c r="D10">
        <v>3</v>
      </c>
    </row>
    <row r="11" spans="1:4" x14ac:dyDescent="0.35">
      <c r="A11" t="s">
        <v>33</v>
      </c>
      <c r="B11" t="s">
        <v>228</v>
      </c>
      <c r="C11" t="s">
        <v>229</v>
      </c>
      <c r="D11">
        <v>1</v>
      </c>
    </row>
    <row r="12" spans="1:4" x14ac:dyDescent="0.35">
      <c r="A12" t="s">
        <v>3</v>
      </c>
      <c r="B12" t="s">
        <v>231</v>
      </c>
      <c r="C12" t="s">
        <v>227</v>
      </c>
      <c r="D12">
        <v>3</v>
      </c>
    </row>
    <row r="13" spans="1:4" x14ac:dyDescent="0.35">
      <c r="A13" t="s">
        <v>20</v>
      </c>
      <c r="B13" t="s">
        <v>228</v>
      </c>
      <c r="C13" t="s">
        <v>229</v>
      </c>
      <c r="D13">
        <v>1</v>
      </c>
    </row>
    <row r="14" spans="1:4" x14ac:dyDescent="0.35">
      <c r="A14" t="s">
        <v>22</v>
      </c>
      <c r="B14" t="s">
        <v>232</v>
      </c>
      <c r="C14" t="s">
        <v>233</v>
      </c>
      <c r="D14">
        <v>2</v>
      </c>
    </row>
    <row r="15" spans="1:4" x14ac:dyDescent="0.35">
      <c r="A15" s="2" t="s">
        <v>211</v>
      </c>
      <c r="B15" t="s">
        <v>228</v>
      </c>
      <c r="C15" t="s">
        <v>229</v>
      </c>
      <c r="D15">
        <v>1</v>
      </c>
    </row>
    <row r="16" spans="1:4" x14ac:dyDescent="0.35">
      <c r="A16" s="1" t="s">
        <v>213</v>
      </c>
      <c r="B16" t="s">
        <v>228</v>
      </c>
      <c r="C16" t="s">
        <v>229</v>
      </c>
      <c r="D16">
        <v>1</v>
      </c>
    </row>
    <row r="17" spans="1:4" x14ac:dyDescent="0.35">
      <c r="A17" s="2" t="s">
        <v>195</v>
      </c>
      <c r="B17" t="s">
        <v>228</v>
      </c>
      <c r="C17" t="s">
        <v>227</v>
      </c>
      <c r="D17">
        <v>1</v>
      </c>
    </row>
    <row r="18" spans="1:4" x14ac:dyDescent="0.35">
      <c r="A18" s="2" t="s">
        <v>194</v>
      </c>
      <c r="B18" t="s">
        <v>228</v>
      </c>
      <c r="C18" t="s">
        <v>227</v>
      </c>
      <c r="D18">
        <v>1</v>
      </c>
    </row>
    <row r="19" spans="1:4" x14ac:dyDescent="0.35">
      <c r="A19" t="s">
        <v>106</v>
      </c>
      <c r="B19" t="s">
        <v>228</v>
      </c>
      <c r="C19" t="s">
        <v>233</v>
      </c>
      <c r="D19">
        <v>1</v>
      </c>
    </row>
    <row r="20" spans="1:4" x14ac:dyDescent="0.35">
      <c r="A20" t="s">
        <v>135</v>
      </c>
      <c r="B20" t="s">
        <v>228</v>
      </c>
      <c r="C20" t="s">
        <v>229</v>
      </c>
      <c r="D20">
        <v>1</v>
      </c>
    </row>
    <row r="21" spans="1:4" x14ac:dyDescent="0.35">
      <c r="A21" s="1" t="s">
        <v>176</v>
      </c>
      <c r="B21" t="s">
        <v>236</v>
      </c>
      <c r="C21" t="s">
        <v>227</v>
      </c>
      <c r="D21">
        <v>1</v>
      </c>
    </row>
    <row r="22" spans="1:4" x14ac:dyDescent="0.35">
      <c r="A22" s="2" t="s">
        <v>199</v>
      </c>
      <c r="B22" t="s">
        <v>228</v>
      </c>
      <c r="C22" t="s">
        <v>241</v>
      </c>
      <c r="D22">
        <v>1</v>
      </c>
    </row>
    <row r="23" spans="1:4" x14ac:dyDescent="0.35">
      <c r="A23" s="2" t="s">
        <v>189</v>
      </c>
      <c r="B23" t="s">
        <v>228</v>
      </c>
      <c r="C23" t="s">
        <v>229</v>
      </c>
      <c r="D23">
        <v>1</v>
      </c>
    </row>
    <row r="24" spans="1:4" x14ac:dyDescent="0.35">
      <c r="A24" s="1" t="s">
        <v>173</v>
      </c>
      <c r="B24" t="s">
        <v>232</v>
      </c>
      <c r="C24" t="s">
        <v>227</v>
      </c>
      <c r="D24">
        <v>2</v>
      </c>
    </row>
    <row r="25" spans="1:4" x14ac:dyDescent="0.35">
      <c r="A25" t="s">
        <v>132</v>
      </c>
      <c r="B25" t="s">
        <v>228</v>
      </c>
      <c r="C25" t="s">
        <v>233</v>
      </c>
      <c r="D25">
        <v>1</v>
      </c>
    </row>
    <row r="26" spans="1:4" x14ac:dyDescent="0.35">
      <c r="A26" t="s">
        <v>23</v>
      </c>
      <c r="B26" t="s">
        <v>232</v>
      </c>
      <c r="C26" t="s">
        <v>227</v>
      </c>
      <c r="D26">
        <v>2</v>
      </c>
    </row>
    <row r="27" spans="1:4" x14ac:dyDescent="0.35">
      <c r="A27" s="2" t="s">
        <v>204</v>
      </c>
      <c r="B27" t="s">
        <v>232</v>
      </c>
      <c r="C27" t="s">
        <v>229</v>
      </c>
      <c r="D27">
        <v>2</v>
      </c>
    </row>
    <row r="28" spans="1:4" x14ac:dyDescent="0.35">
      <c r="A28" s="2" t="s">
        <v>196</v>
      </c>
      <c r="B28" t="s">
        <v>232</v>
      </c>
      <c r="C28" t="s">
        <v>227</v>
      </c>
      <c r="D28">
        <v>2</v>
      </c>
    </row>
    <row r="29" spans="1:4" x14ac:dyDescent="0.35">
      <c r="A29" t="s">
        <v>136</v>
      </c>
      <c r="B29" t="s">
        <v>228</v>
      </c>
      <c r="C29" t="s">
        <v>229</v>
      </c>
      <c r="D29">
        <v>1</v>
      </c>
    </row>
    <row r="30" spans="1:4" x14ac:dyDescent="0.35">
      <c r="A30" s="2" t="s">
        <v>203</v>
      </c>
      <c r="B30" t="s">
        <v>228</v>
      </c>
      <c r="C30" t="s">
        <v>233</v>
      </c>
      <c r="D30">
        <v>1</v>
      </c>
    </row>
    <row r="31" spans="1:4" x14ac:dyDescent="0.35">
      <c r="A31" s="2" t="s">
        <v>209</v>
      </c>
      <c r="B31" t="s">
        <v>228</v>
      </c>
      <c r="C31" t="s">
        <v>233</v>
      </c>
      <c r="D31">
        <v>1</v>
      </c>
    </row>
    <row r="32" spans="1:4" x14ac:dyDescent="0.35">
      <c r="A32" s="2" t="s">
        <v>210</v>
      </c>
      <c r="B32" t="s">
        <v>228</v>
      </c>
      <c r="C32" t="s">
        <v>229</v>
      </c>
      <c r="D32">
        <v>1</v>
      </c>
    </row>
    <row r="33" spans="1:4" x14ac:dyDescent="0.35">
      <c r="A33" t="s">
        <v>11</v>
      </c>
      <c r="B33" t="s">
        <v>226</v>
      </c>
      <c r="C33" t="s">
        <v>227</v>
      </c>
      <c r="D33">
        <v>3</v>
      </c>
    </row>
    <row r="34" spans="1:4" x14ac:dyDescent="0.35">
      <c r="A34" t="s">
        <v>98</v>
      </c>
      <c r="B34" t="s">
        <v>231</v>
      </c>
      <c r="C34" t="s">
        <v>227</v>
      </c>
      <c r="D34">
        <v>3</v>
      </c>
    </row>
    <row r="35" spans="1:4" x14ac:dyDescent="0.35">
      <c r="A35" s="2" t="s">
        <v>192</v>
      </c>
      <c r="B35" t="s">
        <v>228</v>
      </c>
      <c r="C35" t="s">
        <v>229</v>
      </c>
      <c r="D35">
        <v>1</v>
      </c>
    </row>
    <row r="36" spans="1:4" x14ac:dyDescent="0.35">
      <c r="A36" s="2" t="s">
        <v>197</v>
      </c>
      <c r="B36" t="s">
        <v>228</v>
      </c>
      <c r="C36" t="s">
        <v>229</v>
      </c>
      <c r="D36">
        <v>1</v>
      </c>
    </row>
    <row r="37" spans="1:4" x14ac:dyDescent="0.35">
      <c r="A37" t="s">
        <v>13</v>
      </c>
      <c r="B37" t="s">
        <v>235</v>
      </c>
      <c r="C37" t="s">
        <v>227</v>
      </c>
      <c r="D37">
        <v>1</v>
      </c>
    </row>
    <row r="38" spans="1:4" x14ac:dyDescent="0.35">
      <c r="A38" s="2" t="s">
        <v>207</v>
      </c>
      <c r="B38" t="s">
        <v>232</v>
      </c>
      <c r="C38" t="s">
        <v>227</v>
      </c>
      <c r="D38">
        <v>2</v>
      </c>
    </row>
    <row r="39" spans="1:4" x14ac:dyDescent="0.35">
      <c r="A39" t="s">
        <v>29</v>
      </c>
      <c r="B39" t="s">
        <v>235</v>
      </c>
      <c r="C39" t="s">
        <v>227</v>
      </c>
      <c r="D39">
        <v>1</v>
      </c>
    </row>
    <row r="40" spans="1:4" x14ac:dyDescent="0.35">
      <c r="A40" t="s">
        <v>15</v>
      </c>
      <c r="B40" t="s">
        <v>226</v>
      </c>
      <c r="C40" t="s">
        <v>227</v>
      </c>
      <c r="D40">
        <v>3</v>
      </c>
    </row>
    <row r="41" spans="1:4" x14ac:dyDescent="0.35">
      <c r="A41" s="1" t="s">
        <v>171</v>
      </c>
      <c r="B41" t="s">
        <v>228</v>
      </c>
      <c r="C41" t="s">
        <v>229</v>
      </c>
      <c r="D41">
        <v>1</v>
      </c>
    </row>
    <row r="42" spans="1:4" x14ac:dyDescent="0.35">
      <c r="A42" s="2" t="s">
        <v>191</v>
      </c>
      <c r="B42" t="s">
        <v>228</v>
      </c>
      <c r="C42" t="s">
        <v>241</v>
      </c>
      <c r="D42">
        <v>1</v>
      </c>
    </row>
    <row r="43" spans="1:4" x14ac:dyDescent="0.35">
      <c r="A43" t="s">
        <v>116</v>
      </c>
      <c r="B43" t="s">
        <v>226</v>
      </c>
      <c r="C43" t="s">
        <v>227</v>
      </c>
      <c r="D43">
        <v>3</v>
      </c>
    </row>
    <row r="44" spans="1:4" x14ac:dyDescent="0.35">
      <c r="A44" s="2" t="s">
        <v>201</v>
      </c>
      <c r="B44" t="s">
        <v>228</v>
      </c>
      <c r="C44" t="s">
        <v>229</v>
      </c>
      <c r="D44">
        <v>1</v>
      </c>
    </row>
    <row r="45" spans="1:4" x14ac:dyDescent="0.35">
      <c r="A45" t="s">
        <v>134</v>
      </c>
      <c r="B45" t="s">
        <v>232</v>
      </c>
      <c r="C45" t="s">
        <v>227</v>
      </c>
      <c r="D45">
        <v>2</v>
      </c>
    </row>
    <row r="46" spans="1:4" x14ac:dyDescent="0.35">
      <c r="A46" s="2" t="s">
        <v>190</v>
      </c>
      <c r="B46" t="s">
        <v>228</v>
      </c>
      <c r="C46" t="s">
        <v>227</v>
      </c>
      <c r="D46">
        <v>1</v>
      </c>
    </row>
    <row r="47" spans="1:4" x14ac:dyDescent="0.35">
      <c r="A47" t="s">
        <v>32</v>
      </c>
      <c r="B47" t="s">
        <v>228</v>
      </c>
      <c r="C47" t="s">
        <v>227</v>
      </c>
      <c r="D47">
        <v>1</v>
      </c>
    </row>
    <row r="48" spans="1:4" x14ac:dyDescent="0.35">
      <c r="A48" t="s">
        <v>34</v>
      </c>
      <c r="B48" t="s">
        <v>228</v>
      </c>
      <c r="C48" t="s">
        <v>227</v>
      </c>
      <c r="D48">
        <v>1</v>
      </c>
    </row>
    <row r="49" spans="1:4" x14ac:dyDescent="0.35">
      <c r="A49" s="2" t="s">
        <v>200</v>
      </c>
      <c r="B49" t="s">
        <v>228</v>
      </c>
      <c r="C49" t="s">
        <v>229</v>
      </c>
      <c r="D49">
        <v>1</v>
      </c>
    </row>
    <row r="50" spans="1:4" x14ac:dyDescent="0.35">
      <c r="A50" s="2" t="s">
        <v>206</v>
      </c>
      <c r="B50" t="s">
        <v>228</v>
      </c>
      <c r="C50" t="s">
        <v>227</v>
      </c>
      <c r="D50">
        <v>1</v>
      </c>
    </row>
    <row r="51" spans="1:4" x14ac:dyDescent="0.35">
      <c r="A51" s="1" t="s">
        <v>174</v>
      </c>
      <c r="B51" t="s">
        <v>232</v>
      </c>
      <c r="C51" t="s">
        <v>227</v>
      </c>
      <c r="D51">
        <v>2</v>
      </c>
    </row>
    <row r="52" spans="1:4" x14ac:dyDescent="0.35">
      <c r="A52" t="s">
        <v>127</v>
      </c>
      <c r="B52" t="s">
        <v>260</v>
      </c>
      <c r="C52" t="s">
        <v>260</v>
      </c>
      <c r="D52" t="s">
        <v>260</v>
      </c>
    </row>
    <row r="53" spans="1:4" x14ac:dyDescent="0.35">
      <c r="A53" s="2" t="s">
        <v>212</v>
      </c>
      <c r="B53" t="s">
        <v>228</v>
      </c>
      <c r="C53" t="s">
        <v>233</v>
      </c>
      <c r="D53">
        <v>1</v>
      </c>
    </row>
    <row r="54" spans="1:4" x14ac:dyDescent="0.35">
      <c r="A54" s="2" t="s">
        <v>193</v>
      </c>
      <c r="B54" t="s">
        <v>232</v>
      </c>
      <c r="C54" t="s">
        <v>229</v>
      </c>
      <c r="D54">
        <v>2</v>
      </c>
    </row>
    <row r="55" spans="1:4" x14ac:dyDescent="0.35">
      <c r="A55" s="2" t="s">
        <v>202</v>
      </c>
      <c r="B55" t="s">
        <v>228</v>
      </c>
      <c r="C55" t="s">
        <v>227</v>
      </c>
      <c r="D55">
        <v>1</v>
      </c>
    </row>
    <row r="56" spans="1:4" x14ac:dyDescent="0.35">
      <c r="A56" s="2" t="s">
        <v>208</v>
      </c>
      <c r="B56" t="s">
        <v>232</v>
      </c>
      <c r="C56" t="s">
        <v>227</v>
      </c>
      <c r="D56">
        <v>2</v>
      </c>
    </row>
    <row r="57" spans="1:4" x14ac:dyDescent="0.35">
      <c r="A57" s="2" t="s">
        <v>198</v>
      </c>
      <c r="B57" t="s">
        <v>238</v>
      </c>
      <c r="C57" t="s">
        <v>227</v>
      </c>
      <c r="D57">
        <v>4</v>
      </c>
    </row>
    <row r="58" spans="1:4" x14ac:dyDescent="0.35">
      <c r="A58" t="s">
        <v>107</v>
      </c>
      <c r="B58" t="s">
        <v>231</v>
      </c>
      <c r="C58" t="s">
        <v>227</v>
      </c>
      <c r="D58">
        <v>3</v>
      </c>
    </row>
    <row r="59" spans="1:4" x14ac:dyDescent="0.35">
      <c r="A59" s="1" t="s">
        <v>172</v>
      </c>
      <c r="B59" t="s">
        <v>231</v>
      </c>
      <c r="C59" t="s">
        <v>227</v>
      </c>
      <c r="D59">
        <v>3</v>
      </c>
    </row>
    <row r="60" spans="1:4" x14ac:dyDescent="0.35">
      <c r="A60" t="s">
        <v>4</v>
      </c>
      <c r="B60" t="s">
        <v>238</v>
      </c>
      <c r="C60" t="s">
        <v>227</v>
      </c>
      <c r="D60">
        <v>4</v>
      </c>
    </row>
    <row r="61" spans="1:4" x14ac:dyDescent="0.35">
      <c r="A61" t="s">
        <v>97</v>
      </c>
      <c r="B61" t="s">
        <v>231</v>
      </c>
      <c r="C61" t="s">
        <v>227</v>
      </c>
      <c r="D61">
        <v>3</v>
      </c>
    </row>
    <row r="62" spans="1:4" x14ac:dyDescent="0.35">
      <c r="A62" t="s">
        <v>10</v>
      </c>
      <c r="B62" t="s">
        <v>228</v>
      </c>
      <c r="C62" t="s">
        <v>229</v>
      </c>
      <c r="D62">
        <v>1</v>
      </c>
    </row>
    <row r="63" spans="1:4" x14ac:dyDescent="0.35">
      <c r="A63" t="s">
        <v>14</v>
      </c>
      <c r="B63" t="s">
        <v>231</v>
      </c>
      <c r="C63" t="s">
        <v>227</v>
      </c>
      <c r="D63">
        <v>3</v>
      </c>
    </row>
    <row r="64" spans="1:4" x14ac:dyDescent="0.35">
      <c r="A64" s="2" t="s">
        <v>205</v>
      </c>
      <c r="B64" t="s">
        <v>232</v>
      </c>
      <c r="C64" t="s">
        <v>229</v>
      </c>
      <c r="D64">
        <v>2</v>
      </c>
    </row>
    <row r="65" spans="1:4" x14ac:dyDescent="0.35">
      <c r="A65" t="s">
        <v>2</v>
      </c>
      <c r="B65" t="s">
        <v>232</v>
      </c>
      <c r="C65" t="s">
        <v>227</v>
      </c>
      <c r="D65">
        <v>2</v>
      </c>
    </row>
    <row r="66" spans="1:4" x14ac:dyDescent="0.35">
      <c r="A66" t="s">
        <v>25</v>
      </c>
      <c r="B66" t="s">
        <v>235</v>
      </c>
      <c r="C66" t="s">
        <v>233</v>
      </c>
      <c r="D66">
        <v>1</v>
      </c>
    </row>
    <row r="67" spans="1:4" x14ac:dyDescent="0.35">
      <c r="A67" t="s">
        <v>139</v>
      </c>
      <c r="B67" t="s">
        <v>235</v>
      </c>
      <c r="C67" t="s">
        <v>227</v>
      </c>
      <c r="D67">
        <v>1</v>
      </c>
    </row>
    <row r="68" spans="1:4" x14ac:dyDescent="0.35">
      <c r="A68" t="s">
        <v>170</v>
      </c>
      <c r="B68" t="s">
        <v>234</v>
      </c>
      <c r="C68" t="s">
        <v>227</v>
      </c>
      <c r="D68">
        <v>3</v>
      </c>
    </row>
  </sheetData>
  <sortState xmlns:xlrd2="http://schemas.microsoft.com/office/spreadsheetml/2017/richdata2" ref="A1:A69">
    <sortCondition ref="A1"/>
  </sortState>
  <pageMargins left="0.7" right="0.7" top="0.75" bottom="0.75" header="0.3" footer="0.3"/>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100-000000000000}">
  <sheetPr codeName="Sheet19"/>
  <dimension ref="A1:C131"/>
  <sheetViews>
    <sheetView workbookViewId="0">
      <selection activeCell="L129" sqref="L129"/>
    </sheetView>
  </sheetViews>
  <sheetFormatPr defaultRowHeight="14.5" x14ac:dyDescent="0.35"/>
  <cols>
    <col min="3" max="3" width="16.36328125" bestFit="1" customWidth="1"/>
  </cols>
  <sheetData>
    <row r="1" spans="1:3" x14ac:dyDescent="0.35">
      <c r="A1" t="s">
        <v>7</v>
      </c>
      <c r="B1" t="s">
        <v>1</v>
      </c>
      <c r="C1" t="s">
        <v>269</v>
      </c>
    </row>
    <row r="2" spans="1:3" x14ac:dyDescent="0.35">
      <c r="A2" t="s">
        <v>138</v>
      </c>
      <c r="B2" t="s">
        <v>6</v>
      </c>
      <c r="C2" t="str">
        <f>CONCATENATE(A2,B2)</f>
        <v>LAW118ATPO</v>
      </c>
    </row>
    <row r="3" spans="1:3" x14ac:dyDescent="0.35">
      <c r="A3" t="s">
        <v>138</v>
      </c>
      <c r="B3" t="s">
        <v>12</v>
      </c>
      <c r="C3" t="str">
        <f t="shared" ref="C3:C66" si="0">CONCATENATE(A3,B3)</f>
        <v>LAW118ATCA2</v>
      </c>
    </row>
    <row r="4" spans="1:3" x14ac:dyDescent="0.35">
      <c r="A4" t="s">
        <v>138</v>
      </c>
      <c r="B4" t="s">
        <v>230</v>
      </c>
      <c r="C4" t="str">
        <f t="shared" si="0"/>
        <v>LAW118ATPA3</v>
      </c>
    </row>
    <row r="5" spans="1:3" x14ac:dyDescent="0.35">
      <c r="A5" t="s">
        <v>138</v>
      </c>
      <c r="B5" t="s">
        <v>251</v>
      </c>
      <c r="C5" t="str">
        <f t="shared" si="0"/>
        <v>LAW118LYAN</v>
      </c>
    </row>
    <row r="6" spans="1:3" x14ac:dyDescent="0.35">
      <c r="A6" t="s">
        <v>138</v>
      </c>
      <c r="B6" t="s">
        <v>107</v>
      </c>
      <c r="C6" t="str">
        <f t="shared" si="0"/>
        <v>LAW118PSARM</v>
      </c>
    </row>
    <row r="7" spans="1:3" x14ac:dyDescent="0.35">
      <c r="A7" t="s">
        <v>138</v>
      </c>
      <c r="B7" t="s">
        <v>267</v>
      </c>
      <c r="C7" t="str">
        <f t="shared" si="0"/>
        <v>LAW118MIAL5</v>
      </c>
    </row>
    <row r="8" spans="1:3" x14ac:dyDescent="0.35">
      <c r="A8" t="s">
        <v>138</v>
      </c>
      <c r="B8" t="s">
        <v>14</v>
      </c>
      <c r="C8" t="str">
        <f t="shared" si="0"/>
        <v>LAW118SAVE4</v>
      </c>
    </row>
    <row r="9" spans="1:3" x14ac:dyDescent="0.35">
      <c r="A9" t="s">
        <v>138</v>
      </c>
      <c r="B9" t="s">
        <v>256</v>
      </c>
      <c r="C9" t="str">
        <f t="shared" si="0"/>
        <v>LAW118TEGL</v>
      </c>
    </row>
    <row r="10" spans="1:3" x14ac:dyDescent="0.35">
      <c r="A10" t="s">
        <v>138</v>
      </c>
      <c r="B10" t="s">
        <v>5</v>
      </c>
      <c r="C10" t="str">
        <f t="shared" si="0"/>
        <v>LAW118ATCO</v>
      </c>
    </row>
    <row r="11" spans="1:3" x14ac:dyDescent="0.35">
      <c r="A11" t="s">
        <v>138</v>
      </c>
      <c r="B11" t="s">
        <v>253</v>
      </c>
      <c r="C11" t="str">
        <f t="shared" si="0"/>
        <v>LAW118PIDE4</v>
      </c>
    </row>
    <row r="12" spans="1:3" x14ac:dyDescent="0.35">
      <c r="A12" t="s">
        <v>138</v>
      </c>
      <c r="B12" t="s">
        <v>255</v>
      </c>
      <c r="C12" t="str">
        <f t="shared" si="0"/>
        <v>LAW118TEAX</v>
      </c>
    </row>
    <row r="13" spans="1:3" x14ac:dyDescent="0.35">
      <c r="A13" t="s">
        <v>138</v>
      </c>
      <c r="B13" t="s">
        <v>248</v>
      </c>
      <c r="C13" t="str">
        <f t="shared" si="0"/>
        <v>LAW118GRSP</v>
      </c>
    </row>
    <row r="14" spans="1:3" x14ac:dyDescent="0.35">
      <c r="A14" t="s">
        <v>138</v>
      </c>
      <c r="B14" t="s">
        <v>243</v>
      </c>
      <c r="C14" t="str">
        <f t="shared" si="0"/>
        <v>LAW118ENFR</v>
      </c>
    </row>
    <row r="15" spans="1:3" x14ac:dyDescent="0.35">
      <c r="A15" t="s">
        <v>138</v>
      </c>
      <c r="B15" t="s">
        <v>247</v>
      </c>
      <c r="C15" t="str">
        <f t="shared" si="0"/>
        <v>LAW118ERTE18</v>
      </c>
    </row>
    <row r="16" spans="1:3" x14ac:dyDescent="0.35">
      <c r="A16" t="s">
        <v>138</v>
      </c>
      <c r="B16" t="s">
        <v>252</v>
      </c>
      <c r="C16" t="str">
        <f t="shared" si="0"/>
        <v>LAW118MESP2</v>
      </c>
    </row>
    <row r="17" spans="1:3" x14ac:dyDescent="0.35">
      <c r="A17" t="s">
        <v>138</v>
      </c>
      <c r="B17" t="s">
        <v>116</v>
      </c>
      <c r="C17" t="str">
        <f t="shared" si="0"/>
        <v>LAW118LEFR2</v>
      </c>
    </row>
    <row r="18" spans="1:3" x14ac:dyDescent="0.35">
      <c r="A18" t="s">
        <v>138</v>
      </c>
      <c r="B18" t="s">
        <v>172</v>
      </c>
      <c r="C18" t="str">
        <f t="shared" si="0"/>
        <v>LAW118PSPO</v>
      </c>
    </row>
    <row r="19" spans="1:3" x14ac:dyDescent="0.35">
      <c r="A19" t="s">
        <v>138</v>
      </c>
      <c r="B19" t="s">
        <v>15</v>
      </c>
      <c r="C19" t="str">
        <f t="shared" si="0"/>
        <v>LAW118KRLA2</v>
      </c>
    </row>
    <row r="20" spans="1:3" x14ac:dyDescent="0.35">
      <c r="A20" t="s">
        <v>138</v>
      </c>
      <c r="B20" t="s">
        <v>268</v>
      </c>
      <c r="C20" t="str">
        <f t="shared" si="0"/>
        <v>LAW118XYTO2</v>
      </c>
    </row>
    <row r="21" spans="1:3" x14ac:dyDescent="0.35">
      <c r="A21" t="s">
        <v>138</v>
      </c>
      <c r="B21" t="s">
        <v>244</v>
      </c>
      <c r="C21" t="str">
        <f t="shared" si="0"/>
        <v>LAW118EPNE</v>
      </c>
    </row>
    <row r="22" spans="1:3" x14ac:dyDescent="0.35">
      <c r="A22" t="s">
        <v>138</v>
      </c>
      <c r="B22" t="s">
        <v>242</v>
      </c>
      <c r="C22" t="str">
        <f t="shared" si="0"/>
        <v>LAW118ELEL5</v>
      </c>
    </row>
    <row r="23" spans="1:3" x14ac:dyDescent="0.35">
      <c r="A23" t="s">
        <v>138</v>
      </c>
      <c r="B23" t="s">
        <v>150</v>
      </c>
      <c r="C23" t="str">
        <f t="shared" si="0"/>
        <v>LAW118ACHY</v>
      </c>
    </row>
    <row r="24" spans="1:3" x14ac:dyDescent="0.35">
      <c r="A24" t="s">
        <v>138</v>
      </c>
      <c r="B24" t="s">
        <v>23</v>
      </c>
      <c r="C24" t="str">
        <f t="shared" si="0"/>
        <v>LAW118DISP</v>
      </c>
    </row>
    <row r="25" spans="1:3" x14ac:dyDescent="0.35">
      <c r="A25" t="s">
        <v>18</v>
      </c>
      <c r="B25" t="s">
        <v>6</v>
      </c>
      <c r="C25" t="str">
        <f t="shared" si="0"/>
        <v>BIS097ATPO</v>
      </c>
    </row>
    <row r="26" spans="1:3" x14ac:dyDescent="0.35">
      <c r="A26" t="s">
        <v>18</v>
      </c>
      <c r="B26" t="s">
        <v>268</v>
      </c>
      <c r="C26" t="str">
        <f t="shared" si="0"/>
        <v>BIS097XYTO2</v>
      </c>
    </row>
    <row r="27" spans="1:3" x14ac:dyDescent="0.35">
      <c r="A27" t="s">
        <v>18</v>
      </c>
      <c r="B27" t="s">
        <v>172</v>
      </c>
      <c r="C27" t="str">
        <f t="shared" si="0"/>
        <v>BIS097PSPO</v>
      </c>
    </row>
    <row r="28" spans="1:3" x14ac:dyDescent="0.35">
      <c r="A28" t="s">
        <v>18</v>
      </c>
      <c r="B28" t="s">
        <v>14</v>
      </c>
      <c r="C28" t="str">
        <f t="shared" si="0"/>
        <v>BIS097SAVE4</v>
      </c>
    </row>
    <row r="29" spans="1:3" x14ac:dyDescent="0.35">
      <c r="A29" t="s">
        <v>18</v>
      </c>
      <c r="B29" t="s">
        <v>12</v>
      </c>
      <c r="C29" t="str">
        <f t="shared" si="0"/>
        <v>BIS097ATCA2</v>
      </c>
    </row>
    <row r="30" spans="1:3" x14ac:dyDescent="0.35">
      <c r="A30" t="s">
        <v>18</v>
      </c>
      <c r="B30" t="s">
        <v>244</v>
      </c>
      <c r="C30" t="str">
        <f t="shared" si="0"/>
        <v>BIS097EPNE</v>
      </c>
    </row>
    <row r="31" spans="1:3" x14ac:dyDescent="0.35">
      <c r="A31" t="s">
        <v>18</v>
      </c>
      <c r="B31" t="s">
        <v>253</v>
      </c>
      <c r="C31" t="str">
        <f t="shared" si="0"/>
        <v>BIS097PIDE4</v>
      </c>
    </row>
    <row r="32" spans="1:3" x14ac:dyDescent="0.35">
      <c r="A32" t="s">
        <v>18</v>
      </c>
      <c r="B32" t="s">
        <v>107</v>
      </c>
      <c r="C32" t="str">
        <f t="shared" si="0"/>
        <v>BIS097PSARM</v>
      </c>
    </row>
    <row r="33" spans="1:3" x14ac:dyDescent="0.35">
      <c r="A33" t="s">
        <v>18</v>
      </c>
      <c r="B33" t="s">
        <v>5</v>
      </c>
      <c r="C33" t="str">
        <f t="shared" si="0"/>
        <v>BIS097ATCO</v>
      </c>
    </row>
    <row r="34" spans="1:3" x14ac:dyDescent="0.35">
      <c r="A34" t="s">
        <v>18</v>
      </c>
      <c r="B34" t="s">
        <v>249</v>
      </c>
      <c r="C34" t="str">
        <f t="shared" si="0"/>
        <v>BIS097HYSA</v>
      </c>
    </row>
    <row r="35" spans="1:3" x14ac:dyDescent="0.35">
      <c r="A35" t="s">
        <v>18</v>
      </c>
      <c r="B35" t="s">
        <v>256</v>
      </c>
      <c r="C35" t="str">
        <f t="shared" si="0"/>
        <v>BIS097TEGL</v>
      </c>
    </row>
    <row r="36" spans="1:3" x14ac:dyDescent="0.35">
      <c r="A36" t="s">
        <v>18</v>
      </c>
      <c r="B36" t="s">
        <v>248</v>
      </c>
      <c r="C36" t="str">
        <f t="shared" si="0"/>
        <v>BIS097GRSP</v>
      </c>
    </row>
    <row r="37" spans="1:3" x14ac:dyDescent="0.35">
      <c r="A37" t="s">
        <v>18</v>
      </c>
      <c r="B37" t="s">
        <v>246</v>
      </c>
      <c r="C37" t="str">
        <f t="shared" si="0"/>
        <v>BIS097ERFA2</v>
      </c>
    </row>
    <row r="38" spans="1:3" x14ac:dyDescent="0.35">
      <c r="A38" t="s">
        <v>18</v>
      </c>
      <c r="B38" t="s">
        <v>255</v>
      </c>
      <c r="C38" t="str">
        <f t="shared" si="0"/>
        <v>BIS097TEAX</v>
      </c>
    </row>
    <row r="39" spans="1:3" x14ac:dyDescent="0.35">
      <c r="A39" t="s">
        <v>18</v>
      </c>
      <c r="B39" t="s">
        <v>252</v>
      </c>
      <c r="C39" t="str">
        <f t="shared" si="0"/>
        <v>BIS097MESP2</v>
      </c>
    </row>
    <row r="40" spans="1:3" x14ac:dyDescent="0.35">
      <c r="A40" t="s">
        <v>18</v>
      </c>
      <c r="B40" t="s">
        <v>245</v>
      </c>
      <c r="C40" t="str">
        <f t="shared" si="0"/>
        <v>BIS097ERCO23</v>
      </c>
    </row>
    <row r="41" spans="1:3" x14ac:dyDescent="0.35">
      <c r="A41" t="s">
        <v>18</v>
      </c>
      <c r="B41" t="s">
        <v>247</v>
      </c>
      <c r="C41" t="str">
        <f t="shared" si="0"/>
        <v>BIS097ERTE18</v>
      </c>
    </row>
    <row r="42" spans="1:3" x14ac:dyDescent="0.35">
      <c r="A42" t="s">
        <v>18</v>
      </c>
      <c r="B42" t="s">
        <v>15</v>
      </c>
      <c r="C42" t="str">
        <f t="shared" si="0"/>
        <v>BIS097KRLA2</v>
      </c>
    </row>
    <row r="43" spans="1:3" x14ac:dyDescent="0.35">
      <c r="A43" t="s">
        <v>18</v>
      </c>
      <c r="B43" t="s">
        <v>242</v>
      </c>
      <c r="C43" t="str">
        <f t="shared" si="0"/>
        <v>BIS097ELEL5</v>
      </c>
    </row>
    <row r="44" spans="1:3" x14ac:dyDescent="0.35">
      <c r="A44" t="s">
        <v>18</v>
      </c>
      <c r="B44" t="s">
        <v>250</v>
      </c>
      <c r="C44" t="str">
        <f t="shared" si="0"/>
        <v>BIS097LECI4</v>
      </c>
    </row>
    <row r="45" spans="1:3" x14ac:dyDescent="0.35">
      <c r="A45" t="s">
        <v>18</v>
      </c>
      <c r="B45" t="s">
        <v>23</v>
      </c>
      <c r="C45" t="str">
        <f t="shared" si="0"/>
        <v>BIS097DISP</v>
      </c>
    </row>
    <row r="46" spans="1:3" x14ac:dyDescent="0.35">
      <c r="A46" t="s">
        <v>18</v>
      </c>
      <c r="B46" t="s">
        <v>239</v>
      </c>
      <c r="C46" t="str">
        <f t="shared" si="0"/>
        <v>BIS097ACSP12</v>
      </c>
    </row>
    <row r="47" spans="1:3" x14ac:dyDescent="0.35">
      <c r="A47" t="s">
        <v>18</v>
      </c>
      <c r="B47" t="s">
        <v>150</v>
      </c>
      <c r="C47" t="str">
        <f t="shared" si="0"/>
        <v>BIS097ACHY</v>
      </c>
    </row>
    <row r="48" spans="1:3" x14ac:dyDescent="0.35">
      <c r="A48" t="s">
        <v>9</v>
      </c>
      <c r="B48" t="s">
        <v>6</v>
      </c>
      <c r="C48" t="str">
        <f t="shared" si="0"/>
        <v>BGP160ATPO</v>
      </c>
    </row>
    <row r="49" spans="1:3" x14ac:dyDescent="0.35">
      <c r="A49" t="s">
        <v>9</v>
      </c>
      <c r="B49" t="s">
        <v>107</v>
      </c>
      <c r="C49" t="str">
        <f t="shared" si="0"/>
        <v>BGP160PSARM</v>
      </c>
    </row>
    <row r="50" spans="1:3" x14ac:dyDescent="0.35">
      <c r="A50" t="s">
        <v>9</v>
      </c>
      <c r="B50" t="s">
        <v>230</v>
      </c>
      <c r="C50" t="str">
        <f t="shared" si="0"/>
        <v>BGP160ATPA3</v>
      </c>
    </row>
    <row r="51" spans="1:3" x14ac:dyDescent="0.35">
      <c r="A51" t="s">
        <v>9</v>
      </c>
      <c r="B51" t="s">
        <v>14</v>
      </c>
      <c r="C51" t="str">
        <f t="shared" si="0"/>
        <v>BGP160SAVE4</v>
      </c>
    </row>
    <row r="52" spans="1:3" x14ac:dyDescent="0.35">
      <c r="A52" t="s">
        <v>9</v>
      </c>
      <c r="B52" t="s">
        <v>256</v>
      </c>
      <c r="C52" t="str">
        <f t="shared" si="0"/>
        <v>BGP160TEGL</v>
      </c>
    </row>
    <row r="53" spans="1:3" x14ac:dyDescent="0.35">
      <c r="A53" t="s">
        <v>9</v>
      </c>
      <c r="B53" t="s">
        <v>5</v>
      </c>
      <c r="C53" t="str">
        <f t="shared" si="0"/>
        <v>BGP160ATCO</v>
      </c>
    </row>
    <row r="54" spans="1:3" x14ac:dyDescent="0.35">
      <c r="A54" t="s">
        <v>9</v>
      </c>
      <c r="B54" t="s">
        <v>253</v>
      </c>
      <c r="C54" t="str">
        <f t="shared" si="0"/>
        <v>BGP160PIDE4</v>
      </c>
    </row>
    <row r="55" spans="1:3" x14ac:dyDescent="0.35">
      <c r="A55" t="s">
        <v>9</v>
      </c>
      <c r="B55" t="s">
        <v>255</v>
      </c>
      <c r="C55" t="str">
        <f t="shared" si="0"/>
        <v>BGP160TEAX</v>
      </c>
    </row>
    <row r="56" spans="1:3" x14ac:dyDescent="0.35">
      <c r="A56" t="s">
        <v>9</v>
      </c>
      <c r="B56" t="s">
        <v>248</v>
      </c>
      <c r="C56" t="str">
        <f t="shared" si="0"/>
        <v>BGP160GRSP</v>
      </c>
    </row>
    <row r="57" spans="1:3" x14ac:dyDescent="0.35">
      <c r="A57" t="s">
        <v>9</v>
      </c>
      <c r="B57" t="s">
        <v>249</v>
      </c>
      <c r="C57" t="str">
        <f t="shared" si="0"/>
        <v>BGP160HYSA</v>
      </c>
    </row>
    <row r="58" spans="1:3" x14ac:dyDescent="0.35">
      <c r="A58" t="s">
        <v>9</v>
      </c>
      <c r="B58" t="s">
        <v>172</v>
      </c>
      <c r="C58" t="str">
        <f t="shared" si="0"/>
        <v>BGP160PSPO</v>
      </c>
    </row>
    <row r="59" spans="1:3" x14ac:dyDescent="0.35">
      <c r="A59" t="s">
        <v>9</v>
      </c>
      <c r="B59" t="s">
        <v>252</v>
      </c>
      <c r="C59" t="str">
        <f t="shared" si="0"/>
        <v>BGP160MESP2</v>
      </c>
    </row>
    <row r="60" spans="1:3" x14ac:dyDescent="0.35">
      <c r="A60" t="s">
        <v>9</v>
      </c>
      <c r="B60" t="s">
        <v>245</v>
      </c>
      <c r="C60" t="str">
        <f t="shared" si="0"/>
        <v>BGP160ERCO23</v>
      </c>
    </row>
    <row r="61" spans="1:3" x14ac:dyDescent="0.35">
      <c r="A61" t="s">
        <v>9</v>
      </c>
      <c r="B61" t="s">
        <v>244</v>
      </c>
      <c r="C61" t="str">
        <f t="shared" si="0"/>
        <v>BGP160EPNE</v>
      </c>
    </row>
    <row r="62" spans="1:3" x14ac:dyDescent="0.35">
      <c r="A62" t="s">
        <v>9</v>
      </c>
      <c r="B62" t="s">
        <v>15</v>
      </c>
      <c r="C62" t="str">
        <f t="shared" si="0"/>
        <v>BGP160KRLA2</v>
      </c>
    </row>
    <row r="63" spans="1:3" x14ac:dyDescent="0.35">
      <c r="A63" t="s">
        <v>9</v>
      </c>
      <c r="B63" t="s">
        <v>12</v>
      </c>
      <c r="C63" t="str">
        <f t="shared" si="0"/>
        <v>BGP160ATCA2</v>
      </c>
    </row>
    <row r="64" spans="1:3" x14ac:dyDescent="0.35">
      <c r="A64" t="s">
        <v>9</v>
      </c>
      <c r="B64" t="s">
        <v>2</v>
      </c>
      <c r="C64" t="str">
        <f t="shared" si="0"/>
        <v>BGP160SPAI</v>
      </c>
    </row>
    <row r="65" spans="1:3" x14ac:dyDescent="0.35">
      <c r="A65" t="s">
        <v>9</v>
      </c>
      <c r="B65" t="s">
        <v>239</v>
      </c>
      <c r="C65" t="str">
        <f t="shared" si="0"/>
        <v>BGP160ACSP12</v>
      </c>
    </row>
    <row r="66" spans="1:3" x14ac:dyDescent="0.35">
      <c r="A66" t="s">
        <v>9</v>
      </c>
      <c r="B66" t="s">
        <v>23</v>
      </c>
      <c r="C66" t="str">
        <f t="shared" si="0"/>
        <v>BGP160DISP</v>
      </c>
    </row>
    <row r="67" spans="1:3" x14ac:dyDescent="0.35">
      <c r="A67" t="s">
        <v>9</v>
      </c>
      <c r="B67" t="s">
        <v>242</v>
      </c>
      <c r="C67" t="str">
        <f t="shared" ref="C67:C130" si="1">CONCATENATE(A67,B67)</f>
        <v>BGP160ELEL5</v>
      </c>
    </row>
    <row r="68" spans="1:3" x14ac:dyDescent="0.35">
      <c r="A68" t="s">
        <v>9</v>
      </c>
      <c r="B68" t="s">
        <v>150</v>
      </c>
      <c r="C68" t="str">
        <f t="shared" si="1"/>
        <v>BGP160ACHY</v>
      </c>
    </row>
    <row r="69" spans="1:3" x14ac:dyDescent="0.35">
      <c r="A69" t="s">
        <v>161</v>
      </c>
      <c r="B69" t="s">
        <v>6</v>
      </c>
      <c r="C69" t="str">
        <f t="shared" si="1"/>
        <v>BGP160WATPO</v>
      </c>
    </row>
    <row r="70" spans="1:3" x14ac:dyDescent="0.35">
      <c r="A70" t="s">
        <v>161</v>
      </c>
      <c r="B70" t="s">
        <v>107</v>
      </c>
      <c r="C70" t="str">
        <f t="shared" si="1"/>
        <v>BGP160WPSARM</v>
      </c>
    </row>
    <row r="71" spans="1:3" x14ac:dyDescent="0.35">
      <c r="A71" t="s">
        <v>161</v>
      </c>
      <c r="B71" t="s">
        <v>230</v>
      </c>
      <c r="C71" t="str">
        <f t="shared" si="1"/>
        <v>BGP160WATPA3</v>
      </c>
    </row>
    <row r="72" spans="1:3" x14ac:dyDescent="0.35">
      <c r="A72" t="s">
        <v>161</v>
      </c>
      <c r="B72" t="s">
        <v>14</v>
      </c>
      <c r="C72" t="str">
        <f t="shared" si="1"/>
        <v>BGP160WSAVE4</v>
      </c>
    </row>
    <row r="73" spans="1:3" x14ac:dyDescent="0.35">
      <c r="A73" t="s">
        <v>161</v>
      </c>
      <c r="B73" t="s">
        <v>256</v>
      </c>
      <c r="C73" t="str">
        <f t="shared" si="1"/>
        <v>BGP160WTEGL</v>
      </c>
    </row>
    <row r="74" spans="1:3" x14ac:dyDescent="0.35">
      <c r="A74" t="s">
        <v>161</v>
      </c>
      <c r="B74" t="s">
        <v>5</v>
      </c>
      <c r="C74" t="str">
        <f t="shared" si="1"/>
        <v>BGP160WATCO</v>
      </c>
    </row>
    <row r="75" spans="1:3" x14ac:dyDescent="0.35">
      <c r="A75" t="s">
        <v>161</v>
      </c>
      <c r="B75" t="s">
        <v>253</v>
      </c>
      <c r="C75" t="str">
        <f t="shared" si="1"/>
        <v>BGP160WPIDE4</v>
      </c>
    </row>
    <row r="76" spans="1:3" x14ac:dyDescent="0.35">
      <c r="A76" t="s">
        <v>161</v>
      </c>
      <c r="B76" t="s">
        <v>255</v>
      </c>
      <c r="C76" t="str">
        <f t="shared" si="1"/>
        <v>BGP160WTEAX</v>
      </c>
    </row>
    <row r="77" spans="1:3" x14ac:dyDescent="0.35">
      <c r="A77" t="s">
        <v>161</v>
      </c>
      <c r="B77" t="s">
        <v>248</v>
      </c>
      <c r="C77" t="str">
        <f t="shared" si="1"/>
        <v>BGP160WGRSP</v>
      </c>
    </row>
    <row r="78" spans="1:3" x14ac:dyDescent="0.35">
      <c r="A78" t="s">
        <v>161</v>
      </c>
      <c r="B78" t="s">
        <v>249</v>
      </c>
      <c r="C78" t="str">
        <f t="shared" si="1"/>
        <v>BGP160WHYSA</v>
      </c>
    </row>
    <row r="79" spans="1:3" x14ac:dyDescent="0.35">
      <c r="A79" t="s">
        <v>161</v>
      </c>
      <c r="B79" t="s">
        <v>172</v>
      </c>
      <c r="C79" t="str">
        <f t="shared" si="1"/>
        <v>BGP160WPSPO</v>
      </c>
    </row>
    <row r="80" spans="1:3" x14ac:dyDescent="0.35">
      <c r="A80" t="s">
        <v>161</v>
      </c>
      <c r="B80" t="s">
        <v>252</v>
      </c>
      <c r="C80" t="str">
        <f t="shared" si="1"/>
        <v>BGP160WMESP2</v>
      </c>
    </row>
    <row r="81" spans="1:3" x14ac:dyDescent="0.35">
      <c r="A81" t="s">
        <v>161</v>
      </c>
      <c r="B81" t="s">
        <v>245</v>
      </c>
      <c r="C81" t="str">
        <f t="shared" si="1"/>
        <v>BGP160WERCO23</v>
      </c>
    </row>
    <row r="82" spans="1:3" x14ac:dyDescent="0.35">
      <c r="A82" t="s">
        <v>161</v>
      </c>
      <c r="B82" t="s">
        <v>244</v>
      </c>
      <c r="C82" t="str">
        <f t="shared" si="1"/>
        <v>BGP160WEPNE</v>
      </c>
    </row>
    <row r="83" spans="1:3" x14ac:dyDescent="0.35">
      <c r="A83" t="s">
        <v>161</v>
      </c>
      <c r="B83" t="s">
        <v>15</v>
      </c>
      <c r="C83" t="str">
        <f t="shared" si="1"/>
        <v>BGP160WKRLA2</v>
      </c>
    </row>
    <row r="84" spans="1:3" x14ac:dyDescent="0.35">
      <c r="A84" t="s">
        <v>161</v>
      </c>
      <c r="B84" t="s">
        <v>12</v>
      </c>
      <c r="C84" t="str">
        <f t="shared" si="1"/>
        <v>BGP160WATCA2</v>
      </c>
    </row>
    <row r="85" spans="1:3" x14ac:dyDescent="0.35">
      <c r="A85" t="s">
        <v>161</v>
      </c>
      <c r="B85" t="s">
        <v>2</v>
      </c>
      <c r="C85" t="str">
        <f t="shared" si="1"/>
        <v>BGP160WSPAI</v>
      </c>
    </row>
    <row r="86" spans="1:3" x14ac:dyDescent="0.35">
      <c r="A86" t="s">
        <v>161</v>
      </c>
      <c r="B86" t="s">
        <v>239</v>
      </c>
      <c r="C86" t="str">
        <f t="shared" si="1"/>
        <v>BGP160WACSP12</v>
      </c>
    </row>
    <row r="87" spans="1:3" x14ac:dyDescent="0.35">
      <c r="A87" t="s">
        <v>161</v>
      </c>
      <c r="B87" t="s">
        <v>23</v>
      </c>
      <c r="C87" t="str">
        <f t="shared" si="1"/>
        <v>BGP160WDISP</v>
      </c>
    </row>
    <row r="88" spans="1:3" x14ac:dyDescent="0.35">
      <c r="A88" t="s">
        <v>161</v>
      </c>
      <c r="B88" t="s">
        <v>242</v>
      </c>
      <c r="C88" t="str">
        <f t="shared" si="1"/>
        <v>BGP160WELEL5</v>
      </c>
    </row>
    <row r="89" spans="1:3" x14ac:dyDescent="0.35">
      <c r="A89" t="s">
        <v>161</v>
      </c>
      <c r="B89" t="s">
        <v>150</v>
      </c>
      <c r="C89" t="str">
        <f t="shared" si="1"/>
        <v>BGP160WACHY</v>
      </c>
    </row>
    <row r="90" spans="1:3" x14ac:dyDescent="0.35">
      <c r="A90" t="s">
        <v>21</v>
      </c>
      <c r="B90" t="s">
        <v>14</v>
      </c>
      <c r="C90" t="str">
        <f t="shared" si="1"/>
        <v>TIN054SAVE4</v>
      </c>
    </row>
    <row r="91" spans="1:3" x14ac:dyDescent="0.35">
      <c r="A91" t="s">
        <v>21</v>
      </c>
      <c r="B91" t="s">
        <v>12</v>
      </c>
      <c r="C91" t="str">
        <f t="shared" si="1"/>
        <v>TIN054ATCA2</v>
      </c>
    </row>
    <row r="92" spans="1:3" x14ac:dyDescent="0.35">
      <c r="A92" t="s">
        <v>21</v>
      </c>
      <c r="B92" t="s">
        <v>5</v>
      </c>
      <c r="C92" t="str">
        <f t="shared" si="1"/>
        <v>TIN054ATCO</v>
      </c>
    </row>
    <row r="93" spans="1:3" x14ac:dyDescent="0.35">
      <c r="A93" t="s">
        <v>21</v>
      </c>
      <c r="B93" t="s">
        <v>2</v>
      </c>
      <c r="C93" t="str">
        <f t="shared" si="1"/>
        <v>TIN054SPAI</v>
      </c>
    </row>
    <row r="94" spans="1:3" x14ac:dyDescent="0.35">
      <c r="A94" t="s">
        <v>21</v>
      </c>
      <c r="B94" t="s">
        <v>250</v>
      </c>
      <c r="C94" t="str">
        <f t="shared" si="1"/>
        <v>TIN054LECI4</v>
      </c>
    </row>
    <row r="95" spans="1:3" x14ac:dyDescent="0.35">
      <c r="A95" t="s">
        <v>21</v>
      </c>
      <c r="B95" t="s">
        <v>23</v>
      </c>
      <c r="C95" t="str">
        <f t="shared" si="1"/>
        <v>TIN054DISP</v>
      </c>
    </row>
    <row r="96" spans="1:3" x14ac:dyDescent="0.35">
      <c r="A96" t="s">
        <v>21</v>
      </c>
      <c r="B96" t="s">
        <v>134</v>
      </c>
      <c r="C96" t="str">
        <f t="shared" si="1"/>
        <v>TIN054LETR5</v>
      </c>
    </row>
    <row r="97" spans="1:3" x14ac:dyDescent="0.35">
      <c r="A97" t="s">
        <v>24</v>
      </c>
      <c r="B97" t="s">
        <v>14</v>
      </c>
      <c r="C97" t="str">
        <f t="shared" si="1"/>
        <v>BLK016ESAVE4</v>
      </c>
    </row>
    <row r="98" spans="1:3" x14ac:dyDescent="0.35">
      <c r="A98" t="s">
        <v>24</v>
      </c>
      <c r="B98" t="s">
        <v>12</v>
      </c>
      <c r="C98" t="str">
        <f t="shared" si="1"/>
        <v>BLK016EATCA2</v>
      </c>
    </row>
    <row r="99" spans="1:3" x14ac:dyDescent="0.35">
      <c r="A99" t="s">
        <v>24</v>
      </c>
      <c r="B99" t="s">
        <v>5</v>
      </c>
      <c r="C99" t="str">
        <f t="shared" si="1"/>
        <v>BLK016EATCO</v>
      </c>
    </row>
    <row r="100" spans="1:3" x14ac:dyDescent="0.35">
      <c r="A100" t="s">
        <v>24</v>
      </c>
      <c r="B100" t="s">
        <v>2</v>
      </c>
      <c r="C100" t="str">
        <f t="shared" si="1"/>
        <v>BLK016ESPAI</v>
      </c>
    </row>
    <row r="101" spans="1:3" x14ac:dyDescent="0.35">
      <c r="A101" t="s">
        <v>24</v>
      </c>
      <c r="B101" t="s">
        <v>250</v>
      </c>
      <c r="C101" t="str">
        <f t="shared" si="1"/>
        <v>BLK016ELECI4</v>
      </c>
    </row>
    <row r="102" spans="1:3" x14ac:dyDescent="0.35">
      <c r="A102" t="s">
        <v>24</v>
      </c>
      <c r="B102" t="s">
        <v>23</v>
      </c>
      <c r="C102" t="str">
        <f t="shared" si="1"/>
        <v>BLK016EDISP</v>
      </c>
    </row>
    <row r="103" spans="1:3" x14ac:dyDescent="0.35">
      <c r="A103" t="s">
        <v>24</v>
      </c>
      <c r="B103" t="s">
        <v>134</v>
      </c>
      <c r="C103" t="str">
        <f t="shared" si="1"/>
        <v>BLK016ELETR5</v>
      </c>
    </row>
    <row r="104" spans="1:3" x14ac:dyDescent="0.35">
      <c r="A104" t="s">
        <v>19</v>
      </c>
      <c r="B104" t="s">
        <v>6</v>
      </c>
      <c r="C104" t="str">
        <f t="shared" si="1"/>
        <v>IND105ATPO</v>
      </c>
    </row>
    <row r="105" spans="1:3" x14ac:dyDescent="0.35">
      <c r="A105" t="s">
        <v>19</v>
      </c>
      <c r="B105" t="s">
        <v>98</v>
      </c>
      <c r="C105" t="str">
        <f t="shared" si="1"/>
        <v>IND105FOPU2</v>
      </c>
    </row>
    <row r="106" spans="1:3" x14ac:dyDescent="0.35">
      <c r="A106" t="s">
        <v>19</v>
      </c>
      <c r="B106" t="s">
        <v>254</v>
      </c>
      <c r="C106" t="str">
        <f t="shared" si="1"/>
        <v>IND105SUMO</v>
      </c>
    </row>
    <row r="107" spans="1:3" x14ac:dyDescent="0.35">
      <c r="A107" t="s">
        <v>19</v>
      </c>
      <c r="B107" t="s">
        <v>14</v>
      </c>
      <c r="C107" t="str">
        <f t="shared" si="1"/>
        <v>IND105SAVE4</v>
      </c>
    </row>
    <row r="108" spans="1:3" x14ac:dyDescent="0.35">
      <c r="A108" t="s">
        <v>19</v>
      </c>
      <c r="B108" t="s">
        <v>12</v>
      </c>
      <c r="C108" t="str">
        <f t="shared" si="1"/>
        <v>IND105ATCA2</v>
      </c>
    </row>
    <row r="109" spans="1:3" x14ac:dyDescent="0.35">
      <c r="A109" t="s">
        <v>19</v>
      </c>
      <c r="B109" t="s">
        <v>2</v>
      </c>
      <c r="C109" t="str">
        <f t="shared" si="1"/>
        <v>IND105SPAI</v>
      </c>
    </row>
    <row r="110" spans="1:3" x14ac:dyDescent="0.35">
      <c r="A110" t="s">
        <v>19</v>
      </c>
      <c r="B110" t="s">
        <v>23</v>
      </c>
      <c r="C110" t="str">
        <f t="shared" si="1"/>
        <v>IND105DISP</v>
      </c>
    </row>
    <row r="111" spans="1:3" x14ac:dyDescent="0.35">
      <c r="A111" t="s">
        <v>99</v>
      </c>
      <c r="B111" t="s">
        <v>6</v>
      </c>
      <c r="C111" t="str">
        <f t="shared" si="1"/>
        <v>IND131NATPO</v>
      </c>
    </row>
    <row r="112" spans="1:3" x14ac:dyDescent="0.35">
      <c r="A112" t="s">
        <v>99</v>
      </c>
      <c r="B112" t="s">
        <v>98</v>
      </c>
      <c r="C112" t="str">
        <f t="shared" si="1"/>
        <v>IND131NFOPU2</v>
      </c>
    </row>
    <row r="113" spans="1:3" x14ac:dyDescent="0.35">
      <c r="A113" t="s">
        <v>99</v>
      </c>
      <c r="B113" t="s">
        <v>254</v>
      </c>
      <c r="C113" t="str">
        <f t="shared" si="1"/>
        <v>IND131NSUMO</v>
      </c>
    </row>
    <row r="114" spans="1:3" x14ac:dyDescent="0.35">
      <c r="A114" t="s">
        <v>99</v>
      </c>
      <c r="B114" t="s">
        <v>14</v>
      </c>
      <c r="C114" t="str">
        <f t="shared" si="1"/>
        <v>IND131NSAVE4</v>
      </c>
    </row>
    <row r="115" spans="1:3" x14ac:dyDescent="0.35">
      <c r="A115" t="s">
        <v>99</v>
      </c>
      <c r="B115" t="s">
        <v>12</v>
      </c>
      <c r="C115" t="str">
        <f t="shared" si="1"/>
        <v>IND131NATCA2</v>
      </c>
    </row>
    <row r="116" spans="1:3" x14ac:dyDescent="0.35">
      <c r="A116" t="s">
        <v>99</v>
      </c>
      <c r="B116" t="s">
        <v>2</v>
      </c>
      <c r="C116" t="str">
        <f t="shared" si="1"/>
        <v>IND131NSPAI</v>
      </c>
    </row>
    <row r="117" spans="1:3" x14ac:dyDescent="0.35">
      <c r="A117" t="s">
        <v>99</v>
      </c>
      <c r="B117" t="s">
        <v>23</v>
      </c>
      <c r="C117" t="str">
        <f t="shared" si="1"/>
        <v>IND131NDISP</v>
      </c>
    </row>
    <row r="118" spans="1:3" x14ac:dyDescent="0.35">
      <c r="A118" t="s">
        <v>105</v>
      </c>
      <c r="B118" t="s">
        <v>6</v>
      </c>
      <c r="C118" t="str">
        <f t="shared" si="1"/>
        <v>IND131SATPO</v>
      </c>
    </row>
    <row r="119" spans="1:3" x14ac:dyDescent="0.35">
      <c r="A119" t="s">
        <v>105</v>
      </c>
      <c r="B119" t="s">
        <v>98</v>
      </c>
      <c r="C119" t="str">
        <f t="shared" si="1"/>
        <v>IND131SFOPU2</v>
      </c>
    </row>
    <row r="120" spans="1:3" x14ac:dyDescent="0.35">
      <c r="A120" t="s">
        <v>105</v>
      </c>
      <c r="B120" t="s">
        <v>254</v>
      </c>
      <c r="C120" t="str">
        <f t="shared" si="1"/>
        <v>IND131SSUMO</v>
      </c>
    </row>
    <row r="121" spans="1:3" x14ac:dyDescent="0.35">
      <c r="A121" t="s">
        <v>105</v>
      </c>
      <c r="B121" t="s">
        <v>14</v>
      </c>
      <c r="C121" t="str">
        <f t="shared" si="1"/>
        <v>IND131SSAVE4</v>
      </c>
    </row>
    <row r="122" spans="1:3" x14ac:dyDescent="0.35">
      <c r="A122" t="s">
        <v>105</v>
      </c>
      <c r="B122" t="s">
        <v>12</v>
      </c>
      <c r="C122" t="str">
        <f t="shared" si="1"/>
        <v>IND131SATCA2</v>
      </c>
    </row>
    <row r="123" spans="1:3" x14ac:dyDescent="0.35">
      <c r="A123" t="s">
        <v>105</v>
      </c>
      <c r="B123" t="s">
        <v>2</v>
      </c>
      <c r="C123" t="str">
        <f t="shared" si="1"/>
        <v>IND131SSPAI</v>
      </c>
    </row>
    <row r="124" spans="1:3" x14ac:dyDescent="0.35">
      <c r="A124" t="s">
        <v>105</v>
      </c>
      <c r="B124" t="s">
        <v>23</v>
      </c>
      <c r="C124" t="str">
        <f t="shared" si="1"/>
        <v>IND131SDISP</v>
      </c>
    </row>
    <row r="125" spans="1:3" x14ac:dyDescent="0.35">
      <c r="A125" t="s">
        <v>35</v>
      </c>
      <c r="B125" t="s">
        <v>6</v>
      </c>
      <c r="C125" t="str">
        <f t="shared" si="1"/>
        <v>IND123ATPO</v>
      </c>
    </row>
    <row r="126" spans="1:3" x14ac:dyDescent="0.35">
      <c r="A126" t="s">
        <v>35</v>
      </c>
      <c r="B126" t="s">
        <v>98</v>
      </c>
      <c r="C126" t="str">
        <f t="shared" si="1"/>
        <v>IND123FOPU2</v>
      </c>
    </row>
    <row r="127" spans="1:3" x14ac:dyDescent="0.35">
      <c r="A127" t="s">
        <v>35</v>
      </c>
      <c r="B127" t="s">
        <v>254</v>
      </c>
      <c r="C127" t="str">
        <f t="shared" si="1"/>
        <v>IND123SUMO</v>
      </c>
    </row>
    <row r="128" spans="1:3" x14ac:dyDescent="0.35">
      <c r="A128" t="s">
        <v>35</v>
      </c>
      <c r="B128" t="s">
        <v>14</v>
      </c>
      <c r="C128" t="str">
        <f t="shared" si="1"/>
        <v>IND123SAVE4</v>
      </c>
    </row>
    <row r="129" spans="1:3" x14ac:dyDescent="0.35">
      <c r="A129" t="s">
        <v>35</v>
      </c>
      <c r="B129" t="s">
        <v>12</v>
      </c>
      <c r="C129" t="str">
        <f t="shared" si="1"/>
        <v>IND123ATCA2</v>
      </c>
    </row>
    <row r="130" spans="1:3" x14ac:dyDescent="0.35">
      <c r="A130" t="s">
        <v>35</v>
      </c>
      <c r="B130" t="s">
        <v>2</v>
      </c>
      <c r="C130" t="str">
        <f t="shared" si="1"/>
        <v>IND123SPAI</v>
      </c>
    </row>
    <row r="131" spans="1:3" x14ac:dyDescent="0.35">
      <c r="A131" t="s">
        <v>35</v>
      </c>
      <c r="B131" t="s">
        <v>23</v>
      </c>
      <c r="C131" t="str">
        <f>CONCATENATE(A131,B131)</f>
        <v>IND123DISP</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20</vt:i4>
      </vt:variant>
      <vt:variant>
        <vt:lpstr>Named Ranges</vt:lpstr>
      </vt:variant>
      <vt:variant>
        <vt:i4>1</vt:i4>
      </vt:variant>
    </vt:vector>
  </HeadingPairs>
  <TitlesOfParts>
    <vt:vector size="21" baseType="lpstr">
      <vt:lpstr>Sheet2</vt:lpstr>
      <vt:lpstr>Summary Figure</vt:lpstr>
      <vt:lpstr>Summary Table</vt:lpstr>
      <vt:lpstr>BGP160</vt:lpstr>
      <vt:lpstr>BGP160W</vt:lpstr>
      <vt:lpstr>BIS097</vt:lpstr>
      <vt:lpstr>BLK016E</vt:lpstr>
      <vt:lpstr>IND105</vt:lpstr>
      <vt:lpstr>IND123</vt:lpstr>
      <vt:lpstr>IND131N</vt:lpstr>
      <vt:lpstr>IND131S</vt:lpstr>
      <vt:lpstr>LAW118</vt:lpstr>
      <vt:lpstr>TIN054</vt:lpstr>
      <vt:lpstr>Cover PivotTable</vt:lpstr>
      <vt:lpstr>Species Richness PivotTable</vt:lpstr>
      <vt:lpstr>Reveg Table</vt:lpstr>
      <vt:lpstr>Sheet1</vt:lpstr>
      <vt:lpstr>Site Info</vt:lpstr>
      <vt:lpstr>Species Table</vt:lpstr>
      <vt:lpstr>Site Specific Species List</vt:lpstr>
      <vt:lpstr>TargetCover</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Honda, Motoshi</dc:creator>
  <cp:lastModifiedBy>Zach Nelson</cp:lastModifiedBy>
  <dcterms:created xsi:type="dcterms:W3CDTF">2017-09-07T20:39:06Z</dcterms:created>
  <dcterms:modified xsi:type="dcterms:W3CDTF">2025-08-13T15:54:42Z</dcterms:modified>
</cp:coreProperties>
</file>